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5"/>
    <sheet state="visible" name="v1.0" sheetId="2" r:id="rId6"/>
    <sheet state="hidden" name="Item Lookup" sheetId="3" r:id="rId7"/>
    <sheet state="hidden" name="Icon Lookup" sheetId="4" r:id="rId8"/>
    <sheet state="visible" name="Changelog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32">
      <text>
        <t xml:space="preserve">supposed to be Bird/Normal but that breaks the formulas and I don't like that</t>
      </text>
    </comment>
  </commentList>
</comments>
</file>

<file path=xl/sharedStrings.xml><?xml version="1.0" encoding="utf-8"?>
<sst xmlns="http://schemas.openxmlformats.org/spreadsheetml/2006/main" count="23046" uniqueCount="4404">
  <si>
    <r>
      <rPr>
        <rFont val="Arial"/>
        <color rgb="FFF3F3F3"/>
      </rPr>
      <t xml:space="preserve">Sheet by </t>
    </r>
    <r>
      <rPr>
        <rFont val="Arial"/>
        <b/>
        <color rgb="FFF3F3F3"/>
      </rPr>
      <t>Hematite</t>
    </r>
    <r>
      <rPr>
        <rFont val="Arial"/>
        <color rgb="FFF3F3F3"/>
      </rPr>
      <t xml:space="preserve"> based on 1.1 data provided by @</t>
    </r>
    <r>
      <rPr>
        <rFont val="Arial"/>
        <b/>
        <color rgb="FFF3F3F3"/>
      </rPr>
      <t>Kaphotics</t>
    </r>
    <r>
      <rPr>
        <rFont val="Arial"/>
        <color rgb="FFF3F3F3"/>
      </rPr>
      <t>!</t>
    </r>
  </si>
  <si>
    <t>Pokémon</t>
  </si>
  <si>
    <t>Sticker</t>
  </si>
  <si>
    <t>Lv</t>
  </si>
  <si>
    <t>Ability</t>
  </si>
  <si>
    <t>Item</t>
  </si>
  <si>
    <t>Moves</t>
  </si>
  <si>
    <t>Nature</t>
  </si>
  <si>
    <t>EVs</t>
  </si>
  <si>
    <t>IVs</t>
  </si>
  <si>
    <t>HP</t>
  </si>
  <si>
    <t>Atk</t>
  </si>
  <si>
    <t>Def</t>
  </si>
  <si>
    <t>SpA</t>
  </si>
  <si>
    <t>SpD</t>
  </si>
  <si>
    <t>Spe</t>
  </si>
  <si>
    <t>Trainer ID 1</t>
  </si>
  <si>
    <t/>
  </si>
  <si>
    <t>Youngster Tristan</t>
  </si>
  <si>
    <t>Starly</t>
  </si>
  <si>
    <t>Keen Eye</t>
  </si>
  <si>
    <t>Tackle / Growl / Quick Attack</t>
  </si>
  <si>
    <t>Jolly</t>
  </si>
  <si>
    <t>Trainer ID 2</t>
  </si>
  <si>
    <t>Youngster Logan</t>
  </si>
  <si>
    <t>Shinx</t>
  </si>
  <si>
    <t>Intimidate</t>
  </si>
  <si>
    <t>Tackle / Leer / Thunder Shock</t>
  </si>
  <si>
    <t>Trainer ID 3</t>
  </si>
  <si>
    <t>Lass Natalie</t>
  </si>
  <si>
    <t>Bidoof</t>
  </si>
  <si>
    <t>Unaware</t>
  </si>
  <si>
    <t>Tackle / Growl</t>
  </si>
  <si>
    <t>Trainer ID 4</t>
  </si>
  <si>
    <t>Youngster Michael</t>
  </si>
  <si>
    <t>Tackle / Growl / Defense Curl</t>
  </si>
  <si>
    <t>Docile</t>
  </si>
  <si>
    <t>Zubat</t>
  </si>
  <si>
    <t>Inner Focus</t>
  </si>
  <si>
    <t>Absorb / Supersonic / Astonish</t>
  </si>
  <si>
    <t>Hasty</t>
  </si>
  <si>
    <t>Trainer ID 5</t>
  </si>
  <si>
    <t>Youngster Tyler</t>
  </si>
  <si>
    <t>Magikarp</t>
  </si>
  <si>
    <t>Swift Swim</t>
  </si>
  <si>
    <t>Splash</t>
  </si>
  <si>
    <t>Naive</t>
  </si>
  <si>
    <t>Trainer ID 6</t>
  </si>
  <si>
    <t>Lass Samantha</t>
  </si>
  <si>
    <t>Budew</t>
  </si>
  <si>
    <t>Poison Point</t>
  </si>
  <si>
    <t>Absorb / Growth / Stun Spore / Worry Seed</t>
  </si>
  <si>
    <t>Timid</t>
  </si>
  <si>
    <t>Trainer ID 7</t>
  </si>
  <si>
    <t>Lass Sarah</t>
  </si>
  <si>
    <t>Trainer ID 8</t>
  </si>
  <si>
    <t>Bug Catcher Brandon</t>
  </si>
  <si>
    <t>Kricketot</t>
  </si>
  <si>
    <t>Shed Skin</t>
  </si>
  <si>
    <t>Growl / Pound / Struggle Bug</t>
  </si>
  <si>
    <t>Wurmple</t>
  </si>
  <si>
    <t>Shield Dust</t>
  </si>
  <si>
    <t>Tackle / String Shot / Poison Sting</t>
  </si>
  <si>
    <t>Trainer ID 9</t>
  </si>
  <si>
    <t>Aroma Lady Teighler</t>
  </si>
  <si>
    <t>Cherubi</t>
  </si>
  <si>
    <t>Chlorophyll</t>
  </si>
  <si>
    <t>Morning Sun / Tackle / Leafage</t>
  </si>
  <si>
    <t>Trainer ID 10</t>
  </si>
  <si>
    <t>Twins Liv</t>
  </si>
  <si>
    <t>Pachirisu</t>
  </si>
  <si>
    <t>Pickup</t>
  </si>
  <si>
    <t>Growl / Baby-Doll Eyes / Quick Attack / Charm</t>
  </si>
  <si>
    <t>Quirky</t>
  </si>
  <si>
    <t>Trainer ID 11</t>
  </si>
  <si>
    <t>Twins Liz</t>
  </si>
  <si>
    <t>Trainer ID 12</t>
  </si>
  <si>
    <t>Camper Jacob</t>
  </si>
  <si>
    <t>Ponyta</t>
  </si>
  <si>
    <t>Flash Fire</t>
  </si>
  <si>
    <t>Tackle / Growl / Tail Whip / Ember</t>
  </si>
  <si>
    <t>Trainer ID 13</t>
  </si>
  <si>
    <t>Picnicker Siena</t>
  </si>
  <si>
    <t>Tackle / Leer / Thunder Shock / Bite</t>
  </si>
  <si>
    <t>Trainer ID 14</t>
  </si>
  <si>
    <t>Hiker Daniel</t>
  </si>
  <si>
    <t>Geodude</t>
  </si>
  <si>
    <t>Rock Head</t>
  </si>
  <si>
    <t>Tackle / Defense Curl / Rock Polish / Rollout</t>
  </si>
  <si>
    <t>Relaxed</t>
  </si>
  <si>
    <t>Machop</t>
  </si>
  <si>
    <t>No Guard</t>
  </si>
  <si>
    <t>Low Kick / Leer / Focus Energy / Revenge</t>
  </si>
  <si>
    <t>Tackle / Growl / Defense Curl / Rollout</t>
  </si>
  <si>
    <t>Hardy</t>
  </si>
  <si>
    <t>Trainer ID 15</t>
  </si>
  <si>
    <t>Hiker Nicholas</t>
  </si>
  <si>
    <t>Onix</t>
  </si>
  <si>
    <t>Sturdy</t>
  </si>
  <si>
    <t>Tackle / Harden / Bind / Rock Throw</t>
  </si>
  <si>
    <t>Trainer ID 16</t>
  </si>
  <si>
    <t>Battle Girl Kelsey</t>
  </si>
  <si>
    <t>Low Kick / Leer / Focus Energy / Low Sweep</t>
  </si>
  <si>
    <t>Trainer ID 17</t>
  </si>
  <si>
    <t>Aroma Lady Elizabeth</t>
  </si>
  <si>
    <t>Calm</t>
  </si>
  <si>
    <t>Trainer ID 18</t>
  </si>
  <si>
    <t>Fisher Andrew</t>
  </si>
  <si>
    <t>Trainer ID 19</t>
  </si>
  <si>
    <t>Fisher Joseph</t>
  </si>
  <si>
    <t>Goldeen</t>
  </si>
  <si>
    <t>Water Veil</t>
  </si>
  <si>
    <t>Peck / Tail Whip / Supersonic / Water Pulse</t>
  </si>
  <si>
    <t>Trainer ID 20</t>
  </si>
  <si>
    <t>Fisher Zachary</t>
  </si>
  <si>
    <t>Trainer ID 21</t>
  </si>
  <si>
    <t>Cyclist Axel</t>
  </si>
  <si>
    <t>Staravia</t>
  </si>
  <si>
    <t>Growl / Quick Attack / Wing Attack / Double Team</t>
  </si>
  <si>
    <t>Trainer ID 22</t>
  </si>
  <si>
    <t>Cyclist James</t>
  </si>
  <si>
    <t>Run Away</t>
  </si>
  <si>
    <t>Tackle / Growl / Tail Whip / Flame Charge</t>
  </si>
  <si>
    <t>Trainer ID 23</t>
  </si>
  <si>
    <t>Cyclist John</t>
  </si>
  <si>
    <t>Trainer ID 24</t>
  </si>
  <si>
    <t>Cyclist Ryan</t>
  </si>
  <si>
    <t>Absorb / Astonish / Mean Look / Poison Fang</t>
  </si>
  <si>
    <t>Trainer ID 25</t>
  </si>
  <si>
    <t>Cyclist Megan</t>
  </si>
  <si>
    <t>Tackle / Leer / Bite / Spark</t>
  </si>
  <si>
    <t>Trainer ID 26</t>
  </si>
  <si>
    <t>Cyclist Nicole</t>
  </si>
  <si>
    <t>Tackle / Growl / Quick Attack / Wing Attack</t>
  </si>
  <si>
    <t>Trainer ID 27</t>
  </si>
  <si>
    <t>Cyclist Kayla</t>
  </si>
  <si>
    <t>Pikachu</t>
  </si>
  <si>
    <t>Static</t>
  </si>
  <si>
    <t>Quick Attack / Tail Whip / Nuzzle / Electro Ball</t>
  </si>
  <si>
    <t>Trainer ID 28</t>
  </si>
  <si>
    <t>Cyclist Rachel</t>
  </si>
  <si>
    <t>Trainer ID 29</t>
  </si>
  <si>
    <t>Youngster Austin</t>
  </si>
  <si>
    <t>Defense Curl / Sandstorm / Rock Polish / Rollout</t>
  </si>
  <si>
    <t>Chimchar</t>
  </si>
  <si>
    <t>Blaze</t>
  </si>
  <si>
    <t>Leer / Taunt / Fury Swipes / Flame Wheel</t>
  </si>
  <si>
    <t>Trainer ID 30</t>
  </si>
  <si>
    <t>Camper Anthony</t>
  </si>
  <si>
    <t>Trainer ID 31</t>
  </si>
  <si>
    <t>Picnicker Lauren</t>
  </si>
  <si>
    <t>Baby-Doll Eyes / Quick Attack / Spark / Nuzzle</t>
  </si>
  <si>
    <t>Trainer ID 32</t>
  </si>
  <si>
    <t>Hiker Kevyn</t>
  </si>
  <si>
    <t>Tackle / Rock Polish / Harden / Rock Throw</t>
  </si>
  <si>
    <t>Absorb / Supersonic / Astonish / Poison Fang</t>
  </si>
  <si>
    <t>Sassy</t>
  </si>
  <si>
    <t>Trainer ID 33</t>
  </si>
  <si>
    <t>Hiker Justin</t>
  </si>
  <si>
    <t>Tackle / Sandstorm / Harden / Rock Throw</t>
  </si>
  <si>
    <t>Bronzor</t>
  </si>
  <si>
    <t>Levitate</t>
  </si>
  <si>
    <t>Confusion / Confuse Ray / Payback / Gyro Ball</t>
  </si>
  <si>
    <t>Trainer ID 34</t>
  </si>
  <si>
    <t>Battle Girl Helen</t>
  </si>
  <si>
    <t>Meditite</t>
  </si>
  <si>
    <t>Pure Power</t>
  </si>
  <si>
    <t>Pound / Low Kick / Confusion / Force Palm</t>
  </si>
  <si>
    <t>Low Kick / Leer / Low Sweep / Knock Off</t>
  </si>
  <si>
    <t>Trainer ID 35</t>
  </si>
  <si>
    <t>Hiker Robert</t>
  </si>
  <si>
    <t>Sandstorm / Rock Polish / Harden / Rock Throw</t>
  </si>
  <si>
    <t>Trainer ID 36</t>
  </si>
  <si>
    <t>Hiker Alexander</t>
  </si>
  <si>
    <t>Golbat</t>
  </si>
  <si>
    <t>Mean Look / Poison Fang / Air Cutter / Bite</t>
  </si>
  <si>
    <t>Graveler</t>
  </si>
  <si>
    <t>Sandstorm / Harden / Smack Down / Bulldoze</t>
  </si>
  <si>
    <t>Smack Down / Curse / Screech / Sand Tomb</t>
  </si>
  <si>
    <t>Trainer ID 37</t>
  </si>
  <si>
    <t>Hiker Jonathan</t>
  </si>
  <si>
    <t>Harden / Bind / Smack Down / Curse</t>
  </si>
  <si>
    <t>Trainer ID 38</t>
  </si>
  <si>
    <t>Black Belt Kyle</t>
  </si>
  <si>
    <t>Leer / Revenge / Low Sweep / Knock Off</t>
  </si>
  <si>
    <t>Trainer ID 39</t>
  </si>
  <si>
    <t>Fisher Cody</t>
  </si>
  <si>
    <t>Barboach</t>
  </si>
  <si>
    <t>Oblivious</t>
  </si>
  <si>
    <t>Mud-Slap / Water Pulse / Aqua Tail / Muddy Water</t>
  </si>
  <si>
    <t>Gyarados</t>
  </si>
  <si>
    <t>Leer / Ice Fang / Waterfall / Crunch</t>
  </si>
  <si>
    <t>Trainer ID 40</t>
  </si>
  <si>
    <t>Aroma Lady Hannah</t>
  </si>
  <si>
    <t>Combee</t>
  </si>
  <si>
    <t>Honey Gather</t>
  </si>
  <si>
    <t>Sweet Scent / Gust / Struggle Bug / Bug Bite</t>
  </si>
  <si>
    <t>Bashful</t>
  </si>
  <si>
    <t>Roselia</t>
  </si>
  <si>
    <t>Poison Sting / Mega Drain / Leech Seed / Magical Leaf</t>
  </si>
  <si>
    <t>Trainer ID 41</t>
  </si>
  <si>
    <t>Artist William</t>
  </si>
  <si>
    <t>Mime Jr.</t>
  </si>
  <si>
    <t>Filter</t>
  </si>
  <si>
    <t>Copycat / Encore / Confusion / Role Play</t>
  </si>
  <si>
    <t>Bold</t>
  </si>
  <si>
    <t>Bonsly</t>
  </si>
  <si>
    <t>Fake Tears / Copycat / Flail / Mimic</t>
  </si>
  <si>
    <t>Trainer ID 42</t>
  </si>
  <si>
    <t>Pokémon Breeder Albert</t>
  </si>
  <si>
    <t>Copycat / Flail / Rock Throw / Mimic</t>
  </si>
  <si>
    <t>Impish</t>
  </si>
  <si>
    <t>Pichu</t>
  </si>
  <si>
    <t>Thunder Shock / Tail Whip / Play Nice / Nuzzle</t>
  </si>
  <si>
    <t>Trainer ID 43</t>
  </si>
  <si>
    <t>Pokémon Breeder Jennifer</t>
  </si>
  <si>
    <t>Pound / Copycat / Encore / Confusion</t>
  </si>
  <si>
    <t>Cleffa</t>
  </si>
  <si>
    <t>Cute Charm</t>
  </si>
  <si>
    <t>Pound / Sing / Sweet Kiss / Disarming Voice</t>
  </si>
  <si>
    <t>Trainer ID 44</t>
  </si>
  <si>
    <t>Cowgirl Shelley</t>
  </si>
  <si>
    <t>Growl / Defense Curl / Rollout / Headbutt</t>
  </si>
  <si>
    <t>Trainer ID 45</t>
  </si>
  <si>
    <t>Jogger Richard</t>
  </si>
  <si>
    <t>Luxio</t>
  </si>
  <si>
    <t>Leer / Charge / Bite / Spark</t>
  </si>
  <si>
    <t>Trainer ID 46</t>
  </si>
  <si>
    <t>Poké Kid Danielle</t>
  </si>
  <si>
    <t>Sweet Kiss / Charm / Quick Attack / Electro Ball</t>
  </si>
  <si>
    <t>Trainer ID 47</t>
  </si>
  <si>
    <t>Young Couple Ty</t>
  </si>
  <si>
    <t>Leer / Focus Energy / Low Sweep / Knock Off</t>
  </si>
  <si>
    <t>Trainer ID 48</t>
  </si>
  <si>
    <t>Young Couple Sue</t>
  </si>
  <si>
    <t>Low Kick / Detect / Force Palm / Psybeam</t>
  </si>
  <si>
    <t>Trainer ID 49</t>
  </si>
  <si>
    <t>Pokémon Breeder Kahlil</t>
  </si>
  <si>
    <t>Nuzzle / Quick Attack / Double Team / Electro Ball</t>
  </si>
  <si>
    <t>Happiny</t>
  </si>
  <si>
    <t>Serene Grace</t>
  </si>
  <si>
    <t>Minimize / Sweet Kiss / Disarming Voice / Covet</t>
  </si>
  <si>
    <t>Trainer ID 50</t>
  </si>
  <si>
    <t>Pokémon Breeder Amber</t>
  </si>
  <si>
    <t>Copycat / Sing / Sweet Kiss / Disarming Voice</t>
  </si>
  <si>
    <t>Clefairy</t>
  </si>
  <si>
    <t>Sweet Kiss / Disarming Voice / Encore / Copycat</t>
  </si>
  <si>
    <t>Copycat / Sweet Kiss / Disarming Voice / Covet</t>
  </si>
  <si>
    <t>Trainer ID 51</t>
  </si>
  <si>
    <t>Twins Teri</t>
  </si>
  <si>
    <t>Nuzzle / Growl / Quick Attack / Spark</t>
  </si>
  <si>
    <t>Trainer ID 52</t>
  </si>
  <si>
    <t>Twins Tia</t>
  </si>
  <si>
    <t>Magic Guard</t>
  </si>
  <si>
    <t>Disarming Voice / Encore / Defense Curl / Life Dew</t>
  </si>
  <si>
    <t>Trainer ID 53</t>
  </si>
  <si>
    <t>Ace Trainer Ernest</t>
  </si>
  <si>
    <t>Mothim</t>
  </si>
  <si>
    <t>Swarm</t>
  </si>
  <si>
    <t>Quiver Dance / Bug Bite / String Shot / Confusion</t>
  </si>
  <si>
    <t>Harden / Smack Down / Curse / Rock Slide</t>
  </si>
  <si>
    <t>Leer / Bite / Spark / Roar</t>
  </si>
  <si>
    <t>Trainer ID 54</t>
  </si>
  <si>
    <t>Ace Trainer Alyssa</t>
  </si>
  <si>
    <t>Growl / Tail Whip / Ember / Flame Wheel</t>
  </si>
  <si>
    <t>Careful</t>
  </si>
  <si>
    <t>Grotle</t>
  </si>
  <si>
    <t>Overgrow</t>
  </si>
  <si>
    <t>Razor Leaf / Curse / Bite / Mega Drain</t>
  </si>
  <si>
    <t>Trainer ID 55</t>
  </si>
  <si>
    <t>Veteran Brian</t>
  </si>
  <si>
    <t>Buizel</t>
  </si>
  <si>
    <t>Growl / Tail Whip / Bite / Aqua Jet</t>
  </si>
  <si>
    <t>Girafarig</t>
  </si>
  <si>
    <t>Astonish / Assurance / Stomp / Psybeam</t>
  </si>
  <si>
    <t>Machoke</t>
  </si>
  <si>
    <t>Guts</t>
  </si>
  <si>
    <t>Focus Energy / Revenge / Low Sweep / Knock Off</t>
  </si>
  <si>
    <t>Trainer ID 56</t>
  </si>
  <si>
    <t>Black Belt Adam</t>
  </si>
  <si>
    <t>Trainer ID 57</t>
  </si>
  <si>
    <t>Ninja Boy Joel</t>
  </si>
  <si>
    <t>Skorupi</t>
  </si>
  <si>
    <t>Battle Armor</t>
  </si>
  <si>
    <t>Hone Claws / Poison Fang / Venoshock / Knock Off</t>
  </si>
  <si>
    <t>Screech / Absorb / Astonish / Poison Fang</t>
  </si>
  <si>
    <t>Trainer ID 58</t>
  </si>
  <si>
    <t>Ninja Boy Nathan</t>
  </si>
  <si>
    <t>Croagunk</t>
  </si>
  <si>
    <t>Anticipation</t>
  </si>
  <si>
    <t>Poison Sting / Mud-Slap / Astonish / Venoshock</t>
  </si>
  <si>
    <t>Trainer ID 59</t>
  </si>
  <si>
    <t>Ninja Boy Davey</t>
  </si>
  <si>
    <t>Dustox</t>
  </si>
  <si>
    <t>Poison Powder / Venoshock / Leech Life / Light Screen</t>
  </si>
  <si>
    <t>Trainer ID 60</t>
  </si>
  <si>
    <t>Dragon Tamer Patrick</t>
  </si>
  <si>
    <t>Gible</t>
  </si>
  <si>
    <t>Sand Veil</t>
  </si>
  <si>
    <t>Sand Tomb / Bulldoze / Bite / Dragon Claw</t>
  </si>
  <si>
    <t>Trainer ID 61</t>
  </si>
  <si>
    <t>Bird Keeper Brianna</t>
  </si>
  <si>
    <t>Hoothoot</t>
  </si>
  <si>
    <t>Growl / Reflect / Air Slash / Extrasensory</t>
  </si>
  <si>
    <t>Noctowl</t>
  </si>
  <si>
    <t>Sky Attack / Peck / Echoed Voice / Extrasensory</t>
  </si>
  <si>
    <t>Trainer ID 62</t>
  </si>
  <si>
    <t>Double Team Zac</t>
  </si>
  <si>
    <t>Leer / Twister / Waterfall / Crunch</t>
  </si>
  <si>
    <t>Trainer ID 63</t>
  </si>
  <si>
    <t>Double Team Jen</t>
  </si>
  <si>
    <t>Raichu</t>
  </si>
  <si>
    <t>Thunder Punch / Nuzzle / Thunderbolt / Light Screen</t>
  </si>
  <si>
    <t>Trainer ID 64</t>
  </si>
  <si>
    <t>Bird Keeper Alexandra</t>
  </si>
  <si>
    <t>Peck / Echoed Voice / Confusion / Air Slash</t>
  </si>
  <si>
    <t>Trainer ID 65</t>
  </si>
  <si>
    <t>Ninja Boy Zach</t>
  </si>
  <si>
    <t>Absorb / Supersonic / Astonish / Mean Look</t>
  </si>
  <si>
    <t>Absorb / Mean Look / Astonish / Poison Fang</t>
  </si>
  <si>
    <t>Trainer ID 66</t>
  </si>
  <si>
    <t>Black Belt Sean</t>
  </si>
  <si>
    <t>Poison Sting / Mud-Slap / Revenge / Sucker Punch</t>
  </si>
  <si>
    <t>Detect / Force Palm / Psybeam / Calm Mind</t>
  </si>
  <si>
    <t>Leer / Focus Energy / Revenge / Knock Off</t>
  </si>
  <si>
    <t>Trainer ID 67</t>
  </si>
  <si>
    <t>Ninja Boy Nick</t>
  </si>
  <si>
    <t>Hone Claws / Poison Fang / Bug Bite / Knock Off</t>
  </si>
  <si>
    <t>Screech / Absorb / Poison Fang / Air Cutter</t>
  </si>
  <si>
    <t>Trainer ID 68</t>
  </si>
  <si>
    <t>Bird Keeper Katherine</t>
  </si>
  <si>
    <t>Sky Attack / Reflect / Psycho Shift / Extrasensory</t>
  </si>
  <si>
    <t>Trainer ID 69</t>
  </si>
  <si>
    <t>Rich Boy Jason</t>
  </si>
  <si>
    <t>Trainer ID 70</t>
  </si>
  <si>
    <t>Lady Melissa</t>
  </si>
  <si>
    <t>Buneary</t>
  </si>
  <si>
    <t>Klutz</t>
  </si>
  <si>
    <t>Pound / Defense Curl / Baby-Doll Eyes / Quick Attack</t>
  </si>
  <si>
    <t>Trainer ID 71</t>
  </si>
  <si>
    <t>Gentleman Jeremy</t>
  </si>
  <si>
    <t>Chatot</t>
  </si>
  <si>
    <t>Tangled Feet</t>
  </si>
  <si>
    <t>Hyper Voice / Chatter / Confide / Growl</t>
  </si>
  <si>
    <t>Trainer ID 72</t>
  </si>
  <si>
    <t>Madame Reina</t>
  </si>
  <si>
    <t>Trainer ID 73</t>
  </si>
  <si>
    <t>Police Officer Bobby</t>
  </si>
  <si>
    <t>Growl / Reflect / Psycho Shift / Air Slash</t>
  </si>
  <si>
    <t>Trainer ID 74</t>
  </si>
  <si>
    <t>Police Officer Alex</t>
  </si>
  <si>
    <t>Growl / Confusion / Reflect / Psycho Shift</t>
  </si>
  <si>
    <t>Trainer ID 75</t>
  </si>
  <si>
    <t>Police Officer Dylan</t>
  </si>
  <si>
    <t>Growl / Echoed Voice / Reflect / Psycho Shift</t>
  </si>
  <si>
    <t>Confusion / Detect / Feint / Force Palm</t>
  </si>
  <si>
    <t>Trainer ID 76</t>
  </si>
  <si>
    <t>Fisher Juan</t>
  </si>
  <si>
    <t>Twister / Ice Fang / Scary Face / Waterfall</t>
  </si>
  <si>
    <t>Trainer ID 77</t>
  </si>
  <si>
    <t>Fisher Cameron</t>
  </si>
  <si>
    <t>Tail Whip / Supersonic / Water Pulse / Horn Attack</t>
  </si>
  <si>
    <t>Mud-Slap / Rest / Snore / Water Pulse</t>
  </si>
  <si>
    <t>Trainer ID 78</t>
  </si>
  <si>
    <t>Fisher Travis</t>
  </si>
  <si>
    <t>Shellos</t>
  </si>
  <si>
    <t>Storm Drain</t>
  </si>
  <si>
    <t>Mud-Slap / Harden / Recover / Water Pulse</t>
  </si>
  <si>
    <t>Trainer ID 79</t>
  </si>
  <si>
    <t>Pokémon Ranger Taylor</t>
  </si>
  <si>
    <t>Quick Attack / Water Gun / Bite / Swift</t>
  </si>
  <si>
    <t>Trainer ID 80</t>
  </si>
  <si>
    <t>Pokémon Ranger Jeffrey</t>
  </si>
  <si>
    <t>Prinplup</t>
  </si>
  <si>
    <t>Torrent</t>
  </si>
  <si>
    <t>Metal Claw / Charm / Peck / Bubble Beam</t>
  </si>
  <si>
    <t>Metal Claw / Tackle / Peck / Bubble Beam</t>
  </si>
  <si>
    <t>Trainer ID 81</t>
  </si>
  <si>
    <t>Pokémon Ranger Allison</t>
  </si>
  <si>
    <t>Aipom</t>
  </si>
  <si>
    <t>Sand Attack / Astonish / Tickle / Fury Swipes</t>
  </si>
  <si>
    <t>Marill</t>
  </si>
  <si>
    <t>Thick Fat</t>
  </si>
  <si>
    <t>Bubble Beam / Slam / Bounce / Play Rough</t>
  </si>
  <si>
    <t>Trainer ID 82</t>
  </si>
  <si>
    <t>Scientist Stefano</t>
  </si>
  <si>
    <t>Kadabra</t>
  </si>
  <si>
    <t>Synchronize</t>
  </si>
  <si>
    <t>Kinesis / Psybeam / Reflect / Psycho Cut</t>
  </si>
  <si>
    <t>Trainer ID 83</t>
  </si>
  <si>
    <t>Police Officer Caleb</t>
  </si>
  <si>
    <t>Trainer ID 84</t>
  </si>
  <si>
    <t>Swimmer Shelton</t>
  </si>
  <si>
    <t>Leer / Twister / Whirlpool / Rain Dance</t>
  </si>
  <si>
    <t>Leer / Twister / Brine / Rain Dance</t>
  </si>
  <si>
    <t>Leer / Twister / Waterfall / Rain Dance</t>
  </si>
  <si>
    <t>Trainer ID 85</t>
  </si>
  <si>
    <t>Swimmer Evan</t>
  </si>
  <si>
    <t>Golduck</t>
  </si>
  <si>
    <t>Damp</t>
  </si>
  <si>
    <t>Aqua Jet / Tail Whip / Zen Headbutt / Aqua Tail</t>
  </si>
  <si>
    <t>Fury Swipes / Water Pulse / Zen Headbutt / Aqua Tail</t>
  </si>
  <si>
    <t>Trainer ID 86</t>
  </si>
  <si>
    <t>Swimmer Haley</t>
  </si>
  <si>
    <t>Charm / Aqua Tail / Play Rough / Rain Dance</t>
  </si>
  <si>
    <t>Azumarill</t>
  </si>
  <si>
    <t>Tackle / Bubble Beam / Bounce / Play Rough</t>
  </si>
  <si>
    <t>Trainer ID 87</t>
  </si>
  <si>
    <t>Swimmer Mary</t>
  </si>
  <si>
    <t>Tail Whip / Bubble Beam / Play Rough / Rain Dance</t>
  </si>
  <si>
    <t>Pelipper</t>
  </si>
  <si>
    <t>Drizzle</t>
  </si>
  <si>
    <t>Air Slash / Growl / Wing Attack / Water Pulse</t>
  </si>
  <si>
    <t>Trainer ID 88</t>
  </si>
  <si>
    <t>Tuber Jared</t>
  </si>
  <si>
    <t>Shellos (East Sea)</t>
  </si>
  <si>
    <t>Harden / Recover / Water Pulse / Ancient Power</t>
  </si>
  <si>
    <t>Trainer ID 89</t>
  </si>
  <si>
    <t>Tuber Chelsea</t>
  </si>
  <si>
    <t>Bibarel</t>
  </si>
  <si>
    <t>Water Gun / Aqua Jet / Tackle / Headbutt</t>
  </si>
  <si>
    <t>Trainer ID 90</t>
  </si>
  <si>
    <t>Sailor Paul</t>
  </si>
  <si>
    <t>Leer / Low Sweep / Knock Off / Strength</t>
  </si>
  <si>
    <t>Trainer ID 91</t>
  </si>
  <si>
    <t>Fisher Kenneth</t>
  </si>
  <si>
    <t>Splash / Tackle</t>
  </si>
  <si>
    <t>Remoraid</t>
  </si>
  <si>
    <t>Hustle</t>
  </si>
  <si>
    <t>Water Pulse / Focus Energy / Psybeam / Aurora Beam</t>
  </si>
  <si>
    <t>Leer / Twister / Ice Fang / Waterfall</t>
  </si>
  <si>
    <t>Trainer ID 92</t>
  </si>
  <si>
    <t>Ruin Maniac Bryan</t>
  </si>
  <si>
    <t>Cranidos</t>
  </si>
  <si>
    <t>Mold Breaker</t>
  </si>
  <si>
    <t>Headbutt / Leer / Scary Face / Assurance</t>
  </si>
  <si>
    <t>Trainer ID 93</t>
  </si>
  <si>
    <t>Ruin Maniac Hunter</t>
  </si>
  <si>
    <t>Shieldon</t>
  </si>
  <si>
    <t>Tackle / Taunt / Take Down / Iron Defense</t>
  </si>
  <si>
    <t>Trainer ID 94</t>
  </si>
  <si>
    <t>Psychic Mitchell</t>
  </si>
  <si>
    <t>Haunter</t>
  </si>
  <si>
    <t>Shadow Punch / Confuse Ray / Mean Look / Curse</t>
  </si>
  <si>
    <t>Kinesis / Disable / Psybeam / Psycho Cut</t>
  </si>
  <si>
    <t>Trainer ID 95</t>
  </si>
  <si>
    <t>Psychic Abigail</t>
  </si>
  <si>
    <t>Gastly</t>
  </si>
  <si>
    <t>Lick / Confuse Ray / Payback / Curse</t>
  </si>
  <si>
    <t>Misdreavus</t>
  </si>
  <si>
    <t>Confusion / Astonish / Confuse Ray / Hex</t>
  </si>
  <si>
    <t>Trainer ID 96</t>
  </si>
  <si>
    <t>PI Carlos</t>
  </si>
  <si>
    <t>Peck / Supersonic / Water Pulse / Horn Attack</t>
  </si>
  <si>
    <t>Peck / Water Pulse / Horn Attack / Agility</t>
  </si>
  <si>
    <t>Trainer ID 97</t>
  </si>
  <si>
    <t>Black Belt Gregory</t>
  </si>
  <si>
    <t>Detect / Feint / Force Palm / Psybeam</t>
  </si>
  <si>
    <t>Leer / Low Sweep / Knock Off / Scary Face</t>
  </si>
  <si>
    <t>Trainer ID 98</t>
  </si>
  <si>
    <t>Black Belt Derek</t>
  </si>
  <si>
    <t>Mud-Slap / Taunt / Revenge / Sucker Punch</t>
  </si>
  <si>
    <t>Trainer ID 99</t>
  </si>
  <si>
    <t>Black Belt Nathaniel</t>
  </si>
  <si>
    <t>Poison Sting / Mud-Slap / Flatter / Revenge</t>
  </si>
  <si>
    <t>Feint / Force Palm / Psybeam / Calm Mind</t>
  </si>
  <si>
    <t>Trainer ID 100</t>
  </si>
  <si>
    <t>Jogger Scott</t>
  </si>
  <si>
    <t>Quick Attack / Wing Attack / Endeavor / Whirlwind</t>
  </si>
  <si>
    <t>Trainer ID 101</t>
  </si>
  <si>
    <t>Ace Trainer Blake</t>
  </si>
  <si>
    <t>Ambipom</t>
  </si>
  <si>
    <t>Dual Chop / Baton Pass / Tickle / Double Hit</t>
  </si>
  <si>
    <t>Kinesis / Recover / Psyshock / Psychic</t>
  </si>
  <si>
    <t>Trainer ID 102</t>
  </si>
  <si>
    <t>Ace Trainer Garrett</t>
  </si>
  <si>
    <t>Mr. Mime</t>
  </si>
  <si>
    <t>Copycat / Baton Pass / Encore / Psybeam</t>
  </si>
  <si>
    <t>Sneasel</t>
  </si>
  <si>
    <t>Leer / Metal Claw / Icy Wind / Fury Swipes</t>
  </si>
  <si>
    <t>Trainer ID 103</t>
  </si>
  <si>
    <t>Ace Trainer Laura</t>
  </si>
  <si>
    <t>Lopunny</t>
  </si>
  <si>
    <t>Mirror Coat / Baby-Doll Eyes / Double Kick / Headbutt</t>
  </si>
  <si>
    <t>Trainer ID 104</t>
  </si>
  <si>
    <t>Ace Trainer Maria</t>
  </si>
  <si>
    <t>Aqua Jet / Fury Swipes / Zen Headbutt / Screech</t>
  </si>
  <si>
    <t>Tail Whip / Flame Wheel / Stomp / Fire Spin</t>
  </si>
  <si>
    <t>Sudowoodo</t>
  </si>
  <si>
    <t>Hammer Arm / Wood Hammer / Rock Tomb / Sucker Punch</t>
  </si>
  <si>
    <t>Trainer ID 105</t>
  </si>
  <si>
    <t>Skier Bradley</t>
  </si>
  <si>
    <t>Harden / Stealth Rock / Rock Blast / Earthquake</t>
  </si>
  <si>
    <t>Harden / Bulldoze / Stealth Rock / Rock Blast</t>
  </si>
  <si>
    <t>Snover</t>
  </si>
  <si>
    <t>Snow Warning</t>
  </si>
  <si>
    <t>Ice Shard / Razor Leaf / Icy Wind / Ingrain</t>
  </si>
  <si>
    <t>Trainer ID 106</t>
  </si>
  <si>
    <t>Skier Edward</t>
  </si>
  <si>
    <t>Leer / Taunt / Icy Wind / Fury Swipes</t>
  </si>
  <si>
    <t>Trainer ID 107</t>
  </si>
  <si>
    <t>Skier Kaitlyn</t>
  </si>
  <si>
    <t>Poison Sting / Leech Seed / Giga Drain / Synthesis</t>
  </si>
  <si>
    <t>Trainer ID 108</t>
  </si>
  <si>
    <t>Skier Andrea</t>
  </si>
  <si>
    <t>Quick Attack / Double Team / Endeavor / Aerial Ace</t>
  </si>
  <si>
    <t>Trainer ID 109</t>
  </si>
  <si>
    <t>Ace Trainer Dalton</t>
  </si>
  <si>
    <t>Nuzzle / Electro Ball / Agility / Light Screen</t>
  </si>
  <si>
    <t>Air Slash / Tailwind / Water Pulse / Stockpile</t>
  </si>
  <si>
    <t>Hippopotas</t>
  </si>
  <si>
    <t>Sand Stream</t>
  </si>
  <si>
    <t>Yawn / Sand Tomb / Crunch / Rest</t>
  </si>
  <si>
    <t>Trainer ID 110</t>
  </si>
  <si>
    <t>Ace Trainer Olivia</t>
  </si>
  <si>
    <t>Seaking</t>
  </si>
  <si>
    <t>Peck / Supersonic / Flail / Waterfall</t>
  </si>
  <si>
    <t>Trainer ID 111</t>
  </si>
  <si>
    <t>Skier Shawn</t>
  </si>
  <si>
    <t>Leer / Ice Shard / Razor Leaf / Icy Wind</t>
  </si>
  <si>
    <t>Mist / Ice Shard / Razor Leaf / Icy Wind</t>
  </si>
  <si>
    <t>Aqua Jet / Water Pulse / Zen Headbutt / Soak</t>
  </si>
  <si>
    <t>Trainer ID 112</t>
  </si>
  <si>
    <t>Skier Bjorn</t>
  </si>
  <si>
    <t>Mantyke</t>
  </si>
  <si>
    <t>Water Absorb</t>
  </si>
  <si>
    <t>Supersonic / Bubble Beam / Headbutt / Air Slash</t>
  </si>
  <si>
    <t>Quick Attack / Metal Claw / Icy Wind / Hone Claws</t>
  </si>
  <si>
    <t>Trainer ID 113</t>
  </si>
  <si>
    <t>Skier Lexie</t>
  </si>
  <si>
    <t>Bubble Beam / Charm / Bounce / Play Rough</t>
  </si>
  <si>
    <t>Charm / Moonlight / Gravity / Meteor Mash</t>
  </si>
  <si>
    <t>Trainer ID 114</t>
  </si>
  <si>
    <t>Skier Madison</t>
  </si>
  <si>
    <t>Trainer ID 115</t>
  </si>
  <si>
    <t>Ninja Boy Antonio</t>
  </si>
  <si>
    <t>Supersonic / Poison Fang / Air Cutter / Bite</t>
  </si>
  <si>
    <t>Supersonic / Astonish / Poison Fang / Air Cutter</t>
  </si>
  <si>
    <t>Revenge / Venoshock / Sucker Punch / Toxic</t>
  </si>
  <si>
    <t>Trainer ID 116</t>
  </si>
  <si>
    <t>Ninja Boy Ethan</t>
  </si>
  <si>
    <t>Hone Claws / Knock Off / Pin Missile / Toxic</t>
  </si>
  <si>
    <t>Screech / Poison Fang / Air Cutter / Bite</t>
  </si>
  <si>
    <t>Trainer ID 117</t>
  </si>
  <si>
    <t>Black Belt Luke</t>
  </si>
  <si>
    <t>Smack Down / Curse / Sand Tomb / Stealth Rock</t>
  </si>
  <si>
    <t>Low Sweep / Knock Off / Strength / Dual Chop</t>
  </si>
  <si>
    <t>Trainer ID 118</t>
  </si>
  <si>
    <t>Fisher Miguel</t>
  </si>
  <si>
    <t>Flail / Ice Fang / Waterfall / Crunch</t>
  </si>
  <si>
    <t>Adamant</t>
  </si>
  <si>
    <t>Trainer ID 119</t>
  </si>
  <si>
    <t>Fisher Luc</t>
  </si>
  <si>
    <t>Splash / Tackle / Flail</t>
  </si>
  <si>
    <t>Trainer ID 120</t>
  </si>
  <si>
    <t>Swimmer Adrian</t>
  </si>
  <si>
    <t>Tackle / Supersonic / Wing Attack / Bubble Beam</t>
  </si>
  <si>
    <t>Sniper</t>
  </si>
  <si>
    <t>Focus Energy / Aurora Beam / Bubble Beam / Bullet Seed</t>
  </si>
  <si>
    <t>Tentacool</t>
  </si>
  <si>
    <t>Clear Body</t>
  </si>
  <si>
    <t>Poison Sting / Acid / Water Pulse / Hex</t>
  </si>
  <si>
    <t>Trainer ID 121</t>
  </si>
  <si>
    <t>Swimmer Erik</t>
  </si>
  <si>
    <t>Whirlpool / Brine / Waterfall / Rain Dance</t>
  </si>
  <si>
    <t>Trainer ID 122</t>
  </si>
  <si>
    <t>Swimmer Vincent</t>
  </si>
  <si>
    <t>Air Slash / Water Pulse / Stockpile / Swallow</t>
  </si>
  <si>
    <t>Whiscash</t>
  </si>
  <si>
    <t>Tickle / Rest / Snore / Water Pulse</t>
  </si>
  <si>
    <t>Trainer ID 123</t>
  </si>
  <si>
    <t>Swimmer Jessica</t>
  </si>
  <si>
    <t>Peck / Tail Whip / Water Pulse / Horn Attack</t>
  </si>
  <si>
    <t>Peck / Water Pulse / Horn Attack / Aqua Ring</t>
  </si>
  <si>
    <t>Trainer ID 124</t>
  </si>
  <si>
    <t>Swimmer Erica</t>
  </si>
  <si>
    <t>Psybeam / Aurora Beam / Bubble Beam / Lock-On</t>
  </si>
  <si>
    <t>Psyduck</t>
  </si>
  <si>
    <t>Tail Whip / Fury Swipes / Zen Headbutt / Aqua Tail</t>
  </si>
  <si>
    <t>Trainer ID 125</t>
  </si>
  <si>
    <t>Swimmer Katelyn</t>
  </si>
  <si>
    <t>Tail Whip / Bite / Swift / Aqua Jet</t>
  </si>
  <si>
    <t>Medicham</t>
  </si>
  <si>
    <t>Zen Headbutt / Thunder Punch / Ice Punch / Force Palm</t>
  </si>
  <si>
    <t>Trainer ID 126</t>
  </si>
  <si>
    <t>Swimmer Dillon</t>
  </si>
  <si>
    <t>Gastrodon</t>
  </si>
  <si>
    <t>Recover / Water Pulse / Ancient Power / Body Slam</t>
  </si>
  <si>
    <t>Trainer ID 127</t>
  </si>
  <si>
    <t>Swimmer Vanessa</t>
  </si>
  <si>
    <t>Trainer ID 128</t>
  </si>
  <si>
    <t>Fisher Cory</t>
  </si>
  <si>
    <t>Finneon</t>
  </si>
  <si>
    <t>Attract / Rain Dance / Gust / Water Pulse</t>
  </si>
  <si>
    <t>Trainer ID 129</t>
  </si>
  <si>
    <t>Ace Trainer Jake</t>
  </si>
  <si>
    <t>Double Team / Endeavor / Whirlwind / Aerial Ace</t>
  </si>
  <si>
    <t>Assurance / Stomp / Psybeam / Agility</t>
  </si>
  <si>
    <t>Trainer ID 130</t>
  </si>
  <si>
    <t>Ace Trainer Shannon</t>
  </si>
  <si>
    <t>Cherrim</t>
  </si>
  <si>
    <t>Flower Gift</t>
  </si>
  <si>
    <t>Morning Sun / Growth / Magical Leaf / Leech Seed</t>
  </si>
  <si>
    <t>Huge Power</t>
  </si>
  <si>
    <t>Slam / Bounce / Aqua Tail / Play Rough</t>
  </si>
  <si>
    <t>Mirror Coat / Double Kick / Charm / Headbutt</t>
  </si>
  <si>
    <t>Trainer ID 131</t>
  </si>
  <si>
    <t>Fisher Brett</t>
  </si>
  <si>
    <t>Rain Dance / Aqua Ring / Whirlpool / U-turn</t>
  </si>
  <si>
    <t>Feebas</t>
  </si>
  <si>
    <t>Trainer ID 132</t>
  </si>
  <si>
    <t>Fisher Alec</t>
  </si>
  <si>
    <t>Modest</t>
  </si>
  <si>
    <t>Ice Fang / Waterfall / Crunch / Dragon Dance</t>
  </si>
  <si>
    <t>Trainer ID 133</t>
  </si>
  <si>
    <t>Fisher George</t>
  </si>
  <si>
    <t>Rain Dance / Water Pulse / Aqua Ring / Whirlpool</t>
  </si>
  <si>
    <t>Water Pulse / Focus Energy / Psybeam / Ice Beam</t>
  </si>
  <si>
    <t>Trainer ID 134</t>
  </si>
  <si>
    <t>Fisher Cole</t>
  </si>
  <si>
    <t>Focus Energy / Psybeam / Aurora Beam / Bubble Beam</t>
  </si>
  <si>
    <t>Trainer ID 135</t>
  </si>
  <si>
    <t>Sailor Luther</t>
  </si>
  <si>
    <t>Leer / Low Sweep / Knock Off / Dual Chop</t>
  </si>
  <si>
    <t>Recover / Water Pulse / Ancient Power / Earth Power</t>
  </si>
  <si>
    <t>Trainer ID 136</t>
  </si>
  <si>
    <t>Swimmer Wesley</t>
  </si>
  <si>
    <t>Bite / Swift / Aqua Jet / Waterfall</t>
  </si>
  <si>
    <t>Tentacruel</t>
  </si>
  <si>
    <t>Liquid Ooze</t>
  </si>
  <si>
    <t>Supersonic / Bubble Beam / Acid Armor / Poison Jab</t>
  </si>
  <si>
    <t>Trainer ID 137</t>
  </si>
  <si>
    <t>Swimmer Ricardo</t>
  </si>
  <si>
    <t>Acid / Water Pulse / Acid Armor / Poison Jab</t>
  </si>
  <si>
    <t>Trainer ID 138</t>
  </si>
  <si>
    <t>Swimmer Francisco</t>
  </si>
  <si>
    <t>Water Pulse / Hex / Acid Armor / Poison Jab</t>
  </si>
  <si>
    <t>Fury Swipes / Zen Headbutt / Aqua Tail / Psych Up</t>
  </si>
  <si>
    <t>Trainer ID 139</t>
  </si>
  <si>
    <t>Swimmer Colton</t>
  </si>
  <si>
    <t>Wingull</t>
  </si>
  <si>
    <t>Hydration</t>
  </si>
  <si>
    <t>Quick Attack / Water Pulse / Air Slash / Mist</t>
  </si>
  <si>
    <t>Quagsire</t>
  </si>
  <si>
    <t>Rain Dance / Mud Shot / Yawn / Muddy Water</t>
  </si>
  <si>
    <t>Tailwind / Wing Attack / Water Pulse / Stockpile</t>
  </si>
  <si>
    <t>Trainer ID 140</t>
  </si>
  <si>
    <t>Swimmer Troy</t>
  </si>
  <si>
    <t>Scary Face / Rain Dance / Aqua Tail / Hydro Pump</t>
  </si>
  <si>
    <t>Trainer ID 141</t>
  </si>
  <si>
    <t>Swimmer Oscar</t>
  </si>
  <si>
    <t>Supersonic / Bubble Beam / Air Slash / Aqua Ring</t>
  </si>
  <si>
    <t>Lock-On / Bullet Seed / Ice Beam / Hydro Pump</t>
  </si>
  <si>
    <t>Mantine</t>
  </si>
  <si>
    <t>Bullet Seed / Bubble Beam / Aqua Ring / Bounce</t>
  </si>
  <si>
    <t>Trainer ID 142</t>
  </si>
  <si>
    <t>Swimmer Miranda</t>
  </si>
  <si>
    <t>Lumineon</t>
  </si>
  <si>
    <t>Attract / Rain Dance / Aqua Ring / Whirlpool</t>
  </si>
  <si>
    <t>Trainer ID 143</t>
  </si>
  <si>
    <t>Swimmer Aubree</t>
  </si>
  <si>
    <t>Azurill</t>
  </si>
  <si>
    <t>Bubble Beam / Charm / Slam / Bounce</t>
  </si>
  <si>
    <t>Bounce / Aqua Tail / Play Rough / Aqua Ring</t>
  </si>
  <si>
    <t>Trainer ID 144</t>
  </si>
  <si>
    <t>Swimmer Paige</t>
  </si>
  <si>
    <t>Bubble Beam / Charm / Play Rough / Rain Dance</t>
  </si>
  <si>
    <t>Aqua Jet / Zen Headbutt / Screech / Aqua Tail</t>
  </si>
  <si>
    <t>Trainer ID 145</t>
  </si>
  <si>
    <t>Swimmer Crystal</t>
  </si>
  <si>
    <t>Growl / Water Pulse / Agility / Air Slash</t>
  </si>
  <si>
    <t>Peck / Horn Attack / Flail / Waterfall</t>
  </si>
  <si>
    <t>Trainer ID 146</t>
  </si>
  <si>
    <t>Swimmer Cassandra</t>
  </si>
  <si>
    <t>Wing Attack / Water Pulse / Stockpile / Swallow</t>
  </si>
  <si>
    <t>Trainer ID 147</t>
  </si>
  <si>
    <t>Swimmer Gabrielle</t>
  </si>
  <si>
    <t>Cloud Nine</t>
  </si>
  <si>
    <t>Trainer ID 148</t>
  </si>
  <si>
    <t>Worker Colin</t>
  </si>
  <si>
    <t>Tackle / Defense Curl / Sandstorm / Rock Polish</t>
  </si>
  <si>
    <t>Trainer ID 149</t>
  </si>
  <si>
    <t>Worker Mason</t>
  </si>
  <si>
    <t>Trainer ID 150</t>
  </si>
  <si>
    <t>Bug Catcher Jack</t>
  </si>
  <si>
    <t>Silcoon</t>
  </si>
  <si>
    <t>Harden</t>
  </si>
  <si>
    <t>Beautifly</t>
  </si>
  <si>
    <t>Gust / Absorb</t>
  </si>
  <si>
    <t>Trainer ID 151</t>
  </si>
  <si>
    <t>Bug Catcher Phillip</t>
  </si>
  <si>
    <t>Cascoon</t>
  </si>
  <si>
    <t>Gust / Confusion</t>
  </si>
  <si>
    <t>Trainer ID 152</t>
  </si>
  <si>
    <t>Bug Catcher Donald</t>
  </si>
  <si>
    <t>Burmy</t>
  </si>
  <si>
    <t>Protect / Tackle</t>
  </si>
  <si>
    <t>Kricketune</t>
  </si>
  <si>
    <t>Fury Cutter / Growl / Pound</t>
  </si>
  <si>
    <t>Trainer ID 153</t>
  </si>
  <si>
    <t>Lass Briana</t>
  </si>
  <si>
    <t>Baby-Doll Eyes / Quick Attack / Charm / Spark</t>
  </si>
  <si>
    <t>Trainer ID 154</t>
  </si>
  <si>
    <t>Psychic Elijah</t>
  </si>
  <si>
    <t>Abra</t>
  </si>
  <si>
    <t>Energy Ball</t>
  </si>
  <si>
    <t>Trainer ID 155</t>
  </si>
  <si>
    <t>Psychic Lindsey</t>
  </si>
  <si>
    <t>Trainer ID 156</t>
  </si>
  <si>
    <t>Ace Trainer Omar</t>
  </si>
  <si>
    <t>Rapidash</t>
  </si>
  <si>
    <t>Smart Strike / Poison Jab / Tail Whip / Flame Wheel</t>
  </si>
  <si>
    <t>Carnivine</t>
  </si>
  <si>
    <t>Bind / Growth / Leaf Tornado / Crunch</t>
  </si>
  <si>
    <t>Rampardos</t>
  </si>
  <si>
    <t>Headbutt / Zen Headbutt / Assurance / Swords Dance</t>
  </si>
  <si>
    <t>Trainer ID 157</t>
  </si>
  <si>
    <t>Ace Trainer Henry</t>
  </si>
  <si>
    <t>Honchkrow</t>
  </si>
  <si>
    <t>Insomnia</t>
  </si>
  <si>
    <t>Astonish / Wing Attack / Swagger / Foul Play</t>
  </si>
  <si>
    <t>Trainer ID 158</t>
  </si>
  <si>
    <t>Ace Trainer Mariah</t>
  </si>
  <si>
    <t>Zen Headbutt / Aqua Jet / Tail Whip / Aqua Tail</t>
  </si>
  <si>
    <t>Blissey</t>
  </si>
  <si>
    <t>Disarming Voice / Double-Edge / Soft-Boiled / Last Resort</t>
  </si>
  <si>
    <t>Trainer ID 159</t>
  </si>
  <si>
    <t>Ace Trainer Sydney</t>
  </si>
  <si>
    <t>Clefable</t>
  </si>
  <si>
    <t>Moonlight / Meteor Mash / Cosmic Power / Moonblast</t>
  </si>
  <si>
    <t>Torterra</t>
  </si>
  <si>
    <t>Earthquake / Wood Hammer / Crunch / Synthesis</t>
  </si>
  <si>
    <t>Trainer ID 160</t>
  </si>
  <si>
    <t>Veteran Edgar</t>
  </si>
  <si>
    <t>Reflect Type / Bubble Beam / Acid Armor / Poison Jab</t>
  </si>
  <si>
    <t>Golem</t>
  </si>
  <si>
    <t>Earthquake / Sandstorm / Smack Down / Heavy Slam</t>
  </si>
  <si>
    <t>Empoleon</t>
  </si>
  <si>
    <t>Brine / Aqua Jet / Metal Claw / Swords Dance</t>
  </si>
  <si>
    <t>Trainer ID 161</t>
  </si>
  <si>
    <t>Veteran Clayton</t>
  </si>
  <si>
    <t>Staraptor</t>
  </si>
  <si>
    <t>Quick Attack / Endeavor / Aerial Ace / Take Down</t>
  </si>
  <si>
    <t>Hippowdon</t>
  </si>
  <si>
    <t>Earthquake / Crunch / Ice Fang / Yawn</t>
  </si>
  <si>
    <t>Trainer ID 162</t>
  </si>
  <si>
    <t>Dragon Tamer Andre</t>
  </si>
  <si>
    <t>Gabite</t>
  </si>
  <si>
    <t>Sand Tomb / Sand Attack / Bite / Dragon Claw</t>
  </si>
  <si>
    <t>Trainer ID 163</t>
  </si>
  <si>
    <t>Dragon Tamer Clinton</t>
  </si>
  <si>
    <t>Sand Tomb / Sand Attack / Bulldoze / Dragon Claw</t>
  </si>
  <si>
    <t>Bite / Slash / Dragon Claw / Dig</t>
  </si>
  <si>
    <t>Trainer ID 164</t>
  </si>
  <si>
    <t>Black Belt David</t>
  </si>
  <si>
    <t>Screech / Sandstorm / Rock Tomb / Bulldoze</t>
  </si>
  <si>
    <t>Steelix</t>
  </si>
  <si>
    <t>Thunder Fang / Ice Fang / Autotomize / Dig</t>
  </si>
  <si>
    <t>Trainer ID 165</t>
  </si>
  <si>
    <t>Bird Keeper Hana</t>
  </si>
  <si>
    <t>Sky Attack / Take Down / Roost / Moonblast</t>
  </si>
  <si>
    <t>Close Combat / Quick Attack / Endeavor / Aerial Ace</t>
  </si>
  <si>
    <t>Trainer ID 166</t>
  </si>
  <si>
    <t>Psychic Bryce</t>
  </si>
  <si>
    <t>Confuse Ray / Curse / Hex / Dark Pulse</t>
  </si>
  <si>
    <t>Alakazam</t>
  </si>
  <si>
    <t>Recover / Psyshock / Role Play / Future Sight</t>
  </si>
  <si>
    <t>Gengar</t>
  </si>
  <si>
    <t>Cursed Body</t>
  </si>
  <si>
    <t>Shadow Punch / Confuse Ray / Hex / Dark Pulse</t>
  </si>
  <si>
    <t>Trainer ID 167</t>
  </si>
  <si>
    <t>Psychic Valencia</t>
  </si>
  <si>
    <t>Chingling</t>
  </si>
  <si>
    <t>Wrap / Astonish / Confusion / Yawn</t>
  </si>
  <si>
    <t>Chimecho</t>
  </si>
  <si>
    <t>Wrap / Yawn / Extrasensory / Heal Pulse</t>
  </si>
  <si>
    <t>Trainer ID 168</t>
  </si>
  <si>
    <t>Double Team Jo</t>
  </si>
  <si>
    <t>Trainer ID 169</t>
  </si>
  <si>
    <t>Double Team Pat</t>
  </si>
  <si>
    <t>Zen Headbutt / Fire Punch / Force Palm / Recover</t>
  </si>
  <si>
    <t>Trainer ID 170</t>
  </si>
  <si>
    <t>Double Team Al</t>
  </si>
  <si>
    <t>Close Combat / Quick Attack / Double Team / Aerial Ace</t>
  </si>
  <si>
    <t>Trainer ID 171</t>
  </si>
  <si>
    <t>Double Team Kay</t>
  </si>
  <si>
    <t>Zen Headbutt / Tickle / Muddy Water / Earthquake</t>
  </si>
  <si>
    <t>Trainer ID 172</t>
  </si>
  <si>
    <t>Veteran Grant</t>
  </si>
  <si>
    <t>Riolu</t>
  </si>
  <si>
    <t>Feint / Metal Claw / Work Up / Rock Smash</t>
  </si>
  <si>
    <t>Growl / Quick Attack / Whirlwind / Aerial Ace</t>
  </si>
  <si>
    <t>Sandstorm / Smack Down / Bulldoze / Stealth Rock</t>
  </si>
  <si>
    <t>Trainer ID 173</t>
  </si>
  <si>
    <t>Youngster Jonathon</t>
  </si>
  <si>
    <t>Tackle / Defense Curl / Rollout</t>
  </si>
  <si>
    <t>Trainer ID 174</t>
  </si>
  <si>
    <t>Youngster Darius</t>
  </si>
  <si>
    <t>Tackle / Defense Curl</t>
  </si>
  <si>
    <t>Tackle / Harden / Bind / Smack Down</t>
  </si>
  <si>
    <t>Trainer ID 175</t>
  </si>
  <si>
    <t>Gym Leader Roark</t>
  </si>
  <si>
    <t>Stealth Rock / Defense Curl / Rollout</t>
  </si>
  <si>
    <t>Stealth Rock / Rock Throw / Bind</t>
  </si>
  <si>
    <t>!</t>
  </si>
  <si>
    <t>Headbutt / Bulldoze / Leer</t>
  </si>
  <si>
    <t>Trainer ID 176</t>
  </si>
  <si>
    <t>Pokémon Trainer Cedric</t>
  </si>
  <si>
    <t>(note: Cedric is the name used for Barry internally)</t>
  </si>
  <si>
    <t>Tackle / Quick Attack / Growl</t>
  </si>
  <si>
    <t>Turtwig</t>
  </si>
  <si>
    <t>Tackle / Withdraw</t>
  </si>
  <si>
    <t>Trainer ID 177</t>
  </si>
  <si>
    <t>Scratch / Leer</t>
  </si>
  <si>
    <t>Trainer ID 178</t>
  </si>
  <si>
    <t>Piplup</t>
  </si>
  <si>
    <t>Pound / Growl</t>
  </si>
  <si>
    <t>Trainer ID 179</t>
  </si>
  <si>
    <t>Gym Leader Byron</t>
  </si>
  <si>
    <t>Confuse Ray / Sandstorm / Trick Room / Flash Cannon</t>
  </si>
  <si>
    <t>Soft Sand</t>
  </si>
  <si>
    <t>Thunder Fang / Earthquake / Sandstorm / Gyro Ball</t>
  </si>
  <si>
    <t>Brave</t>
  </si>
  <si>
    <t>Bastiodon</t>
  </si>
  <si>
    <t>Sitrus Berry</t>
  </si>
  <si>
    <t>Iron Defense / Thunderbolt / Stone Edge / Flash Cannon</t>
  </si>
  <si>
    <t>Trainer ID 180</t>
  </si>
  <si>
    <t>Worker Jackson</t>
  </si>
  <si>
    <t>Smack Down / Sand Tomb / Iron Tail / Sandstorm</t>
  </si>
  <si>
    <t>Screech / Iron Tail / Rock Tomb / Bulldoze</t>
  </si>
  <si>
    <t>Trainer ID 181</t>
  </si>
  <si>
    <t>Worker Gary</t>
  </si>
  <si>
    <t>Smack Down / Iron Tail / Payback / Bulldoze</t>
  </si>
  <si>
    <t>Trainer ID 182</t>
  </si>
  <si>
    <t>Black Belt Philip</t>
  </si>
  <si>
    <t>Focus Energy / Low Sweep / Knock Off / Dual Chop</t>
  </si>
  <si>
    <t>Trainer ID 183</t>
  </si>
  <si>
    <t>Aroma Lady Jenna</t>
  </si>
  <si>
    <t>Absorb / Stun Spore / Rest / Sleep Talk</t>
  </si>
  <si>
    <t>Trainer ID 184</t>
  </si>
  <si>
    <t>Aroma Lady Angela</t>
  </si>
  <si>
    <t>Tackle / Iron Tail / Bullet Seed</t>
  </si>
  <si>
    <t>Trainer ID 185</t>
  </si>
  <si>
    <t>Elite Four Aaron</t>
  </si>
  <si>
    <t>Black Sludge</t>
  </si>
  <si>
    <t>Toxic / Bug Buzz / Moonlight / Light Screen</t>
  </si>
  <si>
    <t>Wise Glasses</t>
  </si>
  <si>
    <t>Bug Buzz / Shadow Ball / Psychic / Quiver Dance</t>
  </si>
  <si>
    <t>Vespiquen</t>
  </si>
  <si>
    <t>Unnerve</t>
  </si>
  <si>
    <t>Acrobatics / Attack Order / Aerial Ace / Defend Order</t>
  </si>
  <si>
    <t>Heracross</t>
  </si>
  <si>
    <t>Flame Orb</t>
  </si>
  <si>
    <t>Earthquake / Rock Slide / Facade / Brick Break</t>
  </si>
  <si>
    <t>Drapion</t>
  </si>
  <si>
    <t>Scope Lens</t>
  </si>
  <si>
    <t>Cross Poison / Night Slash / Earthquake / X-Scissor</t>
  </si>
  <si>
    <t>Trainer ID 186</t>
  </si>
  <si>
    <t>Elite Four Bertha</t>
  </si>
  <si>
    <t>Leftovers</t>
  </si>
  <si>
    <t>Recover / Toxic / Earthquake / Surf</t>
  </si>
  <si>
    <t>Double-Edge / Head Smash / Sucker Punch / Low Kick</t>
  </si>
  <si>
    <t>Rock Polish / Heavy Slam / Earthquake / Stone Edge</t>
  </si>
  <si>
    <t>Rindo Berry</t>
  </si>
  <si>
    <t>Bulldoze / Ice Beam / Belch / Hydro Pump</t>
  </si>
  <si>
    <t>Chesto Berry</t>
  </si>
  <si>
    <t>Ice Fang / Earthquake / Crunch / Rest</t>
  </si>
  <si>
    <t>Trainer ID 187</t>
  </si>
  <si>
    <t>Elite Four Flint</t>
  </si>
  <si>
    <t>Flame Body</t>
  </si>
  <si>
    <t>Wide Lens</t>
  </si>
  <si>
    <t>Flame Charge / Iron Tail / Poison Jab / Hypnosis</t>
  </si>
  <si>
    <t>Sheer Force</t>
  </si>
  <si>
    <t>Life Orb</t>
  </si>
  <si>
    <t>Thunder Fang / Fire Fang / Iron Tail / Crunch</t>
  </si>
  <si>
    <t>Drifblim</t>
  </si>
  <si>
    <t>Unburden</t>
  </si>
  <si>
    <t>Strength Sap / Minimize / Baton Pass / Will-O-Wisp</t>
  </si>
  <si>
    <t>Mirror Coat / High Jump Kick / Quick Attack / Fire Punch</t>
  </si>
  <si>
    <t>Infernape</t>
  </si>
  <si>
    <t>Iron Fist</t>
  </si>
  <si>
    <t>Focus Sash</t>
  </si>
  <si>
    <t>Fire Punch / Thunder Punch / Close Combat / Mach Punch</t>
  </si>
  <si>
    <t>Trainer ID 188</t>
  </si>
  <si>
    <t>Elite Four Lucian</t>
  </si>
  <si>
    <t>Light Clay</t>
  </si>
  <si>
    <t>Light Screen / Reflect / Psychic / Dazzling Gleam</t>
  </si>
  <si>
    <t>Sap Sipper</t>
  </si>
  <si>
    <t>Mental Herb</t>
  </si>
  <si>
    <t>Light Screen / Psychic / Thunderbolt / Trick Room</t>
  </si>
  <si>
    <t>Muscle Band</t>
  </si>
  <si>
    <t>Zen Headbutt / High Jump Kick / Thunder Punch / Ice Punch</t>
  </si>
  <si>
    <t>Nasty Plot / Psychic / Future Sight / Shock Wave</t>
  </si>
  <si>
    <t>Bronzong</t>
  </si>
  <si>
    <t>Gyro Ball / Earthquake / Payback / Trick Room</t>
  </si>
  <si>
    <t>Trainer ID 189</t>
  </si>
  <si>
    <t>Camper Curtis</t>
  </si>
  <si>
    <t>Trainer ID 190</t>
  </si>
  <si>
    <t>Camper Drew</t>
  </si>
  <si>
    <t>Hypnosis / Mean Look / Curse / Dream Eater</t>
  </si>
  <si>
    <t>Trainer ID 191</t>
  </si>
  <si>
    <t>Champion Cynthia</t>
  </si>
  <si>
    <t>Spiritomb</t>
  </si>
  <si>
    <t>Pressure</t>
  </si>
  <si>
    <t>Shadow Ball / Dark Pulse / Psychic / Sucker Punch</t>
  </si>
  <si>
    <t>Quiet</t>
  </si>
  <si>
    <t>Roserade</t>
  </si>
  <si>
    <t>Expert Belt</t>
  </si>
  <si>
    <t>Dazzling Gleam / Shadow Ball / Sludge Bomb / Energy Ball</t>
  </si>
  <si>
    <t>Scald / Earthquake / Sludge Bomb / Rock Tomb</t>
  </si>
  <si>
    <t>Lucario</t>
  </si>
  <si>
    <t>Aura Sphere / Dragon Pulse / Flash Cannon / Nasty Plot</t>
  </si>
  <si>
    <t>Milotic</t>
  </si>
  <si>
    <t>Marvel Scale</t>
  </si>
  <si>
    <t>Recover / Mirror Coat / Ice Beam / Scald</t>
  </si>
  <si>
    <t>Garchomp</t>
  </si>
  <si>
    <t>Rough Skin</t>
  </si>
  <si>
    <t>Yache Berry</t>
  </si>
  <si>
    <t>Dragon Claw / Earthquake / Swords Dance / Poison Jab</t>
  </si>
  <si>
    <t>Trainer ID 192</t>
  </si>
  <si>
    <t>Ace Trainer Sergio</t>
  </si>
  <si>
    <t>Floatzel</t>
  </si>
  <si>
    <t>Ice Fang / Crunch / Tail Whip / Aqua Jet</t>
  </si>
  <si>
    <t>Metal Claw / Icy Wind / Hone Claws / Aerial Ace</t>
  </si>
  <si>
    <t>Trainer ID 193</t>
  </si>
  <si>
    <t>Ace Trainer Isaiah</t>
  </si>
  <si>
    <t>Yawn / Muddy Water / Ice Beam / Bulldoze</t>
  </si>
  <si>
    <t>Trainer ID 194</t>
  </si>
  <si>
    <t>Ace Trainer Savannah</t>
  </si>
  <si>
    <t>Tailwind / Wing Attack / Water Pulse / Ice Beam</t>
  </si>
  <si>
    <t>Aqua Jet / Zen Headbutt / Ice Beam / Dig</t>
  </si>
  <si>
    <t>Ice Fang / Screech / Iron Tail / Bulldoze</t>
  </si>
  <si>
    <t>Trainer ID 195</t>
  </si>
  <si>
    <t>Ace Trainer Alicia</t>
  </si>
  <si>
    <t>Metal Claw / Icy Wind / Hone Claws / Attract</t>
  </si>
  <si>
    <t>Bubble Beam / Acid Armor / Ice Beam / Sludge Bomb</t>
  </si>
  <si>
    <t>Trainer ID 196</t>
  </si>
  <si>
    <t>Collector Douglas</t>
  </si>
  <si>
    <t>Mega Drain / Leech Seed / Magical Leaf / Toxic Spikes</t>
  </si>
  <si>
    <t>Trainer ID 197</t>
  </si>
  <si>
    <t>Collector Brady</t>
  </si>
  <si>
    <t>Growl / Tail Whip / Flame Charge / Agility</t>
  </si>
  <si>
    <t>Tackle / Growl / Flame Charge / Agility</t>
  </si>
  <si>
    <t>Tackle / Growl / Ember / Flame Charge</t>
  </si>
  <si>
    <t>Trainer ID 198</t>
  </si>
  <si>
    <t>Collector Ivan</t>
  </si>
  <si>
    <t>Yawn / Sand Tomb / Crunch / Take Down</t>
  </si>
  <si>
    <t>Trainer ID 199</t>
  </si>
  <si>
    <t>Collector Fernando</t>
  </si>
  <si>
    <t>Power Swap / Copycat / Baton Pass / Encore</t>
  </si>
  <si>
    <t>Soundproof</t>
  </si>
  <si>
    <t>Trainer ID 200</t>
  </si>
  <si>
    <t>Collector Edwin</t>
  </si>
  <si>
    <t>Block / Stone Edge / Hammer Arm / Wood Hammer</t>
  </si>
  <si>
    <t>Stone Edge / Hammer Arm / Wood Hammer / Flail</t>
  </si>
  <si>
    <t>Slam / Stone Edge / Hammer Arm / Wood Hammer</t>
  </si>
  <si>
    <t>Trainer ID 201</t>
  </si>
  <si>
    <t>Dragon Tamer Hayden</t>
  </si>
  <si>
    <t>Swablu</t>
  </si>
  <si>
    <t>Natural Cure</t>
  </si>
  <si>
    <t>Dragon Breath / Moonblast / Round / Perish Song</t>
  </si>
  <si>
    <t>Altaria</t>
  </si>
  <si>
    <t>Dragon Dance / Sky Attack / Take Down / Pluck</t>
  </si>
  <si>
    <t>Trainer ID 202</t>
  </si>
  <si>
    <t>Ace Trainer Dennis</t>
  </si>
  <si>
    <t>Monferno</t>
  </si>
  <si>
    <t>Bite / Leer / Ice Fang / Waterfall</t>
  </si>
  <si>
    <t>Trainer ID 203</t>
  </si>
  <si>
    <t>Ace Trainer Cesar</t>
  </si>
  <si>
    <t>Bite / Pin Missile / Toxic / Iron Tail</t>
  </si>
  <si>
    <t>Thunder Fang / Ice Fang / Curse / Iron Tail</t>
  </si>
  <si>
    <t>Trainer ID 204</t>
  </si>
  <si>
    <t>Ace Trainer Allen</t>
  </si>
  <si>
    <t>Mean Look / Payback / Hex / Toxic</t>
  </si>
  <si>
    <t>Mean Look / Shadow Punch / Hex / Toxic</t>
  </si>
  <si>
    <t>Mean Look / Night Shade / Hex / Toxic</t>
  </si>
  <si>
    <t>Trainer ID 205</t>
  </si>
  <si>
    <t>Ace Trainer Zachery</t>
  </si>
  <si>
    <t>Thunder Fang / Screech / Iron Tail / Bulldoze</t>
  </si>
  <si>
    <t>Zen Headbutt / Thunder Punch / Reversal / Rock Tomb</t>
  </si>
  <si>
    <t>Trainer ID 206</t>
  </si>
  <si>
    <t>Ace Trainer Ruben</t>
  </si>
  <si>
    <t>Poliwhirl</t>
  </si>
  <si>
    <t>Hydro Pump / Hypnosis / Earth Power / Body Slam</t>
  </si>
  <si>
    <t>Dragon Dance / Waterfall / Ice Fang / Crunch</t>
  </si>
  <si>
    <t>Trainer ID 207</t>
  </si>
  <si>
    <t>Ace Trainer Breanna</t>
  </si>
  <si>
    <t>Play Rough / Iron Tail / Bulldoze / Waterfall</t>
  </si>
  <si>
    <t>Trainer ID 208</t>
  </si>
  <si>
    <t>Ace Trainer Catherine</t>
  </si>
  <si>
    <t>Growl / Confuse Ray / Hex / Trick Room</t>
  </si>
  <si>
    <t>Flare Boost</t>
  </si>
  <si>
    <t>Phantom Force / Strength Sap / Minimize / Fly</t>
  </si>
  <si>
    <t>Trainer ID 209</t>
  </si>
  <si>
    <t>Ace Trainer Destiny</t>
  </si>
  <si>
    <t>Reflect / Psychic / Shock Wave / Energy Ball</t>
  </si>
  <si>
    <t>Thunder Punch / Thunderbolt / Light Screen / Quick Attack</t>
  </si>
  <si>
    <t>Trainer ID 210</t>
  </si>
  <si>
    <t>Ace Trainer Jamie</t>
  </si>
  <si>
    <t>Metagross</t>
  </si>
  <si>
    <t>Meteor Mash / Hammer Arm / Psychic / Zen Headbutt</t>
  </si>
  <si>
    <t>Trainer ID 211</t>
  </si>
  <si>
    <t>Ace Trainer Maya</t>
  </si>
  <si>
    <t>Glameow</t>
  </si>
  <si>
    <t>Own Tempo</t>
  </si>
  <si>
    <t>Fake Out / Growl / Aerial Ace / Fury Swipes</t>
  </si>
  <si>
    <t>Kinesis / Psybeam / Reflect / Ally Switch</t>
  </si>
  <si>
    <t>Trainer ID 212</t>
  </si>
  <si>
    <t>Psychic Maxwell</t>
  </si>
  <si>
    <t>Mean Look / Perish Song / Shadow Ball / Pain Split</t>
  </si>
  <si>
    <t>Shadow Ball / Dark Pulse / Destiny Bond / Curse</t>
  </si>
  <si>
    <t>Trainer ID 213</t>
  </si>
  <si>
    <t>Psychic Brittney</t>
  </si>
  <si>
    <t>High Jump Kick / Psych Up / Reversal / Feint</t>
  </si>
  <si>
    <t>Calm Mind / Psychic / Future Sight / Psyshock</t>
  </si>
  <si>
    <t>Trainer ID 214</t>
  </si>
  <si>
    <t>Ranchers Ava</t>
  </si>
  <si>
    <t>Stunky</t>
  </si>
  <si>
    <t>Stench</t>
  </si>
  <si>
    <t>Poison Gas / Smokescreen / Acid Spray / Bite</t>
  </si>
  <si>
    <t>Trainer ID 215</t>
  </si>
  <si>
    <t>Ranchers Matt</t>
  </si>
  <si>
    <t>Limber</t>
  </si>
  <si>
    <t>Trainer ID 216</t>
  </si>
  <si>
    <t>Rancher Marco</t>
  </si>
  <si>
    <t>Scratch / Tail Whip / Confusion / Water Pulse</t>
  </si>
  <si>
    <t>Growl / Confusion / Assurance / Stomp</t>
  </si>
  <si>
    <t>Trainer ID 217</t>
  </si>
  <si>
    <t>Fisher Erick</t>
  </si>
  <si>
    <t>Peck / Water Pulse / Rain Dance / Poison Jab</t>
  </si>
  <si>
    <t>Mud-Slap / Water Pulse / Rock Tomb / Bulldoze</t>
  </si>
  <si>
    <t>Whirlpool / Scary Face / Substitute / Scald</t>
  </si>
  <si>
    <t>Trainer ID 218</t>
  </si>
  <si>
    <t>Twins Emma</t>
  </si>
  <si>
    <t>Fake Tears / Copycat / Flail / Rock Throw</t>
  </si>
  <si>
    <t>Trainer ID 219</t>
  </si>
  <si>
    <t>Twins Lil</t>
  </si>
  <si>
    <t>Trainer ID 220</t>
  </si>
  <si>
    <t>Commander Mars</t>
  </si>
  <si>
    <t>Absorb / Supersonic / Astonish / U-turn</t>
  </si>
  <si>
    <t>Purugly</t>
  </si>
  <si>
    <t>Oran Berry</t>
  </si>
  <si>
    <t>Fake Out / Scratch / Growl / Thief</t>
  </si>
  <si>
    <t>Trainer ID 221</t>
  </si>
  <si>
    <t>Team Galactic Grunt</t>
  </si>
  <si>
    <t>Serious</t>
  </si>
  <si>
    <t>Trainer ID 222</t>
  </si>
  <si>
    <t>Trainer ID 223</t>
  </si>
  <si>
    <t>Trainer ID 224</t>
  </si>
  <si>
    <t>Fake Out / Scratch / Growl</t>
  </si>
  <si>
    <t>Trainer ID 225</t>
  </si>
  <si>
    <t>Guitarist Tony</t>
  </si>
  <si>
    <t>Trainer ID 226</t>
  </si>
  <si>
    <t>Guitarist Jerry</t>
  </si>
  <si>
    <t>Leer / Bite / Spark / Iron Tail</t>
  </si>
  <si>
    <t>Trainer ID 227</t>
  </si>
  <si>
    <t>Guitarist Preston</t>
  </si>
  <si>
    <t>Bite / Volt Switch / Thunder Wave / Iron Tail</t>
  </si>
  <si>
    <t>Simple</t>
  </si>
  <si>
    <t>Yawn / Thunderbolt / Bulldoze / Waterfall</t>
  </si>
  <si>
    <t>Trainer ID 228</t>
  </si>
  <si>
    <t>Guitarist Lonnie</t>
  </si>
  <si>
    <t>Thunder Punch / Thunder Wave / Thunderbolt / Quick Attack</t>
  </si>
  <si>
    <t>Trainer ID 229</t>
  </si>
  <si>
    <t>Ruin Maniac Calvin</t>
  </si>
  <si>
    <t>Taunt / Metal Sound / Take Down / Iron Defense</t>
  </si>
  <si>
    <t>Trainer ID 230</t>
  </si>
  <si>
    <t>Ruin Maniac Larry</t>
  </si>
  <si>
    <t>Curse / Crunch / Double-Edge / Stone Edge</t>
  </si>
  <si>
    <t>Trainer ID 231</t>
  </si>
  <si>
    <t>Jogger Wyatt</t>
  </si>
  <si>
    <t>Tackle / Tail Whip / Flame Charge / Agility</t>
  </si>
  <si>
    <t>Trainer ID 232</t>
  </si>
  <si>
    <t>Jogger Craig</t>
  </si>
  <si>
    <t>Quick Attack / Wing Attack / Double Team / Endeavor</t>
  </si>
  <si>
    <t>Trainer ID 233</t>
  </si>
  <si>
    <t>Jogger Raul</t>
  </si>
  <si>
    <t>Trainer ID 234</t>
  </si>
  <si>
    <t>Black Belt Colby</t>
  </si>
  <si>
    <t>Leer / Revenge / Knock Off / Bulldoze</t>
  </si>
  <si>
    <t>Leer / Revenge / Dig / Bulk Up</t>
  </si>
  <si>
    <t>Leer / Revenge / Earthquake / Bulk Up</t>
  </si>
  <si>
    <t>Trainer ID 235</t>
  </si>
  <si>
    <t>Black Belt Darren</t>
  </si>
  <si>
    <t>Leer / Scary Face / Vital Throw / Poison Jab</t>
  </si>
  <si>
    <t>Low Kick / Vital Throw / Thief / Fling</t>
  </si>
  <si>
    <t>Low Kick / Leer / Vital Throw / Poison Jab</t>
  </si>
  <si>
    <t>Trainer ID 236</t>
  </si>
  <si>
    <t>Black Belt Rafael</t>
  </si>
  <si>
    <t>Low Kick / Force Palm / Mind Reader / High Jump Kick</t>
  </si>
  <si>
    <t>Trainer ID 237</t>
  </si>
  <si>
    <t>Black Belt Jeffery</t>
  </si>
  <si>
    <t>Leer / Low Sweep / Knock Off / Rock Tomb</t>
  </si>
  <si>
    <t>Detect / Feint / Force Palm / Rock Slide</t>
  </si>
  <si>
    <t>Trainer ID 238</t>
  </si>
  <si>
    <t>Black Belt Carl</t>
  </si>
  <si>
    <t>Dry Skin</t>
  </si>
  <si>
    <t>Poison Jab / Sucker Punch / Revenge / Flatter</t>
  </si>
  <si>
    <t>Machamp</t>
  </si>
  <si>
    <t>Knock Off / Dynamic Punch / Seismic Toss / Focus Energy</t>
  </si>
  <si>
    <t>Trainer ID 239</t>
  </si>
  <si>
    <t>Black Belt Ricky</t>
  </si>
  <si>
    <t>Thunder Fang / Ice Fang / Iron Tail / Bulldoze</t>
  </si>
  <si>
    <t>Trainer ID 240</t>
  </si>
  <si>
    <t>Gym Leader Gardenia</t>
  </si>
  <si>
    <t>Grass Knot / Growth / Dazzling Gleam / Safeguard</t>
  </si>
  <si>
    <t>Shell Armor</t>
  </si>
  <si>
    <t>Miracle Seed</t>
  </si>
  <si>
    <t>Grass Knot / Razor Leaf / Reflect / Work Up</t>
  </si>
  <si>
    <t>Technician</t>
  </si>
  <si>
    <t>Grass Knot / Petal Blizzard / Poison Sting / Stun Spore</t>
  </si>
  <si>
    <t>Trainer ID 241</t>
  </si>
  <si>
    <t>Gym Leader Wake</t>
  </si>
  <si>
    <t>Brine / Ice Fang / Crunch / Flail</t>
  </si>
  <si>
    <t>Damp Rock</t>
  </si>
  <si>
    <t>Rain Dance / Haze / Mud Shot / Scald</t>
  </si>
  <si>
    <t>Brine / Ice Fang / Bite / Aqua Jet</t>
  </si>
  <si>
    <t>Trainer ID 242</t>
  </si>
  <si>
    <t>Gym Leader Maylene</t>
  </si>
  <si>
    <t>Drain Punch / Light Screen / Flash / Bulk Up</t>
  </si>
  <si>
    <t>Low Sweep / Knock Off / Rock Tomb / Bulldoze</t>
  </si>
  <si>
    <t>Steadfast</t>
  </si>
  <si>
    <t>Big Root</t>
  </si>
  <si>
    <t>Drain Punch / Screech / Metal Claw / Bulk Up</t>
  </si>
  <si>
    <t>Trainer ID 243</t>
  </si>
  <si>
    <t>Gym Leader Fantina</t>
  </si>
  <si>
    <t>Aftermath</t>
  </si>
  <si>
    <t>Zoom Lens</t>
  </si>
  <si>
    <t>Strength Sap / Hex / Fly / Will-O-Wisp</t>
  </si>
  <si>
    <t>Colbur Berry</t>
  </si>
  <si>
    <t>Shadow Claw / Confuse Ray / Sludge Bomb / Dazzling Gleam</t>
  </si>
  <si>
    <t>Mismagius</t>
  </si>
  <si>
    <t>Confuse Ray / Phantom Force / Magical Leaf / Dazzling Gleam</t>
  </si>
  <si>
    <t>Trainer ID 244</t>
  </si>
  <si>
    <t>Gym Leader Candice</t>
  </si>
  <si>
    <t>Icy Rock</t>
  </si>
  <si>
    <t>Mist / Razor Leaf / Water Pulse / Avalanche</t>
  </si>
  <si>
    <t>Pickpocket</t>
  </si>
  <si>
    <t>Chople Berry</t>
  </si>
  <si>
    <t>Metal Claw / Hone Claws / Dig / Avalanche</t>
  </si>
  <si>
    <t>Ice Punch / Bulk Up / Brick Break / Rock Slide</t>
  </si>
  <si>
    <t>Abomasnow</t>
  </si>
  <si>
    <t>Aurora Veil / Giga Drain / Earthquake / Blizzard</t>
  </si>
  <si>
    <t>Trainer ID 245</t>
  </si>
  <si>
    <t>Gym Leader Volkner</t>
  </si>
  <si>
    <t>Shuca Berry</t>
  </si>
  <si>
    <t>Nuzzle / Volt Switch / Surf / Charge Beam</t>
  </si>
  <si>
    <t>Fake Out / Thunderbolt / Double Hit / Last Resort</t>
  </si>
  <si>
    <t>Octillery</t>
  </si>
  <si>
    <t>Octazooka / Focus Energy / Aurora Beam / Charge Beam</t>
  </si>
  <si>
    <t>Luxray</t>
  </si>
  <si>
    <t>Thunder Fang / Ice Fang / Crunch / Iron Tail</t>
  </si>
  <si>
    <t>Trainer ID 246</t>
  </si>
  <si>
    <t>Lass Madeline</t>
  </si>
  <si>
    <t>Trainer ID 247</t>
  </si>
  <si>
    <t>Lass Kaitlin</t>
  </si>
  <si>
    <t>Trainer ID 248</t>
  </si>
  <si>
    <t>Lass Caroline</t>
  </si>
  <si>
    <t>Sunny Day / Morning Sun / Growth / Leafage</t>
  </si>
  <si>
    <t>Leaf Guard</t>
  </si>
  <si>
    <t>Stun Spore / Mega Drain / Leech Seed</t>
  </si>
  <si>
    <t>Trainer ID 249</t>
  </si>
  <si>
    <t>Lass Molly</t>
  </si>
  <si>
    <t>Confuse Ray / Mean Look / Shadow Ball / Nasty Plot</t>
  </si>
  <si>
    <t>Trainer ID 250</t>
  </si>
  <si>
    <t>Hiker Louis</t>
  </si>
  <si>
    <t>Harden / Bind / Smack Down / Rock Polish</t>
  </si>
  <si>
    <t>Trainer ID 251</t>
  </si>
  <si>
    <t>Parasol Lady Alexa</t>
  </si>
  <si>
    <t>Tail Whip / Quick Attack / Water Gun / Bite</t>
  </si>
  <si>
    <t>Trainer ID 252</t>
  </si>
  <si>
    <t>Parasol Lady Sabrina</t>
  </si>
  <si>
    <t>Tail Whip / Fury Swipes / Water Pulse / Zen Headbutt</t>
  </si>
  <si>
    <t>Trainer ID 253</t>
  </si>
  <si>
    <t>Picnicker Diana</t>
  </si>
  <si>
    <t>Scratch / Tail Whip / Water Gun</t>
  </si>
  <si>
    <t>Trainer ID 254</t>
  </si>
  <si>
    <t>Picnicker Cheyenne</t>
  </si>
  <si>
    <t>Drifloon</t>
  </si>
  <si>
    <t>Gust / Stockpile / Swallow / Spit Up</t>
  </si>
  <si>
    <t>Confuse Ray / Mean Look / Hex / Psybeam</t>
  </si>
  <si>
    <t>Trainer ID 255</t>
  </si>
  <si>
    <t>Poké Kid Meghan</t>
  </si>
  <si>
    <t>Nuzzle / Charm / Spark / Light Screen</t>
  </si>
  <si>
    <t>Charm / Double Team / Spark / Light Screen</t>
  </si>
  <si>
    <t>Charm / Electro Ball / Agility / Light Screen</t>
  </si>
  <si>
    <t>Charm / Nasty Plot / Thunderbolt / Light Screen</t>
  </si>
  <si>
    <t>Trainer ID 256</t>
  </si>
  <si>
    <t>Police Officer Danny</t>
  </si>
  <si>
    <t>Peck / Growl / Confusion / Psycho Shift</t>
  </si>
  <si>
    <t>Trainer ID 257</t>
  </si>
  <si>
    <t>Police Officer Thomas</t>
  </si>
  <si>
    <t>Peck / Reflect / Psycho Shift / Uproar</t>
  </si>
  <si>
    <t>Low Sweep / Knock Off / Dual Chop / Bulk Up</t>
  </si>
  <si>
    <t>Trainer ID 258</t>
  </si>
  <si>
    <t>Rich Boy Trey</t>
  </si>
  <si>
    <t>Leer / Bite / Spark / Thunder Wave</t>
  </si>
  <si>
    <t>Trainer ID 259</t>
  </si>
  <si>
    <t>Sailor Marc</t>
  </si>
  <si>
    <t>Trainer ID 260</t>
  </si>
  <si>
    <t>Sailor Skyler</t>
  </si>
  <si>
    <t>Trainer ID 261</t>
  </si>
  <si>
    <t>Sailor Damian</t>
  </si>
  <si>
    <t>Growl / Water Pulse / Roost / Pluck</t>
  </si>
  <si>
    <t>Quick Attack / Water Pulse / Steel Wing / Aerial Ace</t>
  </si>
  <si>
    <t>Trainer ID 262</t>
  </si>
  <si>
    <t>School Kid Chance</t>
  </si>
  <si>
    <t>Confuse Ray / Sucker Punch / Shadow Ball / Dark Pulse</t>
  </si>
  <si>
    <t>Trainer ID 263</t>
  </si>
  <si>
    <t>School Kid Forrest</t>
  </si>
  <si>
    <t>Reflect / Dazzling Gleam / Thunderbolt / Energy Ball</t>
  </si>
  <si>
    <t>Trainer ID 264</t>
  </si>
  <si>
    <t>School Kid Harrison</t>
  </si>
  <si>
    <t>Charge Beam</t>
  </si>
  <si>
    <t>Trainer ID 265</t>
  </si>
  <si>
    <t>School Kid Mackenzie</t>
  </si>
  <si>
    <t>Minimize / Focus Energy / Payback / Shadow Ball</t>
  </si>
  <si>
    <t>Trainer ID 266</t>
  </si>
  <si>
    <t>School Kid Tiera</t>
  </si>
  <si>
    <t>Charm / Spark / Nuzzle / Dig</t>
  </si>
  <si>
    <t>Trainer ID 267</t>
  </si>
  <si>
    <t>School Kid Christine</t>
  </si>
  <si>
    <t>Trainer ID 268</t>
  </si>
  <si>
    <t>Beauty Cyndy</t>
  </si>
  <si>
    <t>Scratch / Growl / Aerial Ace / Fury Swipes</t>
  </si>
  <si>
    <t>Trainer ID 269</t>
  </si>
  <si>
    <t>Beauty Lindsay</t>
  </si>
  <si>
    <t>Toxic / Leech Seed / Mega Drain</t>
  </si>
  <si>
    <t>Trainer ID 270</t>
  </si>
  <si>
    <t>Youngster Dallas</t>
  </si>
  <si>
    <t>Trainer ID 271</t>
  </si>
  <si>
    <t>Youngster Sebastian</t>
  </si>
  <si>
    <t>Low Kick / Leer / Focus Energy</t>
  </si>
  <si>
    <t>Trainer ID 272</t>
  </si>
  <si>
    <t>Youngster Donny</t>
  </si>
  <si>
    <t>Lick / Mean Look / Payback / Hex</t>
  </si>
  <si>
    <t>Shadow Punch / Lick / Mean Look / Hex</t>
  </si>
  <si>
    <t>Trainer ID 273</t>
  </si>
  <si>
    <t>Tuber Trenton</t>
  </si>
  <si>
    <t>Trainer ID 274</t>
  </si>
  <si>
    <t>Tuber Conner</t>
  </si>
  <si>
    <t>Focus Energy / Bullet Seed / Hydro Pump / Soak</t>
  </si>
  <si>
    <t>Trainer ID 275</t>
  </si>
  <si>
    <t>Tuber Mariel</t>
  </si>
  <si>
    <t>Charm / Aqua Tail / Aqua Ring / Rain Dance</t>
  </si>
  <si>
    <t>Trainer ID 276</t>
  </si>
  <si>
    <t>Tuber Holly</t>
  </si>
  <si>
    <t>Trainer ID 277</t>
  </si>
  <si>
    <t>Veteran Armando</t>
  </si>
  <si>
    <t>Brave Bird / Take Down / Quick Attack / U-turn</t>
  </si>
  <si>
    <t>Stockpile / Air Slash / Roost / Water Pulse</t>
  </si>
  <si>
    <t>Poison Fang / Bite / Astonish / Supersonic</t>
  </si>
  <si>
    <t>Trainer ID 278</t>
  </si>
  <si>
    <t>Waitress Kati</t>
  </si>
  <si>
    <t>Sweet Kiss / Charm / Growl / Metronome</t>
  </si>
  <si>
    <t>Trainer ID 279</t>
  </si>
  <si>
    <t>Worker Gerardo</t>
  </si>
  <si>
    <t>Smack Down / Iron Tail / Sandstorm / Bulldoze</t>
  </si>
  <si>
    <t>Rock Tomb / Rest / Sleep Talk / Iron Tail</t>
  </si>
  <si>
    <t>Trainer ID 280</t>
  </si>
  <si>
    <t>Interviewers Roxy</t>
  </si>
  <si>
    <t>Wooper</t>
  </si>
  <si>
    <t>Water Gun / Rain Dance / Mud Shot / Mist</t>
  </si>
  <si>
    <t>Trainer ID 281</t>
  </si>
  <si>
    <t>Interviewers Oli</t>
  </si>
  <si>
    <t>Trainer ID 282</t>
  </si>
  <si>
    <t>Cameraman Tevin</t>
  </si>
  <si>
    <t>Charm / Quick Attack / Spark / Endure</t>
  </si>
  <si>
    <t>Trainer ID 283</t>
  </si>
  <si>
    <t>Reporter Kinsey</t>
  </si>
  <si>
    <t>Hyper Voice / Taunt / Growl / Sing</t>
  </si>
  <si>
    <t>Trainer ID 284</t>
  </si>
  <si>
    <t>Idol Grace</t>
  </si>
  <si>
    <t>Nuzzle / Charm / Thunder Shock / Quick Attack</t>
  </si>
  <si>
    <t>Sing / Disarming Voice / Encore / Charm</t>
  </si>
  <si>
    <t>Trainer ID 285</t>
  </si>
  <si>
    <t>Battle Girl Tylor</t>
  </si>
  <si>
    <t>Thunder Punch / Ice Punch / Psybeam / Acupressure</t>
  </si>
  <si>
    <t>Trainer ID 286</t>
  </si>
  <si>
    <t>Bird Keeper Autumn</t>
  </si>
  <si>
    <t>Murkrow</t>
  </si>
  <si>
    <t>Assurance / Taunt / Air Cutter / Tailwind</t>
  </si>
  <si>
    <t>Trainer ID 287</t>
  </si>
  <si>
    <t>Camper Zackary</t>
  </si>
  <si>
    <t>Tackle / Defense Curl / Sandstorm / Rollout</t>
  </si>
  <si>
    <t>Trainer ID 288</t>
  </si>
  <si>
    <t>Camper Lawrence</t>
  </si>
  <si>
    <t>Thunder Shock / Charge / Spark / Volt Switch</t>
  </si>
  <si>
    <t>Focus Energy / Venoshock / Toxic / Sucker Punch</t>
  </si>
  <si>
    <t>Trainer ID 289</t>
  </si>
  <si>
    <t>Camper Diego</t>
  </si>
  <si>
    <t>Tackle / String Shot / Poison Sting / Harden</t>
  </si>
  <si>
    <t>Gust / Confusion / Poison Powder / Moonlight</t>
  </si>
  <si>
    <t>Trainer ID 290</t>
  </si>
  <si>
    <t>Camper Parker</t>
  </si>
  <si>
    <t>Growl / Tail Whip / Quick Attack / Water Gun</t>
  </si>
  <si>
    <t>Leer / Thunder Shock / Charge / Bite</t>
  </si>
  <si>
    <t>Trainer ID 291</t>
  </si>
  <si>
    <t>Collector Dominique</t>
  </si>
  <si>
    <t>Tackle / Sandstorm / Harden / Smack Down</t>
  </si>
  <si>
    <t>Defense Curl / Sandstorm / Rollout / Rock Throw</t>
  </si>
  <si>
    <t>Defense Curl / Sandstorm / Rollout / Smack Down</t>
  </si>
  <si>
    <t>Trainer ID 292</t>
  </si>
  <si>
    <t>Collector Jamal</t>
  </si>
  <si>
    <t>Growl / Tail Whip / Water Gun / Bite</t>
  </si>
  <si>
    <t>Tail Whip / Water Gun / Bite / Swift</t>
  </si>
  <si>
    <t>Trainer ID 293</t>
  </si>
  <si>
    <t>Collector Terry</t>
  </si>
  <si>
    <t>Lick / Confuse Ray / Mean Look / Payback</t>
  </si>
  <si>
    <t>Lick / Confuse Ray / Payback / Spite</t>
  </si>
  <si>
    <t>Trainer ID 294</t>
  </si>
  <si>
    <t>Dragon Tamer Joe</t>
  </si>
  <si>
    <t>Sand Tomb / Bite / Dragon Claw / Dig</t>
  </si>
  <si>
    <t>Trainer ID 295</t>
  </si>
  <si>
    <t>Ace Trainer Jonah</t>
  </si>
  <si>
    <t>Tail Whip / Agility / Flame Wheel / Stomp</t>
  </si>
  <si>
    <t>Shadow Punch / Confuse Ray / Mean Look / Payback</t>
  </si>
  <si>
    <t>Trainer ID 296</t>
  </si>
  <si>
    <t>Ace Trainer Micah</t>
  </si>
  <si>
    <t>Aqua Jet / Crunch / Swords Dance / Superpower</t>
  </si>
  <si>
    <t>Smart Strike / Flame Wheel / Fire Spin / Inferno</t>
  </si>
  <si>
    <t>Stun Spore / Air Cutter / Bug Buzz / Quiver Dance</t>
  </si>
  <si>
    <t>Trainer ID 297</t>
  </si>
  <si>
    <t>Ace Trainer Arthur</t>
  </si>
  <si>
    <t>Thunder Punch / Nuzzle / Light Screen / Quick Attack</t>
  </si>
  <si>
    <t>Recover / Body Slam / Muddy Water / Earth Power</t>
  </si>
  <si>
    <t>Trainer ID 298</t>
  </si>
  <si>
    <t>Ace Trainer Brenda</t>
  </si>
  <si>
    <t>Wood Hammer / Tearful Look / Sucker Punch / Rock Slide</t>
  </si>
  <si>
    <t>Trainer ID 299</t>
  </si>
  <si>
    <t>Ace Trainer Brandi</t>
  </si>
  <si>
    <t>Charm / Nuzzle / Swift / Super Fang</t>
  </si>
  <si>
    <t>Charm / Aqua Tail / Play Rough / Superpower</t>
  </si>
  <si>
    <t>Disarming Voice / Life Dew / Light Screen / Last Resort</t>
  </si>
  <si>
    <t>Trainer ID 300</t>
  </si>
  <si>
    <t>Ace Trainer Clarice</t>
  </si>
  <si>
    <t>Charm / Baton Pass / Headbutt / Agility</t>
  </si>
  <si>
    <t>Tailwind / Wing Attack / Water Pulse / Mist</t>
  </si>
  <si>
    <t>Rain Dance / Muddy Water / Toxic / Earthquake</t>
  </si>
  <si>
    <t>Trainer ID 301</t>
  </si>
  <si>
    <t>Psychic Kody</t>
  </si>
  <si>
    <t>Low Kick / Confusion / Detect / Feint</t>
  </si>
  <si>
    <t>Trainer ID 302</t>
  </si>
  <si>
    <t>Psychic Landon</t>
  </si>
  <si>
    <t>Reflect / Dazzling Gleam / Psychic / Teeter Dance</t>
  </si>
  <si>
    <t>Trainer ID 303</t>
  </si>
  <si>
    <t>Psychic Deandre</t>
  </si>
  <si>
    <t>Stomp / Agility / Zen Headbutt / Crunch</t>
  </si>
  <si>
    <t>Trainer ID 304</t>
  </si>
  <si>
    <t>Psychic Rachael</t>
  </si>
  <si>
    <t>Tail Whip / Confusion / Fury Swipes / Water Pulse</t>
  </si>
  <si>
    <t>Trainer ID 305</t>
  </si>
  <si>
    <t>Psychic Desiree</t>
  </si>
  <si>
    <t>Ally Switch / Psyshock / Psychic / Reflect</t>
  </si>
  <si>
    <t>Recover / Psyshock / Future Sight / Calm Mind</t>
  </si>
  <si>
    <t>Trainer ID 306</t>
  </si>
  <si>
    <t>Psychic Kendra</t>
  </si>
  <si>
    <t>Wrap / Growl / Confusion / Yawn</t>
  </si>
  <si>
    <t>Light Screen / Heal Pulse / Heal Bell / Psychic</t>
  </si>
  <si>
    <t>Trainer ID 307</t>
  </si>
  <si>
    <t>Fisher Walter</t>
  </si>
  <si>
    <t>Mud-Slap / Water Pulse / Aqua Tail / Bulldoze</t>
  </si>
  <si>
    <t>Trainer ID 308</t>
  </si>
  <si>
    <t>Team Galactic Boss Cyrus</t>
  </si>
  <si>
    <t>Wing Attack / Night Shade / Assurance / Taunt</t>
  </si>
  <si>
    <t>Metal Claw / Icy Wind / Hone Claws / Beat Up</t>
  </si>
  <si>
    <t>Trainer ID 309</t>
  </si>
  <si>
    <t>Super Luck</t>
  </si>
  <si>
    <t>Air Cutter / Night Slash / Steel Wing / Defog</t>
  </si>
  <si>
    <t>Crobat</t>
  </si>
  <si>
    <t>Infiltrator</t>
  </si>
  <si>
    <t>Quick Claw</t>
  </si>
  <si>
    <t>Cross Poison / Tailwind / Air Cutter / U-turn</t>
  </si>
  <si>
    <t>Wacan Berry</t>
  </si>
  <si>
    <t>Ice Fang / Waterfall / Crunch / Earthquake</t>
  </si>
  <si>
    <t>Weavile</t>
  </si>
  <si>
    <t>Metal Claw / Fling / Dig / Aerial Ace</t>
  </si>
  <si>
    <t>Trainer ID 310</t>
  </si>
  <si>
    <t>Astonish / Poison Fang / Bite / U-turn</t>
  </si>
  <si>
    <t>Confuse Ray / Payback / Gyro Ball / Iron Defense</t>
  </si>
  <si>
    <t>Growl / Aerial Ace / Slash / U-turn</t>
  </si>
  <si>
    <t>Trainer ID 311</t>
  </si>
  <si>
    <t>Commander Jupiter</t>
  </si>
  <si>
    <t>Absorb / Supersonic / Mean Look / Poison Fang</t>
  </si>
  <si>
    <t>Skuntank</t>
  </si>
  <si>
    <t>Flamethrower / Poison Gas / Acid Spray / Snarl</t>
  </si>
  <si>
    <t>Trainer ID 312</t>
  </si>
  <si>
    <t>Confuse Ray / Payback / Extrasensory / Light Screen</t>
  </si>
  <si>
    <t>Air Cutter / Haze / Giga Drain / Sludge Bomb</t>
  </si>
  <si>
    <t>Flamethrower / Poison Gas / Belch / Snarl</t>
  </si>
  <si>
    <t>Trainer ID 313</t>
  </si>
  <si>
    <t>Commander Saturn</t>
  </si>
  <si>
    <t>Kinesis / Reflect / Psychic / Rain Dance</t>
  </si>
  <si>
    <t>Confuse Ray / Payback / Gyro Ball / Extrasensory</t>
  </si>
  <si>
    <t>Toxicroak</t>
  </si>
  <si>
    <t>Mud-Slap / Revenge / Toxic / Thief</t>
  </si>
  <si>
    <t>Trainer ID 314</t>
  </si>
  <si>
    <t>Mud-Slap / Toxic / Thief / Brick Break</t>
  </si>
  <si>
    <t>Trainer ID 315</t>
  </si>
  <si>
    <t>Trainer ID 316</t>
  </si>
  <si>
    <t>Trainer ID 317</t>
  </si>
  <si>
    <t>Trainer ID 318</t>
  </si>
  <si>
    <t>Trainer ID 319</t>
  </si>
  <si>
    <t>Gust / Stun Spore / Air Cutter / Leech Life</t>
  </si>
  <si>
    <t>Trainer ID 320</t>
  </si>
  <si>
    <t>Screech / Astonish / Poison Fang / Air Cutter</t>
  </si>
  <si>
    <t>Trainer ID 321</t>
  </si>
  <si>
    <t>Taunt / Revenge / Sucker Punch / Poison Jab</t>
  </si>
  <si>
    <t>Air Cutter / Mega Drain / Leech Life / Attract</t>
  </si>
  <si>
    <t>Trainer ID 322</t>
  </si>
  <si>
    <t>Growl / Aerial Ace / Fury Swipes / Retaliate</t>
  </si>
  <si>
    <t>Poison Gas / Bite / Venoshock / Sucker Punch</t>
  </si>
  <si>
    <t>Trainer ID 323</t>
  </si>
  <si>
    <t>--</t>
  </si>
  <si>
    <t>Trainer ID 324</t>
  </si>
  <si>
    <t>Fake Out / Scratch / Growl / Hypnosis</t>
  </si>
  <si>
    <t>Trainer ID 325</t>
  </si>
  <si>
    <t>Trainer ID 326</t>
  </si>
  <si>
    <t>Trainer ID 327</t>
  </si>
  <si>
    <t>Aerial Ace / Fury Swipes / Charm / Taunt</t>
  </si>
  <si>
    <t>Trainer ID 328</t>
  </si>
  <si>
    <t>Tackle / Poison Sting / Harden</t>
  </si>
  <si>
    <t>Screech / Poison Fang / Quick Guard / Air Cutter</t>
  </si>
  <si>
    <t>Trainer ID 329</t>
  </si>
  <si>
    <t>Stun Spore / Air Cutter / Leech Life / Attract</t>
  </si>
  <si>
    <t>Aerial Ace / Charm / Taunt / Retaliate</t>
  </si>
  <si>
    <t>Trainer ID 330</t>
  </si>
  <si>
    <t>Aerial Ace / Charm / Taunt / Slash</t>
  </si>
  <si>
    <t>Trainer ID 331</t>
  </si>
  <si>
    <t>Poison Fang / Quick Guard / Air Cutter / Bite</t>
  </si>
  <si>
    <t>Trainer ID 332</t>
  </si>
  <si>
    <t>Guitarist Arturo</t>
  </si>
  <si>
    <t>Trainer ID 333</t>
  </si>
  <si>
    <t>Ruin Maniac Harry</t>
  </si>
  <si>
    <t>Heatproof</t>
  </si>
  <si>
    <t>Confuse Ray / Payback / Gyro Ball / Safeguard</t>
  </si>
  <si>
    <t>Trainer ID 334</t>
  </si>
  <si>
    <t>Ruin Maniac Gerald</t>
  </si>
  <si>
    <t>Confuse Ray / Payback / Imprison / Gyro Ball</t>
  </si>
  <si>
    <t>Trainer ID 335</t>
  </si>
  <si>
    <t>Black Belt Miles</t>
  </si>
  <si>
    <t>Trainer ID 336</t>
  </si>
  <si>
    <t>Black Belt Kendal</t>
  </si>
  <si>
    <t>Mud-Slap / Revenge / Sucker Punch / Poison Jab</t>
  </si>
  <si>
    <t>Trainer ID 337</t>
  </si>
  <si>
    <t>Black Belt Eddie</t>
  </si>
  <si>
    <t>Leer / Revenge / Knock Off / Dual Chop</t>
  </si>
  <si>
    <t>Knock Off / Dual Chop / Bulk Up / Dynamic Punch</t>
  </si>
  <si>
    <t>Trainer ID 338</t>
  </si>
  <si>
    <t>Black Belt Willie</t>
  </si>
  <si>
    <t>Sand Tomb / Dig / Iron Tail / Stone Edge</t>
  </si>
  <si>
    <t>Trainer ID 339</t>
  </si>
  <si>
    <t>Lass Cassidy</t>
  </si>
  <si>
    <t>Trainer ID 340</t>
  </si>
  <si>
    <t>Hiker Theodore</t>
  </si>
  <si>
    <t>Trainer ID 341</t>
  </si>
  <si>
    <t>Hiker Damon</t>
  </si>
  <si>
    <t>Absorb / Supersonic / Poison Fang / Air Cutter</t>
  </si>
  <si>
    <t>Trainer ID 342</t>
  </si>
  <si>
    <t>Hiker Maurice</t>
  </si>
  <si>
    <t>Defense Curl / Rollout / Smack Down / Stealth Rock</t>
  </si>
  <si>
    <t>Trainer ID 343</t>
  </si>
  <si>
    <t>Hiker Reginald</t>
  </si>
  <si>
    <t>Low Kick / Leer / Revenge / Low Sweep</t>
  </si>
  <si>
    <t>Trainer ID 344</t>
  </si>
  <si>
    <t>Hiker Lorenzo</t>
  </si>
  <si>
    <t>Bind / Rock Throw / Smack Down / Curse</t>
  </si>
  <si>
    <t>Trainer ID 345</t>
  </si>
  <si>
    <t>Picnicker Karina</t>
  </si>
  <si>
    <t>Pound / Growl / Water Gun / Charm</t>
  </si>
  <si>
    <t>Trainer ID 346</t>
  </si>
  <si>
    <t>Picnicker Summer</t>
  </si>
  <si>
    <t>Growl / Quick Attack / Endeavor / Aerial Ace</t>
  </si>
  <si>
    <t>Trainer ID 347</t>
  </si>
  <si>
    <t>Picnicker Tori</t>
  </si>
  <si>
    <t>String Shot / Gust / Absorb / Stun Spore</t>
  </si>
  <si>
    <t>Trainer ID 348</t>
  </si>
  <si>
    <t>Picnicker Ana</t>
  </si>
  <si>
    <t>Trainer ID 349</t>
  </si>
  <si>
    <t>Clown Lee</t>
  </si>
  <si>
    <t>Power Swap / Pound / Encore / Confusion</t>
  </si>
  <si>
    <t>Trainer ID 350</t>
  </si>
  <si>
    <t>Poké Kid Ariel</t>
  </si>
  <si>
    <t>Nasty Plot / Thunder Shock / Double Team / Electro Ball</t>
  </si>
  <si>
    <t>Trainer ID 351</t>
  </si>
  <si>
    <t>Quick Attack / Double Team / Endeavor / Pluck</t>
  </si>
  <si>
    <t>Absorb / Razor Leaf / Curse / Stealth Rock</t>
  </si>
  <si>
    <t>Trainer ID 352</t>
  </si>
  <si>
    <t>Poison Sting / Mega Drain / Leech Seed / Grass Knot</t>
  </si>
  <si>
    <t>Mach Punch / Leer / Flame Wheel / Stealth Rock</t>
  </si>
  <si>
    <t>Trainer ID 353</t>
  </si>
  <si>
    <t>Growth / Stun Spore / Leech Seed / Magical Leaf</t>
  </si>
  <si>
    <t>Metal Claw / Bubble Beam / Stealth Rock / Grass Knot</t>
  </si>
  <si>
    <t>Trainer ID 354</t>
  </si>
  <si>
    <t>Sea Incense</t>
  </si>
  <si>
    <t>Shell Bell</t>
  </si>
  <si>
    <t>Tackle / Tail Whip / Agility / Flame Wheel</t>
  </si>
  <si>
    <t>Razor Leaf / Bite / Mega Drain / Stealth Rock</t>
  </si>
  <si>
    <t>Trainer ID 355</t>
  </si>
  <si>
    <t>Poison Sting / Mega Drain / Sweet Scent / Grass Knot</t>
  </si>
  <si>
    <t>Mach Punch / Leer / Power-Up Punch / Flame Wheel</t>
  </si>
  <si>
    <t>Trainer ID 356</t>
  </si>
  <si>
    <t>Tackle / Growl / Agility / Flame Wheel</t>
  </si>
  <si>
    <t>Metal Claw / Charm / Bubble Beam / Grass Knot</t>
  </si>
  <si>
    <t>Trainer ID 357</t>
  </si>
  <si>
    <t>Tail Whip / Bite / Swift / Brine</t>
  </si>
  <si>
    <t>Leer / Aerial Ace / Brick Break / Thief</t>
  </si>
  <si>
    <t>Razor Leaf / Bite / Leech Seed / Stealth Rock</t>
  </si>
  <si>
    <t>Trainer ID 358</t>
  </si>
  <si>
    <t>Poison Sting / Sweet Scent / Giga Drain / Grass Knot</t>
  </si>
  <si>
    <t>Mach Punch / Power-Up Punch / Flame Wheel / Shadow Claw</t>
  </si>
  <si>
    <t>Trainer ID 359</t>
  </si>
  <si>
    <t>Growth / Stun Spore / Leech Seed / Giga Drain</t>
  </si>
  <si>
    <t>Growl / Agility / Flame Wheel / Stomp</t>
  </si>
  <si>
    <t>Metal Claw / Charm / Grass Knot / Brine</t>
  </si>
  <si>
    <t>Trainer ID 360</t>
  </si>
  <si>
    <t>Close Combat / Pluck / Sunny Day / U-turn</t>
  </si>
  <si>
    <t>Ice Fang / Crunch / Swift / Brine</t>
  </si>
  <si>
    <t>Pin Missile / Swords Dance / Rock Slide / Thief</t>
  </si>
  <si>
    <t>Smart Strike / Megahorn / Poison Jab / Flame Wheel</t>
  </si>
  <si>
    <t>Snorlax</t>
  </si>
  <si>
    <t>Covet / Yawn / Crunch / High Horsepower</t>
  </si>
  <si>
    <t>Earthquake / Wood Hammer / Roar / Stealth Rock</t>
  </si>
  <si>
    <t>Trainer ID 361</t>
  </si>
  <si>
    <t>Close Combat / Pluck / Steel Wing / U-turn</t>
  </si>
  <si>
    <t>Grassy Terrain / Giga Drain / Toxic / Grass Knot</t>
  </si>
  <si>
    <t>Covet / Yawn / Crunch / Hammer Arm</t>
  </si>
  <si>
    <t>Close Combat / Flame Wheel / U-turn / Shadow Claw</t>
  </si>
  <si>
    <t>Trainer ID 362</t>
  </si>
  <si>
    <t>Close Combat / Pluck / Rain Dance / U-turn</t>
  </si>
  <si>
    <t>Grassy Terrain / Petal Blizzard / Stun Spore / Shadow Ball</t>
  </si>
  <si>
    <t>Charm / Grass Knot / Brine / Flash Cannon</t>
  </si>
  <si>
    <t>Trainer ID 363</t>
  </si>
  <si>
    <t>Sailor Zachariah</t>
  </si>
  <si>
    <t>Recover / Ancient Power / Muddy Water / Earth Power</t>
  </si>
  <si>
    <t>Trainer ID 364</t>
  </si>
  <si>
    <t>Sailor Samson</t>
  </si>
  <si>
    <t>Mud-Slap / Recover / Water Pulse / Rain Dance</t>
  </si>
  <si>
    <t>Water Pulse / Rain Dance / U-turn / Roost</t>
  </si>
  <si>
    <t>Trainer ID 365</t>
  </si>
  <si>
    <t>Scientist Shaun</t>
  </si>
  <si>
    <t>Teleport / Energy Ball</t>
  </si>
  <si>
    <t>Kinesis / Disable / Psybeam / Reflect</t>
  </si>
  <si>
    <t>Trainer ID 366</t>
  </si>
  <si>
    <t>Ninja Boy Fabian</t>
  </si>
  <si>
    <t>Sandstorm / Rock Throw / Smack Down / Bulldoze</t>
  </si>
  <si>
    <t>Harden / Rock Throw / Smack Down / Bulldoze</t>
  </si>
  <si>
    <t>Rock Throw / Smack Down / Bulldoze / Self-Destruct</t>
  </si>
  <si>
    <t>Trainer ID 367</t>
  </si>
  <si>
    <t>Ninja Boy Brennan</t>
  </si>
  <si>
    <t>Absorb / Astonish / Poison Fang / Air Cutter</t>
  </si>
  <si>
    <t>Hone Claws / Fell Stinger / Toxic Spikes / Knock Off</t>
  </si>
  <si>
    <t>Trainer ID 368</t>
  </si>
  <si>
    <t>Ninja Boy Bruce</t>
  </si>
  <si>
    <t>Fury Swipes / Bite / Venoshock / Toxic</t>
  </si>
  <si>
    <t>Trainer ID 369</t>
  </si>
  <si>
    <t>Beauty Devon</t>
  </si>
  <si>
    <t>Wormadam</t>
  </si>
  <si>
    <t>Quiver Dance / Sucker Punch / Bug Bite / Confusion</t>
  </si>
  <si>
    <t>Trainer ID 370</t>
  </si>
  <si>
    <t>Beauty Nicola</t>
  </si>
  <si>
    <t>Trainer ID 371</t>
  </si>
  <si>
    <t>Swimmer Claire</t>
  </si>
  <si>
    <t>Trainer ID 372</t>
  </si>
  <si>
    <t>Youngster Wayne</t>
  </si>
  <si>
    <t>Sand Attack / Astonish / Baton Pass / Tickle</t>
  </si>
  <si>
    <t>Trainer ID 373</t>
  </si>
  <si>
    <t>Tuber Jacky</t>
  </si>
  <si>
    <t>Tail Whip / Bite / Aqua Jet / Iron Tail</t>
  </si>
  <si>
    <t>Trainer ID 374</t>
  </si>
  <si>
    <t>Tuber Caitlyn</t>
  </si>
  <si>
    <t>Tail Whip / Charm / Bubble Beam / Light Screen</t>
  </si>
  <si>
    <t>Aqua Tail / Play Rough / Aqua Ring / Brick Break</t>
  </si>
  <si>
    <t>Trainer ID 375</t>
  </si>
  <si>
    <t>Veteran Terrell</t>
  </si>
  <si>
    <t>Sing / Night Slash / Sticky Web / Bug Buzz</t>
  </si>
  <si>
    <t>Yawn / Muddy Water / Toxic / Earthquake</t>
  </si>
  <si>
    <t>Confuse Ray / Curse / Dark Pulse / Shadow Ball</t>
  </si>
  <si>
    <t>Trainer ID 376</t>
  </si>
  <si>
    <t>Veteran Brenden</t>
  </si>
  <si>
    <t>Hypnosis / Aerial Ace / Retaliate / Body Slam</t>
  </si>
  <si>
    <t>Harden / Smack Down / Bulldoze / Double-Edge</t>
  </si>
  <si>
    <t>Trainer ID 377</t>
  </si>
  <si>
    <t>Worker Willy</t>
  </si>
  <si>
    <t>Trainer ID 378</t>
  </si>
  <si>
    <t>Worker Braden</t>
  </si>
  <si>
    <t>Defense Curl / Sandstorm / Rollout / Bulldoze</t>
  </si>
  <si>
    <t>Trainer ID 379</t>
  </si>
  <si>
    <t>Worker Brendon</t>
  </si>
  <si>
    <t>Curse / Rock Slide / Screech / Sand Tomb</t>
  </si>
  <si>
    <t>Crunch / Thunder Fang / Ice Fang / Rock Slide</t>
  </si>
  <si>
    <t>Trainer ID 380</t>
  </si>
  <si>
    <t>Worker Quentin</t>
  </si>
  <si>
    <t>Sandstorm / Harden / Smack Down / Stealth Rock</t>
  </si>
  <si>
    <t>Bind / Curse / Rock Slide / Sand Tomb</t>
  </si>
  <si>
    <t>Trainer ID 381</t>
  </si>
  <si>
    <t>Trainer ID 382</t>
  </si>
  <si>
    <t>Venoshock / Leech Life / Toxic / Bug Buzz</t>
  </si>
  <si>
    <t>Confuse Ray / Payback / Extrasensory / Heavy Slam</t>
  </si>
  <si>
    <t>Trainer ID 383</t>
  </si>
  <si>
    <t>Smokescreen / Venoshock / Toxic / Night Slash</t>
  </si>
  <si>
    <t>Trainer ID 384</t>
  </si>
  <si>
    <t>Tackle / String Shot / Poison Sting / Bug Bite</t>
  </si>
  <si>
    <t>String Shot / Poison Sting / Bug Bite / Harden</t>
  </si>
  <si>
    <t>Psybeam / Leech Life / Toxic / Bug Buzz</t>
  </si>
  <si>
    <t>Trainer ID 385</t>
  </si>
  <si>
    <t>Confuse Ray / Gyro Ball / Extrasensory / Iron Defense</t>
  </si>
  <si>
    <t>Bite / Venoshock / Toxic / Night Slash</t>
  </si>
  <si>
    <t>Trainer ID 386</t>
  </si>
  <si>
    <t>Trainer ID 387</t>
  </si>
  <si>
    <t>Venoshock / Toxic / Memento / Night Slash</t>
  </si>
  <si>
    <t>Mud-Slap / Revenge / Sucker Punch / Toxic</t>
  </si>
  <si>
    <t>Trainer ID 388</t>
  </si>
  <si>
    <t>Confuse Ray / Extrasensory / Heavy Slam / Iron Defense</t>
  </si>
  <si>
    <t>Trainer ID 389</t>
  </si>
  <si>
    <t>Psybeam / Light Screen / Toxic / Bug Buzz</t>
  </si>
  <si>
    <t>Trainer ID 390</t>
  </si>
  <si>
    <t>Screech / Astonish / Poison Fang / Bite</t>
  </si>
  <si>
    <t>Trainer ID 391</t>
  </si>
  <si>
    <t>Venoshock / Screech / Toxic / Night Slash</t>
  </si>
  <si>
    <t>Trainer ID 392</t>
  </si>
  <si>
    <t>Absorb / Poison Fang / Air Cutter / Bite</t>
  </si>
  <si>
    <t>Trainer ID 393</t>
  </si>
  <si>
    <t>Confuse Ray / Payback / Extrasensory / Iron Defense</t>
  </si>
  <si>
    <t>Trainer ID 394</t>
  </si>
  <si>
    <t>Light Screen / Toxic / Bug Buzz / Protect</t>
  </si>
  <si>
    <t>Trainer ID 395</t>
  </si>
  <si>
    <t>Growl / Hypnosis / Aerial Ace / Retaliate</t>
  </si>
  <si>
    <t>Trainer ID 396</t>
  </si>
  <si>
    <t>Stun Spore / Leech Life / Giga Drain / Quiver Dance</t>
  </si>
  <si>
    <t>Trainer ID 397</t>
  </si>
  <si>
    <t>Air Cutter / Leech Life / Attract / Bug Buzz</t>
  </si>
  <si>
    <t>Trainer ID 398</t>
  </si>
  <si>
    <t>Hypnosis / Safeguard / Extrasensory / Heavy Slam</t>
  </si>
  <si>
    <t>Trainer ID 399</t>
  </si>
  <si>
    <t>Fake Out / Hypnosis / Aerial Ace / Retaliate</t>
  </si>
  <si>
    <t>Trainer ID 400</t>
  </si>
  <si>
    <t>Trainer ID 401</t>
  </si>
  <si>
    <t>Confuse Ray / Payback / Gyro Ball / Reflect</t>
  </si>
  <si>
    <t>Poison Fang / Bite / Haze / U-turn</t>
  </si>
  <si>
    <t>Aerial Ace / Body Slam / Dig / U-turn</t>
  </si>
  <si>
    <t>Trainer ID 402</t>
  </si>
  <si>
    <t>Roughneck Kirby</t>
  </si>
  <si>
    <t>Sing / Sweet Kiss / Disarming Voice / Encore</t>
  </si>
  <si>
    <t>Trainer ID 403</t>
  </si>
  <si>
    <t>Poké Fan Leonard</t>
  </si>
  <si>
    <t>Nuzzle / Thunder Shock / Quick Attack / Electro Ball</t>
  </si>
  <si>
    <t>Trainer ID 404</t>
  </si>
  <si>
    <t>Poké Fan Rebekah</t>
  </si>
  <si>
    <t>Trainer ID 405</t>
  </si>
  <si>
    <t>Youngster Oliver</t>
  </si>
  <si>
    <t>Poison Gas / Acid Spray / Fury Swipes / Focus Energy</t>
  </si>
  <si>
    <t>Fury Cutter / Growl / Pound / Absorb</t>
  </si>
  <si>
    <t>Trainer ID 406</t>
  </si>
  <si>
    <t>Ranchers Beth</t>
  </si>
  <si>
    <t>Trainer ID 407</t>
  </si>
  <si>
    <t>Ranchers Bob</t>
  </si>
  <si>
    <t>Growl / Quick Attack / Water Gun / Bite</t>
  </si>
  <si>
    <t>Trainer ID 408</t>
  </si>
  <si>
    <t>Young Couple Mike</t>
  </si>
  <si>
    <t>Peck / Astonish / Gust / Wing Attack</t>
  </si>
  <si>
    <t>Trainer ID 409</t>
  </si>
  <si>
    <t>Young Couple Nat</t>
  </si>
  <si>
    <t>Growl / Confusion / Astonish / Confuse Ray</t>
  </si>
  <si>
    <t>Trainer ID 410</t>
  </si>
  <si>
    <t>Aroma Lady Alison</t>
  </si>
  <si>
    <t>Trainer ID 411</t>
  </si>
  <si>
    <t>Artist Ismael</t>
  </si>
  <si>
    <t>Wide Guard / Power Swap / Encore / Confusion</t>
  </si>
  <si>
    <t>Trainer ID 412</t>
  </si>
  <si>
    <t>Pokémon Breeder Kaylee</t>
  </si>
  <si>
    <t>Poison Gas / Acid Spray / Fury Swipes / Bite</t>
  </si>
  <si>
    <t>Growl / Water Gun / Bite / Swift</t>
  </si>
  <si>
    <t>Trainer ID 413</t>
  </si>
  <si>
    <t>Cameraman Darryl</t>
  </si>
  <si>
    <t>Nuzzle / Tail Whip / Growl / Spark</t>
  </si>
  <si>
    <t>Trainer ID 414</t>
  </si>
  <si>
    <t>Collector Eugene</t>
  </si>
  <si>
    <t>Disarming Voice / Encore / Growl / Minimize</t>
  </si>
  <si>
    <t>Disarming Voice / Growl / Minimize / Life Dew</t>
  </si>
  <si>
    <t>Trainer ID 415</t>
  </si>
  <si>
    <t>Poké Fan Meredith</t>
  </si>
  <si>
    <t>Tail Whip / Helping Hand / Aqua Tail / Play Rough</t>
  </si>
  <si>
    <t>Tail Whip / Sand Attack / Tickle / Fury Swipes</t>
  </si>
  <si>
    <t>Trainer ID 416</t>
  </si>
  <si>
    <t>PI Kendrick</t>
  </si>
  <si>
    <t>Trainer ID 417</t>
  </si>
  <si>
    <t>Gentleman Leonardo</t>
  </si>
  <si>
    <t>Growl / Quick Attack / Wing Attack / Endeavor</t>
  </si>
  <si>
    <t>Reflect / Psycho Shift / Air Slash / Extrasensory</t>
  </si>
  <si>
    <t>Trainer ID 418</t>
  </si>
  <si>
    <t>Madame Rebecca</t>
  </si>
  <si>
    <t>Mirror Coat / Magic Coat / Baby-Doll Eyes / Quick Attack</t>
  </si>
  <si>
    <t>Trainer ID 419</t>
  </si>
  <si>
    <t>Lass Blythe</t>
  </si>
  <si>
    <t>Growl / Headbutt / Taunt / Yawn</t>
  </si>
  <si>
    <t>Trainer ID 420</t>
  </si>
  <si>
    <t>Rich Boy Roman</t>
  </si>
  <si>
    <t>Trainer ID 421</t>
  </si>
  <si>
    <t>Lady Kylie</t>
  </si>
  <si>
    <t>Copycat / Flail / Rock Throw / Rock Tomb</t>
  </si>
  <si>
    <t>Thunder Shock / Tail Whip / Nuzzle / Charm</t>
  </si>
  <si>
    <t>Trainer ID 422</t>
  </si>
  <si>
    <t>Reporter Valerie</t>
  </si>
  <si>
    <t>Astonish / Gust / Wing Attack / Night Shade</t>
  </si>
  <si>
    <t>Trainer ID 423</t>
  </si>
  <si>
    <t>School Kid Esteban</t>
  </si>
  <si>
    <t>Tail Whip / Mud Shot / Slam / Yawn</t>
  </si>
  <si>
    <t>Trainer ID 424</t>
  </si>
  <si>
    <t>Scientist Emilio</t>
  </si>
  <si>
    <t>Trainer ID 425</t>
  </si>
  <si>
    <t>Beauty Gabriella</t>
  </si>
  <si>
    <t>Trainer ID 426</t>
  </si>
  <si>
    <t>Beauty Harley</t>
  </si>
  <si>
    <t>Trainer ID 427</t>
  </si>
  <si>
    <t>Veteran Emanuel</t>
  </si>
  <si>
    <t>Tackle / Confuse Ray / Payback / Gyro Ball</t>
  </si>
  <si>
    <t>Trainer ID 428</t>
  </si>
  <si>
    <t>Ruin Maniac Karl</t>
  </si>
  <si>
    <t>Trainer ID 429</t>
  </si>
  <si>
    <t>Bird Keeper Audrey</t>
  </si>
  <si>
    <t>Farfetch'd</t>
  </si>
  <si>
    <t>Slash / False Swipe / Knock Off / Aerial Ace</t>
  </si>
  <si>
    <t>Swellow</t>
  </si>
  <si>
    <t>Quick Attack / Endeavor / Brave Bird / Agility</t>
  </si>
  <si>
    <t>Trainer ID 430</t>
  </si>
  <si>
    <t>Bird Keeper Geneva</t>
  </si>
  <si>
    <t>Poison Fang / Mean Look / Venoshock / Air Cutter</t>
  </si>
  <si>
    <t>Xatu</t>
  </si>
  <si>
    <t>Future Sight / Confuse Ray / Night Shade / Wish</t>
  </si>
  <si>
    <t>Trainer ID 431</t>
  </si>
  <si>
    <t>Bird Keeper Krystal</t>
  </si>
  <si>
    <t>Dodrio</t>
  </si>
  <si>
    <t>Early Bird</t>
  </si>
  <si>
    <t>Drill Peck / Lunge / Quick Attack / Swords Dance</t>
  </si>
  <si>
    <t>Fearow</t>
  </si>
  <si>
    <t>Drill Run / Drill Peck / Roost / Assurance</t>
  </si>
  <si>
    <t>Night Slash / Swagger / Foul Play / Wing Attack</t>
  </si>
  <si>
    <t>Trainer ID 432</t>
  </si>
  <si>
    <t>Dragon Tamer Geoffrey</t>
  </si>
  <si>
    <t>Dratini</t>
  </si>
  <si>
    <t>Dragon Rush / Dragon Dance / Outrage / Safeguard</t>
  </si>
  <si>
    <t>Dragonair</t>
  </si>
  <si>
    <t>Dragon Rush / Dragon Dance / Aqua Tail / Safeguard</t>
  </si>
  <si>
    <t>Trainer ID 433</t>
  </si>
  <si>
    <t>Dragon Tamer Darien</t>
  </si>
  <si>
    <t>Trainer ID 434</t>
  </si>
  <si>
    <t>Dragon Tamer Keegan</t>
  </si>
  <si>
    <t>Rain Dance / Hydro Pump / Hyper Beam / Hurricane</t>
  </si>
  <si>
    <t>Trainer ID 435</t>
  </si>
  <si>
    <t>Dragon Tamer Stanley</t>
  </si>
  <si>
    <t>Seadra</t>
  </si>
  <si>
    <t>Dragon Pulse / Hydro Pump / Agility / Focus Energy</t>
  </si>
  <si>
    <t>Dragon Dance / Hyper Beam / Waterfall / Thrash</t>
  </si>
  <si>
    <t>Trainer ID 436</t>
  </si>
  <si>
    <t>Dragon Tamer Drake</t>
  </si>
  <si>
    <t>Vibrava</t>
  </si>
  <si>
    <t>Dragon Rush / Earthquake / Superpower / Crunch</t>
  </si>
  <si>
    <t>Agility / Hydro Pump / Dragon Pulse / Twister</t>
  </si>
  <si>
    <t>Thunder Wave / Rain Dance / Aqua Tail / Dragon Rush</t>
  </si>
  <si>
    <t>Trainer ID 437</t>
  </si>
  <si>
    <t>Dragon Tamer Kenny</t>
  </si>
  <si>
    <t>Bagon</t>
  </si>
  <si>
    <t>Double-Edge / Outrage / Zen Headbutt / Scary Face</t>
  </si>
  <si>
    <t>Shelgon</t>
  </si>
  <si>
    <t>Dragon Claw / Headbutt / Crunch / Dragon Breath</t>
  </si>
  <si>
    <t>Trainer ID 438</t>
  </si>
  <si>
    <t>Ace Trainer Rodolfo</t>
  </si>
  <si>
    <t>Lickitung</t>
  </si>
  <si>
    <t>Slam / Knock Off / Stomp / Lick</t>
  </si>
  <si>
    <t>Miltank</t>
  </si>
  <si>
    <t>Scrappy</t>
  </si>
  <si>
    <t>Milk Drink / Body Slam / Charm / Play Rough</t>
  </si>
  <si>
    <t>Trainer ID 439</t>
  </si>
  <si>
    <t>Ace Trainer Saul</t>
  </si>
  <si>
    <t>Tauros</t>
  </si>
  <si>
    <t>Thrash / Zen Headbutt / Swagger / Payback</t>
  </si>
  <si>
    <t>Trainer ID 440</t>
  </si>
  <si>
    <t>Ace Trainer Jose</t>
  </si>
  <si>
    <t>Hydro Pump / Zen Headbutt / Screech / Disable</t>
  </si>
  <si>
    <t>Sandslash</t>
  </si>
  <si>
    <t>Sand Tomb / Dig / Crush Claw / Slash</t>
  </si>
  <si>
    <t>Trainer ID 441</t>
  </si>
  <si>
    <t>Ace Trainer Felix</t>
  </si>
  <si>
    <t>Dusclops</t>
  </si>
  <si>
    <t>Curse / Will-O-Wisp / Night Shade / Shadow Sneak</t>
  </si>
  <si>
    <t>Salamence</t>
  </si>
  <si>
    <t>Dragon Claw / Crunch / Flamethrower / Fly</t>
  </si>
  <si>
    <t>Trainer ID 442</t>
  </si>
  <si>
    <t>Ace Trainer Quinn</t>
  </si>
  <si>
    <t>Pinsir</t>
  </si>
  <si>
    <t>Hyper Cutter</t>
  </si>
  <si>
    <t>Superpower / X-Scissor / Swords Dance / Guillotine</t>
  </si>
  <si>
    <t>Mightyena</t>
  </si>
  <si>
    <t>Crunch / Sucker Punch / Headbutt / Scary Face</t>
  </si>
  <si>
    <t>Trainer ID 443</t>
  </si>
  <si>
    <t>Ace Trainer Graham</t>
  </si>
  <si>
    <t>Skarmory</t>
  </si>
  <si>
    <t>Brave Bird / Steel Wing / Autotomize / Metal Sound</t>
  </si>
  <si>
    <t>Trainer ID 444</t>
  </si>
  <si>
    <t>Ace Trainer Keenan</t>
  </si>
  <si>
    <t>Primeape</t>
  </si>
  <si>
    <t>Vital Spirit</t>
  </si>
  <si>
    <t>Final Gambit / Outrage / Close Combat / Thrash</t>
  </si>
  <si>
    <t>Torkoal</t>
  </si>
  <si>
    <t>Drought</t>
  </si>
  <si>
    <t>Flamethrower / Lava Plume / Clear Smog / Rapid Spin</t>
  </si>
  <si>
    <t>Trainer ID 445</t>
  </si>
  <si>
    <t>Ace Trainer Stefan</t>
  </si>
  <si>
    <t>Larvitar</t>
  </si>
  <si>
    <t>Stone Edge / Earthquake / Crunch / Scary Face</t>
  </si>
  <si>
    <t>Magcargo</t>
  </si>
  <si>
    <t>Flamethrower / Ancient Power / Clear Smog / Body Slam</t>
  </si>
  <si>
    <t>Trainer ID 446</t>
  </si>
  <si>
    <t>Ace Trainer Skyler</t>
  </si>
  <si>
    <t>Loudred</t>
  </si>
  <si>
    <t>Hyper Voice / Roar / Rest / Sleep Talk</t>
  </si>
  <si>
    <t>Zen Headbutt / Take Down / Assurance / Swords Dance</t>
  </si>
  <si>
    <t>Trainer ID 447</t>
  </si>
  <si>
    <t>Ace Trainer Abel</t>
  </si>
  <si>
    <t>Aerodactyl</t>
  </si>
  <si>
    <t>Stone Edge / Take Down / Crunch / Iron Head</t>
  </si>
  <si>
    <t>Trainer ID 448</t>
  </si>
  <si>
    <t>Ace Trainer Deanna</t>
  </si>
  <si>
    <t>Flaaffy</t>
  </si>
  <si>
    <t>Discharge / Power Gem / Thunder Wave / Light Screen</t>
  </si>
  <si>
    <t>Tropius</t>
  </si>
  <si>
    <t>Solar Beam / Air Slash / Synthesis / Sunny Day</t>
  </si>
  <si>
    <t>Trainer ID 449</t>
  </si>
  <si>
    <t>Ace Trainer Ariana</t>
  </si>
  <si>
    <t>Double Hit / Astonish / Agility / Baton Pass</t>
  </si>
  <si>
    <t>Flame Wheel / Poison Jab / Smart Strike / Flame Charge</t>
  </si>
  <si>
    <t>Chansey</t>
  </si>
  <si>
    <t>Charm / Soft-Boiled / Disarming Voice / Covet</t>
  </si>
  <si>
    <t>Trainer ID 450</t>
  </si>
  <si>
    <t>Ace Trainer Dana</t>
  </si>
  <si>
    <t>Crunch / Sucker Punch / Thunder Fang / Scary Face</t>
  </si>
  <si>
    <t>Kirlia</t>
  </si>
  <si>
    <t>Hypnosis / Psychic / Calm Mind / Dream Eater</t>
  </si>
  <si>
    <t>Trainer ID 451</t>
  </si>
  <si>
    <t>Ace Trainer Mikayla</t>
  </si>
  <si>
    <t>Meowth</t>
  </si>
  <si>
    <t>Taunt / Play Rough / Feint / Bite</t>
  </si>
  <si>
    <t>Persian</t>
  </si>
  <si>
    <t>Fake Out / Slash / Taunt / Pay Day</t>
  </si>
  <si>
    <t>Hypno</t>
  </si>
  <si>
    <t>Future Sight / Psychic / Hypnosis / Disable</t>
  </si>
  <si>
    <t>Trainer ID 452</t>
  </si>
  <si>
    <t>Ace Trainer Meagan</t>
  </si>
  <si>
    <t>Delcatty</t>
  </si>
  <si>
    <t>Double-Edge / Play Rough / Feint Attack / Attract</t>
  </si>
  <si>
    <t>Yanma</t>
  </si>
  <si>
    <t>Compound Eyes</t>
  </si>
  <si>
    <t>Air Slash / Hypnosis / Detect / Ancient Power</t>
  </si>
  <si>
    <t>Trainer ID 453</t>
  </si>
  <si>
    <t>Ace Trainer Sandra</t>
  </si>
  <si>
    <t>Granbull</t>
  </si>
  <si>
    <t>Payback / Play Rough / Outrage / Scary Face</t>
  </si>
  <si>
    <t>Trainer ID 454</t>
  </si>
  <si>
    <t>Ace Trainer Kassandra</t>
  </si>
  <si>
    <t>Stantler</t>
  </si>
  <si>
    <t>Double-Edge / Lunge / Zen Headbutt / Hypnosis</t>
  </si>
  <si>
    <t>Power Whip / Crunch / Stockpile / Growth</t>
  </si>
  <si>
    <t>Trainer ID 455</t>
  </si>
  <si>
    <t>Ace Trainer Jasmin</t>
  </si>
  <si>
    <t>Crunch / X-Scissor / Cross Poison / Toxic</t>
  </si>
  <si>
    <t>Trainer ID 456</t>
  </si>
  <si>
    <t>Ace Trainer Natasha</t>
  </si>
  <si>
    <t>Dunsparce</t>
  </si>
  <si>
    <t>Glare / Double-Edge / Coil / Flail</t>
  </si>
  <si>
    <t>Scyther</t>
  </si>
  <si>
    <t>X-Scissor / Slash / Wing Attack / Fury Cutter</t>
  </si>
  <si>
    <t>Marowak</t>
  </si>
  <si>
    <t>Thrash / Bonemerang / Bone Rush / Retaliate</t>
  </si>
  <si>
    <t>Trainer ID 457</t>
  </si>
  <si>
    <t>Ace Trainer Monique</t>
  </si>
  <si>
    <t>Kangaskhan</t>
  </si>
  <si>
    <t>Fake Out / Sucker Punch / Outrage / Reversal</t>
  </si>
  <si>
    <t>Ursaring</t>
  </si>
  <si>
    <t>Quick Feet</t>
  </si>
  <si>
    <t>Rest / Snore / Slash / Payback</t>
  </si>
  <si>
    <t>Trainer ID 458</t>
  </si>
  <si>
    <t>Psychic Corbin</t>
  </si>
  <si>
    <t>Shuppet</t>
  </si>
  <si>
    <t>Knock Off / Sucker Punch / Shadow Sneak / Curse</t>
  </si>
  <si>
    <t>Duskull</t>
  </si>
  <si>
    <t>Curse / Will-O-Wisp / Payback / Shadow Sneak</t>
  </si>
  <si>
    <t>Trainer ID 459</t>
  </si>
  <si>
    <t>Psychic Sterling</t>
  </si>
  <si>
    <t>Baltoy</t>
  </si>
  <si>
    <t>Earth Power / Extrasensory / Rock Tomb / Ancient Power</t>
  </si>
  <si>
    <t>Grumpig</t>
  </si>
  <si>
    <t>Psychic / Power Gem / Magic Coat / Payback</t>
  </si>
  <si>
    <t>Trainer ID 460</t>
  </si>
  <si>
    <t>Psychic Daisy</t>
  </si>
  <si>
    <t>Slowpoke</t>
  </si>
  <si>
    <t>Psychic / Amnesia / Slack Off / Yawn</t>
  </si>
  <si>
    <t>Slowbro</t>
  </si>
  <si>
    <t>Psychic / Amnesia / Slack Off / Surf</t>
  </si>
  <si>
    <t>Trainer ID 461</t>
  </si>
  <si>
    <t>Psychic Chelsey</t>
  </si>
  <si>
    <t>Night Shade / Psychic / Wish / Future Sight</t>
  </si>
  <si>
    <t>Mystical Fire / Perish Song / Power Gem / Magical Leaf</t>
  </si>
  <si>
    <t>Trainer ID 462</t>
  </si>
  <si>
    <t>Black Belt Davon</t>
  </si>
  <si>
    <t>Mankey</t>
  </si>
  <si>
    <t>Final Gambit / Close Combat / Thrash / Cross Chop</t>
  </si>
  <si>
    <t>Makuhita</t>
  </si>
  <si>
    <t>Fake Out / Endure / Reversal / Heavy Slam</t>
  </si>
  <si>
    <t>Hariyama</t>
  </si>
  <si>
    <t>Trainer ID 463</t>
  </si>
  <si>
    <t>Black Belt Griffin</t>
  </si>
  <si>
    <t>Cacturne</t>
  </si>
  <si>
    <t>Spiky Shield / Leech Seed / Sucker Punch / Pin Missile</t>
  </si>
  <si>
    <t>Dynamic Punch / Knock Off / Strength / Low Sweep</t>
  </si>
  <si>
    <t>Trainer ID 464</t>
  </si>
  <si>
    <t>Black Belt Ray</t>
  </si>
  <si>
    <t>Tyrogue</t>
  </si>
  <si>
    <t>Tackle / Helping Hand / Fake Out / Focus Energy</t>
  </si>
  <si>
    <t>Bonemerang / Bone Rush / Thrash / Stomping Tantrum</t>
  </si>
  <si>
    <t>Breloom</t>
  </si>
  <si>
    <t>Poison Heal</t>
  </si>
  <si>
    <t>Spore / Drain Punch / Leech Seed / Mach Punch</t>
  </si>
  <si>
    <t>Trainer ID 465</t>
  </si>
  <si>
    <t>Black Belt Jarrett</t>
  </si>
  <si>
    <t>Dynamic Punch / Bulk Up / Knock Off / Focus Energy</t>
  </si>
  <si>
    <t>Trainer ID 466</t>
  </si>
  <si>
    <t>Pokémon Ranger Kyler</t>
  </si>
  <si>
    <t>Exeggcute</t>
  </si>
  <si>
    <t>Worry Seed / Leech Seed / Giga Drain / Extrasensory</t>
  </si>
  <si>
    <t>Scary Face / Rest / Snore / Thrash</t>
  </si>
  <si>
    <t>Trainer ID 467</t>
  </si>
  <si>
    <t>Pokémon Ranger Deshawn</t>
  </si>
  <si>
    <t>Spinda</t>
  </si>
  <si>
    <t>Psych Up / Double-Edge / Flail / Thrash</t>
  </si>
  <si>
    <t>Kecleon</t>
  </si>
  <si>
    <t>Color Change</t>
  </si>
  <si>
    <t>Screech / Substitute / Sucker Punch / Shadow Claw</t>
  </si>
  <si>
    <t>Trainer ID 468</t>
  </si>
  <si>
    <t>Pokémon Ranger Dwayne</t>
  </si>
  <si>
    <t>Donphan</t>
  </si>
  <si>
    <t>Earthquake / Giga Impact / Scary Face / Rock Tomb</t>
  </si>
  <si>
    <t>Trainer ID 469</t>
  </si>
  <si>
    <t>Pokémon Ranger Ashlee</t>
  </si>
  <si>
    <t>Zigzagoon</t>
  </si>
  <si>
    <t>Flail / Rest / Belly Drum / Headbutt</t>
  </si>
  <si>
    <t>Steel Wing / Brave Bird / Slash / Iron Defense</t>
  </si>
  <si>
    <t>Trainer ID 470</t>
  </si>
  <si>
    <t>Pokémon Ranger Felicia</t>
  </si>
  <si>
    <t>Stomp / Knock Off / Power Whip / Screech</t>
  </si>
  <si>
    <t>Vigoroth</t>
  </si>
  <si>
    <t>Reversal / Counter / Uproar / Encore</t>
  </si>
  <si>
    <t>Trainer ID 471</t>
  </si>
  <si>
    <t>Pokémon Ranger Krista</t>
  </si>
  <si>
    <t>Trapinch</t>
  </si>
  <si>
    <t>Crunch / Sand Tomb / Dig / Sandstorm</t>
  </si>
  <si>
    <t>Supersonic / Bug Buzz / Earth Power / Dragon Breath</t>
  </si>
  <si>
    <t>Trainer ID 472</t>
  </si>
  <si>
    <t>Swimmer Glenn</t>
  </si>
  <si>
    <t>Seel</t>
  </si>
  <si>
    <t>Dive / Aqua Tail / Ice Beam / Safeguard</t>
  </si>
  <si>
    <t>Starmie</t>
  </si>
  <si>
    <t>Hydro Pump / Psychic / Swift / Recover</t>
  </si>
  <si>
    <t>Trainer ID 473</t>
  </si>
  <si>
    <t>Swimmer Kurt</t>
  </si>
  <si>
    <t>Crawdaunt</t>
  </si>
  <si>
    <t>Taunt / Night Slash / Crabhammer / Swords Dance</t>
  </si>
  <si>
    <t>Trainer ID 474</t>
  </si>
  <si>
    <t>Swimmer Sam</t>
  </si>
  <si>
    <t>Chinchou</t>
  </si>
  <si>
    <t>Volt Absorb</t>
  </si>
  <si>
    <t>Discharge / Aqua Ring / Hydro Pump / Thunder Wave</t>
  </si>
  <si>
    <t>Lanturn</t>
  </si>
  <si>
    <t>Discharge / Aqua Ring / Bubble Beam / Stockpile</t>
  </si>
  <si>
    <t>Trainer ID 475</t>
  </si>
  <si>
    <t>Swimmer Wade</t>
  </si>
  <si>
    <t>Carvanha</t>
  </si>
  <si>
    <t>Crunch / Aqua Jet / Agility / Take Down</t>
  </si>
  <si>
    <t>Sharpedo</t>
  </si>
  <si>
    <t>Crunch / Aqua Jet / Agility / Ice Fang</t>
  </si>
  <si>
    <t>Trainer ID 476</t>
  </si>
  <si>
    <t>Swimmer Joanna</t>
  </si>
  <si>
    <t>Luvdisc</t>
  </si>
  <si>
    <t>Aqua Ring / Flail / Brine / Attract</t>
  </si>
  <si>
    <t>Lapras</t>
  </si>
  <si>
    <t>Ice Beam / Brine / Confuse Ray / Ice Shard</t>
  </si>
  <si>
    <t>Trainer ID 477</t>
  </si>
  <si>
    <t>Swimmer Sophia</t>
  </si>
  <si>
    <t>Hydro Pump / Aqua Ring / Supersonic / Air Slash</t>
  </si>
  <si>
    <t>Hydro Pump / Bounce / Aqua Ring / Air Slash</t>
  </si>
  <si>
    <t>Trainer ID 478</t>
  </si>
  <si>
    <t>Swimmer Mallory</t>
  </si>
  <si>
    <t>Take Down / Dive / Aqua Tail / Ice Beam</t>
  </si>
  <si>
    <t>Dewgong</t>
  </si>
  <si>
    <t>Aqua Jet / Dive / Aqua Tail / Aurora Beam</t>
  </si>
  <si>
    <t>Trainer ID 479</t>
  </si>
  <si>
    <t>Swimmer Lydia</t>
  </si>
  <si>
    <t>Super Fang / Take Down / Amnesia / Aqua Jet</t>
  </si>
  <si>
    <t>Superpower / Aqua Tail / Double-Edge / Play Rough</t>
  </si>
  <si>
    <t>Sealeo</t>
  </si>
  <si>
    <t>Surf / Blizzard / Rest / Snore</t>
  </si>
  <si>
    <t>Trainer ID 480</t>
  </si>
  <si>
    <t>Veteran Harlan</t>
  </si>
  <si>
    <t>Uproar / Supersonic / Roar / Stomp</t>
  </si>
  <si>
    <t>Earthquake / Rock Tomb / Knock Off / Rollout</t>
  </si>
  <si>
    <t>Double-Edge / Zen Headbutt / Payback / Swagger</t>
  </si>
  <si>
    <t>Trainer ID 481</t>
  </si>
  <si>
    <t>Munchlax</t>
  </si>
  <si>
    <t>Lick / Covet / Bite / Body Slam</t>
  </si>
  <si>
    <t>Close Combat / Quick Attack / Double Team / Pluck</t>
  </si>
  <si>
    <t>Leer / Brick Break / Pin Missile / Thief</t>
  </si>
  <si>
    <t>Trainer ID 482</t>
  </si>
  <si>
    <t>Pokémon Trainer Cheryl</t>
  </si>
  <si>
    <t>Healer</t>
  </si>
  <si>
    <t>Sweet Kiss / Disarming Voice / Tail Whip / Life Dew</t>
  </si>
  <si>
    <t>Trainer ID 483</t>
  </si>
  <si>
    <t>Pokémon Trainer Riley</t>
  </si>
  <si>
    <t>Screech / Force Palm / Metal Claw / Laser Focus</t>
  </si>
  <si>
    <t>Trainer ID 484</t>
  </si>
  <si>
    <t>Pokémon Trainer Marley</t>
  </si>
  <si>
    <t>Arcanine</t>
  </si>
  <si>
    <t>Burn Up / Helping Hand / Leer / Howl</t>
  </si>
  <si>
    <t>Trainer ID 485</t>
  </si>
  <si>
    <t>Pokémon Trainer Buck</t>
  </si>
  <si>
    <t>Claydol</t>
  </si>
  <si>
    <t>Ancient Power / Cosmic Power / Extrasensory / Earth Power</t>
  </si>
  <si>
    <t>Trainer ID 486</t>
  </si>
  <si>
    <t>Pokémon Trainer Mira</t>
  </si>
  <si>
    <t>Trainer ID 487</t>
  </si>
  <si>
    <t>Pokémon Trainer Lucas</t>
  </si>
  <si>
    <t>Tackle / Withdraw / Absorb / Razor Leaf</t>
  </si>
  <si>
    <t>Trainer ID 488</t>
  </si>
  <si>
    <t>Scratch / Leer / Ember / Taunt</t>
  </si>
  <si>
    <t>Trainer ID 489</t>
  </si>
  <si>
    <t>Pound / Growl / Water Gun</t>
  </si>
  <si>
    <t>Trainer ID 490</t>
  </si>
  <si>
    <t>Pokémon Trainer Dawn</t>
  </si>
  <si>
    <t>Trainer ID 491</t>
  </si>
  <si>
    <t>Trainer ID 492</t>
  </si>
  <si>
    <t>Trainer ID 493</t>
  </si>
  <si>
    <t>Sweet Scent / Giga Drain / Toxic / Grass Knot</t>
  </si>
  <si>
    <t>Trainer ID 494</t>
  </si>
  <si>
    <t>Trainer ID 495</t>
  </si>
  <si>
    <t>Sing / Disarming Voice / Growl / Life Dew</t>
  </si>
  <si>
    <t>Metal Claw / Growl / Peck / Bubble Beam</t>
  </si>
  <si>
    <t>Trainer ID 496</t>
  </si>
  <si>
    <t>Trainer ID 497</t>
  </si>
  <si>
    <t>Mach Punch / Leer / Taunt / Flame Wheel</t>
  </si>
  <si>
    <t>Trainer ID 498</t>
  </si>
  <si>
    <t>Trainer ID 499</t>
  </si>
  <si>
    <t>Trainer ID 500</t>
  </si>
  <si>
    <t>Trainer ID 501</t>
  </si>
  <si>
    <t>Trainer ID 502</t>
  </si>
  <si>
    <t>Stun Spore / Leech Seed / Magical Leaf / Giga Drain</t>
  </si>
  <si>
    <t>Trainer ID 503</t>
  </si>
  <si>
    <t>Leech Seed / Giga Drain / Toxic / Petal Blizzard</t>
  </si>
  <si>
    <t>Trainer ID 504</t>
  </si>
  <si>
    <t>Artist Kevin</t>
  </si>
  <si>
    <t>Encore / Copycat / Pound / Psybeam</t>
  </si>
  <si>
    <t>Flail / Wood Hammer / Tearful Look / Sucker Punch</t>
  </si>
  <si>
    <t>Trainer ID 505</t>
  </si>
  <si>
    <t>Encore / Psybeam / Mimic / Light Screen</t>
  </si>
  <si>
    <t>Flail / Wood Hammer / Tearful Look / Low Kick</t>
  </si>
  <si>
    <t>Trainer ID 506</t>
  </si>
  <si>
    <t>Mimic / Light Screen / Dazzling Gleam / Psychic</t>
  </si>
  <si>
    <t>Wood Hammer / Tearful Look / Double-Edge / Head Smash</t>
  </si>
  <si>
    <t>Trainer ID 507</t>
  </si>
  <si>
    <t>Low Kick / Force Palm / Psybeam / High Jump Kick</t>
  </si>
  <si>
    <t>Trainer ID 508</t>
  </si>
  <si>
    <t>Fire Punch / Thunder Punch / Ice Punch / Low Kick</t>
  </si>
  <si>
    <t>Trainer ID 509</t>
  </si>
  <si>
    <t>Fire Punch / Thunder Punch / Ice Punch / Recover</t>
  </si>
  <si>
    <t>Knock Off / Strength / Dual Chop / Cross Chop</t>
  </si>
  <si>
    <t>Trainer ID 510</t>
  </si>
  <si>
    <t>Sky Attack / Peck / Uproar / Roost</t>
  </si>
  <si>
    <t>Trainer ID 511</t>
  </si>
  <si>
    <t>Growl / Reflect / Air Slash / Moonblast</t>
  </si>
  <si>
    <t>Trainer ID 512</t>
  </si>
  <si>
    <t>Trainer ID 513</t>
  </si>
  <si>
    <t>Wood Hammer / Flail / Rock Throw / Tearful Look</t>
  </si>
  <si>
    <t>Nuzzle / Charm / Electro Ball / Spark</t>
  </si>
  <si>
    <t>Trainer ID 514</t>
  </si>
  <si>
    <t>Flail / Tearful Look / Sucker Punch / Low Kick</t>
  </si>
  <si>
    <t>Leech Seed / Magical Leaf / Giga Drain / Synthesis</t>
  </si>
  <si>
    <t>Nuzzle / Charm / Spark / Discharge</t>
  </si>
  <si>
    <t>Trainer ID 515</t>
  </si>
  <si>
    <t>Flail / Tearful Look / Sucker Punch / Counter</t>
  </si>
  <si>
    <t>Leech Seed / Giga Drain / Synthesis / Toxic</t>
  </si>
  <si>
    <t>Trainer ID 516</t>
  </si>
  <si>
    <t>Pound / Copycat / Encore / Psybeam</t>
  </si>
  <si>
    <t>Pound / Disarming Voice / Charm / Moonlight</t>
  </si>
  <si>
    <t>Trainer ID 517</t>
  </si>
  <si>
    <t>Pound / Encore / Psybeam / Reflect</t>
  </si>
  <si>
    <t>Poison Sting / Leech Seed / Magical Leaf / Giga Drain</t>
  </si>
  <si>
    <t>Charm / Pound / Moonlight / Meteor Mash</t>
  </si>
  <si>
    <t>Trainer ID 518</t>
  </si>
  <si>
    <t>Reflect / Sucker Punch / Dazzling Gleam / Psychic</t>
  </si>
  <si>
    <t>Charm / Moonlight / Meteor Mash / Moonblast</t>
  </si>
  <si>
    <t>Trainer ID 519</t>
  </si>
  <si>
    <t>Sandstorm / Harden / Rock Throw / Smack Down</t>
  </si>
  <si>
    <t>Trainer ID 520</t>
  </si>
  <si>
    <t>Trainer ID 521</t>
  </si>
  <si>
    <t>Sandstorm / Earthquake / Double-Edge / Stone Edge</t>
  </si>
  <si>
    <t>Trainer ID 522</t>
  </si>
  <si>
    <t>Air Slash / Tailwind / Water Pulse / Roost</t>
  </si>
  <si>
    <t>Yawn / Crunch / Earthquake / Slack Off</t>
  </si>
  <si>
    <t>Trainer ID 523</t>
  </si>
  <si>
    <t>Leech Seed / Synthesis / Toxic / Ingrain</t>
  </si>
  <si>
    <t>Peck / Flail / Waterfall / Megahorn</t>
  </si>
  <si>
    <t>Trainer ID 524</t>
  </si>
  <si>
    <t>Yawn / Sand Tomb / Crunch / Earthquake</t>
  </si>
  <si>
    <t>Crunch / Double-Edge / Fissure / Slack Off</t>
  </si>
  <si>
    <t>Crunch / Double-Edge / Earthquake / Slack Off</t>
  </si>
  <si>
    <t>Trainer ID 525</t>
  </si>
  <si>
    <t>Growl / Double Team / Endeavor / Aerial Ace</t>
  </si>
  <si>
    <t>Trainer ID 526</t>
  </si>
  <si>
    <t>Growl / Double Team / Aerial Ace / Take Down</t>
  </si>
  <si>
    <t>Quick Attack / Double Team / Aerial Ace / Take Down</t>
  </si>
  <si>
    <t>Trainer ID 527</t>
  </si>
  <si>
    <t>Growl / Take Down / Brave Bird / Final Gambit</t>
  </si>
  <si>
    <t>Quick Attack / Close Combat / Take Down / Brave Bird</t>
  </si>
  <si>
    <t>Trainer ID 528</t>
  </si>
  <si>
    <t>Quick Attack / Tail Whip / Nuzzle / Spark</t>
  </si>
  <si>
    <t>Trainer ID 529</t>
  </si>
  <si>
    <t>Tail Whip / Nuzzle / Spark / Slam</t>
  </si>
  <si>
    <t>Trainer ID 530</t>
  </si>
  <si>
    <t>Tail Whip / Nuzzle / Slam / Thunder Punch</t>
  </si>
  <si>
    <t>Trainer ID 531</t>
  </si>
  <si>
    <t>Trainer ID 532</t>
  </si>
  <si>
    <t>Bite / Dragon Claw / Dig / Sandstorm</t>
  </si>
  <si>
    <t>Trainer ID 533</t>
  </si>
  <si>
    <t>Dragon Pulse / Moonblast / Round / Perish Song</t>
  </si>
  <si>
    <t>Trainer ID 534</t>
  </si>
  <si>
    <t>Trainer ID 535</t>
  </si>
  <si>
    <t>Double Team / Endeavor / Whirlwind / Brave Bird</t>
  </si>
  <si>
    <t>Assurance / Stomp / Nasty Plot / Psychic</t>
  </si>
  <si>
    <t>Trainer ID 536</t>
  </si>
  <si>
    <t>Leer / Flame Wheel / Torment / Close Combat</t>
  </si>
  <si>
    <t>Leer / Bite / Spark / Scary Face</t>
  </si>
  <si>
    <t>Leer / Brine / Rain Dance / Aqua Tail</t>
  </si>
  <si>
    <t>Trainer ID 537</t>
  </si>
  <si>
    <t>Leer / Torment / Close Combat / Flare Blitz</t>
  </si>
  <si>
    <t>Leer / Spark / Thunder Wave / Crunch</t>
  </si>
  <si>
    <t>Leer / Rain Dance / Aqua Tail / Hurricane</t>
  </si>
  <si>
    <t>Trainer ID 538</t>
  </si>
  <si>
    <t>Belly Drum / Power Whip / Knock Off / Stomp</t>
  </si>
  <si>
    <t>Trainer ID 539</t>
  </si>
  <si>
    <t>Trainer ID 540</t>
  </si>
  <si>
    <t>Morning Sun / Growth / Leech Seed / Petal Blizzard</t>
  </si>
  <si>
    <t>Bounce / Aqua Tail / Play Rough / Superpower</t>
  </si>
  <si>
    <t>Mirror Coat / Charm / Headbutt / Flatter</t>
  </si>
  <si>
    <t>Trainer ID 541</t>
  </si>
  <si>
    <t>Growl / Aerial Ace / Retaliate / Slash</t>
  </si>
  <si>
    <t>Reflect / Ally Switch / Recover / Psyshock</t>
  </si>
  <si>
    <t>Trainer ID 542</t>
  </si>
  <si>
    <t>Growl / Aerial Ace / Retaliate / Body Slam</t>
  </si>
  <si>
    <t>Reflect / Ally Switch / Recover / Psychic</t>
  </si>
  <si>
    <t>Trainer ID 543</t>
  </si>
  <si>
    <t>Ampharos</t>
  </si>
  <si>
    <t>Discharge / Power Gem / Thunder Wave / Fire Punch</t>
  </si>
  <si>
    <t>Leaf Storm / Air Slash / Sunny Day / Growth</t>
  </si>
  <si>
    <t>Trainer ID 544</t>
  </si>
  <si>
    <t>Trainer ID 545</t>
  </si>
  <si>
    <t>Confuse Ray / Mean Look / Curse / Hex</t>
  </si>
  <si>
    <t>Reflect / Psycho Cut / Recover / Psychic</t>
  </si>
  <si>
    <t>Trainer ID 546</t>
  </si>
  <si>
    <t>Confuse Ray / Mean Look / Curse / Destiny Bond</t>
  </si>
  <si>
    <t>Psycho Cut / Recover / Future Sight / Calm Mind</t>
  </si>
  <si>
    <t>Trainer ID 547</t>
  </si>
  <si>
    <t>Trainer ID 548</t>
  </si>
  <si>
    <t>Banette</t>
  </si>
  <si>
    <t>Shadow Force / Sucker Punch / Shadow Sneak / Curse</t>
  </si>
  <si>
    <t>Trainer ID 549</t>
  </si>
  <si>
    <t>Confuse Ray / Payback / Hex / Night Shade</t>
  </si>
  <si>
    <t>Confuse Ray / Hex / Psybeam / Payback</t>
  </si>
  <si>
    <t>Psycho Cut / Recover / Psyshock / Psychic</t>
  </si>
  <si>
    <t>Trainer ID 550</t>
  </si>
  <si>
    <t>Confuse Ray / Payback / Night Shade / Dark Pulse</t>
  </si>
  <si>
    <t>Psybeam / Payback / Shadow Ball / Power Gem</t>
  </si>
  <si>
    <t>Recover / Psyshock / Psychic / Future Sight</t>
  </si>
  <si>
    <t>Trainer ID 551</t>
  </si>
  <si>
    <t>High Jump Kick / Ice Punch / Reversal / Feint</t>
  </si>
  <si>
    <t>Trainer ID 552</t>
  </si>
  <si>
    <t>Trainer ID 553</t>
  </si>
  <si>
    <t>Sand Attack / Screech / Double Hit / Fling</t>
  </si>
  <si>
    <t>Aqua Jet / Confusion / Water Pulse / Soak</t>
  </si>
  <si>
    <t>Growl / Stomp / Psybeam / Crunch</t>
  </si>
  <si>
    <t>Trainer ID 554</t>
  </si>
  <si>
    <t>Growl / Stomp / Crunch / Psychic</t>
  </si>
  <si>
    <t>Trainer ID 555</t>
  </si>
  <si>
    <t>Trainer ID 556</t>
  </si>
  <si>
    <t>Tail Whip / Supersonic / Horn Attack / Waterfall</t>
  </si>
  <si>
    <t>Trainer ID 557</t>
  </si>
  <si>
    <t>Leer / Rain Dance / Hydro Pump / Hurricane</t>
  </si>
  <si>
    <t>Trainer ID 558</t>
  </si>
  <si>
    <t>Twister / Rain Dance / Hydro Pump / Hurricane</t>
  </si>
  <si>
    <t>Trainer ID 559</t>
  </si>
  <si>
    <t>Nuzzle / Growl / Quick Attack / Light Screen</t>
  </si>
  <si>
    <t>Trainer ID 560</t>
  </si>
  <si>
    <t>Disarming Voice / Defense Curl / Life Dew / Follow Me</t>
  </si>
  <si>
    <t>Trainer ID 561</t>
  </si>
  <si>
    <t>Nuzzle / Thunderbolt / Light Screen / Growl</t>
  </si>
  <si>
    <t>Trainer ID 562</t>
  </si>
  <si>
    <t>Life Dew / Follow Me / Cosmic Power / Moonblast</t>
  </si>
  <si>
    <t>Trainer ID 563</t>
  </si>
  <si>
    <t>Peck / Water Pulse / Aqua Ring / Waterfall</t>
  </si>
  <si>
    <t>Peck / Agility / Flail / Waterfall</t>
  </si>
  <si>
    <t>Trainer ID 564</t>
  </si>
  <si>
    <t>Tail Whip / Supersonic / Water Pulse / Soak</t>
  </si>
  <si>
    <t>Peck / Aqua Ring / Waterfall / Megahorn</t>
  </si>
  <si>
    <t>Agility / Flail / Waterfall / Horn Drill</t>
  </si>
  <si>
    <t>Trainer ID 565</t>
  </si>
  <si>
    <t>Hyper Voice / Chatter / Confide / Fury Attack</t>
  </si>
  <si>
    <t>Trainer ID 566</t>
  </si>
  <si>
    <t>Hyper Voice / Chatter / Confide / Mimic</t>
  </si>
  <si>
    <t>Trainer ID 567</t>
  </si>
  <si>
    <t>Hyper Voice / Chatter / Confide / Roost</t>
  </si>
  <si>
    <t>Trainer ID 568</t>
  </si>
  <si>
    <t>Trainer ID 569</t>
  </si>
  <si>
    <t>Trainer ID 570</t>
  </si>
  <si>
    <t>Trainer ID 571</t>
  </si>
  <si>
    <t>Smart Strike / Megahorn / Tail Whip / Flame Wheel</t>
  </si>
  <si>
    <t>Trainer ID 572</t>
  </si>
  <si>
    <t>Leer / Charge / Spark / Crunch</t>
  </si>
  <si>
    <t>Close Combat / Double Team / Take Down / Brave Bird</t>
  </si>
  <si>
    <t>Trainer ID 573</t>
  </si>
  <si>
    <t>Trainer ID 574</t>
  </si>
  <si>
    <t>Trainer ID 575</t>
  </si>
  <si>
    <t>Trainer ID 576</t>
  </si>
  <si>
    <t>Giga Drain / Toxic / Ingrain / Petal Dance</t>
  </si>
  <si>
    <t>Trainer ID 577</t>
  </si>
  <si>
    <t>Trainer ID 578</t>
  </si>
  <si>
    <t>Poison Sting / Magical Leaf / Giga Drain</t>
  </si>
  <si>
    <t>Trainer ID 579</t>
  </si>
  <si>
    <t>Giga Drain / Toxic / Petal Blizzard</t>
  </si>
  <si>
    <t>Trainer ID 580</t>
  </si>
  <si>
    <t>Quick Attack / Wing Attack / Endeavor</t>
  </si>
  <si>
    <t>Growl / Headbutt / Taunt</t>
  </si>
  <si>
    <t>Trainer ID 581</t>
  </si>
  <si>
    <t>Quick Attack / Endeavor / Aerial Ace</t>
  </si>
  <si>
    <t>Aqua Jet / Headbutt / Crunch</t>
  </si>
  <si>
    <t>Trainer ID 582</t>
  </si>
  <si>
    <t>Quick Attack / Aerial Ace / Close Combat</t>
  </si>
  <si>
    <t>Aqua Jet / Headbutt / Crunch / Super Fang</t>
  </si>
  <si>
    <t>Trainer ID 583</t>
  </si>
  <si>
    <t>Tackle / Smack Down / Curse / Screech</t>
  </si>
  <si>
    <t>Trainer ID 584</t>
  </si>
  <si>
    <t>Smack Down / Curse / Screech / Stealth Rock</t>
  </si>
  <si>
    <t>Tackle / Smack Down / Curse / Crunch</t>
  </si>
  <si>
    <t>Trainer ID 585</t>
  </si>
  <si>
    <t>Screech / Stealth Rock / Sandstorm / Stone Edge</t>
  </si>
  <si>
    <t>Crunch / Dig / Stone Edge / Double-Edge</t>
  </si>
  <si>
    <t>Trainer ID 586</t>
  </si>
  <si>
    <t>Growl / Pound / Struggle Bug / Bug Bite</t>
  </si>
  <si>
    <t>Trainer ID 587</t>
  </si>
  <si>
    <t>Struggle Bug / Absorb / Sing / Focus Energy</t>
  </si>
  <si>
    <t>Trainer ID 588</t>
  </si>
  <si>
    <t>Absorb / Sing / Focus Energy / Bug Buzz</t>
  </si>
  <si>
    <t>Air Cutter / Giga Drain / Bug Buzz / Quiver Dance</t>
  </si>
  <si>
    <t>Trainer ID 589</t>
  </si>
  <si>
    <t>Trainer ID 590</t>
  </si>
  <si>
    <t>Peck / Supersonic / Horn Attack / Waterfall</t>
  </si>
  <si>
    <t>Tail Whip / Bite / Swift / Waterfall</t>
  </si>
  <si>
    <t>Trainer ID 591</t>
  </si>
  <si>
    <t>Ice Fang / Crunch / Tail Whip / Waterfall</t>
  </si>
  <si>
    <t>Trainer ID 592</t>
  </si>
  <si>
    <t>Growl / Peck / Bubble Beam</t>
  </si>
  <si>
    <t>Trainer ID 593</t>
  </si>
  <si>
    <t>Peck / Metal Claw / Bubble Beam / Fury Attack</t>
  </si>
  <si>
    <t>Trainer ID 594</t>
  </si>
  <si>
    <t>Metal Claw / Aqua Jet / Brine / Drill Peck</t>
  </si>
  <si>
    <t>Trainer ID 595</t>
  </si>
  <si>
    <t>Sweet Kiss / Charm / Spark / Slam</t>
  </si>
  <si>
    <t>Trainer ID 596</t>
  </si>
  <si>
    <t>Sweet Kiss / Charm / Slam / Thunderbolt</t>
  </si>
  <si>
    <t>Trainer ID 597</t>
  </si>
  <si>
    <t>Sweet Kiss / Charm / Slam / Thunder</t>
  </si>
  <si>
    <t>Trainer ID 598</t>
  </si>
  <si>
    <t>Growl / Psycho Shift / Air Slash / Extrasensory</t>
  </si>
  <si>
    <t>Trainer ID 599</t>
  </si>
  <si>
    <t>Psycho Shift / Air Slash / Extrasensory / Roost</t>
  </si>
  <si>
    <t>Trainer ID 600</t>
  </si>
  <si>
    <t>Psycho Shift / Moonblast / Hypnosis / Dream Eater</t>
  </si>
  <si>
    <t>Leer / Knock Off / Dual Chop / Dynamic Punch</t>
  </si>
  <si>
    <t>Trainer ID 601</t>
  </si>
  <si>
    <t>Trainer ID 602</t>
  </si>
  <si>
    <t>Trainer ID 603</t>
  </si>
  <si>
    <t>Defense Curl / Baby-Doll Eyes / Quick Attack / Double Kick</t>
  </si>
  <si>
    <t>Trainer ID 604</t>
  </si>
  <si>
    <t>Quick Attack / Double Kick / Headbutt / Entrainment</t>
  </si>
  <si>
    <t>Trainer ID 605</t>
  </si>
  <si>
    <t>Headbutt / Entrainment / Bounce / High Jump Kick</t>
  </si>
  <si>
    <t>Trainer ID 606</t>
  </si>
  <si>
    <t>Leer / Bite / Spark / Volt Switch</t>
  </si>
  <si>
    <t>Bite / Swift / Aqua Jet / Whirlpool</t>
  </si>
  <si>
    <t>Trainer ID 607</t>
  </si>
  <si>
    <t>Ice Fang / Crunch / Aqua Jet / Whirlpool</t>
  </si>
  <si>
    <t>Trainer ID 608</t>
  </si>
  <si>
    <t>Leer / Volt Switch / Crunch / Discharge</t>
  </si>
  <si>
    <t>Ice Fang / Crunch / Aqua Jet / Waterfall</t>
  </si>
  <si>
    <t>Trainer ID 609</t>
  </si>
  <si>
    <t>Exeggutor</t>
  </si>
  <si>
    <t>Worry Seed / Leech Seed / Leaf Storm / Psyshock</t>
  </si>
  <si>
    <t>Trainer ID 610</t>
  </si>
  <si>
    <t>Astonish / Tickle / Fury Swipes / Swift</t>
  </si>
  <si>
    <t>Trainer ID 611</t>
  </si>
  <si>
    <t>Astonish / Tickle / Double Hit / Fling</t>
  </si>
  <si>
    <t>Trainer ID 612</t>
  </si>
  <si>
    <t>Dual Chop / Tickle / Double Hit / Fling</t>
  </si>
  <si>
    <t>Bubble Beam / Bounce / Play Rough / Superpower</t>
  </si>
  <si>
    <t>Trainer ID 613</t>
  </si>
  <si>
    <t>Linoone</t>
  </si>
  <si>
    <t>Slash / Rest / Belly Drum / Double-Edge</t>
  </si>
  <si>
    <t>Trainer ID 614</t>
  </si>
  <si>
    <t>Roost / Air Slash / Aqua Ring / Hydro Pump</t>
  </si>
  <si>
    <t>Air Slash / Water Pulse / Stockpile / Roost</t>
  </si>
  <si>
    <t>Trainer ID 615</t>
  </si>
  <si>
    <t>Water Pulse / Stockpile / Roost / Hurricane</t>
  </si>
  <si>
    <t>Trainer ID 616</t>
  </si>
  <si>
    <t>Tailwind / Water Pulse / Roost / Hurricane</t>
  </si>
  <si>
    <t>Trainer ID 617</t>
  </si>
  <si>
    <t>Kinesis / Teleport / Reflect / Psyshock</t>
  </si>
  <si>
    <t>Disable / Psybeam / Psycho Cut / Recover</t>
  </si>
  <si>
    <t>Trainer ID 618</t>
  </si>
  <si>
    <t>Kinesis / Teleport / Reflect / Psychic</t>
  </si>
  <si>
    <t>Disable / Recover / Psyshock / Psychic</t>
  </si>
  <si>
    <t>Trainer ID 619</t>
  </si>
  <si>
    <t>Disable / Recover / Future Sight / Calm Mind</t>
  </si>
  <si>
    <t>Trainer ID 620</t>
  </si>
  <si>
    <t>Trainer ID 621</t>
  </si>
  <si>
    <t>Astonish / Poison Fang / Air Cutter / Bite</t>
  </si>
  <si>
    <t>Trainer ID 622</t>
  </si>
  <si>
    <t>Tailwind / Cross Poison / Toxic / Bite</t>
  </si>
  <si>
    <t>Absorb / Toxic / Air Cutter / Venoshock</t>
  </si>
  <si>
    <t>Trainer ID 623</t>
  </si>
  <si>
    <t>Trainer ID 624</t>
  </si>
  <si>
    <t>Aerial Ace / Body Slam / Attract / Hone Claws</t>
  </si>
  <si>
    <t>Trainer ID 625</t>
  </si>
  <si>
    <t>Leer / Icy Wind / Fury Swipes / Hone Claws</t>
  </si>
  <si>
    <t>Trainer ID 626</t>
  </si>
  <si>
    <t>Icy Wind / Fury Swipes / Hone Claws / Screech</t>
  </si>
  <si>
    <t>Trainer ID 627</t>
  </si>
  <si>
    <t>Psybeam / Roost / Bubble Beam / Air Slash</t>
  </si>
  <si>
    <t>Metal Claw / Icy Wind / Fury Swipes / Hone Claws</t>
  </si>
  <si>
    <t>Trainer ID 628</t>
  </si>
  <si>
    <t>Psybeam / Roost / Air Slash / Hydro Pump</t>
  </si>
  <si>
    <t>Trainer ID 629</t>
  </si>
  <si>
    <t>Double Team / Endeavor / Aerial Ace / Take Down</t>
  </si>
  <si>
    <t>Trainer ID 630</t>
  </si>
  <si>
    <t>Close Combat / Double Team / Endeavor / Brave Bird</t>
  </si>
  <si>
    <t>Trainer ID 631</t>
  </si>
  <si>
    <t>Trainer ID 632</t>
  </si>
  <si>
    <t>Ice Shard / Ingrain / Wood Hammer / Blizzard</t>
  </si>
  <si>
    <t>Trainer ID 633</t>
  </si>
  <si>
    <t>Acid Armor / Poison Jab / Sludge Wave / Hydro Pump</t>
  </si>
  <si>
    <t>Trainer ID 634</t>
  </si>
  <si>
    <t>Hex / Acid Armor / Poison Jab / Surf</t>
  </si>
  <si>
    <t>Fury Swipes / Zen Headbutt / Aqua Tail / Wonder Room</t>
  </si>
  <si>
    <t>Trainer ID 635</t>
  </si>
  <si>
    <t>Trainer ID 636</t>
  </si>
  <si>
    <t>Attract / Rain Dance / Whirlpool / Bounce</t>
  </si>
  <si>
    <t>Trainer ID 637</t>
  </si>
  <si>
    <t>Tailwind / Growl / Water Pulse / Hurricane</t>
  </si>
  <si>
    <t>Peck / Waterfall / Megahorn / Horn Drill</t>
  </si>
  <si>
    <t>Trainer ID 638</t>
  </si>
  <si>
    <t>Ice Beam / Hydro Pump / Confuse Ray / Ice Shard</t>
  </si>
  <si>
    <t>Trainer ID 639</t>
  </si>
  <si>
    <t>Trainer ID 640</t>
  </si>
  <si>
    <t>Trainer ID 641</t>
  </si>
  <si>
    <t>Trainer ID 642</t>
  </si>
  <si>
    <t>Growl / Bug Bite / Struggle Bug / Fury Cutter</t>
  </si>
  <si>
    <t>Trainer ID 643</t>
  </si>
  <si>
    <t>Fury Cutter / Focus Energy / Slash / X-Scissor</t>
  </si>
  <si>
    <t>Trainer ID 644</t>
  </si>
  <si>
    <t>X-Scissor / Screech / Fell Stinger / Night Slash</t>
  </si>
  <si>
    <t>Trainer ID 645</t>
  </si>
  <si>
    <t>Mud-Slap / Recover / Water Pulse / Ancient Power</t>
  </si>
  <si>
    <t>Trainer ID 646</t>
  </si>
  <si>
    <t>Gastrodon (East Sea)</t>
  </si>
  <si>
    <t>Trainer ID 647</t>
  </si>
  <si>
    <t>Trainer ID 648</t>
  </si>
  <si>
    <t>Astonish / Stomp / Psybeam / Crunch</t>
  </si>
  <si>
    <t>Trainer ID 649</t>
  </si>
  <si>
    <t>Aqua Jet / Crunch / Super Fang / Superpower</t>
  </si>
  <si>
    <t>Trainer ID 650</t>
  </si>
  <si>
    <t>Crunch / Growl / Tail Whip / Waterfall</t>
  </si>
  <si>
    <t>Astonish / Stomp / Crunch / Psychic</t>
  </si>
  <si>
    <t>Focus Energy / Knock Off / Dual Chop / Seismic Toss</t>
  </si>
  <si>
    <t>Trainer ID 651</t>
  </si>
  <si>
    <t>Brave Bird / Close Combat / Quick Attack / Take Down</t>
  </si>
  <si>
    <t>Hurricane / Roost / Water Pulse / Tailwind</t>
  </si>
  <si>
    <t>Cross Poison / Bite / Astonish / Supersonic</t>
  </si>
  <si>
    <t>Trainer ID 652</t>
  </si>
  <si>
    <t>Tower Tycoon Palmer</t>
  </si>
  <si>
    <t>Rattata</t>
  </si>
  <si>
    <t>Trainer ID 653</t>
  </si>
  <si>
    <t>Ace Trainer Anton</t>
  </si>
  <si>
    <t>Ice Shard / Razor Leaf / Water Pulse / Blizzard</t>
  </si>
  <si>
    <t>Trainer ID 654</t>
  </si>
  <si>
    <t>Ace Trainer Brenna</t>
  </si>
  <si>
    <t>Trainer ID 655</t>
  </si>
  <si>
    <t>Scientist Darrius</t>
  </si>
  <si>
    <t>Kinesis / Reflect / Psyshock / Psychic</t>
  </si>
  <si>
    <t>Trainer ID 656</t>
  </si>
  <si>
    <t>Scientist Fredrick</t>
  </si>
  <si>
    <t>Reflect / Recover / Psyshock / Psychic</t>
  </si>
  <si>
    <t>Trainer ID 657</t>
  </si>
  <si>
    <t>Scientist Travon</t>
  </si>
  <si>
    <t>Trainer ID 658</t>
  </si>
  <si>
    <t>Poké Kid Janet</t>
  </si>
  <si>
    <t>Sweet Kiss / Nuzzle / Slam / Thunderbolt</t>
  </si>
  <si>
    <t>Nuzzle / Spark / Slam / Thunderbolt</t>
  </si>
  <si>
    <t>Trainer ID 659</t>
  </si>
  <si>
    <t>Gust / Air Cutter / Leech Life / Attract</t>
  </si>
  <si>
    <t>Trainer ID 660</t>
  </si>
  <si>
    <t>Astonish / Mean Look / Poison Fang / Air Cutter</t>
  </si>
  <si>
    <t>Poison Gas / Smokescreen / Bite / Venoshock</t>
  </si>
  <si>
    <t>Poison Sting / Mud-Slap / Flatter / Venoshock</t>
  </si>
  <si>
    <t>Trainer ID 661</t>
  </si>
  <si>
    <t>Trainer ID 662</t>
  </si>
  <si>
    <t>Poison Gas / Bite / Venoshock / Toxic</t>
  </si>
  <si>
    <t>Taunt / Venoshock / Sucker Punch / Poison Jab</t>
  </si>
  <si>
    <t>Trainer ID 663</t>
  </si>
  <si>
    <t>Ice Fang / Crunch / Swift / Waterfall</t>
  </si>
  <si>
    <t>Megahorn / Swords Dance / Rock Slide / Close Combat</t>
  </si>
  <si>
    <t>Trainer ID 664</t>
  </si>
  <si>
    <t>Grassy Terrain / Giga Drain / Toxic / Sludge Bomb</t>
  </si>
  <si>
    <t>Close Combat / Flare Blitz / U-turn / Shadow Claw</t>
  </si>
  <si>
    <t>Trainer ID 665</t>
  </si>
  <si>
    <t>Sludge Bomb / Giga Drain / Stun Spore / Shadow Ball</t>
  </si>
  <si>
    <t>Charm / Grass Knot / Surf / Flash Cannon</t>
  </si>
  <si>
    <t>Trainer ID 666</t>
  </si>
  <si>
    <t>Smart Strike / Megahorn / Poison Jab / Flare Blitz</t>
  </si>
  <si>
    <t>Trainer ID 667</t>
  </si>
  <si>
    <t>Trainer ID 668</t>
  </si>
  <si>
    <t>Aqua Jet / Grass Knot / Surf / Flash Cannon</t>
  </si>
  <si>
    <t>Trainer ID 669</t>
  </si>
  <si>
    <t>Trainer ID 670</t>
  </si>
  <si>
    <t>Worker Dillan</t>
  </si>
  <si>
    <t>Low Kick / Knock Off / Scary Face / Strength</t>
  </si>
  <si>
    <t>Trainer ID 671</t>
  </si>
  <si>
    <t>Worker Holden</t>
  </si>
  <si>
    <t>Bind / Smack Down / Curse / Sand Tomb</t>
  </si>
  <si>
    <t>Trainer ID 672</t>
  </si>
  <si>
    <t>Worker Conrad</t>
  </si>
  <si>
    <t>Trainer ID 673</t>
  </si>
  <si>
    <t>Hypnosis / Aerial Ace / Fury Swipes / Charm</t>
  </si>
  <si>
    <t>Trainer ID 674</t>
  </si>
  <si>
    <t>Gust / Air Cutter / Mega Drain / Leech Life</t>
  </si>
  <si>
    <t>Poison Gas / Fury Swipes / Focus Energy / Bite</t>
  </si>
  <si>
    <t>Trainer ID 675</t>
  </si>
  <si>
    <t>Gust / Poison Powder / Venoshock / Leech Life</t>
  </si>
  <si>
    <t>Trainer ID 676</t>
  </si>
  <si>
    <t>Tyranitar</t>
  </si>
  <si>
    <t>Smooth Rock</t>
  </si>
  <si>
    <t>Crunch / Stone Edge / Roar / Stealth Rock</t>
  </si>
  <si>
    <t>Stone Edge / Roar / Roost / Stealth Rock</t>
  </si>
  <si>
    <t>Armaldo</t>
  </si>
  <si>
    <t>Stone Edge / X-Scissor / Brine / Earthquake</t>
  </si>
  <si>
    <t>Probopass</t>
  </si>
  <si>
    <t>Sand Force</t>
  </si>
  <si>
    <t>Power Gem / Flash Cannon / Body Press / Discharge</t>
  </si>
  <si>
    <t>Relicanth</t>
  </si>
  <si>
    <t>Choice Band</t>
  </si>
  <si>
    <t>Head Smash</t>
  </si>
  <si>
    <t>Stone Edge / Iron Tail / Zen Headbutt / Head Smash</t>
  </si>
  <si>
    <t>Trainer ID 677</t>
  </si>
  <si>
    <t>Jumpluff</t>
  </si>
  <si>
    <t>Heat Rock</t>
  </si>
  <si>
    <t>Giga Drain / Sleep Powder / Leech Seed / Sunny Day</t>
  </si>
  <si>
    <t>Sunflora</t>
  </si>
  <si>
    <t>Solar Power</t>
  </si>
  <si>
    <t>Choice Scarf</t>
  </si>
  <si>
    <t>Solar Beam</t>
  </si>
  <si>
    <t>Petal Blizzard / Solar Beam / Growth / Sunny Day</t>
  </si>
  <si>
    <t>Mild</t>
  </si>
  <si>
    <t>Toxic Orb</t>
  </si>
  <si>
    <t>Focus Punch / Leech Seed / Substitute / Spore</t>
  </si>
  <si>
    <t>Wood Hammer / Earthquake / Stone Edge / Iron Tail</t>
  </si>
  <si>
    <t>Power Herb</t>
  </si>
  <si>
    <t>Solar Beam / Sludge Bomb / Grassy Terrain / Sunny Day</t>
  </si>
  <si>
    <t>Trainer ID 678</t>
  </si>
  <si>
    <t>Politoed</t>
  </si>
  <si>
    <t>Surf / Ice Beam / Focus Blast / Perish Song</t>
  </si>
  <si>
    <t>Kingdra</t>
  </si>
  <si>
    <t>Hydro Pump / Dragon Pulse / Ice Beam / Rest</t>
  </si>
  <si>
    <t>Ludicolo</t>
  </si>
  <si>
    <t>Energy Ball / Hydro Pump / Substitute / Teeter Dance</t>
  </si>
  <si>
    <t>Huntail</t>
  </si>
  <si>
    <t>Crunch / Aqua Tail / Ice Fang / Shell Smash</t>
  </si>
  <si>
    <t>Aqua Tail / Stone Edge / Earthquake / Dragon Dance</t>
  </si>
  <si>
    <t>Aqua Tail / Brick Break / Crunch / Ice Fang</t>
  </si>
  <si>
    <t>Trainer ID 679</t>
  </si>
  <si>
    <t>Hitmontop</t>
  </si>
  <si>
    <t>Close Combat / Stone Edge / Sucker Punch / Brick Break</t>
  </si>
  <si>
    <t>Bullet Seed / Mach Punch / Rock Tomb / Force Palm</t>
  </si>
  <si>
    <t>Megahorn / Close Combat / Facade / Stone Edge</t>
  </si>
  <si>
    <t>White Herb</t>
  </si>
  <si>
    <t>Flare Blitz / Close Combat / Acrobatics / Overheat</t>
  </si>
  <si>
    <t>Lonely</t>
  </si>
  <si>
    <t>High Jump Kick / Zen Headbutt / Fire Punch / Thunder Punch</t>
  </si>
  <si>
    <t>Justified</t>
  </si>
  <si>
    <t>Aura Sphere / Flash Cannon / Water Pulse / Vacuum Wave</t>
  </si>
  <si>
    <t>Trainer ID 680</t>
  </si>
  <si>
    <t>Shadow Ball / Thunderbolt / Psychic / Strength Sap</t>
  </si>
  <si>
    <t>Iron Ball</t>
  </si>
  <si>
    <t>Shadow Sneak / Sucker Punch / Snatch / Trick</t>
  </si>
  <si>
    <t>Dusknoir</t>
  </si>
  <si>
    <t>Shadow Sneak / Earthquake / Will-O-Wisp / Confuse Ray</t>
  </si>
  <si>
    <t>Shadow Ball / Energy Ball / Mystical Fire / Dazzling Gleam</t>
  </si>
  <si>
    <t>Froslass</t>
  </si>
  <si>
    <t>Hex / Frost Breath / Will-O-Wisp / Destiny Bond</t>
  </si>
  <si>
    <t>Hex / Sludge Bomb / Focus Blast / Toxic</t>
  </si>
  <si>
    <t>Trainer ID 681</t>
  </si>
  <si>
    <t>Wood Hammer / Ice Punch / Earthquake / Aurora Veil</t>
  </si>
  <si>
    <t>Jynx</t>
  </si>
  <si>
    <t>Blizzard / Focus Blast / Sweet Kiss / Lovely Kiss</t>
  </si>
  <si>
    <t>Mamoswine</t>
  </si>
  <si>
    <t>Snow Cloak</t>
  </si>
  <si>
    <t>Ice Shard / Earthquake / Stone Edge / Double Team</t>
  </si>
  <si>
    <t>Blizzard / Shadow Ball / Double Team / Aurora Veil</t>
  </si>
  <si>
    <t>Glaceon</t>
  </si>
  <si>
    <t>Ice Body</t>
  </si>
  <si>
    <t>Blizzard / Freeze-Dry / Baby-Doll Eyes / Double Team</t>
  </si>
  <si>
    <t>Ice Shard / Night Slash / Brick Break / X-Scissor</t>
  </si>
  <si>
    <t>Trainer ID 682</t>
  </si>
  <si>
    <t>Steel Wing / Stealth Rock / Iron Defense / Taunt</t>
  </si>
  <si>
    <t>Iron Tail / Earthquake / Ice Fang / Crunch</t>
  </si>
  <si>
    <t>Magnezone</t>
  </si>
  <si>
    <t>Analytic</t>
  </si>
  <si>
    <t>Thunderbolt / Flash Cannon / Light Screen / Magnet Rise</t>
  </si>
  <si>
    <t>Hydro Pump / Flash Cannon / Ice Beam / Roar</t>
  </si>
  <si>
    <t>Aggron</t>
  </si>
  <si>
    <t>Lum Berry</t>
  </si>
  <si>
    <t>Heavy Slam / Metal Burst / Roar / Stealth Rock</t>
  </si>
  <si>
    <t>Trainer ID 683</t>
  </si>
  <si>
    <t>Hydro Pump / Hurricane / Ice Beam / U-turn</t>
  </si>
  <si>
    <t>Lightning Rod</t>
  </si>
  <si>
    <t>Thunder / Surf / Focus Blast / Volt Switch</t>
  </si>
  <si>
    <t>Ice Fang / Play Rough / Volt Switch / Electric Terrain</t>
  </si>
  <si>
    <t>Thunder / Surf / Ice Beam / Volt Switch</t>
  </si>
  <si>
    <t>Jolteon</t>
  </si>
  <si>
    <t>Thunder / Reflect / Shadow Ball / Volt Switch</t>
  </si>
  <si>
    <t>Electivire</t>
  </si>
  <si>
    <t>Motor Drive</t>
  </si>
  <si>
    <t>Thunder / Flamethrower / Cross Chop / Earthquake</t>
  </si>
  <si>
    <t>Trainer ID 684</t>
  </si>
  <si>
    <t>Tinted Lens</t>
  </si>
  <si>
    <t>Bug Buzz / Air Slash / Energy Ball / Quiver Dance</t>
  </si>
  <si>
    <t>Scald / Substitute / Calm Mind / Recover</t>
  </si>
  <si>
    <t>Gallade</t>
  </si>
  <si>
    <t>Psycho Cut / Close Combat / Stone Edge / Swords Dance</t>
  </si>
  <si>
    <t>Magmortar</t>
  </si>
  <si>
    <t>Fire Blast / Thunderbolt / Focus Blast / Will-O-Wisp</t>
  </si>
  <si>
    <t>Moonblast / Calm Mind / Moonlight / Minimize</t>
  </si>
  <si>
    <t>Earthquake / Synthesis / Leech Seed / Curse</t>
  </si>
  <si>
    <t>Trainer ID 685</t>
  </si>
  <si>
    <t>Tangrowth</t>
  </si>
  <si>
    <t>Regenerator</t>
  </si>
  <si>
    <t>Power Whip / Earthquake / Rock Slide / Brick Break</t>
  </si>
  <si>
    <t>Earthquake / Close Combat / Flare Blitz / Acrobatics</t>
  </si>
  <si>
    <t>Trainer ID 686</t>
  </si>
  <si>
    <t>Aqua Jet / Waterfall / Steel Wing / Earthquake</t>
  </si>
  <si>
    <t>Trainer ID 687</t>
  </si>
  <si>
    <t>Brick Break / Earthquake / Trick Room / Will-O-Wisp</t>
  </si>
  <si>
    <t>Flareon</t>
  </si>
  <si>
    <t>Flare Blitz / Facade / Iron Tail / Will-O-Wisp</t>
  </si>
  <si>
    <t>Head Smash / Earthquake / Iron Tail / Zen Headbutt</t>
  </si>
  <si>
    <t>Wash Rotom</t>
  </si>
  <si>
    <t>Choice Specs</t>
  </si>
  <si>
    <t>Hydro Pump / Thunderbolt / Volt Switch / Hex</t>
  </si>
  <si>
    <t>King's Rock</t>
  </si>
  <si>
    <t>Rock Slide / Roost / Coil / Glare</t>
  </si>
  <si>
    <t>Trainer ID 688</t>
  </si>
  <si>
    <t>Absol</t>
  </si>
  <si>
    <t>Razor Claw</t>
  </si>
  <si>
    <t>Megahorn / Psycho Cut / Stone Edge / Night Slash</t>
  </si>
  <si>
    <t>Kabutops</t>
  </si>
  <si>
    <t>Weak Armor</t>
  </si>
  <si>
    <t>Rock Slide / Liquidation / Leech Life / Swords Dance</t>
  </si>
  <si>
    <t>Espeon</t>
  </si>
  <si>
    <t>Magic Bounce</t>
  </si>
  <si>
    <t>Psychic / Psyshock / Grass Knot / Dazzling Gleam</t>
  </si>
  <si>
    <t>Mow Rotom</t>
  </si>
  <si>
    <t>Leaf Storm / Thunderbolt / Volt Switch / Hex</t>
  </si>
  <si>
    <t>Porygon-Z</t>
  </si>
  <si>
    <t>Adaptability</t>
  </si>
  <si>
    <t>Silk Scarf</t>
  </si>
  <si>
    <t>Tri Attack / Hyper Beam / Thunder Wave / Dark Pulse</t>
  </si>
  <si>
    <t>Trainer ID 689</t>
  </si>
  <si>
    <t>Gliscor</t>
  </si>
  <si>
    <t>Earthquake / Acrobatics / Fling / Roost</t>
  </si>
  <si>
    <t>Cradily</t>
  </si>
  <si>
    <t>Giga Drain / Leech Seed / Ingrain / Stockpile</t>
  </si>
  <si>
    <t>Freeze-Dry / Blizzard / Hail / Water Pulse</t>
  </si>
  <si>
    <t>Heat Rotom</t>
  </si>
  <si>
    <t>Overheat / Thunderbolt / Volt Switch / Hex</t>
  </si>
  <si>
    <t>Hyper Beam / Blizzard / Fire Blast / Thunder</t>
  </si>
  <si>
    <t>Trainer ID 690</t>
  </si>
  <si>
    <t>Wormadam (Trash Cloak)</t>
  </si>
  <si>
    <t>Gyro Ball / Sucker Punch / Metal Burst / Stealth Rock</t>
  </si>
  <si>
    <t>Fire Blast / Focus Blast / Thunderbolt / Will-O-Wisp</t>
  </si>
  <si>
    <t>Hex / Frost Breath / Thunderbolt / Will-O-Wisp</t>
  </si>
  <si>
    <t>Competitive</t>
  </si>
  <si>
    <t>Hydro Pump / Ice Beam / Hyper Beam / Recover</t>
  </si>
  <si>
    <t>Wood Hammer / Earthquake / Stone Edge / Curse</t>
  </si>
  <si>
    <t>Trainer ID 691</t>
  </si>
  <si>
    <t>Wormadam (Sandy Cloak)</t>
  </si>
  <si>
    <t>Bug Bite / Fissure / Earthquake / Double Team</t>
  </si>
  <si>
    <t>Energy Ball / Sludge Bomb / Focus Blast / Hyper Beam</t>
  </si>
  <si>
    <t>Flare Blitz / Close Combat / Earthquake / U-turn</t>
  </si>
  <si>
    <t>Trainer ID 692</t>
  </si>
  <si>
    <t>Overcoat</t>
  </si>
  <si>
    <t>Leaf Storm / Bug Buzz / Psychic / Quiver Dance</t>
  </si>
  <si>
    <t>Hydro Pump / Flash Cannon / Ice Beam / Grass Knot</t>
  </si>
  <si>
    <t>Trainer ID 693</t>
  </si>
  <si>
    <t>Cross Poison / U-turn / Super Fang / Tailwind</t>
  </si>
  <si>
    <t>Flare Blitz / Play Rough / Extreme Speed / Reversal</t>
  </si>
  <si>
    <t>Psychic / Power Whip / Reflect / Light Screen</t>
  </si>
  <si>
    <t>Blastoise</t>
  </si>
  <si>
    <t>Hydro Pump / Ice Beam / Focus Blast / Shell Smash</t>
  </si>
  <si>
    <t>Lickilicky</t>
  </si>
  <si>
    <t>Focus Blast / Ice Beam / Fire Blast / Shadow Ball</t>
  </si>
  <si>
    <t>Trainer ID 694</t>
  </si>
  <si>
    <t>Sucker Punch / Night Slash / Taunt / Roost</t>
  </si>
  <si>
    <t>Gorebyss</t>
  </si>
  <si>
    <t>Wiki Berry</t>
  </si>
  <si>
    <t>Hydro Pump / Ice Beam / Baton Pass / Shell Smash</t>
  </si>
  <si>
    <t>Sceptile</t>
  </si>
  <si>
    <t>Leaf Blade / Earthquake / Leaf Storm / Brick Break</t>
  </si>
  <si>
    <t>Double Hit / Fake Out / Dual Chop / U-turn</t>
  </si>
  <si>
    <t>Trainer ID 695</t>
  </si>
  <si>
    <t>Togekiss</t>
  </si>
  <si>
    <t>Dazzling Gleam / Air Slash / Aura Sphere / Thunder Wave</t>
  </si>
  <si>
    <t>Bellossom</t>
  </si>
  <si>
    <t>Persim Berry</t>
  </si>
  <si>
    <t>Moonblast / Petal Dance / Toxic / Quiver Dance</t>
  </si>
  <si>
    <t>Ice Shard / Earthquake / Stone Edge / Avalanche</t>
  </si>
  <si>
    <t>Typhlosion</t>
  </si>
  <si>
    <t>Eruption</t>
  </si>
  <si>
    <t>Lagging Tail</t>
  </si>
  <si>
    <t>High Jump Kick / Thunder Wave / Sweet Kiss / Switcheroo</t>
  </si>
  <si>
    <t>Trainer ID 696</t>
  </si>
  <si>
    <t>Yanmega</t>
  </si>
  <si>
    <t>Speed Boost</t>
  </si>
  <si>
    <t>Bug Buzz / Air Slash / Detect / Ancient Power</t>
  </si>
  <si>
    <t>Scizor</t>
  </si>
  <si>
    <t>Occa Berry</t>
  </si>
  <si>
    <t>Bullet Punch / X-Scissor / Night Slash / Swords Dance</t>
  </si>
  <si>
    <t>Power Gem / Attack Order / Aerial Ace / Defend Order</t>
  </si>
  <si>
    <t>Earthquake / Rock Slide / Facade / Close Combat</t>
  </si>
  <si>
    <t>Trainer ID 697</t>
  </si>
  <si>
    <t>Earthquake / Ice Beam / Scald / Zen Headbutt</t>
  </si>
  <si>
    <t>Earthquake / Thunder Fang / Guillotine / X-Scissor</t>
  </si>
  <si>
    <t>Rhyperior</t>
  </si>
  <si>
    <t>Solid Rock</t>
  </si>
  <si>
    <t>Earthquake / Rock Wrecker / Megahorn / Thunder Fang</t>
  </si>
  <si>
    <t>Trainer ID 698</t>
  </si>
  <si>
    <t>Houndoom</t>
  </si>
  <si>
    <t>Flamethrower / Dark Pulse / Destiny Bond / Nasty Plot</t>
  </si>
  <si>
    <t>Flare Blitz / Flail / Will-O-Wisp / Quick Attack</t>
  </si>
  <si>
    <t>Flare Blitz / Iron Tail / Poison Jab / Hypnosis</t>
  </si>
  <si>
    <t>Fire Blast / Thunderbolt / Focus Blast / Psychic</t>
  </si>
  <si>
    <t>Trainer ID 699</t>
  </si>
  <si>
    <t>Psychic / Dazzling Gleam / Shadow Ball / Light Screen</t>
  </si>
  <si>
    <t>Gyro Ball / Earthquake / Payback / Rock Slide</t>
  </si>
  <si>
    <t>Nasty Plot / Psychic / Dazzling Gleam / Shock Wave</t>
  </si>
  <si>
    <t>Close Combat / Psycho Cut / Poison Jab / Shadow Sneak</t>
  </si>
  <si>
    <t>Trainer ID 700</t>
  </si>
  <si>
    <t>Shadow Ball / Dark Pulse / Will-O-Wisp / Sucker Punch</t>
  </si>
  <si>
    <t>Air Slash / Dazzling Gleam / Aura Sphere / Thunder Wave</t>
  </si>
  <si>
    <t>Aura Sphere / Dragon Pulse / Flash Cannon / Psychic</t>
  </si>
  <si>
    <t>Trainer ID 701</t>
  </si>
  <si>
    <t>Flygon</t>
  </si>
  <si>
    <t>Dragon Pulse / Earth Power / Boomburst / Bug Buzz</t>
  </si>
  <si>
    <t>Trainer ID 702</t>
  </si>
  <si>
    <t>Nidoking</t>
  </si>
  <si>
    <t>Sludge Bomb / Earth Power / Thunderbolt / Ice Beam</t>
  </si>
  <si>
    <t>Never-Melt Ice</t>
  </si>
  <si>
    <t>Earthquake / Icicle Spear / Ice Shard / Double-Edge</t>
  </si>
  <si>
    <t>Trainer ID 703</t>
  </si>
  <si>
    <t>Ninetales</t>
  </si>
  <si>
    <t>Flamethrower / Solar Beam / Hypnosis / Nasty Plot</t>
  </si>
  <si>
    <t>Flare Blitz / Play Rough / Close Combat / Extreme Speed</t>
  </si>
  <si>
    <t>Trainer ID 704</t>
  </si>
  <si>
    <t>Scald / Psychic / Flamethrower / Slack Off</t>
  </si>
  <si>
    <t>Trainer ID 705</t>
  </si>
  <si>
    <t>Hyper Beam / Shadow Ball / Ice Beam / Thunderbolt</t>
  </si>
  <si>
    <t>Close Combat / Meteor Mash / Earthquake / Extreme Speed</t>
  </si>
  <si>
    <t>Trainer ID 706</t>
  </si>
  <si>
    <t>GAME FREAK’s Morimoto</t>
  </si>
  <si>
    <t>Shadow Ball / Dark Pulse / Will-O-Wisp / Destiny Bond</t>
  </si>
  <si>
    <t>Fake Out / Fling / Double Hit / Ice Punch</t>
  </si>
  <si>
    <t>Earthquake / Stealth Rock / Yawn / Rock Tomb</t>
  </si>
  <si>
    <t>Vaporeon</t>
  </si>
  <si>
    <t>Hydro Pump / Acid Armor / Ice Beam / Quick Attack</t>
  </si>
  <si>
    <t>Thunderbolt / Shadow Ball / Thunder Wave / Volt Switch</t>
  </si>
  <si>
    <t>Iapapa Berry</t>
  </si>
  <si>
    <t>Flare Blitz / Superpower / Quick Attack / Will-O-Wisp</t>
  </si>
  <si>
    <r>
      <rPr>
        <rFont val="Arial"/>
        <color rgb="FFF3F3F3"/>
      </rPr>
      <t xml:space="preserve">Sheet by </t>
    </r>
    <r>
      <rPr>
        <rFont val="Arial"/>
        <b/>
        <color rgb="FFF3F3F3"/>
      </rPr>
      <t>Hematite</t>
    </r>
    <r>
      <rPr>
        <rFont val="Arial"/>
        <color rgb="FFF3F3F3"/>
      </rPr>
      <t xml:space="preserve"> based on data provided by @</t>
    </r>
    <r>
      <rPr>
        <rFont val="Arial"/>
        <b/>
        <color rgb="FFF3F3F3"/>
      </rPr>
      <t>GhostsSoup</t>
    </r>
    <r>
      <rPr>
        <rFont val="Arial"/>
        <color rgb="FFF3F3F3"/>
      </rPr>
      <t xml:space="preserve">! </t>
    </r>
    <r>
      <rPr>
        <rFont val="Arial"/>
        <color rgb="FFF3F3F3"/>
        <sz val="8.0"/>
      </rPr>
      <t>(Trainer names and classes later added based on data provided by @</t>
    </r>
    <r>
      <rPr>
        <rFont val="Arial"/>
        <b/>
        <color rgb="FFF3F3F3"/>
        <sz val="8.0"/>
      </rPr>
      <t>Kaphotics</t>
    </r>
    <r>
      <rPr>
        <rFont val="Arial"/>
        <color rgb="FFF3F3F3"/>
        <sz val="8.0"/>
      </rPr>
      <t>!)</t>
    </r>
  </si>
  <si>
    <t>Shellos East Sea</t>
  </si>
  <si>
    <t>Gastrodon East Sea</t>
  </si>
  <si>
    <t>Close Combat / Pluck / Endeavor / U-turn</t>
  </si>
  <si>
    <t>Overheat / Close Combat / Stone Edge / Grass Knot</t>
  </si>
  <si>
    <t>Rash</t>
  </si>
  <si>
    <t>Defiant</t>
  </si>
  <si>
    <t>Wormadam Trash Cloak</t>
  </si>
  <si>
    <t>Wormadam Sandy Cloak</t>
  </si>
  <si>
    <t>Overheat / Focus Blast / Grass Knot / U-turn</t>
  </si>
  <si>
    <t>friendball.png</t>
  </si>
  <si>
    <t>abomasnow</t>
  </si>
  <si>
    <t>Grass</t>
  </si>
  <si>
    <t>Ice</t>
  </si>
  <si>
    <t>abra</t>
  </si>
  <si>
    <t>Psychic</t>
  </si>
  <si>
    <t>absol</t>
  </si>
  <si>
    <t>Dark</t>
  </si>
  <si>
    <t>accelgor</t>
  </si>
  <si>
    <t>Accelgor</t>
  </si>
  <si>
    <t>Bug</t>
  </si>
  <si>
    <t>aegislash</t>
  </si>
  <si>
    <t>Aegislash</t>
  </si>
  <si>
    <t>Steel</t>
  </si>
  <si>
    <t>Ghost</t>
  </si>
  <si>
    <t>aerodactyl</t>
  </si>
  <si>
    <t>Rock</t>
  </si>
  <si>
    <t>Flying</t>
  </si>
  <si>
    <t>aggron</t>
  </si>
  <si>
    <t>aipom</t>
  </si>
  <si>
    <t>Normal</t>
  </si>
  <si>
    <t>alakazam</t>
  </si>
  <si>
    <t>alcremie</t>
  </si>
  <si>
    <t>Alcremie</t>
  </si>
  <si>
    <t>Fairy</t>
  </si>
  <si>
    <t>alomomola</t>
  </si>
  <si>
    <t>Alomomola</t>
  </si>
  <si>
    <t>Water</t>
  </si>
  <si>
    <t>altaria</t>
  </si>
  <si>
    <t>Dragon</t>
  </si>
  <si>
    <t>amaura</t>
  </si>
  <si>
    <t>Amaura</t>
  </si>
  <si>
    <t>ambipom</t>
  </si>
  <si>
    <t>amoonguss</t>
  </si>
  <si>
    <t>Amoonguss</t>
  </si>
  <si>
    <t>Poison</t>
  </si>
  <si>
    <t>ampharos</t>
  </si>
  <si>
    <t>Electric</t>
  </si>
  <si>
    <t>anorith</t>
  </si>
  <si>
    <t>Anorith</t>
  </si>
  <si>
    <t>appletun</t>
  </si>
  <si>
    <t>Appletun</t>
  </si>
  <si>
    <t>applin</t>
  </si>
  <si>
    <t>Applin</t>
  </si>
  <si>
    <t>araquanid</t>
  </si>
  <si>
    <t>Araquanid</t>
  </si>
  <si>
    <t>arbok</t>
  </si>
  <si>
    <t>Arbok</t>
  </si>
  <si>
    <t>arcanine</t>
  </si>
  <si>
    <t>Fire</t>
  </si>
  <si>
    <t>arceus</t>
  </si>
  <si>
    <t>Arceus</t>
  </si>
  <si>
    <t>archen</t>
  </si>
  <si>
    <t>Archen</t>
  </si>
  <si>
    <t>archeops</t>
  </si>
  <si>
    <t>Archeops</t>
  </si>
  <si>
    <t>arctovish</t>
  </si>
  <si>
    <t>Arctovish</t>
  </si>
  <si>
    <t>arctozolt</t>
  </si>
  <si>
    <t>Arctozolt</t>
  </si>
  <si>
    <t>argalis</t>
  </si>
  <si>
    <t>Argalis</t>
  </si>
  <si>
    <t>arghonaut</t>
  </si>
  <si>
    <t>Arghonaut</t>
  </si>
  <si>
    <t>Fighting</t>
  </si>
  <si>
    <t>ariados</t>
  </si>
  <si>
    <t>Ariados</t>
  </si>
  <si>
    <t>armaldo</t>
  </si>
  <si>
    <t>aromatisse</t>
  </si>
  <si>
    <t>Aromatisse</t>
  </si>
  <si>
    <t>aron</t>
  </si>
  <si>
    <t>Aron</t>
  </si>
  <si>
    <t>arrokuda</t>
  </si>
  <si>
    <t>Arrokuda</t>
  </si>
  <si>
    <t>articuno</t>
  </si>
  <si>
    <t>Articuno</t>
  </si>
  <si>
    <t>astrolotl</t>
  </si>
  <si>
    <t>Astrolotl</t>
  </si>
  <si>
    <t>audino</t>
  </si>
  <si>
    <t>Audino</t>
  </si>
  <si>
    <t>aurorus</t>
  </si>
  <si>
    <t>Aurorus</t>
  </si>
  <si>
    <t>aurumoth</t>
  </si>
  <si>
    <t>Aurumoth</t>
  </si>
  <si>
    <t>avalugg</t>
  </si>
  <si>
    <t>Avalugg</t>
  </si>
  <si>
    <t>axew</t>
  </si>
  <si>
    <t>Axew</t>
  </si>
  <si>
    <t>azelf</t>
  </si>
  <si>
    <t>Azelf</t>
  </si>
  <si>
    <t>azumarill</t>
  </si>
  <si>
    <t>azurill</t>
  </si>
  <si>
    <t>bagon</t>
  </si>
  <si>
    <t>baltoy</t>
  </si>
  <si>
    <t>Ground</t>
  </si>
  <si>
    <t>banette</t>
  </si>
  <si>
    <t>barbaracle</t>
  </si>
  <si>
    <t>Barbaracle</t>
  </si>
  <si>
    <t>barboach</t>
  </si>
  <si>
    <t>barraskewda</t>
  </si>
  <si>
    <t>Barraskewda</t>
  </si>
  <si>
    <t>basculin</t>
  </si>
  <si>
    <t>Basculin</t>
  </si>
  <si>
    <t>bastiodon</t>
  </si>
  <si>
    <t>bayleef</t>
  </si>
  <si>
    <t>Bayleef</t>
  </si>
  <si>
    <t>beartic</t>
  </si>
  <si>
    <t>Beartic</t>
  </si>
  <si>
    <t>beautifly</t>
  </si>
  <si>
    <t>beedrill</t>
  </si>
  <si>
    <t>Beedrill</t>
  </si>
  <si>
    <t>beheeyem</t>
  </si>
  <si>
    <t>Beheeyem</t>
  </si>
  <si>
    <t>beldum</t>
  </si>
  <si>
    <t>Beldum</t>
  </si>
  <si>
    <t>bellossom</t>
  </si>
  <si>
    <t>bellsprout</t>
  </si>
  <si>
    <t>Bellsprout</t>
  </si>
  <si>
    <t>bergmite</t>
  </si>
  <si>
    <t>Bergmite</t>
  </si>
  <si>
    <t>bewear</t>
  </si>
  <si>
    <t>Bewear</t>
  </si>
  <si>
    <t>bibarel</t>
  </si>
  <si>
    <t>bidoof</t>
  </si>
  <si>
    <t>binacle</t>
  </si>
  <si>
    <t>Binacle</t>
  </si>
  <si>
    <t>bisharp</t>
  </si>
  <si>
    <t>Bisharp</t>
  </si>
  <si>
    <t>blacephalon</t>
  </si>
  <si>
    <t>Blacephalon</t>
  </si>
  <si>
    <t>blastoise</t>
  </si>
  <si>
    <t>blaziken</t>
  </si>
  <si>
    <t>Blaziken</t>
  </si>
  <si>
    <t>blipbug</t>
  </si>
  <si>
    <t>Blipbug</t>
  </si>
  <si>
    <t>blissey</t>
  </si>
  <si>
    <t>blitzle</t>
  </si>
  <si>
    <t>Blitzle</t>
  </si>
  <si>
    <t>boldore</t>
  </si>
  <si>
    <t>Boldore</t>
  </si>
  <si>
    <t>boltund</t>
  </si>
  <si>
    <t>Boltund</t>
  </si>
  <si>
    <t>bonsly</t>
  </si>
  <si>
    <t>bouffalant</t>
  </si>
  <si>
    <t>Bouffalant</t>
  </si>
  <si>
    <t>bounsweet</t>
  </si>
  <si>
    <t>Bounsweet</t>
  </si>
  <si>
    <t>braixen</t>
  </si>
  <si>
    <t>Braixen</t>
  </si>
  <si>
    <t>brattler</t>
  </si>
  <si>
    <t>Brattler</t>
  </si>
  <si>
    <t>braviary</t>
  </si>
  <si>
    <t>Braviary</t>
  </si>
  <si>
    <t>breezi</t>
  </si>
  <si>
    <t>Breezi</t>
  </si>
  <si>
    <t>breloom</t>
  </si>
  <si>
    <t>brionne</t>
  </si>
  <si>
    <t>Brionne</t>
  </si>
  <si>
    <t>bronzong</t>
  </si>
  <si>
    <t>bronzor</t>
  </si>
  <si>
    <t>bruxish</t>
  </si>
  <si>
    <t>Bruxish</t>
  </si>
  <si>
    <t>budew</t>
  </si>
  <si>
    <t>buizel</t>
  </si>
  <si>
    <t>bulbasaur</t>
  </si>
  <si>
    <t>Bulbasaur</t>
  </si>
  <si>
    <t>buneary</t>
  </si>
  <si>
    <t>bunnelby</t>
  </si>
  <si>
    <t>Bunnelby</t>
  </si>
  <si>
    <t>burmy</t>
  </si>
  <si>
    <t>butterfree</t>
  </si>
  <si>
    <t>Butterfree</t>
  </si>
  <si>
    <t>buzzwole</t>
  </si>
  <si>
    <t>Buzzwole</t>
  </si>
  <si>
    <t>cacnea</t>
  </si>
  <si>
    <t>Cacnea</t>
  </si>
  <si>
    <t>cacturne</t>
  </si>
  <si>
    <t>caimanoe</t>
  </si>
  <si>
    <t>Caimanoe</t>
  </si>
  <si>
    <t>calyrex</t>
  </si>
  <si>
    <t>Calyrex</t>
  </si>
  <si>
    <t>camerupt</t>
  </si>
  <si>
    <t>Camerupt</t>
  </si>
  <si>
    <t>carbink</t>
  </si>
  <si>
    <t>Carbink</t>
  </si>
  <si>
    <t>caribolt</t>
  </si>
  <si>
    <t>Caribolt</t>
  </si>
  <si>
    <t>carkol</t>
  </si>
  <si>
    <t>Carkol</t>
  </si>
  <si>
    <t>carnivine</t>
  </si>
  <si>
    <t>carracosta</t>
  </si>
  <si>
    <t>Carracosta</t>
  </si>
  <si>
    <t>carvanha</t>
  </si>
  <si>
    <t>cascoon</t>
  </si>
  <si>
    <t>castform</t>
  </si>
  <si>
    <t>Castform</t>
  </si>
  <si>
    <t>caterpie</t>
  </si>
  <si>
    <t>Caterpie</t>
  </si>
  <si>
    <t>cawdet</t>
  </si>
  <si>
    <t>Cawdet</t>
  </si>
  <si>
    <t>cawmodore</t>
  </si>
  <si>
    <t>Cawmodore</t>
  </si>
  <si>
    <t>celebi</t>
  </si>
  <si>
    <t>Celebi</t>
  </si>
  <si>
    <t>celesteela</t>
  </si>
  <si>
    <t>Celesteela</t>
  </si>
  <si>
    <t>centiskorch</t>
  </si>
  <si>
    <t>Centiskorch</t>
  </si>
  <si>
    <t>chandelure</t>
  </si>
  <si>
    <t>Chandelure</t>
  </si>
  <si>
    <t>chansey</t>
  </si>
  <si>
    <t>charizard</t>
  </si>
  <si>
    <t>Charizard</t>
  </si>
  <si>
    <t>charjabug</t>
  </si>
  <si>
    <t>Charjabug</t>
  </si>
  <si>
    <t>charmander</t>
  </si>
  <si>
    <t>Charmander</t>
  </si>
  <si>
    <t>charmeleon</t>
  </si>
  <si>
    <t>Charmeleon</t>
  </si>
  <si>
    <t>chatot</t>
  </si>
  <si>
    <t>cherrim</t>
  </si>
  <si>
    <t>cherubi</t>
  </si>
  <si>
    <t>chesnaught</t>
  </si>
  <si>
    <t>Chesnaught</t>
  </si>
  <si>
    <t>chespin</t>
  </si>
  <si>
    <t>Chespin</t>
  </si>
  <si>
    <t>chewtle</t>
  </si>
  <si>
    <t>Chewtle</t>
  </si>
  <si>
    <t>chikorita</t>
  </si>
  <si>
    <t>Chikorita</t>
  </si>
  <si>
    <t>chimchar</t>
  </si>
  <si>
    <t>chimecho</t>
  </si>
  <si>
    <t>chinchou</t>
  </si>
  <si>
    <t>chingling</t>
  </si>
  <si>
    <t>cinccino</t>
  </si>
  <si>
    <t>Cinccino</t>
  </si>
  <si>
    <t>cinderace</t>
  </si>
  <si>
    <t>Cinderace</t>
  </si>
  <si>
    <t>clamperl</t>
  </si>
  <si>
    <t>Clamperl</t>
  </si>
  <si>
    <t>clauncher</t>
  </si>
  <si>
    <t>Clauncher</t>
  </si>
  <si>
    <t>clawitzer</t>
  </si>
  <si>
    <t>Clawitzer</t>
  </si>
  <si>
    <t>claydol</t>
  </si>
  <si>
    <t>clefable</t>
  </si>
  <si>
    <t>clefairy</t>
  </si>
  <si>
    <t>cleffa</t>
  </si>
  <si>
    <t>clobbopus</t>
  </si>
  <si>
    <t>Clobbopus</t>
  </si>
  <si>
    <t>cloyster</t>
  </si>
  <si>
    <t>Cloyster</t>
  </si>
  <si>
    <t>coalossal</t>
  </si>
  <si>
    <t>Coalossal</t>
  </si>
  <si>
    <t>cobalion</t>
  </si>
  <si>
    <t>Cobalion</t>
  </si>
  <si>
    <t>cofagrigus</t>
  </si>
  <si>
    <t>Cofagrigus</t>
  </si>
  <si>
    <t>colossoil</t>
  </si>
  <si>
    <t>Colossoil</t>
  </si>
  <si>
    <t>combee</t>
  </si>
  <si>
    <t>combusken</t>
  </si>
  <si>
    <t>Combusken</t>
  </si>
  <si>
    <t>comfey</t>
  </si>
  <si>
    <t>Comfey</t>
  </si>
  <si>
    <t>conkeldurr</t>
  </si>
  <si>
    <t>Conkeldurr</t>
  </si>
  <si>
    <t>copperajah</t>
  </si>
  <si>
    <t>Copperajah</t>
  </si>
  <si>
    <t>coribalis</t>
  </si>
  <si>
    <t>Coribalis</t>
  </si>
  <si>
    <t>corphish</t>
  </si>
  <si>
    <t>Corphish</t>
  </si>
  <si>
    <t>corsola</t>
  </si>
  <si>
    <t>Corsola</t>
  </si>
  <si>
    <t>corviknight</t>
  </si>
  <si>
    <t>Corviknight</t>
  </si>
  <si>
    <t>corvisquire</t>
  </si>
  <si>
    <t>Corvisquire</t>
  </si>
  <si>
    <t>cosmoem</t>
  </si>
  <si>
    <t>Cosmoem</t>
  </si>
  <si>
    <t>cosmog</t>
  </si>
  <si>
    <t>Cosmog</t>
  </si>
  <si>
    <t>cottonee</t>
  </si>
  <si>
    <t>Cottonee</t>
  </si>
  <si>
    <t>crabominable</t>
  </si>
  <si>
    <t>Crabominable</t>
  </si>
  <si>
    <t>crabrawler</t>
  </si>
  <si>
    <t>Crabrawler</t>
  </si>
  <si>
    <t>cradily</t>
  </si>
  <si>
    <t>cramorant</t>
  </si>
  <si>
    <t>Cramorant</t>
  </si>
  <si>
    <t>cranidos</t>
  </si>
  <si>
    <t>crawdaunt</t>
  </si>
  <si>
    <t>cresselia</t>
  </si>
  <si>
    <t>Cresselia</t>
  </si>
  <si>
    <t>croagunk</t>
  </si>
  <si>
    <t>crobat</t>
  </si>
  <si>
    <t>croconaw</t>
  </si>
  <si>
    <t>Croconaw</t>
  </si>
  <si>
    <t>crucibelle</t>
  </si>
  <si>
    <t>Crucibelle</t>
  </si>
  <si>
    <t>crustle</t>
  </si>
  <si>
    <t>Crustle</t>
  </si>
  <si>
    <t>cryogonal</t>
  </si>
  <si>
    <t>Cryogonal</t>
  </si>
  <si>
    <t>cubchoo</t>
  </si>
  <si>
    <t>Cubchoo</t>
  </si>
  <si>
    <t>cubone</t>
  </si>
  <si>
    <t>Cubone</t>
  </si>
  <si>
    <t>cufant</t>
  </si>
  <si>
    <t>Cufant</t>
  </si>
  <si>
    <t>cupra</t>
  </si>
  <si>
    <t>Cupra</t>
  </si>
  <si>
    <t>cursola</t>
  </si>
  <si>
    <t>Cursola</t>
  </si>
  <si>
    <t>cutiefly</t>
  </si>
  <si>
    <t>Cutiefly</t>
  </si>
  <si>
    <t>cyclohm</t>
  </si>
  <si>
    <t>Cyclohm</t>
  </si>
  <si>
    <t>cyndaquil</t>
  </si>
  <si>
    <t>Cyndaquil</t>
  </si>
  <si>
    <t>darkrai</t>
  </si>
  <si>
    <t>Darkrai</t>
  </si>
  <si>
    <t>darmanitan</t>
  </si>
  <si>
    <t>Darmanitan</t>
  </si>
  <si>
    <t>dartrix</t>
  </si>
  <si>
    <t>Dartrix</t>
  </si>
  <si>
    <t>darumaka</t>
  </si>
  <si>
    <t>Darumaka</t>
  </si>
  <si>
    <t>decidueye</t>
  </si>
  <si>
    <t>Decidueye</t>
  </si>
  <si>
    <t>dedenne</t>
  </si>
  <si>
    <t>Dedenne</t>
  </si>
  <si>
    <t>deerling</t>
  </si>
  <si>
    <t>Deerling</t>
  </si>
  <si>
    <t>deino</t>
  </si>
  <si>
    <t>Deino</t>
  </si>
  <si>
    <t>delcatty</t>
  </si>
  <si>
    <t>delibird</t>
  </si>
  <si>
    <t>Delibird</t>
  </si>
  <si>
    <t>delphox</t>
  </si>
  <si>
    <t>Delphox</t>
  </si>
  <si>
    <t>deoxys</t>
  </si>
  <si>
    <t>Deoxys</t>
  </si>
  <si>
    <t>dewgong</t>
  </si>
  <si>
    <t>dewott</t>
  </si>
  <si>
    <t>Dewott</t>
  </si>
  <si>
    <t>dewpider</t>
  </si>
  <si>
    <t>Dewpider</t>
  </si>
  <si>
    <t>dhelmise</t>
  </si>
  <si>
    <t>Dhelmise</t>
  </si>
  <si>
    <t>dialga</t>
  </si>
  <si>
    <t>Dialga</t>
  </si>
  <si>
    <t>diancie</t>
  </si>
  <si>
    <t>Diancie</t>
  </si>
  <si>
    <t>diggersby</t>
  </si>
  <si>
    <t>Diggersby</t>
  </si>
  <si>
    <t>diglett</t>
  </si>
  <si>
    <t>Diglett</t>
  </si>
  <si>
    <t>ditto</t>
  </si>
  <si>
    <t>Ditto</t>
  </si>
  <si>
    <t>dodrio</t>
  </si>
  <si>
    <t>doduo</t>
  </si>
  <si>
    <t>Doduo</t>
  </si>
  <si>
    <t>donphan</t>
  </si>
  <si>
    <t>dottler</t>
  </si>
  <si>
    <t>Dottler</t>
  </si>
  <si>
    <t>doublade</t>
  </si>
  <si>
    <t>Doublade</t>
  </si>
  <si>
    <t>dracovish</t>
  </si>
  <si>
    <t>Dracovish</t>
  </si>
  <si>
    <t>dracozolt</t>
  </si>
  <si>
    <t>Dracozolt</t>
  </si>
  <si>
    <t>dragalge</t>
  </si>
  <si>
    <t>Dragalge</t>
  </si>
  <si>
    <t>dragapult</t>
  </si>
  <si>
    <t>Dragapult</t>
  </si>
  <si>
    <t>dragonair</t>
  </si>
  <si>
    <t>dragonite</t>
  </si>
  <si>
    <t>Dragonite</t>
  </si>
  <si>
    <t>drakloak</t>
  </si>
  <si>
    <t>Drakloak</t>
  </si>
  <si>
    <t>drampa</t>
  </si>
  <si>
    <t>Drampa</t>
  </si>
  <si>
    <t>drapion</t>
  </si>
  <si>
    <t>dratini</t>
  </si>
  <si>
    <t>drednaw</t>
  </si>
  <si>
    <t>Drednaw</t>
  </si>
  <si>
    <t>dreepy</t>
  </si>
  <si>
    <t>Dreepy</t>
  </si>
  <si>
    <t>drifblim</t>
  </si>
  <si>
    <t>drifloon</t>
  </si>
  <si>
    <t>drilbur</t>
  </si>
  <si>
    <t>Drilbur</t>
  </si>
  <si>
    <t>drizzile</t>
  </si>
  <si>
    <t>Drizzile</t>
  </si>
  <si>
    <t>drowzee</t>
  </si>
  <si>
    <t>Drowzee</t>
  </si>
  <si>
    <t>druddigon</t>
  </si>
  <si>
    <t>Druddigon</t>
  </si>
  <si>
    <t>dubwool</t>
  </si>
  <si>
    <t>Dubwool</t>
  </si>
  <si>
    <t>ducklett</t>
  </si>
  <si>
    <t>Ducklett</t>
  </si>
  <si>
    <t>dugtrio</t>
  </si>
  <si>
    <t>Dugtrio</t>
  </si>
  <si>
    <t>dunsparce</t>
  </si>
  <si>
    <t>duosion</t>
  </si>
  <si>
    <t>Duosion</t>
  </si>
  <si>
    <t>duraludon</t>
  </si>
  <si>
    <t>Duraludon</t>
  </si>
  <si>
    <t>durant</t>
  </si>
  <si>
    <t>Durant</t>
  </si>
  <si>
    <t>dusclops</t>
  </si>
  <si>
    <t>dusknoir</t>
  </si>
  <si>
    <t>duskull</t>
  </si>
  <si>
    <t>dustox</t>
  </si>
  <si>
    <t>dwebble</t>
  </si>
  <si>
    <t>Dwebble</t>
  </si>
  <si>
    <t>eelektrik</t>
  </si>
  <si>
    <t>Eelektrik</t>
  </si>
  <si>
    <t>eelektross</t>
  </si>
  <si>
    <t>Eelektross</t>
  </si>
  <si>
    <t>eevee</t>
  </si>
  <si>
    <t>Eevee</t>
  </si>
  <si>
    <t>eiscue</t>
  </si>
  <si>
    <t>Eiscue</t>
  </si>
  <si>
    <t>ekans</t>
  </si>
  <si>
    <t>Ekans</t>
  </si>
  <si>
    <t>eldegoss</t>
  </si>
  <si>
    <t>Eldegoss</t>
  </si>
  <si>
    <t>electabuzz</t>
  </si>
  <si>
    <t>Electabuzz</t>
  </si>
  <si>
    <t>electivire</t>
  </si>
  <si>
    <t>electrelk</t>
  </si>
  <si>
    <t>Electrelk</t>
  </si>
  <si>
    <t>electrike</t>
  </si>
  <si>
    <t>Electrike</t>
  </si>
  <si>
    <t>electrode</t>
  </si>
  <si>
    <t>Electrode</t>
  </si>
  <si>
    <t>elekid</t>
  </si>
  <si>
    <t>Elekid</t>
  </si>
  <si>
    <t>elgyem</t>
  </si>
  <si>
    <t>Elgyem</t>
  </si>
  <si>
    <t>embirch</t>
  </si>
  <si>
    <t>Embirch</t>
  </si>
  <si>
    <t>emboar</t>
  </si>
  <si>
    <t>Emboar</t>
  </si>
  <si>
    <t>emolga</t>
  </si>
  <si>
    <t>Emolga</t>
  </si>
  <si>
    <t>empoleon</t>
  </si>
  <si>
    <t>entei</t>
  </si>
  <si>
    <t>Entei</t>
  </si>
  <si>
    <t>equilibra</t>
  </si>
  <si>
    <t>Equilibra</t>
  </si>
  <si>
    <t>escavalier</t>
  </si>
  <si>
    <t>Escavalier</t>
  </si>
  <si>
    <t>espeon</t>
  </si>
  <si>
    <t>espurr</t>
  </si>
  <si>
    <t>Espurr</t>
  </si>
  <si>
    <t>eternatus</t>
  </si>
  <si>
    <t>Eternatus</t>
  </si>
  <si>
    <t>excadrill</t>
  </si>
  <si>
    <t>Excadrill</t>
  </si>
  <si>
    <t>exeggcute</t>
  </si>
  <si>
    <t>exeggutor</t>
  </si>
  <si>
    <t>exploud</t>
  </si>
  <si>
    <t>Exploud</t>
  </si>
  <si>
    <t>falinks</t>
  </si>
  <si>
    <t>Falinks</t>
  </si>
  <si>
    <t>farfetchd</t>
  </si>
  <si>
    <t>fawnifer</t>
  </si>
  <si>
    <t>Fawnifer</t>
  </si>
  <si>
    <t>fearow</t>
  </si>
  <si>
    <t>feebas</t>
  </si>
  <si>
    <t>fennekin</t>
  </si>
  <si>
    <t>Fennekin</t>
  </si>
  <si>
    <t>feraligatr</t>
  </si>
  <si>
    <t>Feraligatr</t>
  </si>
  <si>
    <t>ferroseed</t>
  </si>
  <si>
    <t>Ferroseed</t>
  </si>
  <si>
    <t>ferrothorn</t>
  </si>
  <si>
    <t>Ferrothorn</t>
  </si>
  <si>
    <t>fidgit</t>
  </si>
  <si>
    <t>Fidgit</t>
  </si>
  <si>
    <t>finneon</t>
  </si>
  <si>
    <t>flaaffy</t>
  </si>
  <si>
    <t>flabebe</t>
  </si>
  <si>
    <t>Flabébé</t>
  </si>
  <si>
    <t>flapple</t>
  </si>
  <si>
    <t>Flapple</t>
  </si>
  <si>
    <t>flarelm</t>
  </si>
  <si>
    <t>Flarelm</t>
  </si>
  <si>
    <t>flareon</t>
  </si>
  <si>
    <t>fletchinder</t>
  </si>
  <si>
    <t>Fletchinder</t>
  </si>
  <si>
    <t>fletchling</t>
  </si>
  <si>
    <t>Fletchling</t>
  </si>
  <si>
    <t>floatoy</t>
  </si>
  <si>
    <t>Floatoy</t>
  </si>
  <si>
    <t>floatzel</t>
  </si>
  <si>
    <t>floette</t>
  </si>
  <si>
    <t>Floette</t>
  </si>
  <si>
    <t>florges</t>
  </si>
  <si>
    <t>Florges</t>
  </si>
  <si>
    <t>flygon</t>
  </si>
  <si>
    <t>fomantis</t>
  </si>
  <si>
    <t>Fomantis</t>
  </si>
  <si>
    <t>foongus</t>
  </si>
  <si>
    <t>Foongus</t>
  </si>
  <si>
    <t>forretress</t>
  </si>
  <si>
    <t>Forretress</t>
  </si>
  <si>
    <t>fraxure</t>
  </si>
  <si>
    <t>Fraxure</t>
  </si>
  <si>
    <t>frillish</t>
  </si>
  <si>
    <t>Frillish</t>
  </si>
  <si>
    <t>froakie</t>
  </si>
  <si>
    <t>Froakie</t>
  </si>
  <si>
    <t>frogadier</t>
  </si>
  <si>
    <t>Frogadier</t>
  </si>
  <si>
    <t>froslass</t>
  </si>
  <si>
    <t>frosmoth</t>
  </si>
  <si>
    <t>Frosmoth</t>
  </si>
  <si>
    <t>furfrou</t>
  </si>
  <si>
    <t>Furfrou</t>
  </si>
  <si>
    <t>furret</t>
  </si>
  <si>
    <t>Furret</t>
  </si>
  <si>
    <t>gabite</t>
  </si>
  <si>
    <t>gallade</t>
  </si>
  <si>
    <t>galvantula</t>
  </si>
  <si>
    <t>Galvantula</t>
  </si>
  <si>
    <t>garbodor</t>
  </si>
  <si>
    <t>Garbodor</t>
  </si>
  <si>
    <t>garchomp</t>
  </si>
  <si>
    <t>gardevoir</t>
  </si>
  <si>
    <t>Gardevoir</t>
  </si>
  <si>
    <t>gastly</t>
  </si>
  <si>
    <t>gastrodon</t>
  </si>
  <si>
    <t>genesect</t>
  </si>
  <si>
    <t>Genesect</t>
  </si>
  <si>
    <t>gengar</t>
  </si>
  <si>
    <t>geodude</t>
  </si>
  <si>
    <t>gible</t>
  </si>
  <si>
    <t>gigalith</t>
  </si>
  <si>
    <t>Gigalith</t>
  </si>
  <si>
    <t>girafarig</t>
  </si>
  <si>
    <t>giratina</t>
  </si>
  <si>
    <t>Giratina</t>
  </si>
  <si>
    <t>glaceon</t>
  </si>
  <si>
    <t>glalie</t>
  </si>
  <si>
    <t>Glalie</t>
  </si>
  <si>
    <t>glameow</t>
  </si>
  <si>
    <t>glastrier</t>
  </si>
  <si>
    <t>Glastrier</t>
  </si>
  <si>
    <t>gligar</t>
  </si>
  <si>
    <t>Gligar</t>
  </si>
  <si>
    <t>gliscor</t>
  </si>
  <si>
    <t>gloom</t>
  </si>
  <si>
    <t>Gloom</t>
  </si>
  <si>
    <t>gogoat</t>
  </si>
  <si>
    <t>Gogoat</t>
  </si>
  <si>
    <t>golbat</t>
  </si>
  <si>
    <t>goldeen</t>
  </si>
  <si>
    <t>golduck</t>
  </si>
  <si>
    <t>golem</t>
  </si>
  <si>
    <t>golett</t>
  </si>
  <si>
    <t>Golett</t>
  </si>
  <si>
    <t>golisopod</t>
  </si>
  <si>
    <t>Golisopod</t>
  </si>
  <si>
    <t>golurk</t>
  </si>
  <si>
    <t>Golurk</t>
  </si>
  <si>
    <t>goodra</t>
  </si>
  <si>
    <t>Goodra</t>
  </si>
  <si>
    <t>goomy</t>
  </si>
  <si>
    <t>Goomy</t>
  </si>
  <si>
    <t>gorebyss</t>
  </si>
  <si>
    <t>gossifleur</t>
  </si>
  <si>
    <t>Gossifleur</t>
  </si>
  <si>
    <t>gothita</t>
  </si>
  <si>
    <t>Gothita</t>
  </si>
  <si>
    <t>gothitelle</t>
  </si>
  <si>
    <t>Gothitelle</t>
  </si>
  <si>
    <t>gothorita</t>
  </si>
  <si>
    <t>Gothorita</t>
  </si>
  <si>
    <t>gourgeist</t>
  </si>
  <si>
    <t>Gourgeist</t>
  </si>
  <si>
    <t>granbull</t>
  </si>
  <si>
    <t>grapploct</t>
  </si>
  <si>
    <t>Grapploct</t>
  </si>
  <si>
    <t>graveler</t>
  </si>
  <si>
    <t>greedent</t>
  </si>
  <si>
    <t>Greedent</t>
  </si>
  <si>
    <t>greninja</t>
  </si>
  <si>
    <t>Greninja</t>
  </si>
  <si>
    <t>grimer</t>
  </si>
  <si>
    <t>Grimer</t>
  </si>
  <si>
    <t>grimmsnarl</t>
  </si>
  <si>
    <t>Grimmsnarl</t>
  </si>
  <si>
    <t>grookey</t>
  </si>
  <si>
    <t>Grookey</t>
  </si>
  <si>
    <t>grotle</t>
  </si>
  <si>
    <t>groudon</t>
  </si>
  <si>
    <t>Groudon</t>
  </si>
  <si>
    <t>grovyle</t>
  </si>
  <si>
    <t>Grovyle</t>
  </si>
  <si>
    <t>growlithe</t>
  </si>
  <si>
    <t>Growlithe</t>
  </si>
  <si>
    <t>grubbin</t>
  </si>
  <si>
    <t>Grubbin</t>
  </si>
  <si>
    <t>grumpig</t>
  </si>
  <si>
    <t>gulpin</t>
  </si>
  <si>
    <t>Gulpin</t>
  </si>
  <si>
    <t>gumshoos</t>
  </si>
  <si>
    <t>Gumshoos</t>
  </si>
  <si>
    <t>gurdurr</t>
  </si>
  <si>
    <t>Gurdurr</t>
  </si>
  <si>
    <t>guzzlord</t>
  </si>
  <si>
    <t>Guzzlord</t>
  </si>
  <si>
    <t>gyarados</t>
  </si>
  <si>
    <t>hakamo-o</t>
  </si>
  <si>
    <t>Hakamo-o</t>
  </si>
  <si>
    <t>happiny</t>
  </si>
  <si>
    <t>hariyama</t>
  </si>
  <si>
    <t>hatenna</t>
  </si>
  <si>
    <t>Hatenna</t>
  </si>
  <si>
    <t>hatterene</t>
  </si>
  <si>
    <t>Hatterene</t>
  </si>
  <si>
    <t>hattrem</t>
  </si>
  <si>
    <t>Hattrem</t>
  </si>
  <si>
    <t>haunter</t>
  </si>
  <si>
    <t>hawlucha</t>
  </si>
  <si>
    <t>Hawlucha</t>
  </si>
  <si>
    <t>haxorus</t>
  </si>
  <si>
    <t>Haxorus</t>
  </si>
  <si>
    <t>heatmor</t>
  </si>
  <si>
    <t>Heatmor</t>
  </si>
  <si>
    <t>heatran</t>
  </si>
  <si>
    <t>Heatran</t>
  </si>
  <si>
    <t>heliolisk</t>
  </si>
  <si>
    <t>Heliolisk</t>
  </si>
  <si>
    <t>helioptile</t>
  </si>
  <si>
    <t>Helioptile</t>
  </si>
  <si>
    <t>heracross</t>
  </si>
  <si>
    <t>herdier</t>
  </si>
  <si>
    <t>Herdier</t>
  </si>
  <si>
    <t>hippopotas</t>
  </si>
  <si>
    <t>hippowdon</t>
  </si>
  <si>
    <t>hitmonchan</t>
  </si>
  <si>
    <t>Hitmonchan</t>
  </si>
  <si>
    <t>hitmonlee</t>
  </si>
  <si>
    <t>Hitmonlee</t>
  </si>
  <si>
    <t>hitmontop</t>
  </si>
  <si>
    <t>ho-oh</t>
  </si>
  <si>
    <t>Ho-Oh</t>
  </si>
  <si>
    <t>honchkrow</t>
  </si>
  <si>
    <t>honedge</t>
  </si>
  <si>
    <t>Honedge</t>
  </si>
  <si>
    <t>hoopa</t>
  </si>
  <si>
    <t>Hoopa</t>
  </si>
  <si>
    <t>hoothoot</t>
  </si>
  <si>
    <t>hoppip</t>
  </si>
  <si>
    <t>Hoppip</t>
  </si>
  <si>
    <t>horsea</t>
  </si>
  <si>
    <t>Horsea</t>
  </si>
  <si>
    <t>houndoom</t>
  </si>
  <si>
    <t>houndour</t>
  </si>
  <si>
    <t>Houndour</t>
  </si>
  <si>
    <t>huntail</t>
  </si>
  <si>
    <t>hydreigon</t>
  </si>
  <si>
    <t>Hydreigon</t>
  </si>
  <si>
    <t>hypno</t>
  </si>
  <si>
    <t>igglybuff</t>
  </si>
  <si>
    <t>Igglybuff</t>
  </si>
  <si>
    <t>illumise</t>
  </si>
  <si>
    <t>Illumise</t>
  </si>
  <si>
    <t>impidimp</t>
  </si>
  <si>
    <t>Impidimp</t>
  </si>
  <si>
    <t>incineroar</t>
  </si>
  <si>
    <t>Incineroar</t>
  </si>
  <si>
    <t>indeedee</t>
  </si>
  <si>
    <t>Indeedee</t>
  </si>
  <si>
    <t>infernape</t>
  </si>
  <si>
    <t>inkay</t>
  </si>
  <si>
    <t>Inkay</t>
  </si>
  <si>
    <t>inteleon</t>
  </si>
  <si>
    <t>Inteleon</t>
  </si>
  <si>
    <t>ivysaur</t>
  </si>
  <si>
    <t>Ivysaur</t>
  </si>
  <si>
    <t>jangmo-o</t>
  </si>
  <si>
    <t>Jangmo-o</t>
  </si>
  <si>
    <t>jellicent</t>
  </si>
  <si>
    <t>Jellicent</t>
  </si>
  <si>
    <t>jigglypuff</t>
  </si>
  <si>
    <t>Jigglypuff</t>
  </si>
  <si>
    <t>jirachi</t>
  </si>
  <si>
    <t>Jirachi</t>
  </si>
  <si>
    <t>jolteon</t>
  </si>
  <si>
    <t>joltik</t>
  </si>
  <si>
    <t>Joltik</t>
  </si>
  <si>
    <t>jumbao</t>
  </si>
  <si>
    <t>Jumbao</t>
  </si>
  <si>
    <t>jumpluff</t>
  </si>
  <si>
    <t>justyke</t>
  </si>
  <si>
    <t>Justyke</t>
  </si>
  <si>
    <t>jynx</t>
  </si>
  <si>
    <t>kabuto</t>
  </si>
  <si>
    <t>Kabuto</t>
  </si>
  <si>
    <t>kabutops</t>
  </si>
  <si>
    <t>kadabra</t>
  </si>
  <si>
    <t>kakuna</t>
  </si>
  <si>
    <t>Kakuna</t>
  </si>
  <si>
    <t>kangaskhan</t>
  </si>
  <si>
    <t>karrablast</t>
  </si>
  <si>
    <t>Karrablast</t>
  </si>
  <si>
    <t>kartana</t>
  </si>
  <si>
    <t>Kartana</t>
  </si>
  <si>
    <t>kecleon</t>
  </si>
  <si>
    <t>keldeo</t>
  </si>
  <si>
    <t>Keldeo</t>
  </si>
  <si>
    <t>kerfluffle</t>
  </si>
  <si>
    <t>Kerfluffle</t>
  </si>
  <si>
    <t>kingdra</t>
  </si>
  <si>
    <t>kingler</t>
  </si>
  <si>
    <t>Kingler</t>
  </si>
  <si>
    <t>kirlia</t>
  </si>
  <si>
    <t>kitsunoh</t>
  </si>
  <si>
    <t>Kitsunoh</t>
  </si>
  <si>
    <t>klang</t>
  </si>
  <si>
    <t>Klang</t>
  </si>
  <si>
    <t>klefki</t>
  </si>
  <si>
    <t>Klefki</t>
  </si>
  <si>
    <t>klink</t>
  </si>
  <si>
    <t>Klink</t>
  </si>
  <si>
    <t>klinklang</t>
  </si>
  <si>
    <t>Klinklang</t>
  </si>
  <si>
    <t>koffing</t>
  </si>
  <si>
    <t>Koffing</t>
  </si>
  <si>
    <t>komala</t>
  </si>
  <si>
    <t>Komala</t>
  </si>
  <si>
    <t>kommo-o</t>
  </si>
  <si>
    <t>Kommo-o</t>
  </si>
  <si>
    <t>krabby</t>
  </si>
  <si>
    <t>Krabby</t>
  </si>
  <si>
    <t>kricketot</t>
  </si>
  <si>
    <t>kricketune</t>
  </si>
  <si>
    <t>krilowatt</t>
  </si>
  <si>
    <t>Krilowatt</t>
  </si>
  <si>
    <t>krokorok</t>
  </si>
  <si>
    <t>Krokorok</t>
  </si>
  <si>
    <t>krookodile</t>
  </si>
  <si>
    <t>Krookodile</t>
  </si>
  <si>
    <t>kubfu</t>
  </si>
  <si>
    <t>Kubfu</t>
  </si>
  <si>
    <t>kyogre</t>
  </si>
  <si>
    <t>Kyogre</t>
  </si>
  <si>
    <t>kyurem</t>
  </si>
  <si>
    <t>Kyurem</t>
  </si>
  <si>
    <t>lairon</t>
  </si>
  <si>
    <t>Lairon</t>
  </si>
  <si>
    <t>lampent</t>
  </si>
  <si>
    <t>Lampent</t>
  </si>
  <si>
    <t>landorus</t>
  </si>
  <si>
    <t>Landorus</t>
  </si>
  <si>
    <t>lanturn</t>
  </si>
  <si>
    <t>lapras</t>
  </si>
  <si>
    <t>larvesta</t>
  </si>
  <si>
    <t>Larvesta</t>
  </si>
  <si>
    <t>larvitar</t>
  </si>
  <si>
    <t>latias</t>
  </si>
  <si>
    <t>Latias</t>
  </si>
  <si>
    <t>latios</t>
  </si>
  <si>
    <t>Latios</t>
  </si>
  <si>
    <t>leafeon</t>
  </si>
  <si>
    <t>Leafeon</t>
  </si>
  <si>
    <t>leavanny</t>
  </si>
  <si>
    <t>Leavanny</t>
  </si>
  <si>
    <t>ledian</t>
  </si>
  <si>
    <t>Ledian</t>
  </si>
  <si>
    <t>ledyba</t>
  </si>
  <si>
    <t>Ledyba</t>
  </si>
  <si>
    <t>lickilicky</t>
  </si>
  <si>
    <t>lickitung</t>
  </si>
  <si>
    <t>liepard</t>
  </si>
  <si>
    <t>Liepard</t>
  </si>
  <si>
    <t>lileep</t>
  </si>
  <si>
    <t>Lileep</t>
  </si>
  <si>
    <t>lilligant</t>
  </si>
  <si>
    <t>Lilligant</t>
  </si>
  <si>
    <t>lillipup</t>
  </si>
  <si>
    <t>Lillipup</t>
  </si>
  <si>
    <t>linoone</t>
  </si>
  <si>
    <t>litleo</t>
  </si>
  <si>
    <t>Litleo</t>
  </si>
  <si>
    <t>litten</t>
  </si>
  <si>
    <t>Litten</t>
  </si>
  <si>
    <t>litwick</t>
  </si>
  <si>
    <t>Litwick</t>
  </si>
  <si>
    <t>lombre</t>
  </si>
  <si>
    <t>Lombre</t>
  </si>
  <si>
    <t>lopunny</t>
  </si>
  <si>
    <t>lotad</t>
  </si>
  <si>
    <t>Lotad</t>
  </si>
  <si>
    <t>loudred</t>
  </si>
  <si>
    <t>lucario</t>
  </si>
  <si>
    <t>ludicolo</t>
  </si>
  <si>
    <t>lugia</t>
  </si>
  <si>
    <t>Lugia</t>
  </si>
  <si>
    <t>lumineon</t>
  </si>
  <si>
    <t>lunala</t>
  </si>
  <si>
    <t>Lunala</t>
  </si>
  <si>
    <t>lunatone</t>
  </si>
  <si>
    <t>Lunatone</t>
  </si>
  <si>
    <t>lurantis</t>
  </si>
  <si>
    <t>Lurantis</t>
  </si>
  <si>
    <t>luvdisc</t>
  </si>
  <si>
    <t>luxio</t>
  </si>
  <si>
    <t>luxray</t>
  </si>
  <si>
    <t>lycanroc</t>
  </si>
  <si>
    <t>Lycanroc</t>
  </si>
  <si>
    <t>machamp</t>
  </si>
  <si>
    <t>machoke</t>
  </si>
  <si>
    <t>machop</t>
  </si>
  <si>
    <t>magby</t>
  </si>
  <si>
    <t>Magby</t>
  </si>
  <si>
    <t>magcargo</t>
  </si>
  <si>
    <t>magearna</t>
  </si>
  <si>
    <t>Magearna</t>
  </si>
  <si>
    <t>magikarp</t>
  </si>
  <si>
    <t>magmar</t>
  </si>
  <si>
    <t>Magmar</t>
  </si>
  <si>
    <t>magmortar</t>
  </si>
  <si>
    <t>magnemite</t>
  </si>
  <si>
    <t>Magnemite</t>
  </si>
  <si>
    <t>magneton</t>
  </si>
  <si>
    <t>Magneton</t>
  </si>
  <si>
    <t>magnezone</t>
  </si>
  <si>
    <t>makuhita</t>
  </si>
  <si>
    <t>malaconda</t>
  </si>
  <si>
    <t>Malaconda</t>
  </si>
  <si>
    <t>malamar</t>
  </si>
  <si>
    <t>Malamar</t>
  </si>
  <si>
    <t>mamoswine</t>
  </si>
  <si>
    <t>manaphy</t>
  </si>
  <si>
    <t>Manaphy</t>
  </si>
  <si>
    <t>mandibuzz</t>
  </si>
  <si>
    <t>Mandibuzz</t>
  </si>
  <si>
    <t>manectric</t>
  </si>
  <si>
    <t>Manectric</t>
  </si>
  <si>
    <t>mankey</t>
  </si>
  <si>
    <t>mantine</t>
  </si>
  <si>
    <t>mantyke</t>
  </si>
  <si>
    <t>maractus</t>
  </si>
  <si>
    <t>Maractus</t>
  </si>
  <si>
    <t>mareanie</t>
  </si>
  <si>
    <t>Mareanie</t>
  </si>
  <si>
    <t>mareep</t>
  </si>
  <si>
    <t>Mareep</t>
  </si>
  <si>
    <t>marill</t>
  </si>
  <si>
    <t>marowak</t>
  </si>
  <si>
    <t>marshadow</t>
  </si>
  <si>
    <t>Marshadow</t>
  </si>
  <si>
    <t>marshtomp</t>
  </si>
  <si>
    <t>Marshtomp</t>
  </si>
  <si>
    <t>masquerain</t>
  </si>
  <si>
    <t>Masquerain</t>
  </si>
  <si>
    <t>mawile</t>
  </si>
  <si>
    <t>Mawile</t>
  </si>
  <si>
    <t>medicham</t>
  </si>
  <si>
    <t>meditite</t>
  </si>
  <si>
    <t>meganium</t>
  </si>
  <si>
    <t>Meganium</t>
  </si>
  <si>
    <t>melmetal</t>
  </si>
  <si>
    <t>Melmetal</t>
  </si>
  <si>
    <t>meloetta</t>
  </si>
  <si>
    <t>Meloetta</t>
  </si>
  <si>
    <t>meltan</t>
  </si>
  <si>
    <t>Meltan</t>
  </si>
  <si>
    <t>meowstic</t>
  </si>
  <si>
    <t>Meowstic</t>
  </si>
  <si>
    <t>meowth</t>
  </si>
  <si>
    <t>mesprit</t>
  </si>
  <si>
    <t>Mesprit</t>
  </si>
  <si>
    <t>metagross</t>
  </si>
  <si>
    <t>metang</t>
  </si>
  <si>
    <t>Metang</t>
  </si>
  <si>
    <t>metapod</t>
  </si>
  <si>
    <t>Metapod</t>
  </si>
  <si>
    <t>mew</t>
  </si>
  <si>
    <t>Mew</t>
  </si>
  <si>
    <t>mewtwo</t>
  </si>
  <si>
    <t>Mewtwo</t>
  </si>
  <si>
    <t>miasmaw</t>
  </si>
  <si>
    <t>Miasmaw</t>
  </si>
  <si>
    <t>mienfoo</t>
  </si>
  <si>
    <t>Mienfoo</t>
  </si>
  <si>
    <t>mienshao</t>
  </si>
  <si>
    <t>Mienshao</t>
  </si>
  <si>
    <t>mightyena</t>
  </si>
  <si>
    <t>milcery</t>
  </si>
  <si>
    <t>Milcery</t>
  </si>
  <si>
    <t>milotic</t>
  </si>
  <si>
    <t>miltank</t>
  </si>
  <si>
    <t>mime-jr</t>
  </si>
  <si>
    <t>mimikyu</t>
  </si>
  <si>
    <t>Mimikyu</t>
  </si>
  <si>
    <t>minccino</t>
  </si>
  <si>
    <t>Minccino</t>
  </si>
  <si>
    <t>minior</t>
  </si>
  <si>
    <t>Minior</t>
  </si>
  <si>
    <t>minun</t>
  </si>
  <si>
    <t>Minun</t>
  </si>
  <si>
    <t>misdreavus</t>
  </si>
  <si>
    <t>mismagius</t>
  </si>
  <si>
    <t>unknown</t>
  </si>
  <si>
    <t>MissingNo.</t>
  </si>
  <si>
    <t>mollux</t>
  </si>
  <si>
    <t>Mollux</t>
  </si>
  <si>
    <t>moltres</t>
  </si>
  <si>
    <t>Moltres</t>
  </si>
  <si>
    <t>monferno</t>
  </si>
  <si>
    <t>morelull</t>
  </si>
  <si>
    <t>Morelull</t>
  </si>
  <si>
    <t>morgrem</t>
  </si>
  <si>
    <t>Morgrem</t>
  </si>
  <si>
    <t>morpeko</t>
  </si>
  <si>
    <t>Morpeko</t>
  </si>
  <si>
    <t>mothim</t>
  </si>
  <si>
    <t>mr-mime</t>
  </si>
  <si>
    <t>mr-rime</t>
  </si>
  <si>
    <t>Mr. Rime</t>
  </si>
  <si>
    <t>mudbray</t>
  </si>
  <si>
    <t>Mudbray</t>
  </si>
  <si>
    <t>mudkip</t>
  </si>
  <si>
    <t>Mudkip</t>
  </si>
  <si>
    <t>mudsdale</t>
  </si>
  <si>
    <t>Mudsdale</t>
  </si>
  <si>
    <t>muk</t>
  </si>
  <si>
    <t>Muk</t>
  </si>
  <si>
    <t>mumbao</t>
  </si>
  <si>
    <t>Mumbao</t>
  </si>
  <si>
    <t>munchlax</t>
  </si>
  <si>
    <t>munna</t>
  </si>
  <si>
    <t>Munna</t>
  </si>
  <si>
    <t>murkrow</t>
  </si>
  <si>
    <t>musharna</t>
  </si>
  <si>
    <t>Musharna</t>
  </si>
  <si>
    <t>naganadel</t>
  </si>
  <si>
    <t>Naganadel</t>
  </si>
  <si>
    <t>natu</t>
  </si>
  <si>
    <t>Natu</t>
  </si>
  <si>
    <t>naviathan</t>
  </si>
  <si>
    <t>Naviathan</t>
  </si>
  <si>
    <t>necrozma</t>
  </si>
  <si>
    <t>Necrozma</t>
  </si>
  <si>
    <t>necturine</t>
  </si>
  <si>
    <t>Necturine</t>
  </si>
  <si>
    <t>necturna</t>
  </si>
  <si>
    <t>Necturna</t>
  </si>
  <si>
    <t>nickit</t>
  </si>
  <si>
    <t>Nickit</t>
  </si>
  <si>
    <t>nidoking</t>
  </si>
  <si>
    <t>nidoqueen</t>
  </si>
  <si>
    <t>Nidoqueen</t>
  </si>
  <si>
    <t>nidoran-f</t>
  </si>
  <si>
    <t>Nidoran-F</t>
  </si>
  <si>
    <t>nidoran-m</t>
  </si>
  <si>
    <t>Nidoran-M</t>
  </si>
  <si>
    <t>nidorina</t>
  </si>
  <si>
    <t>Nidorina</t>
  </si>
  <si>
    <t>nidorino</t>
  </si>
  <si>
    <t>Nidorino</t>
  </si>
  <si>
    <t>nihilego</t>
  </si>
  <si>
    <t>Nihilego</t>
  </si>
  <si>
    <t>nincada</t>
  </si>
  <si>
    <t>Nincada</t>
  </si>
  <si>
    <t>ninetales</t>
  </si>
  <si>
    <t>ninjask</t>
  </si>
  <si>
    <t>Ninjask</t>
  </si>
  <si>
    <t>noctowl</t>
  </si>
  <si>
    <t>noibat</t>
  </si>
  <si>
    <t>Noibat</t>
  </si>
  <si>
    <t>noivern</t>
  </si>
  <si>
    <t>Noivern</t>
  </si>
  <si>
    <t>nosepass</t>
  </si>
  <si>
    <t>Nosepass</t>
  </si>
  <si>
    <t>numel</t>
  </si>
  <si>
    <t>Numel</t>
  </si>
  <si>
    <t>nuzleaf</t>
  </si>
  <si>
    <t>Nuzleaf</t>
  </si>
  <si>
    <t>obstagoon</t>
  </si>
  <si>
    <t>Obstagoon</t>
  </si>
  <si>
    <t>octillery</t>
  </si>
  <si>
    <t>oddish</t>
  </si>
  <si>
    <t>Oddish</t>
  </si>
  <si>
    <t>omanyte</t>
  </si>
  <si>
    <t>Omanyte</t>
  </si>
  <si>
    <t>omastar</t>
  </si>
  <si>
    <t>Omastar</t>
  </si>
  <si>
    <t>onix</t>
  </si>
  <si>
    <t>oranguru</t>
  </si>
  <si>
    <t>Oranguru</t>
  </si>
  <si>
    <t>orbeetle</t>
  </si>
  <si>
    <t>Orbeetle</t>
  </si>
  <si>
    <t>oricorio</t>
  </si>
  <si>
    <t>Oricorio</t>
  </si>
  <si>
    <t>oshawott</t>
  </si>
  <si>
    <t>Oshawott</t>
  </si>
  <si>
    <t>pachirisu</t>
  </si>
  <si>
    <t>pajantom</t>
  </si>
  <si>
    <t>Pajantom</t>
  </si>
  <si>
    <t>palkia</t>
  </si>
  <si>
    <t>Palkia</t>
  </si>
  <si>
    <t>palossand</t>
  </si>
  <si>
    <t>Palossand</t>
  </si>
  <si>
    <t>palpitoad</t>
  </si>
  <si>
    <t>Palpitoad</t>
  </si>
  <si>
    <t>pancham</t>
  </si>
  <si>
    <t>Pancham</t>
  </si>
  <si>
    <t>pangoro</t>
  </si>
  <si>
    <t>Pangoro</t>
  </si>
  <si>
    <t>panpour</t>
  </si>
  <si>
    <t>Panpour</t>
  </si>
  <si>
    <t>pansage</t>
  </si>
  <si>
    <t>Pansage</t>
  </si>
  <si>
    <t>pansear</t>
  </si>
  <si>
    <t>Pansear</t>
  </si>
  <si>
    <t>paras</t>
  </si>
  <si>
    <t>Paras</t>
  </si>
  <si>
    <t>parasect</t>
  </si>
  <si>
    <t>Parasect</t>
  </si>
  <si>
    <t>passimian</t>
  </si>
  <si>
    <t>Passimian</t>
  </si>
  <si>
    <t>patrat</t>
  </si>
  <si>
    <t>Patrat</t>
  </si>
  <si>
    <t>pawniard</t>
  </si>
  <si>
    <t>Pawniard</t>
  </si>
  <si>
    <t>pelipper</t>
  </si>
  <si>
    <t>perrserker</t>
  </si>
  <si>
    <t>Perrserker</t>
  </si>
  <si>
    <t>persian</t>
  </si>
  <si>
    <t>petilil</t>
  </si>
  <si>
    <t>Petilil</t>
  </si>
  <si>
    <t>phanpy</t>
  </si>
  <si>
    <t>Phanpy</t>
  </si>
  <si>
    <t>phantump</t>
  </si>
  <si>
    <t>Phantump</t>
  </si>
  <si>
    <t>pheromosa</t>
  </si>
  <si>
    <t>Pheromosa</t>
  </si>
  <si>
    <t>phione</t>
  </si>
  <si>
    <t>Phione</t>
  </si>
  <si>
    <t>pichu</t>
  </si>
  <si>
    <t>pidgeot</t>
  </si>
  <si>
    <t>Pidgeot</t>
  </si>
  <si>
    <t>pidgeotto</t>
  </si>
  <si>
    <t>Pidgeotto</t>
  </si>
  <si>
    <t>pidgey</t>
  </si>
  <si>
    <t>Pidgey</t>
  </si>
  <si>
    <t>pidove</t>
  </si>
  <si>
    <t>Pidove</t>
  </si>
  <si>
    <t>pignite</t>
  </si>
  <si>
    <t>Pignite</t>
  </si>
  <si>
    <t>pikachu</t>
  </si>
  <si>
    <t>pikipek</t>
  </si>
  <si>
    <t>Pikipek</t>
  </si>
  <si>
    <t>piloswine</t>
  </si>
  <si>
    <t>Piloswine</t>
  </si>
  <si>
    <t>pincurchin</t>
  </si>
  <si>
    <t>Pincurchin</t>
  </si>
  <si>
    <t>pineco</t>
  </si>
  <si>
    <t>Pineco</t>
  </si>
  <si>
    <t>pinsir</t>
  </si>
  <si>
    <t>piplup</t>
  </si>
  <si>
    <t>plasmanta</t>
  </si>
  <si>
    <t>Plasmanta</t>
  </si>
  <si>
    <t>pluffle</t>
  </si>
  <si>
    <t>Pluffle</t>
  </si>
  <si>
    <t>plusle</t>
  </si>
  <si>
    <t>Plusle</t>
  </si>
  <si>
    <t>poipole</t>
  </si>
  <si>
    <t>Poipole</t>
  </si>
  <si>
    <t>pokestar black belt,</t>
  </si>
  <si>
    <t>Pokestar Black Belt,</t>
  </si>
  <si>
    <t>pokestar black door</t>
  </si>
  <si>
    <t>Pokestar Black Door</t>
  </si>
  <si>
    <t>pokestar brycen-man</t>
  </si>
  <si>
    <t>Pokestar Brycen-Man</t>
  </si>
  <si>
    <t>pokestar f-00</t>
  </si>
  <si>
    <t>Pokestar F-00</t>
  </si>
  <si>
    <t>pokestar f-002</t>
  </si>
  <si>
    <t>Pokestar F-002</t>
  </si>
  <si>
    <t>pokestar giant</t>
  </si>
  <si>
    <t>Pokestar Giant</t>
  </si>
  <si>
    <t>pokestar humanoid</t>
  </si>
  <si>
    <t>Pokestar Humanoid</t>
  </si>
  <si>
    <t>pokestar monster</t>
  </si>
  <si>
    <t>Pokestar Monster</t>
  </si>
  <si>
    <t>pokestar mt</t>
  </si>
  <si>
    <t>Pokestar MT</t>
  </si>
  <si>
    <t>pokestar mt2</t>
  </si>
  <si>
    <t>Pokestar MT2</t>
  </si>
  <si>
    <t>pokestar smeargle</t>
  </si>
  <si>
    <t>Pokestar Smeargle</t>
  </si>
  <si>
    <t>pokestar spirit</t>
  </si>
  <si>
    <t>Pokestar Spirit</t>
  </si>
  <si>
    <t>pokestar transport</t>
  </si>
  <si>
    <t>Pokestar Transport</t>
  </si>
  <si>
    <t>pokestar ufo</t>
  </si>
  <si>
    <t>Pokestar UFO</t>
  </si>
  <si>
    <t>pokestar ufo-propu2</t>
  </si>
  <si>
    <t>Pokestar UFO-PropU2</t>
  </si>
  <si>
    <t>pokestar white door</t>
  </si>
  <si>
    <t>Pokestar White Door</t>
  </si>
  <si>
    <t>politoed</t>
  </si>
  <si>
    <t>poliwag</t>
  </si>
  <si>
    <t>Poliwag</t>
  </si>
  <si>
    <t>poliwhirl</t>
  </si>
  <si>
    <t>poliwrath</t>
  </si>
  <si>
    <t>Poliwrath</t>
  </si>
  <si>
    <t>polteageist</t>
  </si>
  <si>
    <t>Polteageist</t>
  </si>
  <si>
    <t>ponyta</t>
  </si>
  <si>
    <t>poochyena</t>
  </si>
  <si>
    <t>Poochyena</t>
  </si>
  <si>
    <t>popplio</t>
  </si>
  <si>
    <t>Popplio</t>
  </si>
  <si>
    <t>porygon</t>
  </si>
  <si>
    <t>Porygon</t>
  </si>
  <si>
    <t>porygon-z</t>
  </si>
  <si>
    <t>porygon2</t>
  </si>
  <si>
    <t>Porygon2</t>
  </si>
  <si>
    <t>primarina</t>
  </si>
  <si>
    <t>Primarina</t>
  </si>
  <si>
    <t>primeape</t>
  </si>
  <si>
    <t>prinplup</t>
  </si>
  <si>
    <t>privatyke</t>
  </si>
  <si>
    <t>Privatyke</t>
  </si>
  <si>
    <t>probopass</t>
  </si>
  <si>
    <t>psyduck</t>
  </si>
  <si>
    <t>pumpkaboo</t>
  </si>
  <si>
    <t>Pumpkaboo</t>
  </si>
  <si>
    <t>pupitar</t>
  </si>
  <si>
    <t>Pupitar</t>
  </si>
  <si>
    <t>purrloin</t>
  </si>
  <si>
    <t>Purrloin</t>
  </si>
  <si>
    <t>purugly</t>
  </si>
  <si>
    <t>pyroak</t>
  </si>
  <si>
    <t>Pyroak</t>
  </si>
  <si>
    <t>pyroar</t>
  </si>
  <si>
    <t>Pyroar</t>
  </si>
  <si>
    <t>pyukumuku</t>
  </si>
  <si>
    <t>Pyukumuku</t>
  </si>
  <si>
    <t>quagsire</t>
  </si>
  <si>
    <t>quilava</t>
  </si>
  <si>
    <t>Quilava</t>
  </si>
  <si>
    <t>quilladin</t>
  </si>
  <si>
    <t>Quilladin</t>
  </si>
  <si>
    <t>qwilfish</t>
  </si>
  <si>
    <t>Qwilfish</t>
  </si>
  <si>
    <t>raboot</t>
  </si>
  <si>
    <t>Raboot</t>
  </si>
  <si>
    <t>raichu</t>
  </si>
  <si>
    <t>raikou</t>
  </si>
  <si>
    <t>Raikou</t>
  </si>
  <si>
    <t>ralts</t>
  </si>
  <si>
    <t>Ralts</t>
  </si>
  <si>
    <t>rampardos</t>
  </si>
  <si>
    <t>rapidash</t>
  </si>
  <si>
    <t>raticate</t>
  </si>
  <si>
    <t>Raticate</t>
  </si>
  <si>
    <t>rattata</t>
  </si>
  <si>
    <t>rayquaza</t>
  </si>
  <si>
    <t>Rayquaza</t>
  </si>
  <si>
    <t>rebble</t>
  </si>
  <si>
    <t>Rebble</t>
  </si>
  <si>
    <t>regice</t>
  </si>
  <si>
    <t>Regice</t>
  </si>
  <si>
    <t>regidrago</t>
  </si>
  <si>
    <t>Regidrago</t>
  </si>
  <si>
    <t>regieleki</t>
  </si>
  <si>
    <t>Regieleki</t>
  </si>
  <si>
    <t>regigigas</t>
  </si>
  <si>
    <t>Regigigas</t>
  </si>
  <si>
    <t>regirock</t>
  </si>
  <si>
    <t>Regirock</t>
  </si>
  <si>
    <t>registeel</t>
  </si>
  <si>
    <t>Registeel</t>
  </si>
  <si>
    <t>relicanth</t>
  </si>
  <si>
    <t>remoraid</t>
  </si>
  <si>
    <t>reshiram</t>
  </si>
  <si>
    <t>Reshiram</t>
  </si>
  <si>
    <t>reuniclus</t>
  </si>
  <si>
    <t>Reuniclus</t>
  </si>
  <si>
    <t>revenankh</t>
  </si>
  <si>
    <t>Revenankh</t>
  </si>
  <si>
    <t>rhydon</t>
  </si>
  <si>
    <t>Rhydon</t>
  </si>
  <si>
    <t>rhyhorn</t>
  </si>
  <si>
    <t>Rhyhorn</t>
  </si>
  <si>
    <t>rhyperior</t>
  </si>
  <si>
    <t>ribombee</t>
  </si>
  <si>
    <t>Ribombee</t>
  </si>
  <si>
    <t>rillaboom</t>
  </si>
  <si>
    <t>Rillaboom</t>
  </si>
  <si>
    <t>riolu</t>
  </si>
  <si>
    <t>rockruff</t>
  </si>
  <si>
    <t>Rockruff</t>
  </si>
  <si>
    <t>roggenrola</t>
  </si>
  <si>
    <t>Roggenrola</t>
  </si>
  <si>
    <t>rolycoly</t>
  </si>
  <si>
    <t>Rolycoly</t>
  </si>
  <si>
    <t>rookidee</t>
  </si>
  <si>
    <t>Rookidee</t>
  </si>
  <si>
    <t>roselia</t>
  </si>
  <si>
    <t>roserade</t>
  </si>
  <si>
    <t>rotom</t>
  </si>
  <si>
    <t>Rotom</t>
  </si>
  <si>
    <t>rowlet</t>
  </si>
  <si>
    <t>Rowlet</t>
  </si>
  <si>
    <t>rufflet</t>
  </si>
  <si>
    <t>Rufflet</t>
  </si>
  <si>
    <t>runerigus</t>
  </si>
  <si>
    <t>Runerigus</t>
  </si>
  <si>
    <t>sableye</t>
  </si>
  <si>
    <t>Sableye</t>
  </si>
  <si>
    <t>salamence</t>
  </si>
  <si>
    <t>salandit</t>
  </si>
  <si>
    <t>Salandit</t>
  </si>
  <si>
    <t>salazzle</t>
  </si>
  <si>
    <t>Salazzle</t>
  </si>
  <si>
    <t>samurott</t>
  </si>
  <si>
    <t>Samurott</t>
  </si>
  <si>
    <t>sandaconda</t>
  </si>
  <si>
    <t>Sandaconda</t>
  </si>
  <si>
    <t>sandile</t>
  </si>
  <si>
    <t>Sandile</t>
  </si>
  <si>
    <t>sandshrew</t>
  </si>
  <si>
    <t>Sandshrew</t>
  </si>
  <si>
    <t>sandslash</t>
  </si>
  <si>
    <t>sandygast</t>
  </si>
  <si>
    <t>Sandygast</t>
  </si>
  <si>
    <t>sawk</t>
  </si>
  <si>
    <t>Sawk</t>
  </si>
  <si>
    <t>sawsbuck</t>
  </si>
  <si>
    <t>Sawsbuck</t>
  </si>
  <si>
    <t>scatterbug</t>
  </si>
  <si>
    <t>Scatterbug</t>
  </si>
  <si>
    <t>sceptile</t>
  </si>
  <si>
    <t>scizor</t>
  </si>
  <si>
    <t>scolipede</t>
  </si>
  <si>
    <t>Scolipede</t>
  </si>
  <si>
    <t>scorbunny</t>
  </si>
  <si>
    <t>Scorbunny</t>
  </si>
  <si>
    <t>scrafty</t>
  </si>
  <si>
    <t>Scrafty</t>
  </si>
  <si>
    <t>scraggy</t>
  </si>
  <si>
    <t>Scraggy</t>
  </si>
  <si>
    <t>scratchet</t>
  </si>
  <si>
    <t>Scratchet</t>
  </si>
  <si>
    <t>scyther</t>
  </si>
  <si>
    <t>seadra</t>
  </si>
  <si>
    <t>seaking</t>
  </si>
  <si>
    <t>sealeo</t>
  </si>
  <si>
    <t>seedot</t>
  </si>
  <si>
    <t>Seedot</t>
  </si>
  <si>
    <t>seel</t>
  </si>
  <si>
    <t>seismitoad</t>
  </si>
  <si>
    <t>Seismitoad</t>
  </si>
  <si>
    <t>sentret</t>
  </si>
  <si>
    <t>Sentret</t>
  </si>
  <si>
    <t>serperior</t>
  </si>
  <si>
    <t>Serperior</t>
  </si>
  <si>
    <t>servine</t>
  </si>
  <si>
    <t>Servine</t>
  </si>
  <si>
    <t>seviper</t>
  </si>
  <si>
    <t>Seviper</t>
  </si>
  <si>
    <t>sewaddle</t>
  </si>
  <si>
    <t>Sewaddle</t>
  </si>
  <si>
    <t>sharpedo</t>
  </si>
  <si>
    <t>shaymin</t>
  </si>
  <si>
    <t>Shaymin</t>
  </si>
  <si>
    <t>shedinja</t>
  </si>
  <si>
    <t>Shedinja</t>
  </si>
  <si>
    <t>shelgon</t>
  </si>
  <si>
    <t>shellder</t>
  </si>
  <si>
    <t>Shellder</t>
  </si>
  <si>
    <t>shellos</t>
  </si>
  <si>
    <t>shelmet</t>
  </si>
  <si>
    <t>Shelmet</t>
  </si>
  <si>
    <t>shieldon</t>
  </si>
  <si>
    <t>shiftry</t>
  </si>
  <si>
    <t>Shiftry</t>
  </si>
  <si>
    <t>shiinotic</t>
  </si>
  <si>
    <t>Shiinotic</t>
  </si>
  <si>
    <t>shinx</t>
  </si>
  <si>
    <t>shroomish</t>
  </si>
  <si>
    <t>Shroomish</t>
  </si>
  <si>
    <t>shuckle</t>
  </si>
  <si>
    <t>Shuckle</t>
  </si>
  <si>
    <t>shuppet</t>
  </si>
  <si>
    <t>sigilyph</t>
  </si>
  <si>
    <t>Sigilyph</t>
  </si>
  <si>
    <t>silcoon</t>
  </si>
  <si>
    <t>silicobra</t>
  </si>
  <si>
    <t>Silicobra</t>
  </si>
  <si>
    <t>silvally</t>
  </si>
  <si>
    <t>Silvally</t>
  </si>
  <si>
    <t>simipour</t>
  </si>
  <si>
    <t>Simipour</t>
  </si>
  <si>
    <t>simisage</t>
  </si>
  <si>
    <t>Simisage</t>
  </si>
  <si>
    <t>simisear</t>
  </si>
  <si>
    <t>Simisear</t>
  </si>
  <si>
    <t>sinistea</t>
  </si>
  <si>
    <t>Sinistea</t>
  </si>
  <si>
    <t>sirfetchd</t>
  </si>
  <si>
    <t>Sirfetch'd</t>
  </si>
  <si>
    <t>sizzlipede</t>
  </si>
  <si>
    <t>Sizzlipede</t>
  </si>
  <si>
    <t>skarmory</t>
  </si>
  <si>
    <t>skiddo</t>
  </si>
  <si>
    <t>Skiddo</t>
  </si>
  <si>
    <t>skiploom</t>
  </si>
  <si>
    <t>Skiploom</t>
  </si>
  <si>
    <t>skitty</t>
  </si>
  <si>
    <t>Skitty</t>
  </si>
  <si>
    <t>skorupi</t>
  </si>
  <si>
    <t>skrelp</t>
  </si>
  <si>
    <t>Skrelp</t>
  </si>
  <si>
    <t>skuntank</t>
  </si>
  <si>
    <t>skwovet</t>
  </si>
  <si>
    <t>Skwovet</t>
  </si>
  <si>
    <t>slaking</t>
  </si>
  <si>
    <t>Slaking</t>
  </si>
  <si>
    <t>slakoth</t>
  </si>
  <si>
    <t>Slakoth</t>
  </si>
  <si>
    <t>sliggoo</t>
  </si>
  <si>
    <t>Sliggoo</t>
  </si>
  <si>
    <t>slowbro</t>
  </si>
  <si>
    <t>slowking</t>
  </si>
  <si>
    <t>Slowking</t>
  </si>
  <si>
    <t>slowpoke</t>
  </si>
  <si>
    <t>slugma</t>
  </si>
  <si>
    <t>Slugma</t>
  </si>
  <si>
    <t>slurpuff</t>
  </si>
  <si>
    <t>Slurpuff</t>
  </si>
  <si>
    <t>smeargle</t>
  </si>
  <si>
    <t>Smeargle</t>
  </si>
  <si>
    <t>smogecko</t>
  </si>
  <si>
    <t>Smogecko</t>
  </si>
  <si>
    <t>smoguana</t>
  </si>
  <si>
    <t>Smoguana</t>
  </si>
  <si>
    <t>smokomodo</t>
  </si>
  <si>
    <t>Smokomodo</t>
  </si>
  <si>
    <t>smoochum</t>
  </si>
  <si>
    <t>Smoochum</t>
  </si>
  <si>
    <t>snaelstrom</t>
  </si>
  <si>
    <t>Snaelstrom</t>
  </si>
  <si>
    <t>sneasel</t>
  </si>
  <si>
    <t>snivy</t>
  </si>
  <si>
    <t>Snivy</t>
  </si>
  <si>
    <t>snom</t>
  </si>
  <si>
    <t>Snom</t>
  </si>
  <si>
    <t>snorlax</t>
  </si>
  <si>
    <t>snorunt</t>
  </si>
  <si>
    <t>Snorunt</t>
  </si>
  <si>
    <t>snover</t>
  </si>
  <si>
    <t>snubbull</t>
  </si>
  <si>
    <t>Snubbull</t>
  </si>
  <si>
    <t>snugglow</t>
  </si>
  <si>
    <t>Snugglow</t>
  </si>
  <si>
    <t>sobble</t>
  </si>
  <si>
    <t>Sobble</t>
  </si>
  <si>
    <t>solgaleo</t>
  </si>
  <si>
    <t>Solgaleo</t>
  </si>
  <si>
    <t>solosis</t>
  </si>
  <si>
    <t>Solosis</t>
  </si>
  <si>
    <t>solotl</t>
  </si>
  <si>
    <t>Solotl</t>
  </si>
  <si>
    <t>solrock</t>
  </si>
  <si>
    <t>Solrock</t>
  </si>
  <si>
    <t>spearow</t>
  </si>
  <si>
    <t>Spearow</t>
  </si>
  <si>
    <t>spectrier</t>
  </si>
  <si>
    <t>Spectrier</t>
  </si>
  <si>
    <t>spewpa</t>
  </si>
  <si>
    <t>Spewpa</t>
  </si>
  <si>
    <t>spheal</t>
  </si>
  <si>
    <t>Spheal</t>
  </si>
  <si>
    <t>spinarak</t>
  </si>
  <si>
    <t>Spinarak</t>
  </si>
  <si>
    <t>spinda</t>
  </si>
  <si>
    <t>spiritomb</t>
  </si>
  <si>
    <t>spoink</t>
  </si>
  <si>
    <t>Spoink</t>
  </si>
  <si>
    <t>spritzee</t>
  </si>
  <si>
    <t>Spritzee</t>
  </si>
  <si>
    <t>squirtle</t>
  </si>
  <si>
    <t>Squirtle</t>
  </si>
  <si>
    <t>stakataka</t>
  </si>
  <si>
    <t>Stakataka</t>
  </si>
  <si>
    <t>stantler</t>
  </si>
  <si>
    <t>staraptor</t>
  </si>
  <si>
    <t>staravia</t>
  </si>
  <si>
    <t>starly</t>
  </si>
  <si>
    <t>starmie</t>
  </si>
  <si>
    <t>staryu</t>
  </si>
  <si>
    <t>Staryu</t>
  </si>
  <si>
    <t>steelix</t>
  </si>
  <si>
    <t>steenee</t>
  </si>
  <si>
    <t>Steenee</t>
  </si>
  <si>
    <t>stonjourner</t>
  </si>
  <si>
    <t>Stonjourner</t>
  </si>
  <si>
    <t>stoutland</t>
  </si>
  <si>
    <t>Stoutland</t>
  </si>
  <si>
    <t>stratagem</t>
  </si>
  <si>
    <t>Stratagem</t>
  </si>
  <si>
    <t>stufful</t>
  </si>
  <si>
    <t>Stufful</t>
  </si>
  <si>
    <t>stunfisk</t>
  </si>
  <si>
    <t>Stunfisk</t>
  </si>
  <si>
    <t>stunky</t>
  </si>
  <si>
    <t>sudowoodo</t>
  </si>
  <si>
    <t>suicune</t>
  </si>
  <si>
    <t>Suicune</t>
  </si>
  <si>
    <t>sunflora</t>
  </si>
  <si>
    <t>sunkern</t>
  </si>
  <si>
    <t>Sunkern</t>
  </si>
  <si>
    <t>surskit</t>
  </si>
  <si>
    <t>Surskit</t>
  </si>
  <si>
    <t>swablu</t>
  </si>
  <si>
    <t>swadloon</t>
  </si>
  <si>
    <t>Swadloon</t>
  </si>
  <si>
    <t>swalot</t>
  </si>
  <si>
    <t>Swalot</t>
  </si>
  <si>
    <t>swampert</t>
  </si>
  <si>
    <t>Swampert</t>
  </si>
  <si>
    <t>swanna</t>
  </si>
  <si>
    <t>Swanna</t>
  </si>
  <si>
    <t>swellow</t>
  </si>
  <si>
    <t>swinub</t>
  </si>
  <si>
    <t>Swinub</t>
  </si>
  <si>
    <t>swirlix</t>
  </si>
  <si>
    <t>Swirlix</t>
  </si>
  <si>
    <t>swirlpool</t>
  </si>
  <si>
    <t>Swirlpool</t>
  </si>
  <si>
    <t>swoobat</t>
  </si>
  <si>
    <t>Swoobat</t>
  </si>
  <si>
    <t>syclant</t>
  </si>
  <si>
    <t>Syclant</t>
  </si>
  <si>
    <t>syclar</t>
  </si>
  <si>
    <t>Syclar</t>
  </si>
  <si>
    <t>sylveon</t>
  </si>
  <si>
    <t>Sylveon</t>
  </si>
  <si>
    <t>tactite</t>
  </si>
  <si>
    <t>Tactite</t>
  </si>
  <si>
    <t>taillow</t>
  </si>
  <si>
    <t>Taillow</t>
  </si>
  <si>
    <t>talonflame</t>
  </si>
  <si>
    <t>Talonflame</t>
  </si>
  <si>
    <t>tangela</t>
  </si>
  <si>
    <t>Tangela</t>
  </si>
  <si>
    <t>tangrowth</t>
  </si>
  <si>
    <t>tapu-bulu</t>
  </si>
  <si>
    <t>Tapu Bulu</t>
  </si>
  <si>
    <t>tapu-fini</t>
  </si>
  <si>
    <t>Tapu Fini</t>
  </si>
  <si>
    <t>tapu-koko</t>
  </si>
  <si>
    <t>Tapu Koko</t>
  </si>
  <si>
    <t>tapu-lele</t>
  </si>
  <si>
    <t>Tapu Lele</t>
  </si>
  <si>
    <t>tauros</t>
  </si>
  <si>
    <t>teddiursa</t>
  </si>
  <si>
    <t>Teddiursa</t>
  </si>
  <si>
    <t>tentacool</t>
  </si>
  <si>
    <t>tentacruel</t>
  </si>
  <si>
    <t>tepig</t>
  </si>
  <si>
    <t>Tepig</t>
  </si>
  <si>
    <t>terrakion</t>
  </si>
  <si>
    <t>Terrakion</t>
  </si>
  <si>
    <t>thievul</t>
  </si>
  <si>
    <t>Thievul</t>
  </si>
  <si>
    <t>throh</t>
  </si>
  <si>
    <t>Throh</t>
  </si>
  <si>
    <t>thundurus</t>
  </si>
  <si>
    <t>Thundurus</t>
  </si>
  <si>
    <t>thwackey</t>
  </si>
  <si>
    <t>Thwackey</t>
  </si>
  <si>
    <t>timburr</t>
  </si>
  <si>
    <t>Timburr</t>
  </si>
  <si>
    <t>tirtouga</t>
  </si>
  <si>
    <t>Tirtouga</t>
  </si>
  <si>
    <t>togedemaru</t>
  </si>
  <si>
    <t>Togedemaru</t>
  </si>
  <si>
    <t>togekiss</t>
  </si>
  <si>
    <t>togepi</t>
  </si>
  <si>
    <t>Togepi</t>
  </si>
  <si>
    <t>togetic</t>
  </si>
  <si>
    <t>Togetic</t>
  </si>
  <si>
    <t>tomohawk</t>
  </si>
  <si>
    <t>Tomohawk</t>
  </si>
  <si>
    <t>torchic</t>
  </si>
  <si>
    <t>Torchic</t>
  </si>
  <si>
    <t>torkoal</t>
  </si>
  <si>
    <t>tornadus</t>
  </si>
  <si>
    <t>Tornadus</t>
  </si>
  <si>
    <t>torracat</t>
  </si>
  <si>
    <t>Torracat</t>
  </si>
  <si>
    <t>torterra</t>
  </si>
  <si>
    <t>totodile</t>
  </si>
  <si>
    <t>Totodile</t>
  </si>
  <si>
    <t>toucannon</t>
  </si>
  <si>
    <t>Toucannon</t>
  </si>
  <si>
    <t>toxapex</t>
  </si>
  <si>
    <t>Toxapex</t>
  </si>
  <si>
    <t>toxel</t>
  </si>
  <si>
    <t>Toxel</t>
  </si>
  <si>
    <t>toxicroak</t>
  </si>
  <si>
    <t>toxtricity</t>
  </si>
  <si>
    <t>Toxtricity</t>
  </si>
  <si>
    <t>tranquill</t>
  </si>
  <si>
    <t>Tranquill</t>
  </si>
  <si>
    <t>trapinch</t>
  </si>
  <si>
    <t>treecko</t>
  </si>
  <si>
    <t>Treecko</t>
  </si>
  <si>
    <t>trevenant</t>
  </si>
  <si>
    <t>Trevenant</t>
  </si>
  <si>
    <t>tropius</t>
  </si>
  <si>
    <t>trubbish</t>
  </si>
  <si>
    <t>Trubbish</t>
  </si>
  <si>
    <t>trumbeak</t>
  </si>
  <si>
    <t>Trumbeak</t>
  </si>
  <si>
    <t>tsareena</t>
  </si>
  <si>
    <t>Tsareena</t>
  </si>
  <si>
    <t>turtonator</t>
  </si>
  <si>
    <t>Turtonator</t>
  </si>
  <si>
    <t>turtwig</t>
  </si>
  <si>
    <t>tympole</t>
  </si>
  <si>
    <t>Tympole</t>
  </si>
  <si>
    <t>tynamo</t>
  </si>
  <si>
    <t>Tynamo</t>
  </si>
  <si>
    <t>type-null</t>
  </si>
  <si>
    <t>Type: Null</t>
  </si>
  <si>
    <t>typhlosion</t>
  </si>
  <si>
    <t>tyranitar</t>
  </si>
  <si>
    <t>tyrantrum</t>
  </si>
  <si>
    <t>Tyrantrum</t>
  </si>
  <si>
    <t>tyrogue</t>
  </si>
  <si>
    <t>tyrunt</t>
  </si>
  <si>
    <t>Tyrunt</t>
  </si>
  <si>
    <t>umbreon</t>
  </si>
  <si>
    <t>Umbreon</t>
  </si>
  <si>
    <t>unfezant</t>
  </si>
  <si>
    <t>Unfezant</t>
  </si>
  <si>
    <t>unown</t>
  </si>
  <si>
    <t>Unown</t>
  </si>
  <si>
    <t>ursaring</t>
  </si>
  <si>
    <t>urshifu</t>
  </si>
  <si>
    <t>Urshifu</t>
  </si>
  <si>
    <t>uxie</t>
  </si>
  <si>
    <t>Uxie</t>
  </si>
  <si>
    <t>vanillish</t>
  </si>
  <si>
    <t>Vanillish</t>
  </si>
  <si>
    <t>vanillite</t>
  </si>
  <si>
    <t>Vanillite</t>
  </si>
  <si>
    <t>vanilluxe</t>
  </si>
  <si>
    <t>Vanilluxe</t>
  </si>
  <si>
    <t>vaporeon</t>
  </si>
  <si>
    <t>venipede</t>
  </si>
  <si>
    <t>Venipede</t>
  </si>
  <si>
    <t>venomoth</t>
  </si>
  <si>
    <t>Venomoth</t>
  </si>
  <si>
    <t>venonat</t>
  </si>
  <si>
    <t>Venonat</t>
  </si>
  <si>
    <t>venusaur</t>
  </si>
  <si>
    <t>Venusaur</t>
  </si>
  <si>
    <t>vespiquen</t>
  </si>
  <si>
    <t>vibrava</t>
  </si>
  <si>
    <t>victini</t>
  </si>
  <si>
    <t>Victini</t>
  </si>
  <si>
    <t>victreebel</t>
  </si>
  <si>
    <t>Victreebel</t>
  </si>
  <si>
    <t>vigoroth</t>
  </si>
  <si>
    <t>vikavolt</t>
  </si>
  <si>
    <t>Vikavolt</t>
  </si>
  <si>
    <t>vileplume</t>
  </si>
  <si>
    <t>Vileplume</t>
  </si>
  <si>
    <t>virizion</t>
  </si>
  <si>
    <t>Virizion</t>
  </si>
  <si>
    <t>vivillon</t>
  </si>
  <si>
    <t>Vivillon</t>
  </si>
  <si>
    <t>volbeat</t>
  </si>
  <si>
    <t>Volbeat</t>
  </si>
  <si>
    <t>volcanion</t>
  </si>
  <si>
    <t>Volcanion</t>
  </si>
  <si>
    <t>volcarona</t>
  </si>
  <si>
    <t>Volcarona</t>
  </si>
  <si>
    <t>volkraken</t>
  </si>
  <si>
    <t>Volkraken</t>
  </si>
  <si>
    <t>volkritter</t>
  </si>
  <si>
    <t>Volkritter</t>
  </si>
  <si>
    <t>voltorb</t>
  </si>
  <si>
    <t>Voltorb</t>
  </si>
  <si>
    <t>voodoll</t>
  </si>
  <si>
    <t>Voodoll</t>
  </si>
  <si>
    <t>voodoom</t>
  </si>
  <si>
    <t>Voodoom</t>
  </si>
  <si>
    <t>vullaby</t>
  </si>
  <si>
    <t>Vullaby</t>
  </si>
  <si>
    <t>vulpix</t>
  </si>
  <si>
    <t>Vulpix</t>
  </si>
  <si>
    <t>wailmer</t>
  </si>
  <si>
    <t>Wailmer</t>
  </si>
  <si>
    <t>wailord</t>
  </si>
  <si>
    <t>Wailord</t>
  </si>
  <si>
    <t>walrein</t>
  </si>
  <si>
    <t>Walrein</t>
  </si>
  <si>
    <t>wartortle</t>
  </si>
  <si>
    <t>Wartortle</t>
  </si>
  <si>
    <t>watchog</t>
  </si>
  <si>
    <t>Watchog</t>
  </si>
  <si>
    <t>weavile</t>
  </si>
  <si>
    <t>weedle</t>
  </si>
  <si>
    <t>Weedle</t>
  </si>
  <si>
    <t>weepinbell</t>
  </si>
  <si>
    <t>Weepinbell</t>
  </si>
  <si>
    <t>weezing</t>
  </si>
  <si>
    <t>Weezing</t>
  </si>
  <si>
    <t>whimsicott</t>
  </si>
  <si>
    <t>Whimsicott</t>
  </si>
  <si>
    <t>whirlipede</t>
  </si>
  <si>
    <t>Whirlipede</t>
  </si>
  <si>
    <t>whiscash</t>
  </si>
  <si>
    <t>whismur</t>
  </si>
  <si>
    <t>Whismur</t>
  </si>
  <si>
    <t>wigglytuff</t>
  </si>
  <si>
    <t>Wigglytuff</t>
  </si>
  <si>
    <t>wimpod</t>
  </si>
  <si>
    <t>Wimpod</t>
  </si>
  <si>
    <t>wingull</t>
  </si>
  <si>
    <t>wishiwashi</t>
  </si>
  <si>
    <t>Wishiwashi</t>
  </si>
  <si>
    <t>wobbuffet</t>
  </si>
  <si>
    <t>Wobbuffet</t>
  </si>
  <si>
    <t>woobat</t>
  </si>
  <si>
    <t>Woobat</t>
  </si>
  <si>
    <t>wooloo</t>
  </si>
  <si>
    <t>Wooloo</t>
  </si>
  <si>
    <t>wooper</t>
  </si>
  <si>
    <t>wormadam</t>
  </si>
  <si>
    <t>wurmple</t>
  </si>
  <si>
    <t>wynaut</t>
  </si>
  <si>
    <t>Wynaut</t>
  </si>
  <si>
    <t>xatu</t>
  </si>
  <si>
    <t>xerneas</t>
  </si>
  <si>
    <t>Xerneas</t>
  </si>
  <si>
    <t>xurkitree</t>
  </si>
  <si>
    <t>Xurkitree</t>
  </si>
  <si>
    <t>yamask</t>
  </si>
  <si>
    <t>Yamask</t>
  </si>
  <si>
    <t>yamper</t>
  </si>
  <si>
    <t>Yamper</t>
  </si>
  <si>
    <t>yanma</t>
  </si>
  <si>
    <t>yanmega</t>
  </si>
  <si>
    <t>yungoos</t>
  </si>
  <si>
    <t>Yungoos</t>
  </si>
  <si>
    <t>yveltal</t>
  </si>
  <si>
    <t>Yveltal</t>
  </si>
  <si>
    <t>zacian</t>
  </si>
  <si>
    <t>Zacian</t>
  </si>
  <si>
    <t>zamazenta</t>
  </si>
  <si>
    <t>Zamazenta</t>
  </si>
  <si>
    <t>zangoose</t>
  </si>
  <si>
    <t>Zangoose</t>
  </si>
  <si>
    <t>zapdos</t>
  </si>
  <si>
    <t>Zapdos</t>
  </si>
  <si>
    <t>zarude</t>
  </si>
  <si>
    <t>Zarude</t>
  </si>
  <si>
    <t>zebstrika</t>
  </si>
  <si>
    <t>Zebstrika</t>
  </si>
  <si>
    <t>zekrom</t>
  </si>
  <si>
    <t>Zekrom</t>
  </si>
  <si>
    <t>zeraora</t>
  </si>
  <si>
    <t>Zeraora</t>
  </si>
  <si>
    <t>zigzagoon</t>
  </si>
  <si>
    <t>zoroark</t>
  </si>
  <si>
    <t>Zoroark</t>
  </si>
  <si>
    <t>zorua</t>
  </si>
  <si>
    <t>Zorua</t>
  </si>
  <si>
    <t>zubat</t>
  </si>
  <si>
    <t>zweilous</t>
  </si>
  <si>
    <t>Zweilous</t>
  </si>
  <si>
    <t>zygarde</t>
  </si>
  <si>
    <t>Zygarde</t>
  </si>
  <si>
    <r>
      <rPr>
        <rFont val="Arial"/>
        <color rgb="FFF3F3F3"/>
      </rPr>
      <t xml:space="preserve">All sets changed between 1.0 data </t>
    </r>
    <r>
      <rPr>
        <rFont val="Arial"/>
        <color rgb="FFF3F3F3"/>
        <sz val="8.0"/>
      </rPr>
      <t>(provided by @GhostsSoup)</t>
    </r>
    <r>
      <rPr>
        <rFont val="Arial"/>
        <color rgb="FFF3F3F3"/>
      </rPr>
      <t xml:space="preserve"> and 1.1 data </t>
    </r>
    <r>
      <rPr>
        <rFont val="Arial"/>
        <color rgb="FFF3F3F3"/>
        <sz val="8.0"/>
      </rPr>
      <t>(provided by @Kaphotics)</t>
    </r>
    <r>
      <rPr>
        <rFont val="Arial"/>
        <color rgb="FFF3F3F3"/>
      </rPr>
      <t>. 1.0 is listed first and 1.1 directly below it for convenience!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</si>
</sst>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b/>
      <color rgb="FFF3F3F3"/>
      <name val="Arial"/>
      <scheme val="minor"/>
    </font>
    <font>
      <b/>
      <color theme="1"/>
      <name val="Arial"/>
      <scheme val="minor"/>
    </font>
    <font>
      <i/>
      <color rgb="FFF3F3F3"/>
      <name val="Arial"/>
      <scheme val="minor"/>
    </font>
    <font>
      <u/>
      <color rgb="FF1155CC"/>
    </font>
    <font>
      <sz val="10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textRotation="9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vertical="center"/>
    </xf>
    <xf borderId="0" fillId="11" fontId="2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15" fontId="2" numFmtId="0" xfId="0" applyAlignment="1" applyFill="1" applyFont="1">
      <alignment horizontal="center" readingOrder="0" vertical="center"/>
    </xf>
    <xf borderId="0" fillId="15" fontId="4" numFmtId="0" xfId="0" applyAlignment="1" applyFont="1">
      <alignment horizontal="center" readingOrder="0" vertical="center"/>
    </xf>
    <xf borderId="0" fillId="15" fontId="2" numFmtId="0" xfId="0" applyAlignment="1" applyFont="1">
      <alignment horizontal="center" vertical="center"/>
    </xf>
    <xf borderId="0" fillId="16" fontId="2" numFmtId="0" xfId="0" applyAlignment="1" applyFill="1" applyFont="1">
      <alignment horizontal="center" readingOrder="0" vertical="center"/>
    </xf>
    <xf borderId="0" fillId="16" fontId="4" numFmtId="0" xfId="0" applyAlignment="1" applyFont="1">
      <alignment horizontal="center" readingOrder="0" vertical="center"/>
    </xf>
    <xf borderId="0" fillId="16" fontId="2" numFmtId="0" xfId="0" applyAlignment="1" applyFont="1">
      <alignment horizontal="center" vertical="center"/>
    </xf>
    <xf borderId="0" fillId="17" fontId="2" numFmtId="0" xfId="0" applyAlignment="1" applyFill="1" applyFont="1">
      <alignment horizontal="center" readingOrder="0" vertical="center"/>
    </xf>
    <xf borderId="0" fillId="18" fontId="2" numFmtId="0" xfId="0" applyAlignment="1" applyFill="1" applyFont="1">
      <alignment horizontal="center" readingOrder="0" vertical="center"/>
    </xf>
    <xf borderId="0" fillId="18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2" numFmtId="0" xfId="0" applyFont="1"/>
    <xf borderId="0" fillId="15" fontId="7" numFmtId="1" xfId="0" applyAlignment="1" applyFont="1" applyNumberFormat="1">
      <alignment horizontal="center" readingOrder="0" vertical="center"/>
    </xf>
    <xf borderId="0" fillId="18" fontId="2" numFmtId="0" xfId="0" applyAlignment="1" applyFont="1">
      <alignment horizontal="center" vertical="center"/>
    </xf>
  </cellXfs>
  <cellStyles count="1">
    <cellStyle xfId="0" name="Normal" builtinId="0"/>
  </cellStyles>
  <dxfs count="20">
    <dxf>
      <font>
        <color rgb="FFB7B7B7"/>
      </font>
      <fill>
        <patternFill patternType="none"/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  <dxf>
      <font>
        <color rgb="FF1155CC"/>
      </font>
      <fill>
        <patternFill patternType="solid">
          <fgColor rgb="FFA4C2F4"/>
          <bgColor rgb="FFA4C2F4"/>
        </patternFill>
      </fill>
      <border/>
    </dxf>
    <dxf>
      <font>
        <color rgb="FFBF9000"/>
      </font>
      <fill>
        <patternFill patternType="solid">
          <fgColor rgb="FFFFE599"/>
          <bgColor rgb="FFFFE599"/>
        </patternFill>
      </fill>
      <border/>
    </dxf>
    <dxf>
      <font>
        <color rgb="FFBE1295"/>
      </font>
      <fill>
        <patternFill patternType="solid">
          <fgColor rgb="FFEFAAE1"/>
          <bgColor rgb="FFEFAAE1"/>
        </patternFill>
      </fill>
      <border/>
    </dxf>
    <dxf>
      <font>
        <color rgb="FFEFEFEF"/>
      </font>
      <fill>
        <patternFill patternType="solid">
          <fgColor rgb="FF666666"/>
          <bgColor rgb="FF666666"/>
        </patternFill>
      </fill>
      <border/>
    </dxf>
    <dxf>
      <font>
        <color rgb="FF3D85C6"/>
      </font>
      <fill>
        <patternFill patternType="solid">
          <fgColor rgb="FFCFE2F3"/>
          <bgColor rgb="FFCFE2F3"/>
        </patternFill>
      </fill>
      <border/>
    </dxf>
    <dxf>
      <font>
        <color rgb="FFD9D2E9"/>
      </font>
      <fill>
        <patternFill patternType="solid">
          <fgColor rgb="FF733DFF"/>
          <bgColor rgb="FF733DFF"/>
        </patternFill>
      </fill>
      <border/>
    </dxf>
    <dxf>
      <font>
        <color rgb="FF932349"/>
      </font>
      <fill>
        <patternFill patternType="solid">
          <fgColor rgb="FFFFA6BD"/>
          <bgColor rgb="FFFFA6BD"/>
        </patternFill>
      </fill>
      <border/>
    </dxf>
    <dxf>
      <font>
        <color rgb="FF85200C"/>
      </font>
      <fill>
        <patternFill patternType="solid">
          <fgColor rgb="FFDD7E6B"/>
          <bgColor rgb="FFDD7E6B"/>
        </patternFill>
      </fill>
      <border/>
    </dxf>
    <dxf>
      <font>
        <color rgb="FFA56C4E"/>
      </font>
      <fill>
        <patternFill patternType="solid">
          <fgColor rgb="FFDDB4A9"/>
          <bgColor rgb="FFDDB4A9"/>
        </patternFill>
      </fill>
      <border/>
    </dxf>
    <dxf>
      <font>
        <color rgb="FFB43E00"/>
      </font>
      <fill>
        <patternFill patternType="solid">
          <fgColor rgb="FFF9CAAC"/>
          <bgColor rgb="FFF9CAAC"/>
        </patternFill>
      </fill>
      <border/>
    </dxf>
    <dxf>
      <font>
        <color rgb="FF434343"/>
      </font>
      <fill>
        <patternFill patternType="solid">
          <fgColor rgb="FFCCCCCC"/>
          <bgColor rgb="FFCCCCCC"/>
        </patternFill>
      </fill>
      <border/>
    </dxf>
    <dxf>
      <font>
        <color rgb="FF351C75"/>
      </font>
      <fill>
        <patternFill patternType="solid">
          <fgColor rgb="FFB4A7D6"/>
          <bgColor rgb="FFB4A7D6"/>
        </patternFill>
      </fill>
      <border/>
    </dxf>
    <dxf>
      <font>
        <color rgb="FF0B5394"/>
      </font>
      <fill>
        <patternFill patternType="solid">
          <fgColor rgb="FF9FC5E8"/>
          <bgColor rgb="FF9FC5E8"/>
        </patternFill>
      </fill>
      <border/>
    </dxf>
    <dxf>
      <font>
        <color rgb="FF7C8D30"/>
      </font>
      <fill>
        <patternFill patternType="solid">
          <fgColor rgb="FFE3FFC2"/>
          <bgColor rgb="FFE3FFC2"/>
        </patternFill>
      </fill>
      <border/>
    </dxf>
    <dxf>
      <font>
        <color rgb="FF741B47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ebii.net/itemdex/sprites/friendball.p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20.38"/>
    <col customWidth="1" hidden="1" min="3" max="3" width="4.0"/>
    <col customWidth="1" min="4" max="4" width="4.13"/>
    <col customWidth="1" min="5" max="5" width="3.13"/>
    <col customWidth="1" min="6" max="6" width="13.63"/>
    <col customWidth="1" hidden="1" min="7" max="7" width="12.13"/>
    <col customWidth="1" min="8" max="8" width="48.13"/>
    <col customWidth="1" min="9" max="9" width="8.13"/>
    <col customWidth="1" min="10" max="15" width="4.13"/>
    <col customWidth="1" min="16" max="21" width="3.13"/>
  </cols>
  <sheetData>
    <row r="1">
      <c r="A1" s="1" t="s">
        <v>0</v>
      </c>
    </row>
    <row r="2">
      <c r="A2" s="1" t="s">
        <v>1</v>
      </c>
      <c r="C2" s="2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P2" s="1" t="s">
        <v>9</v>
      </c>
    </row>
    <row r="3">
      <c r="J3" s="3" t="s">
        <v>10</v>
      </c>
      <c r="K3" s="4" t="s">
        <v>11</v>
      </c>
      <c r="L3" s="5" t="s">
        <v>12</v>
      </c>
      <c r="M3" s="6" t="s">
        <v>13</v>
      </c>
      <c r="N3" s="7" t="s">
        <v>14</v>
      </c>
      <c r="O3" s="8" t="s">
        <v>15</v>
      </c>
      <c r="P3" s="9"/>
      <c r="Q3" s="10"/>
      <c r="R3" s="11"/>
      <c r="S3" s="12"/>
      <c r="T3" s="13"/>
      <c r="U3" s="14"/>
    </row>
    <row r="4" ht="23.25" customHeight="1">
      <c r="A4" s="1"/>
      <c r="B4" s="15" t="s">
        <v>16</v>
      </c>
      <c r="C4" s="1" t="s">
        <v>17</v>
      </c>
      <c r="D4" s="1" t="s">
        <v>18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23.25" customHeight="1">
      <c r="A5" s="17" t="str">
        <f>IF(COUNTIF('Icon Lookup'!C:C,B5)&gt;0,LOOKUP(B5,'Icon Lookup'!C:C,'Icon Lookup'!B:B),"")</f>
        <v/>
      </c>
      <c r="B5" s="18" t="s">
        <v>19</v>
      </c>
      <c r="C5" s="17"/>
      <c r="D5" s="17">
        <v>5.0</v>
      </c>
      <c r="E5" s="17" t="s">
        <v>20</v>
      </c>
      <c r="G5" s="19"/>
      <c r="H5" s="20" t="s">
        <v>21</v>
      </c>
      <c r="I5" s="17" t="s">
        <v>22</v>
      </c>
      <c r="J5" s="17">
        <v>0.0</v>
      </c>
      <c r="K5" s="17">
        <v>0.0</v>
      </c>
      <c r="L5" s="17">
        <v>0.0</v>
      </c>
      <c r="M5" s="17">
        <v>0.0</v>
      </c>
      <c r="N5" s="17">
        <v>0.0</v>
      </c>
      <c r="O5" s="17">
        <v>0.0</v>
      </c>
      <c r="P5" s="17">
        <v>0.0</v>
      </c>
      <c r="Q5" s="17">
        <v>0.0</v>
      </c>
      <c r="R5" s="17">
        <v>0.0</v>
      </c>
      <c r="S5" s="17">
        <v>0.0</v>
      </c>
      <c r="T5" s="17">
        <v>0.0</v>
      </c>
      <c r="U5" s="17">
        <v>0.0</v>
      </c>
    </row>
    <row r="6" ht="23.25" customHeight="1">
      <c r="A6" s="1"/>
      <c r="B6" s="15" t="s">
        <v>23</v>
      </c>
      <c r="C6" s="1" t="s">
        <v>17</v>
      </c>
      <c r="D6" s="1" t="s">
        <v>24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23.25" customHeight="1">
      <c r="A7" s="20" t="str">
        <f>IF(COUNTIF('Icon Lookup'!C:C,B7)&gt;0,LOOKUP(B7,'Icon Lookup'!C:C,'Icon Lookup'!B:B),"")</f>
        <v/>
      </c>
      <c r="B7" s="21" t="s">
        <v>25</v>
      </c>
      <c r="C7" s="20"/>
      <c r="D7" s="20">
        <v>5.0</v>
      </c>
      <c r="E7" s="20" t="s">
        <v>26</v>
      </c>
      <c r="G7" s="22"/>
      <c r="H7" s="23" t="s">
        <v>27</v>
      </c>
      <c r="I7" s="20" t="s">
        <v>22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</row>
    <row r="8" ht="23.25" customHeight="1">
      <c r="A8" s="1"/>
      <c r="B8" s="15" t="s">
        <v>28</v>
      </c>
      <c r="C8" s="1" t="s">
        <v>17</v>
      </c>
      <c r="D8" s="1" t="s">
        <v>29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23.25" customHeight="1">
      <c r="A9" s="17" t="str">
        <f>IF(COUNTIF('Icon Lookup'!C:C,B9)&gt;0,LOOKUP(B9,'Icon Lookup'!C:C,'Icon Lookup'!B:B),"")</f>
        <v/>
      </c>
      <c r="B9" s="18" t="s">
        <v>30</v>
      </c>
      <c r="C9" s="17"/>
      <c r="D9" s="17">
        <v>3.0</v>
      </c>
      <c r="E9" s="17" t="s">
        <v>31</v>
      </c>
      <c r="G9" s="19"/>
      <c r="H9" s="20" t="s">
        <v>32</v>
      </c>
      <c r="I9" s="17" t="s">
        <v>22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</row>
    <row r="10" ht="23.25" customHeight="1">
      <c r="A10" s="20" t="str">
        <f>IF(COUNTIF('Icon Lookup'!C:C,B10)&gt;0,LOOKUP(B10,'Icon Lookup'!C:C,'Icon Lookup'!B:B),"")</f>
        <v/>
      </c>
      <c r="B10" s="21" t="s">
        <v>30</v>
      </c>
      <c r="C10" s="20"/>
      <c r="D10" s="20">
        <v>3.0</v>
      </c>
      <c r="E10" s="20" t="s">
        <v>31</v>
      </c>
      <c r="G10" s="22"/>
      <c r="H10" s="23" t="s">
        <v>32</v>
      </c>
      <c r="I10" s="20" t="s">
        <v>22</v>
      </c>
      <c r="J10" s="20">
        <v>0.0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</row>
    <row r="11" ht="23.25" customHeight="1">
      <c r="A11" s="1"/>
      <c r="B11" s="15" t="s">
        <v>33</v>
      </c>
      <c r="C11" s="1" t="s">
        <v>17</v>
      </c>
      <c r="D11" s="1" t="s">
        <v>34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ht="23.25" customHeight="1">
      <c r="A12" s="17" t="str">
        <f>IF(COUNTIF('Icon Lookup'!C:C,B12)&gt;0,LOOKUP(B12,'Icon Lookup'!C:C,'Icon Lookup'!B:B),"")</f>
        <v/>
      </c>
      <c r="B12" s="18" t="s">
        <v>30</v>
      </c>
      <c r="C12" s="17"/>
      <c r="D12" s="17">
        <v>5.0</v>
      </c>
      <c r="E12" s="17" t="s">
        <v>31</v>
      </c>
      <c r="G12" s="19"/>
      <c r="H12" s="20" t="s">
        <v>35</v>
      </c>
      <c r="I12" s="17" t="s">
        <v>36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0.0</v>
      </c>
      <c r="R12" s="17">
        <v>0.0</v>
      </c>
      <c r="S12" s="17">
        <v>0.0</v>
      </c>
      <c r="T12" s="17">
        <v>0.0</v>
      </c>
      <c r="U12" s="17">
        <v>0.0</v>
      </c>
    </row>
    <row r="13" ht="23.25" customHeight="1">
      <c r="A13" s="20" t="str">
        <f>IF(COUNTIF('Icon Lookup'!C:C,B13)&gt;0,LOOKUP(B13,'Icon Lookup'!C:C,'Icon Lookup'!B:B),"")</f>
        <v/>
      </c>
      <c r="B13" s="21" t="s">
        <v>37</v>
      </c>
      <c r="C13" s="20"/>
      <c r="D13" s="20">
        <v>5.0</v>
      </c>
      <c r="E13" s="20" t="s">
        <v>38</v>
      </c>
      <c r="G13" s="22"/>
      <c r="H13" s="23" t="s">
        <v>39</v>
      </c>
      <c r="I13" s="20" t="s">
        <v>40</v>
      </c>
      <c r="J13" s="20">
        <v>0.0</v>
      </c>
      <c r="K13" s="20">
        <v>0.0</v>
      </c>
      <c r="L13" s="20">
        <v>0.0</v>
      </c>
      <c r="M13" s="20">
        <v>0.0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</row>
    <row r="14" ht="23.25" customHeight="1">
      <c r="A14" s="1"/>
      <c r="B14" s="15" t="s">
        <v>41</v>
      </c>
      <c r="C14" s="1" t="s">
        <v>17</v>
      </c>
      <c r="D14" s="1" t="s">
        <v>42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3.25" customHeight="1">
      <c r="A15" s="17" t="str">
        <f>IF(COUNTIF('Icon Lookup'!C:C,B15)&gt;0,LOOKUP(B15,'Icon Lookup'!C:C,'Icon Lookup'!B:B),"")</f>
        <v/>
      </c>
      <c r="B15" s="18" t="s">
        <v>43</v>
      </c>
      <c r="C15" s="17"/>
      <c r="D15" s="17">
        <v>5.0</v>
      </c>
      <c r="E15" s="17" t="s">
        <v>44</v>
      </c>
      <c r="G15" s="19"/>
      <c r="H15" s="20" t="s">
        <v>45</v>
      </c>
      <c r="I15" s="17" t="s">
        <v>46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</row>
    <row r="16" ht="23.25" customHeight="1">
      <c r="A16" s="20" t="str">
        <f>IF(COUNTIF('Icon Lookup'!C:C,B16)&gt;0,LOOKUP(B16,'Icon Lookup'!C:C,'Icon Lookup'!B:B),"")</f>
        <v/>
      </c>
      <c r="B16" s="21" t="s">
        <v>19</v>
      </c>
      <c r="C16" s="20"/>
      <c r="D16" s="20">
        <v>5.0</v>
      </c>
      <c r="E16" s="20" t="s">
        <v>20</v>
      </c>
      <c r="G16" s="22"/>
      <c r="H16" s="23" t="s">
        <v>21</v>
      </c>
      <c r="I16" s="20" t="s">
        <v>36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</row>
    <row r="17" ht="23.25" customHeight="1">
      <c r="A17" s="1"/>
      <c r="B17" s="15" t="s">
        <v>47</v>
      </c>
      <c r="C17" s="1" t="s">
        <v>17</v>
      </c>
      <c r="D17" s="1" t="s">
        <v>48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3.25" customHeight="1">
      <c r="A18" s="17" t="str">
        <f>IF(COUNTIF('Icon Lookup'!C:C,B18)&gt;0,LOOKUP(B18,'Icon Lookup'!C:C,'Icon Lookup'!B:B),"")</f>
        <v/>
      </c>
      <c r="B18" s="18" t="s">
        <v>49</v>
      </c>
      <c r="C18" s="17"/>
      <c r="D18" s="17">
        <v>7.0</v>
      </c>
      <c r="E18" s="17" t="s">
        <v>50</v>
      </c>
      <c r="G18" s="19"/>
      <c r="H18" s="20" t="s">
        <v>51</v>
      </c>
      <c r="I18" s="17" t="s">
        <v>52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0.0</v>
      </c>
      <c r="U18" s="17">
        <v>0.0</v>
      </c>
    </row>
    <row r="19" ht="23.25" customHeight="1">
      <c r="A19" s="1"/>
      <c r="B19" s="15" t="s">
        <v>53</v>
      </c>
      <c r="C19" s="1" t="s">
        <v>17</v>
      </c>
      <c r="D19" s="1" t="s">
        <v>54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3.25" customHeight="1">
      <c r="A20" s="20" t="str">
        <f>IF(COUNTIF('Icon Lookup'!C:C,B20)&gt;0,LOOKUP(B20,'Icon Lookup'!C:C,'Icon Lookup'!B:B),"")</f>
        <v/>
      </c>
      <c r="B20" s="21" t="s">
        <v>30</v>
      </c>
      <c r="C20" s="20"/>
      <c r="D20" s="20">
        <v>7.0</v>
      </c>
      <c r="E20" s="20" t="s">
        <v>31</v>
      </c>
      <c r="G20" s="22"/>
      <c r="H20" s="23" t="s">
        <v>35</v>
      </c>
      <c r="I20" s="20" t="s">
        <v>22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</row>
    <row r="21" ht="23.25" customHeight="1">
      <c r="A21" s="1"/>
      <c r="B21" s="15" t="s">
        <v>55</v>
      </c>
      <c r="C21" s="1" t="s">
        <v>17</v>
      </c>
      <c r="D21" s="1" t="s">
        <v>56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3.25" customHeight="1">
      <c r="A22" s="17" t="str">
        <f>IF(COUNTIF('Icon Lookup'!C:C,B22)&gt;0,LOOKUP(B22,'Icon Lookup'!C:C,'Icon Lookup'!B:B),"")</f>
        <v/>
      </c>
      <c r="B22" s="18" t="s">
        <v>57</v>
      </c>
      <c r="C22" s="17"/>
      <c r="D22" s="17">
        <v>7.0</v>
      </c>
      <c r="E22" s="17" t="s">
        <v>58</v>
      </c>
      <c r="G22" s="19"/>
      <c r="H22" s="20" t="s">
        <v>59</v>
      </c>
      <c r="I22" s="17" t="s">
        <v>52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</row>
    <row r="23" ht="23.25" customHeight="1">
      <c r="A23" s="20" t="str">
        <f>IF(COUNTIF('Icon Lookup'!C:C,B23)&gt;0,LOOKUP(B23,'Icon Lookup'!C:C,'Icon Lookup'!B:B),"")</f>
        <v/>
      </c>
      <c r="B23" s="21" t="s">
        <v>60</v>
      </c>
      <c r="C23" s="20"/>
      <c r="D23" s="20">
        <v>7.0</v>
      </c>
      <c r="E23" s="20" t="s">
        <v>61</v>
      </c>
      <c r="G23" s="22"/>
      <c r="H23" s="23" t="s">
        <v>62</v>
      </c>
      <c r="I23" s="20" t="s">
        <v>52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</row>
    <row r="24" ht="23.25" customHeight="1">
      <c r="A24" s="1"/>
      <c r="B24" s="15" t="s">
        <v>63</v>
      </c>
      <c r="C24" s="1" t="s">
        <v>17</v>
      </c>
      <c r="D24" s="1" t="s">
        <v>64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3.25" customHeight="1">
      <c r="A25" s="17" t="str">
        <f>IF(COUNTIF('Icon Lookup'!C:C,B25)&gt;0,LOOKUP(B25,'Icon Lookup'!C:C,'Icon Lookup'!B:B),"")</f>
        <v/>
      </c>
      <c r="B25" s="18" t="s">
        <v>49</v>
      </c>
      <c r="C25" s="17"/>
      <c r="D25" s="17">
        <v>7.0</v>
      </c>
      <c r="E25" s="17" t="s">
        <v>50</v>
      </c>
      <c r="G25" s="19"/>
      <c r="H25" s="20" t="s">
        <v>51</v>
      </c>
      <c r="I25" s="17" t="s">
        <v>52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</row>
    <row r="26" ht="23.25" customHeight="1">
      <c r="A26" s="20" t="str">
        <f>IF(COUNTIF('Icon Lookup'!C:C,B26)&gt;0,LOOKUP(B26,'Icon Lookup'!C:C,'Icon Lookup'!B:B),"")</f>
        <v/>
      </c>
      <c r="B26" s="21" t="s">
        <v>65</v>
      </c>
      <c r="C26" s="20"/>
      <c r="D26" s="20">
        <v>7.0</v>
      </c>
      <c r="E26" s="20" t="s">
        <v>66</v>
      </c>
      <c r="G26" s="22"/>
      <c r="H26" s="23" t="s">
        <v>67</v>
      </c>
      <c r="I26" s="20" t="s">
        <v>52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</row>
    <row r="27" ht="23.25" customHeight="1">
      <c r="A27" s="1"/>
      <c r="B27" s="15" t="s">
        <v>68</v>
      </c>
      <c r="C27" s="1" t="s">
        <v>17</v>
      </c>
      <c r="D27" s="1" t="s">
        <v>69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3.25" customHeight="1">
      <c r="A28" s="17" t="str">
        <f>IF(COUNTIF('Icon Lookup'!C:C,B28)&gt;0,LOOKUP(B28,'Icon Lookup'!C:C,'Icon Lookup'!B:B),"")</f>
        <v/>
      </c>
      <c r="B28" s="18" t="s">
        <v>70</v>
      </c>
      <c r="C28" s="17"/>
      <c r="D28" s="17">
        <v>9.0</v>
      </c>
      <c r="E28" s="17" t="s">
        <v>71</v>
      </c>
      <c r="G28" s="19"/>
      <c r="H28" s="20" t="s">
        <v>72</v>
      </c>
      <c r="I28" s="17" t="s">
        <v>73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0.0</v>
      </c>
      <c r="U28" s="17">
        <v>0.0</v>
      </c>
    </row>
    <row r="29" ht="23.25" customHeight="1">
      <c r="A29" s="1"/>
      <c r="B29" s="15" t="s">
        <v>74</v>
      </c>
      <c r="C29" s="1" t="s">
        <v>17</v>
      </c>
      <c r="D29" s="1" t="s">
        <v>75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23.25" customHeight="1">
      <c r="A30" s="20" t="str">
        <f>IF(COUNTIF('Icon Lookup'!C:C,B30)&gt;0,LOOKUP(B30,'Icon Lookup'!C:C,'Icon Lookup'!B:B),"")</f>
        <v/>
      </c>
      <c r="B30" s="21" t="s">
        <v>70</v>
      </c>
      <c r="C30" s="20"/>
      <c r="D30" s="20">
        <v>9.0</v>
      </c>
      <c r="E30" s="20" t="s">
        <v>71</v>
      </c>
      <c r="G30" s="22"/>
      <c r="H30" s="23" t="s">
        <v>72</v>
      </c>
      <c r="I30" s="20" t="s">
        <v>73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</row>
    <row r="31" ht="23.25" customHeight="1">
      <c r="A31" s="1"/>
      <c r="B31" s="15" t="s">
        <v>76</v>
      </c>
      <c r="C31" s="1" t="s">
        <v>17</v>
      </c>
      <c r="D31" s="1" t="s">
        <v>77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3.25" customHeight="1">
      <c r="A32" s="17" t="str">
        <f>IF(COUNTIF('Icon Lookup'!C:C,B32)&gt;0,LOOKUP(B32,'Icon Lookup'!C:C,'Icon Lookup'!B:B),"")</f>
        <v/>
      </c>
      <c r="B32" s="18" t="s">
        <v>78</v>
      </c>
      <c r="C32" s="17"/>
      <c r="D32" s="17">
        <v>14.0</v>
      </c>
      <c r="E32" s="17" t="s">
        <v>79</v>
      </c>
      <c r="G32" s="19"/>
      <c r="H32" s="20" t="s">
        <v>80</v>
      </c>
      <c r="I32" s="17" t="s">
        <v>40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</row>
    <row r="33" ht="23.25" customHeight="1">
      <c r="A33" s="1"/>
      <c r="B33" s="15" t="s">
        <v>81</v>
      </c>
      <c r="C33" s="1" t="s">
        <v>17</v>
      </c>
      <c r="D33" s="1" t="s">
        <v>82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23.25" customHeight="1">
      <c r="A34" s="20" t="str">
        <f>IF(COUNTIF('Icon Lookup'!C:C,B34)&gt;0,LOOKUP(B34,'Icon Lookup'!C:C,'Icon Lookup'!B:B),"")</f>
        <v/>
      </c>
      <c r="B34" s="21" t="s">
        <v>25</v>
      </c>
      <c r="C34" s="20"/>
      <c r="D34" s="20">
        <v>12.0</v>
      </c>
      <c r="E34" s="20" t="s">
        <v>26</v>
      </c>
      <c r="G34" s="22"/>
      <c r="H34" s="23" t="s">
        <v>83</v>
      </c>
      <c r="I34" s="20" t="s">
        <v>22</v>
      </c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>
        <v>0.0</v>
      </c>
      <c r="P34" s="20">
        <v>0.0</v>
      </c>
      <c r="Q34" s="20">
        <v>0.0</v>
      </c>
      <c r="R34" s="20">
        <v>0.0</v>
      </c>
      <c r="S34" s="20">
        <v>0.0</v>
      </c>
      <c r="T34" s="20">
        <v>0.0</v>
      </c>
      <c r="U34" s="20">
        <v>0.0</v>
      </c>
    </row>
    <row r="35" ht="23.25" customHeight="1">
      <c r="A35" s="17" t="str">
        <f>IF(COUNTIF('Icon Lookup'!C:C,B35)&gt;0,LOOKUP(B35,'Icon Lookup'!C:C,'Icon Lookup'!B:B),"")</f>
        <v/>
      </c>
      <c r="B35" s="18" t="s">
        <v>70</v>
      </c>
      <c r="C35" s="17"/>
      <c r="D35" s="17">
        <v>12.0</v>
      </c>
      <c r="E35" s="17" t="s">
        <v>71</v>
      </c>
      <c r="G35" s="19"/>
      <c r="H35" s="20" t="s">
        <v>72</v>
      </c>
      <c r="I35" s="17" t="s">
        <v>73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7">
        <v>0.0</v>
      </c>
      <c r="U35" s="17">
        <v>0.0</v>
      </c>
    </row>
    <row r="36" ht="23.25" customHeight="1">
      <c r="A36" s="1"/>
      <c r="B36" s="15" t="s">
        <v>84</v>
      </c>
      <c r="C36" s="1" t="s">
        <v>17</v>
      </c>
      <c r="D36" s="1" t="s">
        <v>85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23.25" customHeight="1">
      <c r="A37" s="20" t="str">
        <f>IF(COUNTIF('Icon Lookup'!C:C,B37)&gt;0,LOOKUP(B37,'Icon Lookup'!C:C,'Icon Lookup'!B:B),"")</f>
        <v/>
      </c>
      <c r="B37" s="21" t="s">
        <v>86</v>
      </c>
      <c r="C37" s="20"/>
      <c r="D37" s="20">
        <v>11.0</v>
      </c>
      <c r="E37" s="20" t="s">
        <v>87</v>
      </c>
      <c r="G37" s="22"/>
      <c r="H37" s="23" t="s">
        <v>88</v>
      </c>
      <c r="I37" s="20" t="s">
        <v>89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</row>
    <row r="38" ht="23.25" customHeight="1">
      <c r="A38" s="17" t="str">
        <f>IF(COUNTIF('Icon Lookup'!C:C,B38)&gt;0,LOOKUP(B38,'Icon Lookup'!C:C,'Icon Lookup'!B:B),"")</f>
        <v/>
      </c>
      <c r="B38" s="18" t="s">
        <v>90</v>
      </c>
      <c r="C38" s="17"/>
      <c r="D38" s="17">
        <v>11.0</v>
      </c>
      <c r="E38" s="17" t="s">
        <v>91</v>
      </c>
      <c r="G38" s="19"/>
      <c r="H38" s="20" t="s">
        <v>92</v>
      </c>
      <c r="I38" s="17" t="s">
        <v>89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</row>
    <row r="39" ht="23.25" customHeight="1">
      <c r="A39" s="20" t="str">
        <f>IF(COUNTIF('Icon Lookup'!C:C,B39)&gt;0,LOOKUP(B39,'Icon Lookup'!C:C,'Icon Lookup'!B:B),"")</f>
        <v/>
      </c>
      <c r="B39" s="21" t="s">
        <v>86</v>
      </c>
      <c r="C39" s="20"/>
      <c r="D39" s="20">
        <v>11.0</v>
      </c>
      <c r="E39" s="20" t="s">
        <v>87</v>
      </c>
      <c r="G39" s="22"/>
      <c r="H39" s="23" t="s">
        <v>88</v>
      </c>
      <c r="I39" s="20" t="s">
        <v>89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</row>
    <row r="40" ht="23.25" customHeight="1">
      <c r="A40" s="17" t="str">
        <f>IF(COUNTIF('Icon Lookup'!C:C,B40)&gt;0,LOOKUP(B40,'Icon Lookup'!C:C,'Icon Lookup'!B:B),"")</f>
        <v/>
      </c>
      <c r="B40" s="18" t="s">
        <v>30</v>
      </c>
      <c r="C40" s="17"/>
      <c r="D40" s="17">
        <v>11.0</v>
      </c>
      <c r="E40" s="17" t="s">
        <v>31</v>
      </c>
      <c r="G40" s="19"/>
      <c r="H40" s="20" t="s">
        <v>93</v>
      </c>
      <c r="I40" s="17" t="s">
        <v>94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  <c r="S40" s="17">
        <v>0.0</v>
      </c>
      <c r="T40" s="17">
        <v>0.0</v>
      </c>
      <c r="U40" s="17">
        <v>0.0</v>
      </c>
    </row>
    <row r="41" ht="23.25" customHeight="1">
      <c r="A41" s="1"/>
      <c r="B41" s="15" t="s">
        <v>95</v>
      </c>
      <c r="C41" s="1" t="s">
        <v>17</v>
      </c>
      <c r="D41" s="1" t="s">
        <v>96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23.25" customHeight="1">
      <c r="A42" s="20" t="str">
        <f>IF(COUNTIF('Icon Lookup'!C:C,B42)&gt;0,LOOKUP(B42,'Icon Lookup'!C:C,'Icon Lookup'!B:B),"")</f>
        <v/>
      </c>
      <c r="B42" s="21" t="s">
        <v>97</v>
      </c>
      <c r="C42" s="20"/>
      <c r="D42" s="20">
        <v>14.0</v>
      </c>
      <c r="E42" s="20" t="s">
        <v>98</v>
      </c>
      <c r="G42" s="22"/>
      <c r="H42" s="23" t="s">
        <v>99</v>
      </c>
      <c r="I42" s="20" t="s">
        <v>89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</row>
    <row r="43" ht="23.25" customHeight="1">
      <c r="A43" s="1"/>
      <c r="B43" s="15" t="s">
        <v>100</v>
      </c>
      <c r="C43" s="1" t="s">
        <v>17</v>
      </c>
      <c r="D43" s="1" t="s">
        <v>101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3.25" customHeight="1">
      <c r="A44" s="17" t="str">
        <f>IF(COUNTIF('Icon Lookup'!C:C,B44)&gt;0,LOOKUP(B44,'Icon Lookup'!C:C,'Icon Lookup'!B:B),"")</f>
        <v/>
      </c>
      <c r="B44" s="18" t="s">
        <v>90</v>
      </c>
      <c r="C44" s="17"/>
      <c r="D44" s="17">
        <v>15.0</v>
      </c>
      <c r="E44" s="17" t="s">
        <v>91</v>
      </c>
      <c r="G44" s="19"/>
      <c r="H44" s="20" t="s">
        <v>102</v>
      </c>
      <c r="I44" s="17" t="s">
        <v>22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  <c r="S44" s="17">
        <v>0.0</v>
      </c>
      <c r="T44" s="17">
        <v>0.0</v>
      </c>
      <c r="U44" s="17">
        <v>0.0</v>
      </c>
    </row>
    <row r="45" ht="23.25" customHeight="1">
      <c r="A45" s="1"/>
      <c r="B45" s="15" t="s">
        <v>103</v>
      </c>
      <c r="C45" s="1" t="s">
        <v>17</v>
      </c>
      <c r="D45" s="1" t="s">
        <v>104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23.25" customHeight="1">
      <c r="A46" s="20" t="str">
        <f>IF(COUNTIF('Icon Lookup'!C:C,B46)&gt;0,LOOKUP(B46,'Icon Lookup'!C:C,'Icon Lookup'!B:B),"")</f>
        <v/>
      </c>
      <c r="B46" s="21" t="s">
        <v>49</v>
      </c>
      <c r="C46" s="20"/>
      <c r="D46" s="20">
        <v>14.0</v>
      </c>
      <c r="E46" s="20" t="s">
        <v>50</v>
      </c>
      <c r="G46" s="22"/>
      <c r="H46" s="23" t="s">
        <v>51</v>
      </c>
      <c r="I46" s="20" t="s">
        <v>105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</row>
    <row r="47" ht="23.25" customHeight="1">
      <c r="A47" s="1"/>
      <c r="B47" s="15" t="s">
        <v>106</v>
      </c>
      <c r="C47" s="1" t="s">
        <v>17</v>
      </c>
      <c r="D47" s="1" t="s">
        <v>107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23.25" customHeight="1">
      <c r="A48" s="17" t="str">
        <f>IF(COUNTIF('Icon Lookup'!C:C,B48)&gt;0,LOOKUP(B48,'Icon Lookup'!C:C,'Icon Lookup'!B:B),"")</f>
        <v/>
      </c>
      <c r="B48" s="18" t="s">
        <v>43</v>
      </c>
      <c r="C48" s="17"/>
      <c r="D48" s="17">
        <v>10.0</v>
      </c>
      <c r="E48" s="17" t="s">
        <v>44</v>
      </c>
      <c r="G48" s="19"/>
      <c r="H48" s="20" t="s">
        <v>45</v>
      </c>
      <c r="I48" s="17" t="s">
        <v>89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  <c r="S48" s="17">
        <v>0.0</v>
      </c>
      <c r="T48" s="17">
        <v>0.0</v>
      </c>
      <c r="U48" s="17">
        <v>0.0</v>
      </c>
    </row>
    <row r="49" ht="23.25" customHeight="1">
      <c r="A49" s="20" t="str">
        <f>IF(COUNTIF('Icon Lookup'!C:C,B49)&gt;0,LOOKUP(B49,'Icon Lookup'!C:C,'Icon Lookup'!B:B),"")</f>
        <v/>
      </c>
      <c r="B49" s="21" t="s">
        <v>43</v>
      </c>
      <c r="C49" s="20"/>
      <c r="D49" s="20">
        <v>10.0</v>
      </c>
      <c r="E49" s="20" t="s">
        <v>44</v>
      </c>
      <c r="G49" s="22"/>
      <c r="H49" s="23" t="s">
        <v>45</v>
      </c>
      <c r="I49" s="20" t="s">
        <v>89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</row>
    <row r="50" ht="23.25" customHeight="1">
      <c r="A50" s="17" t="str">
        <f>IF(COUNTIF('Icon Lookup'!C:C,B50)&gt;0,LOOKUP(B50,'Icon Lookup'!C:C,'Icon Lookup'!B:B),"")</f>
        <v/>
      </c>
      <c r="B50" s="18" t="s">
        <v>43</v>
      </c>
      <c r="C50" s="17"/>
      <c r="D50" s="17">
        <v>10.0</v>
      </c>
      <c r="E50" s="17" t="s">
        <v>44</v>
      </c>
      <c r="G50" s="19"/>
      <c r="H50" s="20" t="s">
        <v>45</v>
      </c>
      <c r="I50" s="17" t="s">
        <v>89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  <c r="S50" s="17">
        <v>0.0</v>
      </c>
      <c r="T50" s="17">
        <v>0.0</v>
      </c>
      <c r="U50" s="17">
        <v>0.0</v>
      </c>
    </row>
    <row r="51" ht="23.25" customHeight="1">
      <c r="A51" s="20" t="str">
        <f>IF(COUNTIF('Icon Lookup'!C:C,B51)&gt;0,LOOKUP(B51,'Icon Lookup'!C:C,'Icon Lookup'!B:B),"")</f>
        <v/>
      </c>
      <c r="B51" s="21" t="s">
        <v>43</v>
      </c>
      <c r="C51" s="20"/>
      <c r="D51" s="20">
        <v>10.0</v>
      </c>
      <c r="E51" s="20" t="s">
        <v>44</v>
      </c>
      <c r="G51" s="22"/>
      <c r="H51" s="23" t="s">
        <v>45</v>
      </c>
      <c r="I51" s="20" t="s">
        <v>89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</row>
    <row r="52" ht="23.25" customHeight="1">
      <c r="A52" s="17" t="str">
        <f>IF(COUNTIF('Icon Lookup'!C:C,B52)&gt;0,LOOKUP(B52,'Icon Lookup'!C:C,'Icon Lookup'!B:B),"")</f>
        <v/>
      </c>
      <c r="B52" s="18" t="s">
        <v>43</v>
      </c>
      <c r="C52" s="17"/>
      <c r="D52" s="17">
        <v>10.0</v>
      </c>
      <c r="E52" s="17" t="s">
        <v>44</v>
      </c>
      <c r="G52" s="19"/>
      <c r="H52" s="20" t="s">
        <v>45</v>
      </c>
      <c r="I52" s="17" t="s">
        <v>89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  <c r="S52" s="17">
        <v>0.0</v>
      </c>
      <c r="T52" s="17">
        <v>0.0</v>
      </c>
      <c r="U52" s="17">
        <v>0.0</v>
      </c>
    </row>
    <row r="53" ht="23.25" customHeight="1">
      <c r="A53" s="20" t="str">
        <f>IF(COUNTIF('Icon Lookup'!C:C,B53)&gt;0,LOOKUP(B53,'Icon Lookup'!C:C,'Icon Lookup'!B:B),"")</f>
        <v/>
      </c>
      <c r="B53" s="21" t="s">
        <v>43</v>
      </c>
      <c r="C53" s="20"/>
      <c r="D53" s="20">
        <v>10.0</v>
      </c>
      <c r="E53" s="20" t="s">
        <v>44</v>
      </c>
      <c r="G53" s="22"/>
      <c r="H53" s="23" t="s">
        <v>45</v>
      </c>
      <c r="I53" s="20" t="s">
        <v>89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</row>
    <row r="54" ht="23.25" customHeight="1">
      <c r="A54" s="1"/>
      <c r="B54" s="15" t="s">
        <v>108</v>
      </c>
      <c r="C54" s="1" t="s">
        <v>17</v>
      </c>
      <c r="D54" s="1" t="s">
        <v>109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23.25" customHeight="1">
      <c r="A55" s="17" t="str">
        <f>IF(COUNTIF('Icon Lookup'!C:C,B55)&gt;0,LOOKUP(B55,'Icon Lookup'!C:C,'Icon Lookup'!B:B),"")</f>
        <v/>
      </c>
      <c r="B55" s="18" t="s">
        <v>110</v>
      </c>
      <c r="C55" s="17"/>
      <c r="D55" s="17">
        <v>14.0</v>
      </c>
      <c r="E55" s="17" t="s">
        <v>111</v>
      </c>
      <c r="G55" s="19"/>
      <c r="H55" s="20" t="s">
        <v>112</v>
      </c>
      <c r="I55" s="17" t="s">
        <v>22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  <c r="S55" s="17">
        <v>0.0</v>
      </c>
      <c r="T55" s="17">
        <v>0.0</v>
      </c>
      <c r="U55" s="17">
        <v>0.0</v>
      </c>
    </row>
    <row r="56" ht="23.25" customHeight="1">
      <c r="A56" s="1"/>
      <c r="B56" s="15" t="s">
        <v>113</v>
      </c>
      <c r="C56" s="1" t="s">
        <v>17</v>
      </c>
      <c r="D56" s="1" t="s">
        <v>114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3.25" customHeight="1">
      <c r="A57" s="20" t="str">
        <f>IF(COUNTIF('Icon Lookup'!C:C,B57)&gt;0,LOOKUP(B57,'Icon Lookup'!C:C,'Icon Lookup'!B:B),"")</f>
        <v/>
      </c>
      <c r="B57" s="21" t="s">
        <v>43</v>
      </c>
      <c r="C57" s="20"/>
      <c r="D57" s="20">
        <v>10.0</v>
      </c>
      <c r="E57" s="20" t="s">
        <v>44</v>
      </c>
      <c r="G57" s="22"/>
      <c r="H57" s="23" t="s">
        <v>45</v>
      </c>
      <c r="I57" s="20" t="s">
        <v>89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</row>
    <row r="58" ht="23.25" customHeight="1">
      <c r="A58" s="17" t="str">
        <f>IF(COUNTIF('Icon Lookup'!C:C,B58)&gt;0,LOOKUP(B58,'Icon Lookup'!C:C,'Icon Lookup'!B:B),"")</f>
        <v/>
      </c>
      <c r="B58" s="18" t="s">
        <v>110</v>
      </c>
      <c r="C58" s="17"/>
      <c r="D58" s="17">
        <v>13.0</v>
      </c>
      <c r="E58" s="17" t="s">
        <v>111</v>
      </c>
      <c r="G58" s="19"/>
      <c r="H58" s="20" t="s">
        <v>112</v>
      </c>
      <c r="I58" s="17" t="s">
        <v>89</v>
      </c>
      <c r="J58" s="17">
        <v>0.0</v>
      </c>
      <c r="K58" s="17">
        <v>0.0</v>
      </c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7">
        <v>0.0</v>
      </c>
      <c r="T58" s="17">
        <v>0.0</v>
      </c>
      <c r="U58" s="17">
        <v>0.0</v>
      </c>
    </row>
    <row r="59" ht="23.25" customHeight="1">
      <c r="A59" s="20" t="str">
        <f>IF(COUNTIF('Icon Lookup'!C:C,B59)&gt;0,LOOKUP(B59,'Icon Lookup'!C:C,'Icon Lookup'!B:B),"")</f>
        <v/>
      </c>
      <c r="B59" s="21" t="s">
        <v>43</v>
      </c>
      <c r="C59" s="20"/>
      <c r="D59" s="20">
        <v>10.0</v>
      </c>
      <c r="E59" s="20" t="s">
        <v>44</v>
      </c>
      <c r="G59" s="22"/>
      <c r="H59" s="23" t="s">
        <v>45</v>
      </c>
      <c r="I59" s="20" t="s">
        <v>89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</row>
    <row r="60" ht="23.25" customHeight="1">
      <c r="A60" s="1"/>
      <c r="B60" s="15" t="s">
        <v>115</v>
      </c>
      <c r="C60" s="1" t="s">
        <v>17</v>
      </c>
      <c r="D60" s="1" t="s">
        <v>116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23.25" customHeight="1">
      <c r="A61" s="17" t="str">
        <f>IF(COUNTIF('Icon Lookup'!C:C,B61)&gt;0,LOOKUP(B61,'Icon Lookup'!C:C,'Icon Lookup'!B:B),"")</f>
        <v/>
      </c>
      <c r="B61" s="18" t="s">
        <v>117</v>
      </c>
      <c r="C61" s="17"/>
      <c r="D61" s="17">
        <v>17.0</v>
      </c>
      <c r="E61" s="17" t="s">
        <v>26</v>
      </c>
      <c r="G61" s="19"/>
      <c r="H61" s="20" t="s">
        <v>118</v>
      </c>
      <c r="I61" s="17" t="s">
        <v>46</v>
      </c>
      <c r="J61" s="17">
        <v>0.0</v>
      </c>
      <c r="K61" s="17">
        <v>0.0</v>
      </c>
      <c r="L61" s="17">
        <v>0.0</v>
      </c>
      <c r="M61" s="17">
        <v>0.0</v>
      </c>
      <c r="N61" s="17">
        <v>0.0</v>
      </c>
      <c r="O61" s="17">
        <v>0.0</v>
      </c>
      <c r="P61" s="17">
        <v>0.0</v>
      </c>
      <c r="Q61" s="17">
        <v>0.0</v>
      </c>
      <c r="R61" s="17">
        <v>0.0</v>
      </c>
      <c r="S61" s="17">
        <v>0.0</v>
      </c>
      <c r="T61" s="17">
        <v>0.0</v>
      </c>
      <c r="U61" s="17">
        <v>0.0</v>
      </c>
    </row>
    <row r="62" ht="23.25" customHeight="1">
      <c r="A62" s="1"/>
      <c r="B62" s="15" t="s">
        <v>119</v>
      </c>
      <c r="C62" s="1" t="s">
        <v>17</v>
      </c>
      <c r="D62" s="1" t="s">
        <v>120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3.25" customHeight="1">
      <c r="A63" s="20" t="str">
        <f>IF(COUNTIF('Icon Lookup'!C:C,B63)&gt;0,LOOKUP(B63,'Icon Lookup'!C:C,'Icon Lookup'!B:B),"")</f>
        <v/>
      </c>
      <c r="B63" s="21" t="s">
        <v>78</v>
      </c>
      <c r="C63" s="20"/>
      <c r="D63" s="20">
        <v>17.0</v>
      </c>
      <c r="E63" s="20" t="s">
        <v>121</v>
      </c>
      <c r="G63" s="22"/>
      <c r="H63" s="23" t="s">
        <v>122</v>
      </c>
      <c r="I63" s="20" t="s">
        <v>40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</row>
    <row r="64" ht="23.25" customHeight="1">
      <c r="A64" s="1"/>
      <c r="B64" s="15" t="s">
        <v>123</v>
      </c>
      <c r="C64" s="1" t="s">
        <v>17</v>
      </c>
      <c r="D64" s="1" t="s">
        <v>124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23.25" customHeight="1">
      <c r="A65" s="17" t="str">
        <f>IF(COUNTIF('Icon Lookup'!C:C,B65)&gt;0,LOOKUP(B65,'Icon Lookup'!C:C,'Icon Lookup'!B:B),"")</f>
        <v/>
      </c>
      <c r="B65" s="18" t="s">
        <v>19</v>
      </c>
      <c r="C65" s="17"/>
      <c r="D65" s="17">
        <v>15.0</v>
      </c>
      <c r="E65" s="17" t="s">
        <v>20</v>
      </c>
      <c r="G65" s="19"/>
      <c r="H65" s="20" t="s">
        <v>118</v>
      </c>
      <c r="I65" s="17" t="s">
        <v>22</v>
      </c>
      <c r="J65" s="17">
        <v>0.0</v>
      </c>
      <c r="K65" s="17">
        <v>0.0</v>
      </c>
      <c r="L65" s="17">
        <v>0.0</v>
      </c>
      <c r="M65" s="17">
        <v>0.0</v>
      </c>
      <c r="N65" s="17">
        <v>0.0</v>
      </c>
      <c r="O65" s="17">
        <v>0.0</v>
      </c>
      <c r="P65" s="17">
        <v>0.0</v>
      </c>
      <c r="Q65" s="17">
        <v>0.0</v>
      </c>
      <c r="R65" s="17">
        <v>0.0</v>
      </c>
      <c r="S65" s="17">
        <v>0.0</v>
      </c>
      <c r="T65" s="17">
        <v>0.0</v>
      </c>
      <c r="U65" s="17">
        <v>0.0</v>
      </c>
    </row>
    <row r="66" ht="23.25" customHeight="1">
      <c r="A66" s="20" t="str">
        <f>IF(COUNTIF('Icon Lookup'!C:C,B66)&gt;0,LOOKUP(B66,'Icon Lookup'!C:C,'Icon Lookup'!B:B),"")</f>
        <v/>
      </c>
      <c r="B66" s="21" t="s">
        <v>117</v>
      </c>
      <c r="C66" s="20"/>
      <c r="D66" s="20">
        <v>15.0</v>
      </c>
      <c r="E66" s="20" t="s">
        <v>26</v>
      </c>
      <c r="G66" s="22"/>
      <c r="H66" s="23" t="s">
        <v>118</v>
      </c>
      <c r="I66" s="20" t="s">
        <v>22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</row>
    <row r="67" ht="23.25" customHeight="1">
      <c r="A67" s="1"/>
      <c r="B67" s="15" t="s">
        <v>125</v>
      </c>
      <c r="C67" s="1" t="s">
        <v>17</v>
      </c>
      <c r="D67" s="1" t="s">
        <v>126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23.25" customHeight="1">
      <c r="A68" s="17" t="str">
        <f>IF(COUNTIF('Icon Lookup'!C:C,B68)&gt;0,LOOKUP(B68,'Icon Lookup'!C:C,'Icon Lookup'!B:B),"")</f>
        <v/>
      </c>
      <c r="B68" s="18" t="s">
        <v>37</v>
      </c>
      <c r="C68" s="17"/>
      <c r="D68" s="17">
        <v>17.0</v>
      </c>
      <c r="E68" s="17" t="s">
        <v>38</v>
      </c>
      <c r="G68" s="19"/>
      <c r="H68" s="20" t="s">
        <v>127</v>
      </c>
      <c r="I68" s="17" t="s">
        <v>40</v>
      </c>
      <c r="J68" s="17">
        <v>0.0</v>
      </c>
      <c r="K68" s="17">
        <v>0.0</v>
      </c>
      <c r="L68" s="17">
        <v>0.0</v>
      </c>
      <c r="M68" s="17">
        <v>0.0</v>
      </c>
      <c r="N68" s="17">
        <v>0.0</v>
      </c>
      <c r="O68" s="17">
        <v>0.0</v>
      </c>
      <c r="P68" s="17">
        <v>0.0</v>
      </c>
      <c r="Q68" s="17">
        <v>0.0</v>
      </c>
      <c r="R68" s="17">
        <v>0.0</v>
      </c>
      <c r="S68" s="17">
        <v>0.0</v>
      </c>
      <c r="T68" s="17">
        <v>0.0</v>
      </c>
      <c r="U68" s="17">
        <v>0.0</v>
      </c>
    </row>
    <row r="69" ht="23.25" customHeight="1">
      <c r="A69" s="1"/>
      <c r="B69" s="15" t="s">
        <v>128</v>
      </c>
      <c r="C69" s="1" t="s">
        <v>17</v>
      </c>
      <c r="D69" s="1" t="s">
        <v>129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23.25" customHeight="1">
      <c r="A70" s="20" t="str">
        <f>IF(COUNTIF('Icon Lookup'!C:C,B70)&gt;0,LOOKUP(B70,'Icon Lookup'!C:C,'Icon Lookup'!B:B),"")</f>
        <v/>
      </c>
      <c r="B70" s="21" t="s">
        <v>25</v>
      </c>
      <c r="C70" s="20"/>
      <c r="D70" s="20">
        <v>17.0</v>
      </c>
      <c r="E70" s="20" t="s">
        <v>26</v>
      </c>
      <c r="G70" s="22"/>
      <c r="H70" s="23" t="s">
        <v>130</v>
      </c>
      <c r="I70" s="20" t="s">
        <v>22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</row>
    <row r="71" ht="23.25" customHeight="1">
      <c r="A71" s="1"/>
      <c r="B71" s="15" t="s">
        <v>131</v>
      </c>
      <c r="C71" s="1" t="s">
        <v>17</v>
      </c>
      <c r="D71" s="1" t="s">
        <v>132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3.25" customHeight="1">
      <c r="A72" s="17" t="str">
        <f>IF(COUNTIF('Icon Lookup'!C:C,B72)&gt;0,LOOKUP(B72,'Icon Lookup'!C:C,'Icon Lookup'!B:B),"")</f>
        <v/>
      </c>
      <c r="B72" s="18" t="s">
        <v>19</v>
      </c>
      <c r="C72" s="17"/>
      <c r="D72" s="17">
        <v>15.0</v>
      </c>
      <c r="E72" s="17" t="s">
        <v>20</v>
      </c>
      <c r="G72" s="19"/>
      <c r="H72" s="20" t="s">
        <v>133</v>
      </c>
      <c r="I72" s="17" t="s">
        <v>73</v>
      </c>
      <c r="J72" s="17">
        <v>0.0</v>
      </c>
      <c r="K72" s="17">
        <v>0.0</v>
      </c>
      <c r="L72" s="17">
        <v>0.0</v>
      </c>
      <c r="M72" s="17">
        <v>0.0</v>
      </c>
      <c r="N72" s="17">
        <v>0.0</v>
      </c>
      <c r="O72" s="17">
        <v>0.0</v>
      </c>
      <c r="P72" s="17">
        <v>0.0</v>
      </c>
      <c r="Q72" s="17">
        <v>0.0</v>
      </c>
      <c r="R72" s="17">
        <v>0.0</v>
      </c>
      <c r="S72" s="17">
        <v>0.0</v>
      </c>
      <c r="T72" s="17">
        <v>0.0</v>
      </c>
      <c r="U72" s="17">
        <v>0.0</v>
      </c>
    </row>
    <row r="73" ht="23.25" customHeight="1">
      <c r="A73" s="20" t="str">
        <f>IF(COUNTIF('Icon Lookup'!C:C,B73)&gt;0,LOOKUP(B73,'Icon Lookup'!C:C,'Icon Lookup'!B:B),"")</f>
        <v/>
      </c>
      <c r="B73" s="21" t="s">
        <v>78</v>
      </c>
      <c r="C73" s="20"/>
      <c r="D73" s="20">
        <v>15.0</v>
      </c>
      <c r="E73" s="20" t="s">
        <v>121</v>
      </c>
      <c r="G73" s="22"/>
      <c r="H73" s="23" t="s">
        <v>122</v>
      </c>
      <c r="I73" s="20" t="s">
        <v>22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</row>
    <row r="74" ht="23.25" customHeight="1">
      <c r="A74" s="1"/>
      <c r="B74" s="15" t="s">
        <v>134</v>
      </c>
      <c r="C74" s="1" t="s">
        <v>17</v>
      </c>
      <c r="D74" s="1" t="s">
        <v>135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23.25" customHeight="1">
      <c r="A75" s="17" t="str">
        <f>IF(COUNTIF('Icon Lookup'!C:C,B75)&gt;0,LOOKUP(B75,'Icon Lookup'!C:C,'Icon Lookup'!B:B),"")</f>
        <v/>
      </c>
      <c r="B75" s="18" t="s">
        <v>136</v>
      </c>
      <c r="C75" s="17"/>
      <c r="D75" s="17">
        <v>17.0</v>
      </c>
      <c r="E75" s="17" t="s">
        <v>137</v>
      </c>
      <c r="G75" s="19"/>
      <c r="H75" s="20" t="s">
        <v>138</v>
      </c>
      <c r="I75" s="17" t="s">
        <v>22</v>
      </c>
      <c r="J75" s="17">
        <v>0.0</v>
      </c>
      <c r="K75" s="17">
        <v>0.0</v>
      </c>
      <c r="L75" s="17">
        <v>0.0</v>
      </c>
      <c r="M75" s="17">
        <v>0.0</v>
      </c>
      <c r="N75" s="17">
        <v>0.0</v>
      </c>
      <c r="O75" s="17">
        <v>0.0</v>
      </c>
      <c r="P75" s="17">
        <v>0.0</v>
      </c>
      <c r="Q75" s="17">
        <v>0.0</v>
      </c>
      <c r="R75" s="17">
        <v>0.0</v>
      </c>
      <c r="S75" s="17">
        <v>0.0</v>
      </c>
      <c r="T75" s="17">
        <v>0.0</v>
      </c>
      <c r="U75" s="17">
        <v>0.0</v>
      </c>
    </row>
    <row r="76" ht="23.25" customHeight="1">
      <c r="A76" s="1"/>
      <c r="B76" s="15" t="s">
        <v>139</v>
      </c>
      <c r="C76" s="1" t="s">
        <v>17</v>
      </c>
      <c r="D76" s="1" t="s">
        <v>140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3.25" customHeight="1">
      <c r="A77" s="20" t="str">
        <f>IF(COUNTIF('Icon Lookup'!C:C,B77)&gt;0,LOOKUP(B77,'Icon Lookup'!C:C,'Icon Lookup'!B:B),"")</f>
        <v/>
      </c>
      <c r="B77" s="21" t="s">
        <v>25</v>
      </c>
      <c r="C77" s="20"/>
      <c r="D77" s="20">
        <v>15.0</v>
      </c>
      <c r="E77" s="20" t="s">
        <v>26</v>
      </c>
      <c r="G77" s="22"/>
      <c r="H77" s="23" t="s">
        <v>83</v>
      </c>
      <c r="I77" s="20" t="s">
        <v>22</v>
      </c>
      <c r="J77" s="20">
        <v>0.0</v>
      </c>
      <c r="K77" s="20">
        <v>0.0</v>
      </c>
      <c r="L77" s="20">
        <v>0.0</v>
      </c>
      <c r="M77" s="20">
        <v>0.0</v>
      </c>
      <c r="N77" s="20">
        <v>0.0</v>
      </c>
      <c r="O77" s="20">
        <v>0.0</v>
      </c>
      <c r="P77" s="20">
        <v>0.0</v>
      </c>
      <c r="Q77" s="20">
        <v>0.0</v>
      </c>
      <c r="R77" s="20">
        <v>0.0</v>
      </c>
      <c r="S77" s="20">
        <v>0.0</v>
      </c>
      <c r="T77" s="20">
        <v>0.0</v>
      </c>
      <c r="U77" s="20">
        <v>0.0</v>
      </c>
    </row>
    <row r="78" ht="23.25" customHeight="1">
      <c r="A78" s="17" t="str">
        <f>IF(COUNTIF('Icon Lookup'!C:C,B78)&gt;0,LOOKUP(B78,'Icon Lookup'!C:C,'Icon Lookup'!B:B),"")</f>
        <v/>
      </c>
      <c r="B78" s="18" t="s">
        <v>25</v>
      </c>
      <c r="C78" s="17"/>
      <c r="D78" s="17">
        <v>15.0</v>
      </c>
      <c r="E78" s="17" t="s">
        <v>26</v>
      </c>
      <c r="G78" s="19"/>
      <c r="H78" s="20" t="s">
        <v>83</v>
      </c>
      <c r="I78" s="17" t="s">
        <v>22</v>
      </c>
      <c r="J78" s="17">
        <v>0.0</v>
      </c>
      <c r="K78" s="17">
        <v>0.0</v>
      </c>
      <c r="L78" s="17">
        <v>0.0</v>
      </c>
      <c r="M78" s="17">
        <v>0.0</v>
      </c>
      <c r="N78" s="17">
        <v>0.0</v>
      </c>
      <c r="O78" s="17">
        <v>0.0</v>
      </c>
      <c r="P78" s="17">
        <v>0.0</v>
      </c>
      <c r="Q78" s="17">
        <v>0.0</v>
      </c>
      <c r="R78" s="17">
        <v>0.0</v>
      </c>
      <c r="S78" s="17">
        <v>0.0</v>
      </c>
      <c r="T78" s="17">
        <v>0.0</v>
      </c>
      <c r="U78" s="17">
        <v>0.0</v>
      </c>
    </row>
    <row r="79" ht="23.25" customHeight="1">
      <c r="A79" s="1"/>
      <c r="B79" s="15" t="s">
        <v>141</v>
      </c>
      <c r="C79" s="1" t="s">
        <v>17</v>
      </c>
      <c r="D79" s="1" t="s">
        <v>142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3.25" customHeight="1">
      <c r="A80" s="20" t="str">
        <f>IF(COUNTIF('Icon Lookup'!C:C,B80)&gt;0,LOOKUP(B80,'Icon Lookup'!C:C,'Icon Lookup'!B:B),"")</f>
        <v/>
      </c>
      <c r="B80" s="21" t="s">
        <v>19</v>
      </c>
      <c r="C80" s="20"/>
      <c r="D80" s="20">
        <v>15.0</v>
      </c>
      <c r="E80" s="20" t="s">
        <v>20</v>
      </c>
      <c r="G80" s="22"/>
      <c r="H80" s="23" t="s">
        <v>118</v>
      </c>
      <c r="I80" s="20" t="s">
        <v>36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</row>
    <row r="81" ht="23.25" customHeight="1">
      <c r="A81" s="17" t="str">
        <f>IF(COUNTIF('Icon Lookup'!C:C,B81)&gt;0,LOOKUP(B81,'Icon Lookup'!C:C,'Icon Lookup'!B:B),"")</f>
        <v/>
      </c>
      <c r="B81" s="18" t="s">
        <v>86</v>
      </c>
      <c r="C81" s="17"/>
      <c r="D81" s="17">
        <v>15.0</v>
      </c>
      <c r="E81" s="17" t="s">
        <v>87</v>
      </c>
      <c r="G81" s="19"/>
      <c r="H81" s="20" t="s">
        <v>143</v>
      </c>
      <c r="I81" s="17" t="s">
        <v>46</v>
      </c>
      <c r="J81" s="17">
        <v>0.0</v>
      </c>
      <c r="K81" s="17">
        <v>0.0</v>
      </c>
      <c r="L81" s="17">
        <v>0.0</v>
      </c>
      <c r="M81" s="17">
        <v>0.0</v>
      </c>
      <c r="N81" s="17">
        <v>0.0</v>
      </c>
      <c r="O81" s="17">
        <v>0.0</v>
      </c>
      <c r="P81" s="17">
        <v>0.0</v>
      </c>
      <c r="Q81" s="17">
        <v>0.0</v>
      </c>
      <c r="R81" s="17">
        <v>0.0</v>
      </c>
      <c r="S81" s="17">
        <v>0.0</v>
      </c>
      <c r="T81" s="17">
        <v>0.0</v>
      </c>
      <c r="U81" s="17">
        <v>0.0</v>
      </c>
    </row>
    <row r="82" ht="23.25" customHeight="1">
      <c r="A82" s="20" t="str">
        <f>IF(COUNTIF('Icon Lookup'!C:C,B82)&gt;0,LOOKUP(B82,'Icon Lookup'!C:C,'Icon Lookup'!B:B),"")</f>
        <v/>
      </c>
      <c r="B82" s="21" t="s">
        <v>144</v>
      </c>
      <c r="C82" s="20"/>
      <c r="D82" s="20">
        <v>18.0</v>
      </c>
      <c r="E82" s="20" t="s">
        <v>145</v>
      </c>
      <c r="G82" s="22"/>
      <c r="H82" s="23" t="s">
        <v>146</v>
      </c>
      <c r="I82" s="20" t="s">
        <v>36</v>
      </c>
      <c r="J82" s="20">
        <v>0.0</v>
      </c>
      <c r="K82" s="20">
        <v>0.0</v>
      </c>
      <c r="L82" s="20">
        <v>0.0</v>
      </c>
      <c r="M82" s="20">
        <v>0.0</v>
      </c>
      <c r="N82" s="20">
        <v>0.0</v>
      </c>
      <c r="O82" s="20">
        <v>0.0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</row>
    <row r="83" ht="23.25" customHeight="1">
      <c r="A83" s="1"/>
      <c r="B83" s="15" t="s">
        <v>147</v>
      </c>
      <c r="C83" s="1" t="s">
        <v>17</v>
      </c>
      <c r="D83" s="1" t="s">
        <v>148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23.25" customHeight="1">
      <c r="A84" s="17" t="str">
        <f>IF(COUNTIF('Icon Lookup'!C:C,B84)&gt;0,LOOKUP(B84,'Icon Lookup'!C:C,'Icon Lookup'!B:B),"")</f>
        <v/>
      </c>
      <c r="B84" s="18" t="s">
        <v>78</v>
      </c>
      <c r="C84" s="17"/>
      <c r="D84" s="17">
        <v>19.0</v>
      </c>
      <c r="E84" s="17" t="s">
        <v>121</v>
      </c>
      <c r="G84" s="19"/>
      <c r="H84" s="20" t="s">
        <v>122</v>
      </c>
      <c r="I84" s="17" t="s">
        <v>40</v>
      </c>
      <c r="J84" s="17">
        <v>0.0</v>
      </c>
      <c r="K84" s="17">
        <v>0.0</v>
      </c>
      <c r="L84" s="17">
        <v>0.0</v>
      </c>
      <c r="M84" s="17">
        <v>0.0</v>
      </c>
      <c r="N84" s="17">
        <v>0.0</v>
      </c>
      <c r="O84" s="17">
        <v>0.0</v>
      </c>
      <c r="P84" s="17">
        <v>0.0</v>
      </c>
      <c r="Q84" s="17">
        <v>0.0</v>
      </c>
      <c r="R84" s="17">
        <v>0.0</v>
      </c>
      <c r="S84" s="17">
        <v>0.0</v>
      </c>
      <c r="T84" s="17">
        <v>0.0</v>
      </c>
      <c r="U84" s="17">
        <v>0.0</v>
      </c>
    </row>
    <row r="85" ht="23.25" customHeight="1">
      <c r="A85" s="1"/>
      <c r="B85" s="15" t="s">
        <v>149</v>
      </c>
      <c r="C85" s="1" t="s">
        <v>17</v>
      </c>
      <c r="D85" s="1" t="s">
        <v>150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3.25" customHeight="1">
      <c r="A86" s="20" t="str">
        <f>IF(COUNTIF('Icon Lookup'!C:C,B86)&gt;0,LOOKUP(B86,'Icon Lookup'!C:C,'Icon Lookup'!B:B),"")</f>
        <v/>
      </c>
      <c r="B86" s="21" t="s">
        <v>70</v>
      </c>
      <c r="C86" s="20"/>
      <c r="D86" s="20">
        <v>19.0</v>
      </c>
      <c r="E86" s="20" t="s">
        <v>71</v>
      </c>
      <c r="G86" s="22"/>
      <c r="H86" s="23" t="s">
        <v>151</v>
      </c>
      <c r="I86" s="20" t="s">
        <v>73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20">
        <v>0.0</v>
      </c>
      <c r="R86" s="20">
        <v>0.0</v>
      </c>
      <c r="S86" s="20">
        <v>0.0</v>
      </c>
      <c r="T86" s="20">
        <v>0.0</v>
      </c>
      <c r="U86" s="20">
        <v>0.0</v>
      </c>
    </row>
    <row r="87" ht="23.25" customHeight="1">
      <c r="A87" s="1"/>
      <c r="B87" s="15" t="s">
        <v>152</v>
      </c>
      <c r="C87" s="1" t="s">
        <v>17</v>
      </c>
      <c r="D87" s="1" t="s">
        <v>153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23.25" customHeight="1">
      <c r="A88" s="17" t="str">
        <f>IF(COUNTIF('Icon Lookup'!C:C,B88)&gt;0,LOOKUP(B88,'Icon Lookup'!C:C,'Icon Lookup'!B:B),"")</f>
        <v/>
      </c>
      <c r="B88" s="18" t="s">
        <v>86</v>
      </c>
      <c r="C88" s="17"/>
      <c r="D88" s="17">
        <v>15.0</v>
      </c>
      <c r="E88" s="17" t="s">
        <v>87</v>
      </c>
      <c r="G88" s="19"/>
      <c r="H88" s="20" t="s">
        <v>88</v>
      </c>
      <c r="I88" s="17" t="s">
        <v>89</v>
      </c>
      <c r="J88" s="17">
        <v>0.0</v>
      </c>
      <c r="K88" s="17">
        <v>0.0</v>
      </c>
      <c r="L88" s="17">
        <v>0.0</v>
      </c>
      <c r="M88" s="17">
        <v>0.0</v>
      </c>
      <c r="N88" s="17">
        <v>0.0</v>
      </c>
      <c r="O88" s="17">
        <v>0.0</v>
      </c>
      <c r="P88" s="17">
        <v>0.0</v>
      </c>
      <c r="Q88" s="17">
        <v>0.0</v>
      </c>
      <c r="R88" s="17">
        <v>0.0</v>
      </c>
      <c r="S88" s="17">
        <v>0.0</v>
      </c>
      <c r="T88" s="17">
        <v>0.0</v>
      </c>
      <c r="U88" s="17">
        <v>0.0</v>
      </c>
    </row>
    <row r="89" ht="23.25" customHeight="1">
      <c r="A89" s="20" t="str">
        <f>IF(COUNTIF('Icon Lookup'!C:C,B89)&gt;0,LOOKUP(B89,'Icon Lookup'!C:C,'Icon Lookup'!B:B),"")</f>
        <v/>
      </c>
      <c r="B89" s="21" t="s">
        <v>86</v>
      </c>
      <c r="C89" s="20"/>
      <c r="D89" s="20">
        <v>16.0</v>
      </c>
      <c r="E89" s="20" t="s">
        <v>87</v>
      </c>
      <c r="G89" s="22"/>
      <c r="H89" s="23" t="s">
        <v>154</v>
      </c>
      <c r="I89" s="20" t="s">
        <v>89</v>
      </c>
      <c r="J89" s="20">
        <v>0.0</v>
      </c>
      <c r="K89" s="20">
        <v>0.0</v>
      </c>
      <c r="L89" s="20">
        <v>0.0</v>
      </c>
      <c r="M89" s="20">
        <v>0.0</v>
      </c>
      <c r="N89" s="20">
        <v>0.0</v>
      </c>
      <c r="O89" s="20">
        <v>0.0</v>
      </c>
      <c r="P89" s="20">
        <v>0.0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</row>
    <row r="90" ht="23.25" customHeight="1">
      <c r="A90" s="17" t="str">
        <f>IF(COUNTIF('Icon Lookup'!C:C,B90)&gt;0,LOOKUP(B90,'Icon Lookup'!C:C,'Icon Lookup'!B:B),"")</f>
        <v/>
      </c>
      <c r="B90" s="18" t="s">
        <v>37</v>
      </c>
      <c r="C90" s="17"/>
      <c r="D90" s="17">
        <v>17.0</v>
      </c>
      <c r="E90" s="17" t="s">
        <v>38</v>
      </c>
      <c r="G90" s="19"/>
      <c r="H90" s="20" t="s">
        <v>155</v>
      </c>
      <c r="I90" s="17" t="s">
        <v>156</v>
      </c>
      <c r="J90" s="17">
        <v>0.0</v>
      </c>
      <c r="K90" s="17">
        <v>0.0</v>
      </c>
      <c r="L90" s="17">
        <v>0.0</v>
      </c>
      <c r="M90" s="17">
        <v>0.0</v>
      </c>
      <c r="N90" s="17">
        <v>0.0</v>
      </c>
      <c r="O90" s="17">
        <v>0.0</v>
      </c>
      <c r="P90" s="17">
        <v>0.0</v>
      </c>
      <c r="Q90" s="17">
        <v>0.0</v>
      </c>
      <c r="R90" s="17">
        <v>0.0</v>
      </c>
      <c r="S90" s="17">
        <v>0.0</v>
      </c>
      <c r="T90" s="17">
        <v>0.0</v>
      </c>
      <c r="U90" s="17">
        <v>0.0</v>
      </c>
    </row>
    <row r="91" ht="23.25" customHeight="1">
      <c r="A91" s="20" t="str">
        <f>IF(COUNTIF('Icon Lookup'!C:C,B91)&gt;0,LOOKUP(B91,'Icon Lookup'!C:C,'Icon Lookup'!B:B),"")</f>
        <v/>
      </c>
      <c r="B91" s="21" t="s">
        <v>86</v>
      </c>
      <c r="C91" s="20"/>
      <c r="D91" s="20">
        <v>16.0</v>
      </c>
      <c r="E91" s="20" t="s">
        <v>87</v>
      </c>
      <c r="G91" s="22"/>
      <c r="H91" s="23" t="s">
        <v>154</v>
      </c>
      <c r="I91" s="20" t="s">
        <v>89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</row>
    <row r="92" ht="23.25" customHeight="1">
      <c r="A92" s="1"/>
      <c r="B92" s="15" t="s">
        <v>157</v>
      </c>
      <c r="C92" s="1" t="s">
        <v>17</v>
      </c>
      <c r="D92" s="1" t="s">
        <v>158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23.25" customHeight="1">
      <c r="A93" s="17" t="str">
        <f>IF(COUNTIF('Icon Lookup'!C:C,B93)&gt;0,LOOKUP(B93,'Icon Lookup'!C:C,'Icon Lookup'!B:B),"")</f>
        <v/>
      </c>
      <c r="B93" s="18" t="s">
        <v>86</v>
      </c>
      <c r="C93" s="17"/>
      <c r="D93" s="17">
        <v>16.0</v>
      </c>
      <c r="E93" s="17" t="s">
        <v>87</v>
      </c>
      <c r="G93" s="19"/>
      <c r="H93" s="20" t="s">
        <v>159</v>
      </c>
      <c r="I93" s="17" t="s">
        <v>89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7">
        <v>0.0</v>
      </c>
      <c r="P93" s="17">
        <v>0.0</v>
      </c>
      <c r="Q93" s="17">
        <v>0.0</v>
      </c>
      <c r="R93" s="17">
        <v>0.0</v>
      </c>
      <c r="S93" s="17">
        <v>0.0</v>
      </c>
      <c r="T93" s="17">
        <v>0.0</v>
      </c>
      <c r="U93" s="17">
        <v>0.0</v>
      </c>
    </row>
    <row r="94" ht="23.25" customHeight="1">
      <c r="A94" s="20" t="str">
        <f>IF(COUNTIF('Icon Lookup'!C:C,B94)&gt;0,LOOKUP(B94,'Icon Lookup'!C:C,'Icon Lookup'!B:B),"")</f>
        <v/>
      </c>
      <c r="B94" s="21" t="s">
        <v>160</v>
      </c>
      <c r="C94" s="20"/>
      <c r="D94" s="20">
        <v>18.0</v>
      </c>
      <c r="E94" s="20" t="s">
        <v>161</v>
      </c>
      <c r="G94" s="22"/>
      <c r="H94" s="23" t="s">
        <v>162</v>
      </c>
      <c r="I94" s="20" t="s">
        <v>94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</row>
    <row r="95" ht="23.25" customHeight="1">
      <c r="A95" s="1"/>
      <c r="B95" s="15" t="s">
        <v>163</v>
      </c>
      <c r="C95" s="1" t="s">
        <v>17</v>
      </c>
      <c r="D95" s="1" t="s">
        <v>164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23.25" customHeight="1">
      <c r="A96" s="17" t="str">
        <f>IF(COUNTIF('Icon Lookup'!C:C,B96)&gt;0,LOOKUP(B96,'Icon Lookup'!C:C,'Icon Lookup'!B:B),"")</f>
        <v/>
      </c>
      <c r="B96" s="18" t="s">
        <v>165</v>
      </c>
      <c r="C96" s="17"/>
      <c r="D96" s="17">
        <v>18.0</v>
      </c>
      <c r="E96" s="17" t="s">
        <v>166</v>
      </c>
      <c r="G96" s="19"/>
      <c r="H96" s="20" t="s">
        <v>167</v>
      </c>
      <c r="I96" s="17" t="s">
        <v>22</v>
      </c>
      <c r="J96" s="17">
        <v>0.0</v>
      </c>
      <c r="K96" s="17">
        <v>0.0</v>
      </c>
      <c r="L96" s="17">
        <v>0.0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  <c r="R96" s="17">
        <v>0.0</v>
      </c>
      <c r="S96" s="17">
        <v>0.0</v>
      </c>
      <c r="T96" s="17">
        <v>0.0</v>
      </c>
      <c r="U96" s="17">
        <v>0.0</v>
      </c>
    </row>
    <row r="97" ht="23.25" customHeight="1">
      <c r="A97" s="20" t="str">
        <f>IF(COUNTIF('Icon Lookup'!C:C,B97)&gt;0,LOOKUP(B97,'Icon Lookup'!C:C,'Icon Lookup'!B:B),"")</f>
        <v/>
      </c>
      <c r="B97" s="21" t="s">
        <v>90</v>
      </c>
      <c r="C97" s="20"/>
      <c r="D97" s="20">
        <v>18.0</v>
      </c>
      <c r="E97" s="20" t="s">
        <v>91</v>
      </c>
      <c r="G97" s="22"/>
      <c r="H97" s="23" t="s">
        <v>168</v>
      </c>
      <c r="I97" s="20" t="s">
        <v>22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</row>
    <row r="98" ht="23.25" customHeight="1">
      <c r="A98" s="1"/>
      <c r="B98" s="15" t="s">
        <v>169</v>
      </c>
      <c r="C98" s="1" t="s">
        <v>17</v>
      </c>
      <c r="D98" s="1" t="s">
        <v>170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23.25" customHeight="1">
      <c r="A99" s="17" t="str">
        <f>IF(COUNTIF('Icon Lookup'!C:C,B99)&gt;0,LOOKUP(B99,'Icon Lookup'!C:C,'Icon Lookup'!B:B),"")</f>
        <v/>
      </c>
      <c r="B99" s="18" t="s">
        <v>86</v>
      </c>
      <c r="C99" s="17"/>
      <c r="D99" s="17">
        <v>17.0</v>
      </c>
      <c r="E99" s="17" t="s">
        <v>87</v>
      </c>
      <c r="G99" s="19"/>
      <c r="H99" s="20" t="s">
        <v>171</v>
      </c>
      <c r="I99" s="17" t="s">
        <v>89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</row>
    <row r="100" ht="23.25" customHeight="1">
      <c r="A100" s="20" t="str">
        <f>IF(COUNTIF('Icon Lookup'!C:C,B100)&gt;0,LOOKUP(B100,'Icon Lookup'!C:C,'Icon Lookup'!B:B),"")</f>
        <v/>
      </c>
      <c r="B100" s="21" t="s">
        <v>86</v>
      </c>
      <c r="C100" s="20"/>
      <c r="D100" s="20">
        <v>17.0</v>
      </c>
      <c r="E100" s="20" t="s">
        <v>87</v>
      </c>
      <c r="G100" s="22"/>
      <c r="H100" s="23" t="s">
        <v>171</v>
      </c>
      <c r="I100" s="20" t="s">
        <v>89</v>
      </c>
      <c r="J100" s="20">
        <v>0.0</v>
      </c>
      <c r="K100" s="20">
        <v>0.0</v>
      </c>
      <c r="L100" s="20">
        <v>0.0</v>
      </c>
      <c r="M100" s="20">
        <v>0.0</v>
      </c>
      <c r="N100" s="20">
        <v>0.0</v>
      </c>
      <c r="O100" s="20">
        <v>0.0</v>
      </c>
      <c r="P100" s="20">
        <v>0.0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</row>
    <row r="101" ht="23.25" customHeight="1">
      <c r="A101" s="1"/>
      <c r="B101" s="15" t="s">
        <v>172</v>
      </c>
      <c r="C101" s="1" t="s">
        <v>17</v>
      </c>
      <c r="D101" s="1" t="s">
        <v>173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23.25" customHeight="1">
      <c r="A102" s="17" t="str">
        <f>IF(COUNTIF('Icon Lookup'!C:C,B102)&gt;0,LOOKUP(B102,'Icon Lookup'!C:C,'Icon Lookup'!B:B),"")</f>
        <v/>
      </c>
      <c r="B102" s="18" t="s">
        <v>174</v>
      </c>
      <c r="C102" s="17"/>
      <c r="D102" s="17">
        <v>35.0</v>
      </c>
      <c r="E102" s="17" t="s">
        <v>38</v>
      </c>
      <c r="G102" s="19"/>
      <c r="H102" s="20" t="s">
        <v>175</v>
      </c>
      <c r="I102" s="17" t="s">
        <v>156</v>
      </c>
      <c r="J102" s="17">
        <v>0.0</v>
      </c>
      <c r="K102" s="17">
        <v>0.0</v>
      </c>
      <c r="L102" s="17">
        <v>0.0</v>
      </c>
      <c r="M102" s="17">
        <v>0.0</v>
      </c>
      <c r="N102" s="17">
        <v>0.0</v>
      </c>
      <c r="O102" s="17">
        <v>0.0</v>
      </c>
      <c r="P102" s="17">
        <v>0.0</v>
      </c>
      <c r="Q102" s="17">
        <v>0.0</v>
      </c>
      <c r="R102" s="17">
        <v>0.0</v>
      </c>
      <c r="S102" s="17">
        <v>0.0</v>
      </c>
      <c r="T102" s="17">
        <v>0.0</v>
      </c>
      <c r="U102" s="17">
        <v>0.0</v>
      </c>
    </row>
    <row r="103" ht="23.25" customHeight="1">
      <c r="A103" s="20" t="str">
        <f>IF(COUNTIF('Icon Lookup'!C:C,B103)&gt;0,LOOKUP(B103,'Icon Lookup'!C:C,'Icon Lookup'!B:B),"")</f>
        <v/>
      </c>
      <c r="B103" s="21" t="s">
        <v>176</v>
      </c>
      <c r="C103" s="20"/>
      <c r="D103" s="20">
        <v>35.0</v>
      </c>
      <c r="E103" s="20" t="s">
        <v>87</v>
      </c>
      <c r="G103" s="22"/>
      <c r="H103" s="23" t="s">
        <v>177</v>
      </c>
      <c r="I103" s="20" t="s">
        <v>89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20">
        <v>0.0</v>
      </c>
      <c r="U103" s="20">
        <v>0.0</v>
      </c>
    </row>
    <row r="104" ht="23.25" customHeight="1">
      <c r="A104" s="17" t="str">
        <f>IF(COUNTIF('Icon Lookup'!C:C,B104)&gt;0,LOOKUP(B104,'Icon Lookup'!C:C,'Icon Lookup'!B:B),"")</f>
        <v/>
      </c>
      <c r="B104" s="18" t="s">
        <v>97</v>
      </c>
      <c r="C104" s="17"/>
      <c r="D104" s="17">
        <v>35.0</v>
      </c>
      <c r="E104" s="17" t="s">
        <v>98</v>
      </c>
      <c r="G104" s="19"/>
      <c r="H104" s="20" t="s">
        <v>178</v>
      </c>
      <c r="I104" s="17" t="s">
        <v>89</v>
      </c>
      <c r="J104" s="17">
        <v>0.0</v>
      </c>
      <c r="K104" s="17">
        <v>0.0</v>
      </c>
      <c r="L104" s="17">
        <v>0.0</v>
      </c>
      <c r="M104" s="17">
        <v>0.0</v>
      </c>
      <c r="N104" s="17">
        <v>0.0</v>
      </c>
      <c r="O104" s="17">
        <v>0.0</v>
      </c>
      <c r="P104" s="17">
        <v>0.0</v>
      </c>
      <c r="Q104" s="17">
        <v>0.0</v>
      </c>
      <c r="R104" s="17">
        <v>0.0</v>
      </c>
      <c r="S104" s="17">
        <v>0.0</v>
      </c>
      <c r="T104" s="17">
        <v>0.0</v>
      </c>
      <c r="U104" s="17">
        <v>0.0</v>
      </c>
    </row>
    <row r="105" ht="23.25" customHeight="1">
      <c r="A105" s="1"/>
      <c r="B105" s="15" t="s">
        <v>179</v>
      </c>
      <c r="C105" s="1" t="s">
        <v>17</v>
      </c>
      <c r="D105" s="1" t="s">
        <v>180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3.25" customHeight="1">
      <c r="A106" s="20" t="str">
        <f>IF(COUNTIF('Icon Lookup'!C:C,B106)&gt;0,LOOKUP(B106,'Icon Lookup'!C:C,'Icon Lookup'!B:B),"")</f>
        <v/>
      </c>
      <c r="B106" s="21" t="s">
        <v>97</v>
      </c>
      <c r="C106" s="20"/>
      <c r="D106" s="20">
        <v>19.0</v>
      </c>
      <c r="E106" s="20" t="s">
        <v>98</v>
      </c>
      <c r="G106" s="22"/>
      <c r="H106" s="23" t="s">
        <v>181</v>
      </c>
      <c r="I106" s="20" t="s">
        <v>89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</row>
    <row r="107" ht="23.25" customHeight="1">
      <c r="A107" s="1"/>
      <c r="B107" s="15" t="s">
        <v>182</v>
      </c>
      <c r="C107" s="1" t="s">
        <v>17</v>
      </c>
      <c r="D107" s="1" t="s">
        <v>183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23.25" customHeight="1">
      <c r="A108" s="17" t="str">
        <f>IF(COUNTIF('Icon Lookup'!C:C,B108)&gt;0,LOOKUP(B108,'Icon Lookup'!C:C,'Icon Lookup'!B:B),"")</f>
        <v/>
      </c>
      <c r="B108" s="18" t="s">
        <v>90</v>
      </c>
      <c r="C108" s="17"/>
      <c r="D108" s="17">
        <v>19.0</v>
      </c>
      <c r="E108" s="17" t="s">
        <v>91</v>
      </c>
      <c r="G108" s="19"/>
      <c r="H108" s="20" t="s">
        <v>184</v>
      </c>
      <c r="I108" s="17" t="s">
        <v>89</v>
      </c>
      <c r="J108" s="17">
        <v>0.0</v>
      </c>
      <c r="K108" s="17">
        <v>0.0</v>
      </c>
      <c r="L108" s="17">
        <v>0.0</v>
      </c>
      <c r="M108" s="17">
        <v>0.0</v>
      </c>
      <c r="N108" s="17">
        <v>0.0</v>
      </c>
      <c r="O108" s="17">
        <v>0.0</v>
      </c>
      <c r="P108" s="17">
        <v>0.0</v>
      </c>
      <c r="Q108" s="17">
        <v>0.0</v>
      </c>
      <c r="R108" s="17">
        <v>0.0</v>
      </c>
      <c r="S108" s="17">
        <v>0.0</v>
      </c>
      <c r="T108" s="17">
        <v>0.0</v>
      </c>
      <c r="U108" s="17">
        <v>0.0</v>
      </c>
    </row>
    <row r="109" ht="23.25" customHeight="1">
      <c r="A109" s="1"/>
      <c r="B109" s="15" t="s">
        <v>185</v>
      </c>
      <c r="C109" s="1" t="s">
        <v>17</v>
      </c>
      <c r="D109" s="1" t="s">
        <v>186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23.25" customHeight="1">
      <c r="A110" s="20" t="str">
        <f>IF(COUNTIF('Icon Lookup'!C:C,B110)&gt;0,LOOKUP(B110,'Icon Lookup'!C:C,'Icon Lookup'!B:B),"")</f>
        <v/>
      </c>
      <c r="B110" s="21" t="s">
        <v>187</v>
      </c>
      <c r="C110" s="20"/>
      <c r="D110" s="20">
        <v>31.0</v>
      </c>
      <c r="E110" s="20" t="s">
        <v>188</v>
      </c>
      <c r="G110" s="22"/>
      <c r="H110" s="23" t="s">
        <v>189</v>
      </c>
      <c r="I110" s="20" t="s">
        <v>89</v>
      </c>
      <c r="J110" s="20">
        <v>0.0</v>
      </c>
      <c r="K110" s="20">
        <v>0.0</v>
      </c>
      <c r="L110" s="20">
        <v>0.0</v>
      </c>
      <c r="M110" s="20">
        <v>0.0</v>
      </c>
      <c r="N110" s="20">
        <v>0.0</v>
      </c>
      <c r="O110" s="20">
        <v>0.0</v>
      </c>
      <c r="P110" s="20">
        <v>0.0</v>
      </c>
      <c r="Q110" s="20">
        <v>0.0</v>
      </c>
      <c r="R110" s="20">
        <v>0.0</v>
      </c>
      <c r="S110" s="20">
        <v>0.0</v>
      </c>
      <c r="T110" s="20">
        <v>0.0</v>
      </c>
      <c r="U110" s="20">
        <v>0.0</v>
      </c>
    </row>
    <row r="111" ht="23.25" customHeight="1">
      <c r="A111" s="17" t="str">
        <f>IF(COUNTIF('Icon Lookup'!C:C,B111)&gt;0,LOOKUP(B111,'Icon Lookup'!C:C,'Icon Lookup'!B:B),"")</f>
        <v/>
      </c>
      <c r="B111" s="18" t="s">
        <v>190</v>
      </c>
      <c r="C111" s="17"/>
      <c r="D111" s="17">
        <v>31.0</v>
      </c>
      <c r="E111" s="17" t="s">
        <v>26</v>
      </c>
      <c r="G111" s="19"/>
      <c r="H111" s="20" t="s">
        <v>191</v>
      </c>
      <c r="I111" s="17" t="s">
        <v>156</v>
      </c>
      <c r="J111" s="17">
        <v>0.0</v>
      </c>
      <c r="K111" s="17">
        <v>0.0</v>
      </c>
      <c r="L111" s="17">
        <v>0.0</v>
      </c>
      <c r="M111" s="17">
        <v>0.0</v>
      </c>
      <c r="N111" s="17">
        <v>0.0</v>
      </c>
      <c r="O111" s="17">
        <v>0.0</v>
      </c>
      <c r="P111" s="17">
        <v>0.0</v>
      </c>
      <c r="Q111" s="17">
        <v>0.0</v>
      </c>
      <c r="R111" s="17">
        <v>0.0</v>
      </c>
      <c r="S111" s="17">
        <v>0.0</v>
      </c>
      <c r="T111" s="17">
        <v>0.0</v>
      </c>
      <c r="U111" s="17">
        <v>0.0</v>
      </c>
    </row>
    <row r="112" ht="23.25" customHeight="1">
      <c r="A112" s="1"/>
      <c r="B112" s="15" t="s">
        <v>192</v>
      </c>
      <c r="C112" s="1" t="s">
        <v>17</v>
      </c>
      <c r="D112" s="1" t="s">
        <v>193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23.25" customHeight="1">
      <c r="A113" s="20" t="str">
        <f>IF(COUNTIF('Icon Lookup'!C:C,B113)&gt;0,LOOKUP(B113,'Icon Lookup'!C:C,'Icon Lookup'!B:B),"")</f>
        <v/>
      </c>
      <c r="B113" s="21" t="s">
        <v>194</v>
      </c>
      <c r="C113" s="20"/>
      <c r="D113" s="20">
        <v>16.0</v>
      </c>
      <c r="E113" s="20" t="s">
        <v>195</v>
      </c>
      <c r="G113" s="22"/>
      <c r="H113" s="23" t="s">
        <v>196</v>
      </c>
      <c r="I113" s="20" t="s">
        <v>197</v>
      </c>
      <c r="J113" s="20">
        <v>0.0</v>
      </c>
      <c r="K113" s="20">
        <v>0.0</v>
      </c>
      <c r="L113" s="20">
        <v>0.0</v>
      </c>
      <c r="M113" s="20">
        <v>0.0</v>
      </c>
      <c r="N113" s="20">
        <v>0.0</v>
      </c>
      <c r="O113" s="20">
        <v>0.0</v>
      </c>
      <c r="P113" s="20">
        <v>0.0</v>
      </c>
      <c r="Q113" s="20">
        <v>0.0</v>
      </c>
      <c r="R113" s="20">
        <v>0.0</v>
      </c>
      <c r="S113" s="20">
        <v>0.0</v>
      </c>
      <c r="T113" s="20">
        <v>0.0</v>
      </c>
      <c r="U113" s="20">
        <v>0.0</v>
      </c>
    </row>
    <row r="114" ht="23.25" customHeight="1">
      <c r="A114" s="17" t="str">
        <f>IF(COUNTIF('Icon Lookup'!C:C,B114)&gt;0,LOOKUP(B114,'Icon Lookup'!C:C,'Icon Lookup'!B:B),"")</f>
        <v/>
      </c>
      <c r="B114" s="18" t="s">
        <v>198</v>
      </c>
      <c r="C114" s="17"/>
      <c r="D114" s="17">
        <v>18.0</v>
      </c>
      <c r="E114" s="17" t="s">
        <v>50</v>
      </c>
      <c r="G114" s="19"/>
      <c r="H114" s="20" t="s">
        <v>199</v>
      </c>
      <c r="I114" s="17" t="s">
        <v>105</v>
      </c>
      <c r="J114" s="17">
        <v>0.0</v>
      </c>
      <c r="K114" s="17">
        <v>0.0</v>
      </c>
      <c r="L114" s="17">
        <v>0.0</v>
      </c>
      <c r="M114" s="17">
        <v>0.0</v>
      </c>
      <c r="N114" s="17">
        <v>0.0</v>
      </c>
      <c r="O114" s="17">
        <v>0.0</v>
      </c>
      <c r="P114" s="17">
        <v>0.0</v>
      </c>
      <c r="Q114" s="17">
        <v>0.0</v>
      </c>
      <c r="R114" s="17">
        <v>0.0</v>
      </c>
      <c r="S114" s="17">
        <v>0.0</v>
      </c>
      <c r="T114" s="17">
        <v>0.0</v>
      </c>
      <c r="U114" s="17">
        <v>0.0</v>
      </c>
    </row>
    <row r="115" ht="23.25" customHeight="1">
      <c r="A115" s="1"/>
      <c r="B115" s="15" t="s">
        <v>200</v>
      </c>
      <c r="C115" s="1" t="s">
        <v>17</v>
      </c>
      <c r="D115" s="1" t="s">
        <v>201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23.25" customHeight="1">
      <c r="A116" s="20" t="str">
        <f>IF(COUNTIF('Icon Lookup'!C:C,B116)&gt;0,LOOKUP(B116,'Icon Lookup'!C:C,'Icon Lookup'!B:B),"")</f>
        <v/>
      </c>
      <c r="B116" s="21" t="s">
        <v>202</v>
      </c>
      <c r="C116" s="20"/>
      <c r="D116" s="20">
        <v>17.0</v>
      </c>
      <c r="E116" s="20" t="s">
        <v>203</v>
      </c>
      <c r="G116" s="22"/>
      <c r="H116" s="23" t="s">
        <v>204</v>
      </c>
      <c r="I116" s="20" t="s">
        <v>205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0.0</v>
      </c>
    </row>
    <row r="117" ht="23.25" customHeight="1">
      <c r="A117" s="17" t="str">
        <f>IF(COUNTIF('Icon Lookup'!C:C,B117)&gt;0,LOOKUP(B117,'Icon Lookup'!C:C,'Icon Lookup'!B:B),"")</f>
        <v/>
      </c>
      <c r="B117" s="18" t="s">
        <v>206</v>
      </c>
      <c r="C117" s="17"/>
      <c r="D117" s="17">
        <v>17.0</v>
      </c>
      <c r="E117" s="17" t="s">
        <v>87</v>
      </c>
      <c r="G117" s="19"/>
      <c r="H117" s="20" t="s">
        <v>207</v>
      </c>
      <c r="I117" s="17" t="s">
        <v>22</v>
      </c>
      <c r="J117" s="17">
        <v>0.0</v>
      </c>
      <c r="K117" s="17">
        <v>0.0</v>
      </c>
      <c r="L117" s="17">
        <v>0.0</v>
      </c>
      <c r="M117" s="17">
        <v>0.0</v>
      </c>
      <c r="N117" s="17">
        <v>0.0</v>
      </c>
      <c r="O117" s="17">
        <v>0.0</v>
      </c>
      <c r="P117" s="17">
        <v>0.0</v>
      </c>
      <c r="Q117" s="17">
        <v>0.0</v>
      </c>
      <c r="R117" s="17">
        <v>0.0</v>
      </c>
      <c r="S117" s="17">
        <v>0.0</v>
      </c>
      <c r="T117" s="17">
        <v>0.0</v>
      </c>
      <c r="U117" s="17">
        <v>0.0</v>
      </c>
    </row>
    <row r="118" ht="23.25" customHeight="1">
      <c r="A118" s="1"/>
      <c r="B118" s="15" t="s">
        <v>208</v>
      </c>
      <c r="C118" s="1" t="s">
        <v>17</v>
      </c>
      <c r="D118" s="1" t="s">
        <v>209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23.25" customHeight="1">
      <c r="A119" s="20" t="str">
        <f>IF(COUNTIF('Icon Lookup'!C:C,B119)&gt;0,LOOKUP(B119,'Icon Lookup'!C:C,'Icon Lookup'!B:B),"")</f>
        <v/>
      </c>
      <c r="B119" s="21" t="s">
        <v>206</v>
      </c>
      <c r="C119" s="20"/>
      <c r="D119" s="20">
        <v>16.0</v>
      </c>
      <c r="E119" s="20" t="s">
        <v>98</v>
      </c>
      <c r="G119" s="22"/>
      <c r="H119" s="23" t="s">
        <v>210</v>
      </c>
      <c r="I119" s="20" t="s">
        <v>211</v>
      </c>
      <c r="J119" s="20">
        <v>0.0</v>
      </c>
      <c r="K119" s="20">
        <v>0.0</v>
      </c>
      <c r="L119" s="20">
        <v>0.0</v>
      </c>
      <c r="M119" s="20">
        <v>0.0</v>
      </c>
      <c r="N119" s="20">
        <v>0.0</v>
      </c>
      <c r="O119" s="20">
        <v>0.0</v>
      </c>
      <c r="P119" s="20">
        <v>0.0</v>
      </c>
      <c r="Q119" s="20">
        <v>0.0</v>
      </c>
      <c r="R119" s="20">
        <v>0.0</v>
      </c>
      <c r="S119" s="20">
        <v>0.0</v>
      </c>
      <c r="T119" s="20">
        <v>0.0</v>
      </c>
      <c r="U119" s="20">
        <v>0.0</v>
      </c>
    </row>
    <row r="120" ht="23.25" customHeight="1">
      <c r="A120" s="17" t="str">
        <f>IF(COUNTIF('Icon Lookup'!C:C,B120)&gt;0,LOOKUP(B120,'Icon Lookup'!C:C,'Icon Lookup'!B:B),"")</f>
        <v/>
      </c>
      <c r="B120" s="18" t="s">
        <v>49</v>
      </c>
      <c r="C120" s="17"/>
      <c r="D120" s="17">
        <v>15.0</v>
      </c>
      <c r="E120" s="17" t="s">
        <v>50</v>
      </c>
      <c r="G120" s="19"/>
      <c r="H120" s="20" t="s">
        <v>51</v>
      </c>
      <c r="I120" s="17" t="s">
        <v>205</v>
      </c>
      <c r="J120" s="17">
        <v>0.0</v>
      </c>
      <c r="K120" s="17">
        <v>0.0</v>
      </c>
      <c r="L120" s="17">
        <v>0.0</v>
      </c>
      <c r="M120" s="17">
        <v>0.0</v>
      </c>
      <c r="N120" s="17">
        <v>0.0</v>
      </c>
      <c r="O120" s="17">
        <v>0.0</v>
      </c>
      <c r="P120" s="17">
        <v>0.0</v>
      </c>
      <c r="Q120" s="17">
        <v>0.0</v>
      </c>
      <c r="R120" s="17">
        <v>0.0</v>
      </c>
      <c r="S120" s="17">
        <v>0.0</v>
      </c>
      <c r="T120" s="17">
        <v>0.0</v>
      </c>
      <c r="U120" s="17">
        <v>0.0</v>
      </c>
    </row>
    <row r="121" ht="23.25" customHeight="1">
      <c r="A121" s="20" t="str">
        <f>IF(COUNTIF('Icon Lookup'!C:C,B121)&gt;0,LOOKUP(B121,'Icon Lookup'!C:C,'Icon Lookup'!B:B),"")</f>
        <v/>
      </c>
      <c r="B121" s="21" t="s">
        <v>212</v>
      </c>
      <c r="C121" s="20"/>
      <c r="D121" s="20">
        <v>17.0</v>
      </c>
      <c r="E121" s="20" t="s">
        <v>137</v>
      </c>
      <c r="G121" s="22"/>
      <c r="H121" s="23" t="s">
        <v>213</v>
      </c>
      <c r="I121" s="20" t="s">
        <v>205</v>
      </c>
      <c r="J121" s="20">
        <v>0.0</v>
      </c>
      <c r="K121" s="20">
        <v>0.0</v>
      </c>
      <c r="L121" s="20">
        <v>0.0</v>
      </c>
      <c r="M121" s="20">
        <v>0.0</v>
      </c>
      <c r="N121" s="20">
        <v>0.0</v>
      </c>
      <c r="O121" s="20">
        <v>0.0</v>
      </c>
      <c r="P121" s="20">
        <v>0.0</v>
      </c>
      <c r="Q121" s="20">
        <v>0.0</v>
      </c>
      <c r="R121" s="20">
        <v>0.0</v>
      </c>
      <c r="S121" s="20">
        <v>0.0</v>
      </c>
      <c r="T121" s="20">
        <v>0.0</v>
      </c>
      <c r="U121" s="20">
        <v>0.0</v>
      </c>
    </row>
    <row r="122" ht="23.25" customHeight="1">
      <c r="A122" s="1"/>
      <c r="B122" s="15" t="s">
        <v>214</v>
      </c>
      <c r="C122" s="1" t="s">
        <v>17</v>
      </c>
      <c r="D122" s="1" t="s">
        <v>215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23.25" customHeight="1">
      <c r="A123" s="17" t="str">
        <f>IF(COUNTIF('Icon Lookup'!C:C,B123)&gt;0,LOOKUP(B123,'Icon Lookup'!C:C,'Icon Lookup'!B:B),"")</f>
        <v/>
      </c>
      <c r="B123" s="18" t="s">
        <v>202</v>
      </c>
      <c r="C123" s="17"/>
      <c r="D123" s="17">
        <v>16.0</v>
      </c>
      <c r="E123" s="17" t="s">
        <v>203</v>
      </c>
      <c r="G123" s="19"/>
      <c r="H123" s="20" t="s">
        <v>216</v>
      </c>
      <c r="I123" s="17" t="s">
        <v>52</v>
      </c>
      <c r="J123" s="17">
        <v>0.0</v>
      </c>
      <c r="K123" s="17">
        <v>0.0</v>
      </c>
      <c r="L123" s="17">
        <v>0.0</v>
      </c>
      <c r="M123" s="17">
        <v>0.0</v>
      </c>
      <c r="N123" s="17">
        <v>0.0</v>
      </c>
      <c r="O123" s="17">
        <v>0.0</v>
      </c>
      <c r="P123" s="17">
        <v>0.0</v>
      </c>
      <c r="Q123" s="17">
        <v>0.0</v>
      </c>
      <c r="R123" s="17">
        <v>0.0</v>
      </c>
      <c r="S123" s="17">
        <v>0.0</v>
      </c>
      <c r="T123" s="17">
        <v>0.0</v>
      </c>
      <c r="U123" s="17">
        <v>0.0</v>
      </c>
    </row>
    <row r="124" ht="23.25" customHeight="1">
      <c r="A124" s="20" t="str">
        <f>IF(COUNTIF('Icon Lookup'!C:C,B124)&gt;0,LOOKUP(B124,'Icon Lookup'!C:C,'Icon Lookup'!B:B),"")</f>
        <v/>
      </c>
      <c r="B124" s="21" t="s">
        <v>49</v>
      </c>
      <c r="C124" s="20"/>
      <c r="D124" s="20">
        <v>15.0</v>
      </c>
      <c r="E124" s="20" t="s">
        <v>50</v>
      </c>
      <c r="G124" s="22"/>
      <c r="H124" s="23" t="s">
        <v>51</v>
      </c>
      <c r="I124" s="20" t="s">
        <v>40</v>
      </c>
      <c r="J124" s="20">
        <v>0.0</v>
      </c>
      <c r="K124" s="20">
        <v>0.0</v>
      </c>
      <c r="L124" s="20">
        <v>0.0</v>
      </c>
      <c r="M124" s="20">
        <v>0.0</v>
      </c>
      <c r="N124" s="20">
        <v>0.0</v>
      </c>
      <c r="O124" s="20">
        <v>0.0</v>
      </c>
      <c r="P124" s="20">
        <v>0.0</v>
      </c>
      <c r="Q124" s="20">
        <v>0.0</v>
      </c>
      <c r="R124" s="20">
        <v>0.0</v>
      </c>
      <c r="S124" s="20">
        <v>0.0</v>
      </c>
      <c r="T124" s="20">
        <v>0.0</v>
      </c>
      <c r="U124" s="20">
        <v>0.0</v>
      </c>
    </row>
    <row r="125" ht="23.25" customHeight="1">
      <c r="A125" s="17" t="str">
        <f>IF(COUNTIF('Icon Lookup'!C:C,B125)&gt;0,LOOKUP(B125,'Icon Lookup'!C:C,'Icon Lookup'!B:B),"")</f>
        <v/>
      </c>
      <c r="B125" s="18" t="s">
        <v>217</v>
      </c>
      <c r="C125" s="17"/>
      <c r="D125" s="17">
        <v>17.0</v>
      </c>
      <c r="E125" s="17" t="s">
        <v>218</v>
      </c>
      <c r="G125" s="19"/>
      <c r="H125" s="20" t="s">
        <v>219</v>
      </c>
      <c r="I125" s="17" t="s">
        <v>40</v>
      </c>
      <c r="J125" s="17">
        <v>0.0</v>
      </c>
      <c r="K125" s="17">
        <v>0.0</v>
      </c>
      <c r="L125" s="17">
        <v>0.0</v>
      </c>
      <c r="M125" s="17">
        <v>0.0</v>
      </c>
      <c r="N125" s="17">
        <v>0.0</v>
      </c>
      <c r="O125" s="17">
        <v>0.0</v>
      </c>
      <c r="P125" s="17">
        <v>0.0</v>
      </c>
      <c r="Q125" s="17">
        <v>0.0</v>
      </c>
      <c r="R125" s="17">
        <v>0.0</v>
      </c>
      <c r="S125" s="17">
        <v>0.0</v>
      </c>
      <c r="T125" s="17">
        <v>0.0</v>
      </c>
      <c r="U125" s="17">
        <v>0.0</v>
      </c>
    </row>
    <row r="126" ht="23.25" customHeight="1">
      <c r="A126" s="1"/>
      <c r="B126" s="15" t="s">
        <v>220</v>
      </c>
      <c r="C126" s="1" t="s">
        <v>17</v>
      </c>
      <c r="D126" s="1" t="s">
        <v>221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23.25" customHeight="1">
      <c r="A127" s="20" t="str">
        <f>IF(COUNTIF('Icon Lookup'!C:C,B127)&gt;0,LOOKUP(B127,'Icon Lookup'!C:C,'Icon Lookup'!B:B),"")</f>
        <v/>
      </c>
      <c r="B127" s="21" t="s">
        <v>30</v>
      </c>
      <c r="C127" s="20"/>
      <c r="D127" s="20">
        <v>14.0</v>
      </c>
      <c r="E127" s="20" t="s">
        <v>31</v>
      </c>
      <c r="G127" s="22"/>
      <c r="H127" s="23" t="s">
        <v>222</v>
      </c>
      <c r="I127" s="20" t="s">
        <v>22</v>
      </c>
      <c r="J127" s="20">
        <v>0.0</v>
      </c>
      <c r="K127" s="20">
        <v>0.0</v>
      </c>
      <c r="L127" s="20">
        <v>0.0</v>
      </c>
      <c r="M127" s="20">
        <v>0.0</v>
      </c>
      <c r="N127" s="20">
        <v>0.0</v>
      </c>
      <c r="O127" s="20">
        <v>0.0</v>
      </c>
      <c r="P127" s="20">
        <v>0.0</v>
      </c>
      <c r="Q127" s="20">
        <v>0.0</v>
      </c>
      <c r="R127" s="20">
        <v>0.0</v>
      </c>
      <c r="S127" s="20">
        <v>0.0</v>
      </c>
      <c r="T127" s="20">
        <v>0.0</v>
      </c>
      <c r="U127" s="20">
        <v>0.0</v>
      </c>
    </row>
    <row r="128" ht="23.25" customHeight="1">
      <c r="A128" s="17" t="str">
        <f>IF(COUNTIF('Icon Lookup'!C:C,B128)&gt;0,LOOKUP(B128,'Icon Lookup'!C:C,'Icon Lookup'!B:B),"")</f>
        <v/>
      </c>
      <c r="B128" s="18" t="s">
        <v>30</v>
      </c>
      <c r="C128" s="17"/>
      <c r="D128" s="17">
        <v>15.0</v>
      </c>
      <c r="E128" s="17" t="s">
        <v>31</v>
      </c>
      <c r="G128" s="19"/>
      <c r="H128" s="20" t="s">
        <v>222</v>
      </c>
      <c r="I128" s="17" t="s">
        <v>22</v>
      </c>
      <c r="J128" s="17">
        <v>0.0</v>
      </c>
      <c r="K128" s="17">
        <v>0.0</v>
      </c>
      <c r="L128" s="17">
        <v>0.0</v>
      </c>
      <c r="M128" s="17">
        <v>0.0</v>
      </c>
      <c r="N128" s="17">
        <v>0.0</v>
      </c>
      <c r="O128" s="17">
        <v>0.0</v>
      </c>
      <c r="P128" s="17">
        <v>0.0</v>
      </c>
      <c r="Q128" s="17">
        <v>0.0</v>
      </c>
      <c r="R128" s="17">
        <v>0.0</v>
      </c>
      <c r="S128" s="17">
        <v>0.0</v>
      </c>
      <c r="T128" s="17">
        <v>0.0</v>
      </c>
      <c r="U128" s="17">
        <v>0.0</v>
      </c>
    </row>
    <row r="129" ht="23.25" customHeight="1">
      <c r="A129" s="20" t="str">
        <f>IF(COUNTIF('Icon Lookup'!C:C,B129)&gt;0,LOOKUP(B129,'Icon Lookup'!C:C,'Icon Lookup'!B:B),"")</f>
        <v/>
      </c>
      <c r="B129" s="21" t="s">
        <v>30</v>
      </c>
      <c r="C129" s="20"/>
      <c r="D129" s="20">
        <v>16.0</v>
      </c>
      <c r="E129" s="20" t="s">
        <v>31</v>
      </c>
      <c r="G129" s="22"/>
      <c r="H129" s="23" t="s">
        <v>222</v>
      </c>
      <c r="I129" s="20" t="s">
        <v>22</v>
      </c>
      <c r="J129" s="20">
        <v>0.0</v>
      </c>
      <c r="K129" s="20">
        <v>0.0</v>
      </c>
      <c r="L129" s="20">
        <v>0.0</v>
      </c>
      <c r="M129" s="20">
        <v>0.0</v>
      </c>
      <c r="N129" s="20">
        <v>0.0</v>
      </c>
      <c r="O129" s="20">
        <v>0.0</v>
      </c>
      <c r="P129" s="20">
        <v>0.0</v>
      </c>
      <c r="Q129" s="20">
        <v>0.0</v>
      </c>
      <c r="R129" s="20">
        <v>0.0</v>
      </c>
      <c r="S129" s="20">
        <v>0.0</v>
      </c>
      <c r="T129" s="20">
        <v>0.0</v>
      </c>
      <c r="U129" s="20">
        <v>0.0</v>
      </c>
    </row>
    <row r="130" ht="23.25" customHeight="1">
      <c r="A130" s="17" t="str">
        <f>IF(COUNTIF('Icon Lookup'!C:C,B130)&gt;0,LOOKUP(B130,'Icon Lookup'!C:C,'Icon Lookup'!B:B),"")</f>
        <v/>
      </c>
      <c r="B130" s="18" t="s">
        <v>30</v>
      </c>
      <c r="C130" s="17"/>
      <c r="D130" s="17">
        <v>15.0</v>
      </c>
      <c r="E130" s="17" t="s">
        <v>31</v>
      </c>
      <c r="G130" s="19"/>
      <c r="H130" s="20" t="s">
        <v>222</v>
      </c>
      <c r="I130" s="17" t="s">
        <v>22</v>
      </c>
      <c r="J130" s="17">
        <v>0.0</v>
      </c>
      <c r="K130" s="17">
        <v>0.0</v>
      </c>
      <c r="L130" s="17">
        <v>0.0</v>
      </c>
      <c r="M130" s="17">
        <v>0.0</v>
      </c>
      <c r="N130" s="17">
        <v>0.0</v>
      </c>
      <c r="O130" s="17">
        <v>0.0</v>
      </c>
      <c r="P130" s="17">
        <v>0.0</v>
      </c>
      <c r="Q130" s="17">
        <v>0.0</v>
      </c>
      <c r="R130" s="17">
        <v>0.0</v>
      </c>
      <c r="S130" s="17">
        <v>0.0</v>
      </c>
      <c r="T130" s="17">
        <v>0.0</v>
      </c>
      <c r="U130" s="17">
        <v>0.0</v>
      </c>
    </row>
    <row r="131" ht="23.25" customHeight="1">
      <c r="A131" s="20" t="str">
        <f>IF(COUNTIF('Icon Lookup'!C:C,B131)&gt;0,LOOKUP(B131,'Icon Lookup'!C:C,'Icon Lookup'!B:B),"")</f>
        <v/>
      </c>
      <c r="B131" s="21" t="s">
        <v>30</v>
      </c>
      <c r="C131" s="20"/>
      <c r="D131" s="20">
        <v>15.0</v>
      </c>
      <c r="E131" s="20" t="s">
        <v>31</v>
      </c>
      <c r="G131" s="22"/>
      <c r="H131" s="23" t="s">
        <v>222</v>
      </c>
      <c r="I131" s="20" t="s">
        <v>22</v>
      </c>
      <c r="J131" s="20">
        <v>0.0</v>
      </c>
      <c r="K131" s="20">
        <v>0.0</v>
      </c>
      <c r="L131" s="20">
        <v>0.0</v>
      </c>
      <c r="M131" s="20">
        <v>0.0</v>
      </c>
      <c r="N131" s="20">
        <v>0.0</v>
      </c>
      <c r="O131" s="20">
        <v>0.0</v>
      </c>
      <c r="P131" s="20">
        <v>0.0</v>
      </c>
      <c r="Q131" s="20">
        <v>0.0</v>
      </c>
      <c r="R131" s="20">
        <v>0.0</v>
      </c>
      <c r="S131" s="20">
        <v>0.0</v>
      </c>
      <c r="T131" s="20">
        <v>0.0</v>
      </c>
      <c r="U131" s="20">
        <v>0.0</v>
      </c>
    </row>
    <row r="132" ht="23.25" customHeight="1">
      <c r="A132" s="1"/>
      <c r="B132" s="15" t="s">
        <v>223</v>
      </c>
      <c r="C132" s="1" t="s">
        <v>17</v>
      </c>
      <c r="D132" s="1" t="s">
        <v>224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23.25" customHeight="1">
      <c r="A133" s="17" t="str">
        <f>IF(COUNTIF('Icon Lookup'!C:C,B133)&gt;0,LOOKUP(B133,'Icon Lookup'!C:C,'Icon Lookup'!B:B),"")</f>
        <v/>
      </c>
      <c r="B133" s="18" t="s">
        <v>225</v>
      </c>
      <c r="C133" s="17"/>
      <c r="D133" s="17">
        <v>19.0</v>
      </c>
      <c r="E133" s="17" t="s">
        <v>26</v>
      </c>
      <c r="G133" s="19"/>
      <c r="H133" s="20" t="s">
        <v>226</v>
      </c>
      <c r="I133" s="17" t="s">
        <v>94</v>
      </c>
      <c r="J133" s="17">
        <v>0.0</v>
      </c>
      <c r="K133" s="17">
        <v>0.0</v>
      </c>
      <c r="L133" s="17">
        <v>0.0</v>
      </c>
      <c r="M133" s="17">
        <v>0.0</v>
      </c>
      <c r="N133" s="17">
        <v>0.0</v>
      </c>
      <c r="O133" s="17">
        <v>0.0</v>
      </c>
      <c r="P133" s="17">
        <v>0.0</v>
      </c>
      <c r="Q133" s="17">
        <v>0.0</v>
      </c>
      <c r="R133" s="17">
        <v>0.0</v>
      </c>
      <c r="S133" s="17">
        <v>0.0</v>
      </c>
      <c r="T133" s="17">
        <v>0.0</v>
      </c>
      <c r="U133" s="17">
        <v>0.0</v>
      </c>
    </row>
    <row r="134" ht="23.25" customHeight="1">
      <c r="A134" s="1"/>
      <c r="B134" s="15" t="s">
        <v>227</v>
      </c>
      <c r="C134" s="1" t="s">
        <v>17</v>
      </c>
      <c r="D134" s="1" t="s">
        <v>228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23.25" customHeight="1">
      <c r="A135" s="20" t="str">
        <f>IF(COUNTIF('Icon Lookup'!C:C,B135)&gt;0,LOOKUP(B135,'Icon Lookup'!C:C,'Icon Lookup'!B:B),"")</f>
        <v/>
      </c>
      <c r="B135" s="21" t="s">
        <v>136</v>
      </c>
      <c r="C135" s="20"/>
      <c r="D135" s="20">
        <v>19.0</v>
      </c>
      <c r="E135" s="20" t="s">
        <v>137</v>
      </c>
      <c r="G135" s="22"/>
      <c r="H135" s="23" t="s">
        <v>229</v>
      </c>
      <c r="I135" s="20" t="s">
        <v>40</v>
      </c>
      <c r="J135" s="20">
        <v>0.0</v>
      </c>
      <c r="K135" s="20">
        <v>0.0</v>
      </c>
      <c r="L135" s="20">
        <v>0.0</v>
      </c>
      <c r="M135" s="20">
        <v>0.0</v>
      </c>
      <c r="N135" s="20">
        <v>0.0</v>
      </c>
      <c r="O135" s="20">
        <v>0.0</v>
      </c>
      <c r="P135" s="20">
        <v>0.0</v>
      </c>
      <c r="Q135" s="20">
        <v>0.0</v>
      </c>
      <c r="R135" s="20">
        <v>0.0</v>
      </c>
      <c r="S135" s="20">
        <v>0.0</v>
      </c>
      <c r="T135" s="20">
        <v>0.0</v>
      </c>
      <c r="U135" s="20">
        <v>0.0</v>
      </c>
    </row>
    <row r="136" ht="23.25" customHeight="1">
      <c r="A136" s="1"/>
      <c r="B136" s="15" t="s">
        <v>230</v>
      </c>
      <c r="C136" s="1" t="s">
        <v>17</v>
      </c>
      <c r="D136" s="1" t="s">
        <v>231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23.25" customHeight="1">
      <c r="A137" s="17" t="str">
        <f>IF(COUNTIF('Icon Lookup'!C:C,B137)&gt;0,LOOKUP(B137,'Icon Lookup'!C:C,'Icon Lookup'!B:B),"")</f>
        <v/>
      </c>
      <c r="B137" s="18" t="s">
        <v>90</v>
      </c>
      <c r="C137" s="17"/>
      <c r="D137" s="17">
        <v>19.0</v>
      </c>
      <c r="E137" s="17" t="s">
        <v>91</v>
      </c>
      <c r="G137" s="19"/>
      <c r="H137" s="20" t="s">
        <v>232</v>
      </c>
      <c r="I137" s="17" t="s">
        <v>211</v>
      </c>
      <c r="J137" s="17">
        <v>0.0</v>
      </c>
      <c r="K137" s="17">
        <v>0.0</v>
      </c>
      <c r="L137" s="17">
        <v>0.0</v>
      </c>
      <c r="M137" s="17">
        <v>0.0</v>
      </c>
      <c r="N137" s="17">
        <v>0.0</v>
      </c>
      <c r="O137" s="17">
        <v>0.0</v>
      </c>
      <c r="P137" s="17">
        <v>0.0</v>
      </c>
      <c r="Q137" s="17">
        <v>0.0</v>
      </c>
      <c r="R137" s="17">
        <v>0.0</v>
      </c>
      <c r="S137" s="17">
        <v>0.0</v>
      </c>
      <c r="T137" s="17">
        <v>0.0</v>
      </c>
      <c r="U137" s="17">
        <v>0.0</v>
      </c>
    </row>
    <row r="138" ht="23.25" customHeight="1">
      <c r="A138" s="1"/>
      <c r="B138" s="15" t="s">
        <v>233</v>
      </c>
      <c r="C138" s="1" t="s">
        <v>17</v>
      </c>
      <c r="D138" s="1" t="s">
        <v>234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23.25" customHeight="1">
      <c r="A139" s="20" t="str">
        <f>IF(COUNTIF('Icon Lookup'!C:C,B139)&gt;0,LOOKUP(B139,'Icon Lookup'!C:C,'Icon Lookup'!B:B),"")</f>
        <v/>
      </c>
      <c r="B139" s="21" t="s">
        <v>165</v>
      </c>
      <c r="C139" s="20"/>
      <c r="D139" s="20">
        <v>19.0</v>
      </c>
      <c r="E139" s="20" t="s">
        <v>166</v>
      </c>
      <c r="G139" s="22"/>
      <c r="H139" s="23" t="s">
        <v>235</v>
      </c>
      <c r="I139" s="20" t="s">
        <v>197</v>
      </c>
      <c r="J139" s="20">
        <v>0.0</v>
      </c>
      <c r="K139" s="20">
        <v>0.0</v>
      </c>
      <c r="L139" s="20">
        <v>0.0</v>
      </c>
      <c r="M139" s="20">
        <v>0.0</v>
      </c>
      <c r="N139" s="20">
        <v>0.0</v>
      </c>
      <c r="O139" s="20">
        <v>0.0</v>
      </c>
      <c r="P139" s="20">
        <v>0.0</v>
      </c>
      <c r="Q139" s="20">
        <v>0.0</v>
      </c>
      <c r="R139" s="20">
        <v>0.0</v>
      </c>
      <c r="S139" s="20">
        <v>0.0</v>
      </c>
      <c r="T139" s="20">
        <v>0.0</v>
      </c>
      <c r="U139" s="20">
        <v>0.0</v>
      </c>
    </row>
    <row r="140" ht="23.25" customHeight="1">
      <c r="A140" s="1"/>
      <c r="B140" s="15" t="s">
        <v>236</v>
      </c>
      <c r="C140" s="1" t="s">
        <v>17</v>
      </c>
      <c r="D140" s="1" t="s">
        <v>237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23.25" customHeight="1">
      <c r="A141" s="17" t="str">
        <f>IF(COUNTIF('Icon Lookup'!C:C,B141)&gt;0,LOOKUP(B141,'Icon Lookup'!C:C,'Icon Lookup'!B:B),"")</f>
        <v/>
      </c>
      <c r="B141" s="18" t="s">
        <v>212</v>
      </c>
      <c r="C141" s="17"/>
      <c r="D141" s="17">
        <v>18.0</v>
      </c>
      <c r="E141" s="17" t="s">
        <v>137</v>
      </c>
      <c r="G141" s="19"/>
      <c r="H141" s="20" t="s">
        <v>213</v>
      </c>
      <c r="I141" s="17" t="s">
        <v>156</v>
      </c>
      <c r="J141" s="17">
        <v>0.0</v>
      </c>
      <c r="K141" s="17">
        <v>0.0</v>
      </c>
      <c r="L141" s="17">
        <v>0.0</v>
      </c>
      <c r="M141" s="17">
        <v>0.0</v>
      </c>
      <c r="N141" s="17">
        <v>0.0</v>
      </c>
      <c r="O141" s="17">
        <v>0.0</v>
      </c>
      <c r="P141" s="17">
        <v>0.0</v>
      </c>
      <c r="Q141" s="17">
        <v>0.0</v>
      </c>
      <c r="R141" s="17">
        <v>0.0</v>
      </c>
      <c r="S141" s="17">
        <v>0.0</v>
      </c>
      <c r="T141" s="17">
        <v>0.0</v>
      </c>
      <c r="U141" s="17">
        <v>0.0</v>
      </c>
    </row>
    <row r="142" ht="23.25" customHeight="1">
      <c r="A142" s="20" t="str">
        <f>IF(COUNTIF('Icon Lookup'!C:C,B142)&gt;0,LOOKUP(B142,'Icon Lookup'!C:C,'Icon Lookup'!B:B),"")</f>
        <v/>
      </c>
      <c r="B142" s="21" t="s">
        <v>136</v>
      </c>
      <c r="C142" s="20"/>
      <c r="D142" s="20">
        <v>19.0</v>
      </c>
      <c r="E142" s="20" t="s">
        <v>137</v>
      </c>
      <c r="G142" s="22"/>
      <c r="H142" s="23" t="s">
        <v>238</v>
      </c>
      <c r="I142" s="20" t="s">
        <v>156</v>
      </c>
      <c r="J142" s="20">
        <v>0.0</v>
      </c>
      <c r="K142" s="20">
        <v>0.0</v>
      </c>
      <c r="L142" s="20">
        <v>0.0</v>
      </c>
      <c r="M142" s="20">
        <v>0.0</v>
      </c>
      <c r="N142" s="20">
        <v>0.0</v>
      </c>
      <c r="O142" s="20">
        <v>0.0</v>
      </c>
      <c r="P142" s="20">
        <v>0.0</v>
      </c>
      <c r="Q142" s="20">
        <v>0.0</v>
      </c>
      <c r="R142" s="20">
        <v>0.0</v>
      </c>
      <c r="S142" s="20">
        <v>0.0</v>
      </c>
      <c r="T142" s="20">
        <v>0.0</v>
      </c>
      <c r="U142" s="20">
        <v>0.0</v>
      </c>
    </row>
    <row r="143" ht="23.25" customHeight="1">
      <c r="A143" s="17" t="str">
        <f>IF(COUNTIF('Icon Lookup'!C:C,B143)&gt;0,LOOKUP(B143,'Icon Lookup'!C:C,'Icon Lookup'!B:B),"")</f>
        <v/>
      </c>
      <c r="B143" s="18" t="s">
        <v>239</v>
      </c>
      <c r="C143" s="17"/>
      <c r="D143" s="17">
        <v>17.0</v>
      </c>
      <c r="E143" s="17" t="s">
        <v>240</v>
      </c>
      <c r="G143" s="19"/>
      <c r="H143" s="20" t="s">
        <v>241</v>
      </c>
      <c r="I143" s="17" t="s">
        <v>156</v>
      </c>
      <c r="J143" s="17">
        <v>0.0</v>
      </c>
      <c r="K143" s="17">
        <v>0.0</v>
      </c>
      <c r="L143" s="17">
        <v>0.0</v>
      </c>
      <c r="M143" s="17">
        <v>0.0</v>
      </c>
      <c r="N143" s="17">
        <v>0.0</v>
      </c>
      <c r="O143" s="17">
        <v>0.0</v>
      </c>
      <c r="P143" s="17">
        <v>0.0</v>
      </c>
      <c r="Q143" s="17">
        <v>0.0</v>
      </c>
      <c r="R143" s="17">
        <v>0.0</v>
      </c>
      <c r="S143" s="17">
        <v>0.0</v>
      </c>
      <c r="T143" s="17">
        <v>0.0</v>
      </c>
      <c r="U143" s="17">
        <v>0.0</v>
      </c>
    </row>
    <row r="144" ht="23.25" customHeight="1">
      <c r="A144" s="1"/>
      <c r="B144" s="15" t="s">
        <v>242</v>
      </c>
      <c r="C144" s="1" t="s">
        <v>17</v>
      </c>
      <c r="D144" s="1" t="s">
        <v>243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23.25" customHeight="1">
      <c r="A145" s="20" t="str">
        <f>IF(COUNTIF('Icon Lookup'!C:C,B145)&gt;0,LOOKUP(B145,'Icon Lookup'!C:C,'Icon Lookup'!B:B),"")</f>
        <v/>
      </c>
      <c r="B145" s="21" t="s">
        <v>217</v>
      </c>
      <c r="C145" s="20"/>
      <c r="D145" s="20">
        <v>19.0</v>
      </c>
      <c r="E145" s="20" t="s">
        <v>218</v>
      </c>
      <c r="G145" s="22"/>
      <c r="H145" s="23" t="s">
        <v>244</v>
      </c>
      <c r="I145" s="20" t="s">
        <v>105</v>
      </c>
      <c r="J145" s="20">
        <v>0.0</v>
      </c>
      <c r="K145" s="20">
        <v>0.0</v>
      </c>
      <c r="L145" s="20">
        <v>0.0</v>
      </c>
      <c r="M145" s="20">
        <v>0.0</v>
      </c>
      <c r="N145" s="20">
        <v>0.0</v>
      </c>
      <c r="O145" s="20">
        <v>0.0</v>
      </c>
      <c r="P145" s="20">
        <v>0.0</v>
      </c>
      <c r="Q145" s="20">
        <v>0.0</v>
      </c>
      <c r="R145" s="20">
        <v>0.0</v>
      </c>
      <c r="S145" s="20">
        <v>0.0</v>
      </c>
      <c r="T145" s="20">
        <v>0.0</v>
      </c>
      <c r="U145" s="20">
        <v>0.0</v>
      </c>
    </row>
    <row r="146" ht="23.25" customHeight="1">
      <c r="A146" s="17" t="str">
        <f>IF(COUNTIF('Icon Lookup'!C:C,B146)&gt;0,LOOKUP(B146,'Icon Lookup'!C:C,'Icon Lookup'!B:B),"")</f>
        <v/>
      </c>
      <c r="B146" s="18" t="s">
        <v>245</v>
      </c>
      <c r="C146" s="17"/>
      <c r="D146" s="17">
        <v>17.0</v>
      </c>
      <c r="E146" s="17" t="s">
        <v>218</v>
      </c>
      <c r="G146" s="19"/>
      <c r="H146" s="20" t="s">
        <v>246</v>
      </c>
      <c r="I146" s="17" t="s">
        <v>105</v>
      </c>
      <c r="J146" s="17">
        <v>0.0</v>
      </c>
      <c r="K146" s="17">
        <v>0.0</v>
      </c>
      <c r="L146" s="17">
        <v>0.0</v>
      </c>
      <c r="M146" s="17">
        <v>0.0</v>
      </c>
      <c r="N146" s="17">
        <v>0.0</v>
      </c>
      <c r="O146" s="17">
        <v>0.0</v>
      </c>
      <c r="P146" s="17">
        <v>0.0</v>
      </c>
      <c r="Q146" s="17">
        <v>0.0</v>
      </c>
      <c r="R146" s="17">
        <v>0.0</v>
      </c>
      <c r="S146" s="17">
        <v>0.0</v>
      </c>
      <c r="T146" s="17">
        <v>0.0</v>
      </c>
      <c r="U146" s="17">
        <v>0.0</v>
      </c>
    </row>
    <row r="147" ht="23.25" customHeight="1">
      <c r="A147" s="20" t="str">
        <f>IF(COUNTIF('Icon Lookup'!C:C,B147)&gt;0,LOOKUP(B147,'Icon Lookup'!C:C,'Icon Lookup'!B:B),"")</f>
        <v/>
      </c>
      <c r="B147" s="21" t="s">
        <v>239</v>
      </c>
      <c r="C147" s="20"/>
      <c r="D147" s="20">
        <v>18.0</v>
      </c>
      <c r="E147" s="20" t="s">
        <v>240</v>
      </c>
      <c r="G147" s="22"/>
      <c r="H147" s="23" t="s">
        <v>247</v>
      </c>
      <c r="I147" s="20" t="s">
        <v>105</v>
      </c>
      <c r="J147" s="20">
        <v>0.0</v>
      </c>
      <c r="K147" s="20">
        <v>0.0</v>
      </c>
      <c r="L147" s="20">
        <v>0.0</v>
      </c>
      <c r="M147" s="20">
        <v>0.0</v>
      </c>
      <c r="N147" s="20">
        <v>0.0</v>
      </c>
      <c r="O147" s="20">
        <v>0.0</v>
      </c>
      <c r="P147" s="20">
        <v>0.0</v>
      </c>
      <c r="Q147" s="20">
        <v>0.0</v>
      </c>
      <c r="R147" s="20">
        <v>0.0</v>
      </c>
      <c r="S147" s="20">
        <v>0.0</v>
      </c>
      <c r="T147" s="20">
        <v>0.0</v>
      </c>
      <c r="U147" s="20">
        <v>0.0</v>
      </c>
    </row>
    <row r="148" ht="23.25" customHeight="1">
      <c r="A148" s="1"/>
      <c r="B148" s="15" t="s">
        <v>248</v>
      </c>
      <c r="C148" s="1" t="s">
        <v>17</v>
      </c>
      <c r="D148" s="1" t="s">
        <v>249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23.25" customHeight="1">
      <c r="A149" s="17" t="str">
        <f>IF(COUNTIF('Icon Lookup'!C:C,B149)&gt;0,LOOKUP(B149,'Icon Lookup'!C:C,'Icon Lookup'!B:B),"")</f>
        <v/>
      </c>
      <c r="B149" s="18" t="s">
        <v>136</v>
      </c>
      <c r="C149" s="17"/>
      <c r="D149" s="17">
        <v>21.0</v>
      </c>
      <c r="E149" s="17" t="s">
        <v>137</v>
      </c>
      <c r="G149" s="19"/>
      <c r="H149" s="20" t="s">
        <v>250</v>
      </c>
      <c r="I149" s="17" t="s">
        <v>52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</row>
    <row r="150" ht="23.25" customHeight="1">
      <c r="A150" s="1"/>
      <c r="B150" s="15" t="s">
        <v>251</v>
      </c>
      <c r="C150" s="1" t="s">
        <v>17</v>
      </c>
      <c r="D150" s="1" t="s">
        <v>252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23.25" customHeight="1">
      <c r="A151" s="20" t="str">
        <f>IF(COUNTIF('Icon Lookup'!C:C,B151)&gt;0,LOOKUP(B151,'Icon Lookup'!C:C,'Icon Lookup'!B:B),"")</f>
        <v/>
      </c>
      <c r="B151" s="21" t="s">
        <v>245</v>
      </c>
      <c r="C151" s="20"/>
      <c r="D151" s="20">
        <v>21.0</v>
      </c>
      <c r="E151" s="20" t="s">
        <v>253</v>
      </c>
      <c r="G151" s="22"/>
      <c r="H151" s="23" t="s">
        <v>254</v>
      </c>
      <c r="I151" s="20" t="s">
        <v>52</v>
      </c>
      <c r="J151" s="20">
        <v>0.0</v>
      </c>
      <c r="K151" s="20">
        <v>0.0</v>
      </c>
      <c r="L151" s="20">
        <v>0.0</v>
      </c>
      <c r="M151" s="20">
        <v>0.0</v>
      </c>
      <c r="N151" s="20">
        <v>0.0</v>
      </c>
      <c r="O151" s="20">
        <v>0.0</v>
      </c>
      <c r="P151" s="20">
        <v>0.0</v>
      </c>
      <c r="Q151" s="20">
        <v>0.0</v>
      </c>
      <c r="R151" s="20">
        <v>0.0</v>
      </c>
      <c r="S151" s="20">
        <v>0.0</v>
      </c>
      <c r="T151" s="20">
        <v>0.0</v>
      </c>
      <c r="U151" s="20">
        <v>0.0</v>
      </c>
    </row>
    <row r="152" ht="23.25" customHeight="1">
      <c r="A152" s="1"/>
      <c r="B152" s="15" t="s">
        <v>255</v>
      </c>
      <c r="C152" s="1" t="s">
        <v>17</v>
      </c>
      <c r="D152" s="1" t="s">
        <v>256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23.25" customHeight="1">
      <c r="A153" s="17" t="str">
        <f>IF(COUNTIF('Icon Lookup'!C:C,B153)&gt;0,LOOKUP(B153,'Icon Lookup'!C:C,'Icon Lookup'!B:B),"")</f>
        <v/>
      </c>
      <c r="B153" s="18" t="s">
        <v>257</v>
      </c>
      <c r="C153" s="17"/>
      <c r="D153" s="17">
        <v>25.0</v>
      </c>
      <c r="E153" s="17" t="s">
        <v>258</v>
      </c>
      <c r="G153" s="19"/>
      <c r="H153" s="20" t="s">
        <v>259</v>
      </c>
      <c r="I153" s="17" t="s">
        <v>94</v>
      </c>
      <c r="J153" s="17">
        <v>0.0</v>
      </c>
      <c r="K153" s="17">
        <v>0.0</v>
      </c>
      <c r="L153" s="17">
        <v>0.0</v>
      </c>
      <c r="M153" s="17">
        <v>0.0</v>
      </c>
      <c r="N153" s="17">
        <v>0.0</v>
      </c>
      <c r="O153" s="17">
        <v>0.0</v>
      </c>
      <c r="P153" s="17">
        <v>0.0</v>
      </c>
      <c r="Q153" s="17">
        <v>0.0</v>
      </c>
      <c r="R153" s="17">
        <v>0.0</v>
      </c>
      <c r="S153" s="17">
        <v>0.0</v>
      </c>
      <c r="T153" s="17">
        <v>0.0</v>
      </c>
      <c r="U153" s="17">
        <v>0.0</v>
      </c>
    </row>
    <row r="154" ht="23.25" customHeight="1">
      <c r="A154" s="20" t="str">
        <f>IF(COUNTIF('Icon Lookup'!C:C,B154)&gt;0,LOOKUP(B154,'Icon Lookup'!C:C,'Icon Lookup'!B:B),"")</f>
        <v/>
      </c>
      <c r="B154" s="21" t="s">
        <v>97</v>
      </c>
      <c r="C154" s="20"/>
      <c r="D154" s="20">
        <v>26.0</v>
      </c>
      <c r="E154" s="20" t="s">
        <v>87</v>
      </c>
      <c r="G154" s="22"/>
      <c r="H154" s="23" t="s">
        <v>260</v>
      </c>
      <c r="I154" s="20" t="s">
        <v>89</v>
      </c>
      <c r="J154" s="20">
        <v>0.0</v>
      </c>
      <c r="K154" s="20">
        <v>0.0</v>
      </c>
      <c r="L154" s="20">
        <v>0.0</v>
      </c>
      <c r="M154" s="20">
        <v>0.0</v>
      </c>
      <c r="N154" s="20">
        <v>0.0</v>
      </c>
      <c r="O154" s="20">
        <v>0.0</v>
      </c>
      <c r="P154" s="20">
        <v>0.0</v>
      </c>
      <c r="Q154" s="20">
        <v>0.0</v>
      </c>
      <c r="R154" s="20">
        <v>0.0</v>
      </c>
      <c r="S154" s="20">
        <v>0.0</v>
      </c>
      <c r="T154" s="20">
        <v>0.0</v>
      </c>
      <c r="U154" s="20">
        <v>0.0</v>
      </c>
    </row>
    <row r="155" ht="23.25" customHeight="1">
      <c r="A155" s="17" t="str">
        <f>IF(COUNTIF('Icon Lookup'!C:C,B155)&gt;0,LOOKUP(B155,'Icon Lookup'!C:C,'Icon Lookup'!B:B),"")</f>
        <v/>
      </c>
      <c r="B155" s="18" t="s">
        <v>225</v>
      </c>
      <c r="C155" s="17"/>
      <c r="D155" s="17">
        <v>27.0</v>
      </c>
      <c r="E155" s="17" t="s">
        <v>26</v>
      </c>
      <c r="G155" s="19"/>
      <c r="H155" s="20" t="s">
        <v>261</v>
      </c>
      <c r="I155" s="17" t="s">
        <v>94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</row>
    <row r="156" ht="23.25" customHeight="1">
      <c r="A156" s="1"/>
      <c r="B156" s="15" t="s">
        <v>262</v>
      </c>
      <c r="C156" s="1" t="s">
        <v>17</v>
      </c>
      <c r="D156" s="1" t="s">
        <v>263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23.25" customHeight="1">
      <c r="A157" s="20" t="str">
        <f>IF(COUNTIF('Icon Lookup'!C:C,B157)&gt;0,LOOKUP(B157,'Icon Lookup'!C:C,'Icon Lookup'!B:B),"")</f>
        <v/>
      </c>
      <c r="B157" s="21" t="s">
        <v>78</v>
      </c>
      <c r="C157" s="20"/>
      <c r="D157" s="20">
        <v>27.0</v>
      </c>
      <c r="E157" s="20" t="s">
        <v>121</v>
      </c>
      <c r="G157" s="22"/>
      <c r="H157" s="23" t="s">
        <v>264</v>
      </c>
      <c r="I157" s="20" t="s">
        <v>265</v>
      </c>
      <c r="J157" s="20">
        <v>0.0</v>
      </c>
      <c r="K157" s="20">
        <v>0.0</v>
      </c>
      <c r="L157" s="20">
        <v>0.0</v>
      </c>
      <c r="M157" s="20">
        <v>0.0</v>
      </c>
      <c r="N157" s="20">
        <v>0.0</v>
      </c>
      <c r="O157" s="20">
        <v>0.0</v>
      </c>
      <c r="P157" s="20">
        <v>0.0</v>
      </c>
      <c r="Q157" s="20">
        <v>0.0</v>
      </c>
      <c r="R157" s="20">
        <v>0.0</v>
      </c>
      <c r="S157" s="20">
        <v>0.0</v>
      </c>
      <c r="T157" s="20">
        <v>0.0</v>
      </c>
      <c r="U157" s="20">
        <v>0.0</v>
      </c>
    </row>
    <row r="158" ht="23.25" customHeight="1">
      <c r="A158" s="17" t="str">
        <f>IF(COUNTIF('Icon Lookup'!C:C,B158)&gt;0,LOOKUP(B158,'Icon Lookup'!C:C,'Icon Lookup'!B:B),"")</f>
        <v/>
      </c>
      <c r="B158" s="18" t="s">
        <v>266</v>
      </c>
      <c r="C158" s="17"/>
      <c r="D158" s="17">
        <v>27.0</v>
      </c>
      <c r="E158" s="17" t="s">
        <v>267</v>
      </c>
      <c r="G158" s="19"/>
      <c r="H158" s="20" t="s">
        <v>268</v>
      </c>
      <c r="I158" s="17" t="s">
        <v>211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0.0</v>
      </c>
      <c r="Q158" s="17">
        <v>0.0</v>
      </c>
      <c r="R158" s="17">
        <v>0.0</v>
      </c>
      <c r="S158" s="17">
        <v>0.0</v>
      </c>
      <c r="T158" s="17">
        <v>0.0</v>
      </c>
      <c r="U158" s="17">
        <v>0.0</v>
      </c>
    </row>
    <row r="159" ht="23.25" customHeight="1">
      <c r="A159" s="1"/>
      <c r="B159" s="15" t="s">
        <v>269</v>
      </c>
      <c r="C159" s="1" t="s">
        <v>17</v>
      </c>
      <c r="D159" s="1" t="s">
        <v>270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23.25" customHeight="1">
      <c r="A160" s="20" t="str">
        <f>IF(COUNTIF('Icon Lookup'!C:C,B160)&gt;0,LOOKUP(B160,'Icon Lookup'!C:C,'Icon Lookup'!B:B),"")</f>
        <v/>
      </c>
      <c r="B160" s="21" t="s">
        <v>271</v>
      </c>
      <c r="C160" s="20"/>
      <c r="D160" s="20">
        <v>26.0</v>
      </c>
      <c r="E160" s="20" t="s">
        <v>44</v>
      </c>
      <c r="G160" s="22"/>
      <c r="H160" s="23" t="s">
        <v>272</v>
      </c>
      <c r="I160" s="20" t="s">
        <v>22</v>
      </c>
      <c r="J160" s="20">
        <v>0.0</v>
      </c>
      <c r="K160" s="20">
        <v>0.0</v>
      </c>
      <c r="L160" s="20">
        <v>0.0</v>
      </c>
      <c r="M160" s="20">
        <v>0.0</v>
      </c>
      <c r="N160" s="20">
        <v>0.0</v>
      </c>
      <c r="O160" s="20">
        <v>0.0</v>
      </c>
      <c r="P160" s="20">
        <v>0.0</v>
      </c>
      <c r="Q160" s="20">
        <v>0.0</v>
      </c>
      <c r="R160" s="20">
        <v>0.0</v>
      </c>
      <c r="S160" s="20">
        <v>0.0</v>
      </c>
      <c r="T160" s="20">
        <v>0.0</v>
      </c>
      <c r="U160" s="20">
        <v>0.0</v>
      </c>
    </row>
    <row r="161" ht="23.25" customHeight="1">
      <c r="A161" s="17" t="str">
        <f>IF(COUNTIF('Icon Lookup'!C:C,B161)&gt;0,LOOKUP(B161,'Icon Lookup'!C:C,'Icon Lookup'!B:B),"")</f>
        <v/>
      </c>
      <c r="B161" s="18" t="s">
        <v>273</v>
      </c>
      <c r="C161" s="17"/>
      <c r="D161" s="17">
        <v>26.0</v>
      </c>
      <c r="E161" s="17" t="s">
        <v>38</v>
      </c>
      <c r="G161" s="19"/>
      <c r="H161" s="20" t="s">
        <v>274</v>
      </c>
      <c r="I161" s="17" t="s">
        <v>52</v>
      </c>
      <c r="J161" s="17">
        <v>0.0</v>
      </c>
      <c r="K161" s="17">
        <v>0.0</v>
      </c>
      <c r="L161" s="17">
        <v>0.0</v>
      </c>
      <c r="M161" s="17">
        <v>0.0</v>
      </c>
      <c r="N161" s="17">
        <v>0.0</v>
      </c>
      <c r="O161" s="17">
        <v>0.0</v>
      </c>
      <c r="P161" s="17">
        <v>0.0</v>
      </c>
      <c r="Q161" s="17">
        <v>0.0</v>
      </c>
      <c r="R161" s="17">
        <v>0.0</v>
      </c>
      <c r="S161" s="17">
        <v>0.0</v>
      </c>
      <c r="T161" s="17">
        <v>0.0</v>
      </c>
      <c r="U161" s="17">
        <v>0.0</v>
      </c>
    </row>
    <row r="162" ht="23.25" customHeight="1">
      <c r="A162" s="20" t="str">
        <f>IF(COUNTIF('Icon Lookup'!C:C,B162)&gt;0,LOOKUP(B162,'Icon Lookup'!C:C,'Icon Lookup'!B:B),"")</f>
        <v/>
      </c>
      <c r="B162" s="21" t="s">
        <v>275</v>
      </c>
      <c r="C162" s="20"/>
      <c r="D162" s="20">
        <v>26.0</v>
      </c>
      <c r="E162" s="20" t="s">
        <v>276</v>
      </c>
      <c r="G162" s="22"/>
      <c r="H162" s="23" t="s">
        <v>277</v>
      </c>
      <c r="I162" s="20" t="s">
        <v>22</v>
      </c>
      <c r="J162" s="20">
        <v>0.0</v>
      </c>
      <c r="K162" s="20">
        <v>0.0</v>
      </c>
      <c r="L162" s="20">
        <v>0.0</v>
      </c>
      <c r="M162" s="20">
        <v>0.0</v>
      </c>
      <c r="N162" s="20">
        <v>0.0</v>
      </c>
      <c r="O162" s="20">
        <v>0.0</v>
      </c>
      <c r="P162" s="20">
        <v>0.0</v>
      </c>
      <c r="Q162" s="20">
        <v>0.0</v>
      </c>
      <c r="R162" s="20">
        <v>0.0</v>
      </c>
      <c r="S162" s="20">
        <v>0.0</v>
      </c>
      <c r="T162" s="20">
        <v>0.0</v>
      </c>
      <c r="U162" s="20">
        <v>0.0</v>
      </c>
    </row>
    <row r="163" ht="23.25" customHeight="1">
      <c r="A163" s="1"/>
      <c r="B163" s="15" t="s">
        <v>278</v>
      </c>
      <c r="C163" s="1" t="s">
        <v>17</v>
      </c>
      <c r="D163" s="1" t="s">
        <v>279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23.25" customHeight="1">
      <c r="A164" s="17" t="str">
        <f>IF(COUNTIF('Icon Lookup'!C:C,B164)&gt;0,LOOKUP(B164,'Icon Lookup'!C:C,'Icon Lookup'!B:B),"")</f>
        <v/>
      </c>
      <c r="B164" s="18" t="s">
        <v>275</v>
      </c>
      <c r="C164" s="17"/>
      <c r="D164" s="17">
        <v>29.0</v>
      </c>
      <c r="E164" s="17" t="s">
        <v>91</v>
      </c>
      <c r="G164" s="19"/>
      <c r="H164" s="20" t="s">
        <v>232</v>
      </c>
      <c r="I164" s="17" t="s">
        <v>89</v>
      </c>
      <c r="J164" s="17">
        <v>0.0</v>
      </c>
      <c r="K164" s="17">
        <v>0.0</v>
      </c>
      <c r="L164" s="17">
        <v>0.0</v>
      </c>
      <c r="M164" s="17">
        <v>0.0</v>
      </c>
      <c r="N164" s="17">
        <v>0.0</v>
      </c>
      <c r="O164" s="17">
        <v>0.0</v>
      </c>
      <c r="P164" s="17">
        <v>0.0</v>
      </c>
      <c r="Q164" s="17">
        <v>0.0</v>
      </c>
      <c r="R164" s="17">
        <v>0.0</v>
      </c>
      <c r="S164" s="17">
        <v>0.0</v>
      </c>
      <c r="T164" s="17">
        <v>0.0</v>
      </c>
      <c r="U164" s="17">
        <v>0.0</v>
      </c>
    </row>
    <row r="165" ht="23.25" customHeight="1">
      <c r="A165" s="1"/>
      <c r="B165" s="15" t="s">
        <v>280</v>
      </c>
      <c r="C165" s="1" t="s">
        <v>17</v>
      </c>
      <c r="D165" s="1" t="s">
        <v>281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23.25" customHeight="1">
      <c r="A166" s="20" t="str">
        <f>IF(COUNTIF('Icon Lookup'!C:C,B166)&gt;0,LOOKUP(B166,'Icon Lookup'!C:C,'Icon Lookup'!B:B),"")</f>
        <v/>
      </c>
      <c r="B166" s="21" t="s">
        <v>37</v>
      </c>
      <c r="C166" s="20"/>
      <c r="D166" s="20">
        <v>23.0</v>
      </c>
      <c r="E166" s="20" t="s">
        <v>38</v>
      </c>
      <c r="G166" s="22"/>
      <c r="H166" s="23" t="s">
        <v>127</v>
      </c>
      <c r="I166" s="20" t="s">
        <v>40</v>
      </c>
      <c r="J166" s="20">
        <v>0.0</v>
      </c>
      <c r="K166" s="20">
        <v>0.0</v>
      </c>
      <c r="L166" s="20">
        <v>0.0</v>
      </c>
      <c r="M166" s="20">
        <v>0.0</v>
      </c>
      <c r="N166" s="20">
        <v>0.0</v>
      </c>
      <c r="O166" s="20">
        <v>0.0</v>
      </c>
      <c r="P166" s="20">
        <v>0.0</v>
      </c>
      <c r="Q166" s="20">
        <v>0.0</v>
      </c>
      <c r="R166" s="20">
        <v>0.0</v>
      </c>
      <c r="S166" s="20">
        <v>0.0</v>
      </c>
      <c r="T166" s="20">
        <v>0.0</v>
      </c>
      <c r="U166" s="20">
        <v>0.0</v>
      </c>
    </row>
    <row r="167" ht="23.25" customHeight="1">
      <c r="A167" s="17" t="str">
        <f>IF(COUNTIF('Icon Lookup'!C:C,B167)&gt;0,LOOKUP(B167,'Icon Lookup'!C:C,'Icon Lookup'!B:B),"")</f>
        <v/>
      </c>
      <c r="B167" s="18" t="s">
        <v>282</v>
      </c>
      <c r="C167" s="17"/>
      <c r="D167" s="17">
        <v>25.0</v>
      </c>
      <c r="E167" s="17" t="s">
        <v>283</v>
      </c>
      <c r="G167" s="19"/>
      <c r="H167" s="20" t="s">
        <v>284</v>
      </c>
      <c r="I167" s="17" t="s">
        <v>46</v>
      </c>
      <c r="J167" s="17">
        <v>0.0</v>
      </c>
      <c r="K167" s="17">
        <v>0.0</v>
      </c>
      <c r="L167" s="17">
        <v>0.0</v>
      </c>
      <c r="M167" s="17">
        <v>0.0</v>
      </c>
      <c r="N167" s="17">
        <v>0.0</v>
      </c>
      <c r="O167" s="17">
        <v>0.0</v>
      </c>
      <c r="P167" s="17">
        <v>0.0</v>
      </c>
      <c r="Q167" s="17">
        <v>0.0</v>
      </c>
      <c r="R167" s="17">
        <v>0.0</v>
      </c>
      <c r="S167" s="17">
        <v>0.0</v>
      </c>
      <c r="T167" s="17">
        <v>0.0</v>
      </c>
      <c r="U167" s="17">
        <v>0.0</v>
      </c>
    </row>
    <row r="168" ht="23.25" customHeight="1">
      <c r="A168" s="20" t="str">
        <f>IF(COUNTIF('Icon Lookup'!C:C,B168)&gt;0,LOOKUP(B168,'Icon Lookup'!C:C,'Icon Lookup'!B:B),"")</f>
        <v/>
      </c>
      <c r="B168" s="21" t="s">
        <v>37</v>
      </c>
      <c r="C168" s="20"/>
      <c r="D168" s="20">
        <v>23.0</v>
      </c>
      <c r="E168" s="20" t="s">
        <v>38</v>
      </c>
      <c r="G168" s="22"/>
      <c r="H168" s="23" t="s">
        <v>127</v>
      </c>
      <c r="I168" s="20" t="s">
        <v>40</v>
      </c>
      <c r="J168" s="20">
        <v>0.0</v>
      </c>
      <c r="K168" s="20">
        <v>0.0</v>
      </c>
      <c r="L168" s="20">
        <v>0.0</v>
      </c>
      <c r="M168" s="20">
        <v>0.0</v>
      </c>
      <c r="N168" s="20">
        <v>0.0</v>
      </c>
      <c r="O168" s="20">
        <v>0.0</v>
      </c>
      <c r="P168" s="20">
        <v>0.0</v>
      </c>
      <c r="Q168" s="20">
        <v>0.0</v>
      </c>
      <c r="R168" s="20">
        <v>0.0</v>
      </c>
      <c r="S168" s="20">
        <v>0.0</v>
      </c>
      <c r="T168" s="20">
        <v>0.0</v>
      </c>
      <c r="U168" s="20">
        <v>0.0</v>
      </c>
    </row>
    <row r="169" ht="23.25" customHeight="1">
      <c r="A169" s="17" t="str">
        <f>IF(COUNTIF('Icon Lookup'!C:C,B169)&gt;0,LOOKUP(B169,'Icon Lookup'!C:C,'Icon Lookup'!B:B),"")</f>
        <v/>
      </c>
      <c r="B169" s="18" t="s">
        <v>174</v>
      </c>
      <c r="C169" s="17"/>
      <c r="D169" s="17">
        <v>25.0</v>
      </c>
      <c r="E169" s="17" t="s">
        <v>38</v>
      </c>
      <c r="G169" s="19"/>
      <c r="H169" s="20" t="s">
        <v>285</v>
      </c>
      <c r="I169" s="17" t="s">
        <v>40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</row>
    <row r="170" ht="23.25" customHeight="1">
      <c r="A170" s="1"/>
      <c r="B170" s="15" t="s">
        <v>286</v>
      </c>
      <c r="C170" s="1" t="s">
        <v>17</v>
      </c>
      <c r="D170" s="1" t="s">
        <v>287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23.25" customHeight="1">
      <c r="A171" s="20" t="str">
        <f>IF(COUNTIF('Icon Lookup'!C:C,B171)&gt;0,LOOKUP(B171,'Icon Lookup'!C:C,'Icon Lookup'!B:B),"")</f>
        <v/>
      </c>
      <c r="B171" s="21" t="s">
        <v>288</v>
      </c>
      <c r="C171" s="20"/>
      <c r="D171" s="20">
        <v>25.0</v>
      </c>
      <c r="E171" s="20" t="s">
        <v>289</v>
      </c>
      <c r="G171" s="22"/>
      <c r="H171" s="23" t="s">
        <v>290</v>
      </c>
      <c r="I171" s="20" t="s">
        <v>36</v>
      </c>
      <c r="J171" s="20">
        <v>0.0</v>
      </c>
      <c r="K171" s="20">
        <v>0.0</v>
      </c>
      <c r="L171" s="20">
        <v>0.0</v>
      </c>
      <c r="M171" s="20">
        <v>0.0</v>
      </c>
      <c r="N171" s="20">
        <v>0.0</v>
      </c>
      <c r="O171" s="20">
        <v>0.0</v>
      </c>
      <c r="P171" s="20">
        <v>0.0</v>
      </c>
      <c r="Q171" s="20">
        <v>0.0</v>
      </c>
      <c r="R171" s="20">
        <v>0.0</v>
      </c>
      <c r="S171" s="20">
        <v>0.0</v>
      </c>
      <c r="T171" s="20">
        <v>0.0</v>
      </c>
      <c r="U171" s="20">
        <v>0.0</v>
      </c>
    </row>
    <row r="172" ht="23.25" customHeight="1">
      <c r="A172" s="17" t="str">
        <f>IF(COUNTIF('Icon Lookup'!C:C,B172)&gt;0,LOOKUP(B172,'Icon Lookup'!C:C,'Icon Lookup'!B:B),"")</f>
        <v/>
      </c>
      <c r="B172" s="18" t="s">
        <v>174</v>
      </c>
      <c r="C172" s="17"/>
      <c r="D172" s="17">
        <v>25.0</v>
      </c>
      <c r="E172" s="17" t="s">
        <v>38</v>
      </c>
      <c r="G172" s="19"/>
      <c r="H172" s="20" t="s">
        <v>127</v>
      </c>
      <c r="I172" s="17" t="s">
        <v>40</v>
      </c>
      <c r="J172" s="17">
        <v>0.0</v>
      </c>
      <c r="K172" s="17">
        <v>0.0</v>
      </c>
      <c r="L172" s="17">
        <v>0.0</v>
      </c>
      <c r="M172" s="17">
        <v>0.0</v>
      </c>
      <c r="N172" s="17">
        <v>0.0</v>
      </c>
      <c r="O172" s="17">
        <v>0.0</v>
      </c>
      <c r="P172" s="17">
        <v>0.0</v>
      </c>
      <c r="Q172" s="17">
        <v>0.0</v>
      </c>
      <c r="R172" s="17">
        <v>0.0</v>
      </c>
      <c r="S172" s="17">
        <v>0.0</v>
      </c>
      <c r="T172" s="17">
        <v>0.0</v>
      </c>
      <c r="U172" s="17">
        <v>0.0</v>
      </c>
    </row>
    <row r="173" ht="23.25" customHeight="1">
      <c r="A173" s="1"/>
      <c r="B173" s="15" t="s">
        <v>291</v>
      </c>
      <c r="C173" s="1" t="s">
        <v>17</v>
      </c>
      <c r="D173" s="1" t="s">
        <v>292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23.25" customHeight="1">
      <c r="A174" s="20" t="str">
        <f>IF(COUNTIF('Icon Lookup'!C:C,B174)&gt;0,LOOKUP(B174,'Icon Lookup'!C:C,'Icon Lookup'!B:B),"")</f>
        <v/>
      </c>
      <c r="B174" s="21" t="s">
        <v>293</v>
      </c>
      <c r="C174" s="20"/>
      <c r="D174" s="20">
        <v>27.0</v>
      </c>
      <c r="E174" s="20" t="s">
        <v>61</v>
      </c>
      <c r="G174" s="22"/>
      <c r="H174" s="23" t="s">
        <v>294</v>
      </c>
      <c r="I174" s="20" t="s">
        <v>40</v>
      </c>
      <c r="J174" s="20">
        <v>0.0</v>
      </c>
      <c r="K174" s="20">
        <v>0.0</v>
      </c>
      <c r="L174" s="20">
        <v>0.0</v>
      </c>
      <c r="M174" s="20">
        <v>0.0</v>
      </c>
      <c r="N174" s="20">
        <v>0.0</v>
      </c>
      <c r="O174" s="20">
        <v>0.0</v>
      </c>
      <c r="P174" s="20">
        <v>0.0</v>
      </c>
      <c r="Q174" s="20">
        <v>0.0</v>
      </c>
      <c r="R174" s="20">
        <v>0.0</v>
      </c>
      <c r="S174" s="20">
        <v>0.0</v>
      </c>
      <c r="T174" s="20">
        <v>0.0</v>
      </c>
      <c r="U174" s="20">
        <v>0.0</v>
      </c>
    </row>
    <row r="175" ht="23.25" customHeight="1">
      <c r="A175" s="1"/>
      <c r="B175" s="15" t="s">
        <v>295</v>
      </c>
      <c r="C175" s="1" t="s">
        <v>17</v>
      </c>
      <c r="D175" s="1" t="s">
        <v>296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23.25" customHeight="1">
      <c r="A176" s="17" t="str">
        <f>IF(COUNTIF('Icon Lookup'!C:C,B176)&gt;0,LOOKUP(B176,'Icon Lookup'!C:C,'Icon Lookup'!B:B),"")</f>
        <v/>
      </c>
      <c r="B176" s="18" t="s">
        <v>297</v>
      </c>
      <c r="C176" s="17"/>
      <c r="D176" s="17">
        <v>39.0</v>
      </c>
      <c r="E176" s="17" t="s">
        <v>298</v>
      </c>
      <c r="G176" s="19"/>
      <c r="H176" s="20" t="s">
        <v>299</v>
      </c>
      <c r="I176" s="17" t="s">
        <v>22</v>
      </c>
      <c r="J176" s="17">
        <v>0.0</v>
      </c>
      <c r="K176" s="17">
        <v>0.0</v>
      </c>
      <c r="L176" s="17">
        <v>0.0</v>
      </c>
      <c r="M176" s="17">
        <v>0.0</v>
      </c>
      <c r="N176" s="17">
        <v>0.0</v>
      </c>
      <c r="O176" s="17">
        <v>0.0</v>
      </c>
      <c r="P176" s="17">
        <v>0.0</v>
      </c>
      <c r="Q176" s="17">
        <v>0.0</v>
      </c>
      <c r="R176" s="17">
        <v>0.0</v>
      </c>
      <c r="S176" s="17">
        <v>0.0</v>
      </c>
      <c r="T176" s="17">
        <v>0.0</v>
      </c>
      <c r="U176" s="17">
        <v>0.0</v>
      </c>
    </row>
    <row r="177" ht="23.25" customHeight="1">
      <c r="A177" s="1"/>
      <c r="B177" s="15" t="s">
        <v>300</v>
      </c>
      <c r="C177" s="1" t="s">
        <v>17</v>
      </c>
      <c r="D177" s="1" t="s">
        <v>301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23.25" customHeight="1">
      <c r="A178" s="20" t="str">
        <f>IF(COUNTIF('Icon Lookup'!C:C,B178)&gt;0,LOOKUP(B178,'Icon Lookup'!C:C,'Icon Lookup'!B:B),"")</f>
        <v/>
      </c>
      <c r="B178" s="21" t="s">
        <v>302</v>
      </c>
      <c r="C178" s="20"/>
      <c r="D178" s="20">
        <v>27.0</v>
      </c>
      <c r="E178" s="20" t="s">
        <v>20</v>
      </c>
      <c r="G178" s="22"/>
      <c r="H178" s="23" t="s">
        <v>303</v>
      </c>
      <c r="I178" s="20" t="s">
        <v>52</v>
      </c>
      <c r="J178" s="20">
        <v>0.0</v>
      </c>
      <c r="K178" s="20">
        <v>0.0</v>
      </c>
      <c r="L178" s="20">
        <v>0.0</v>
      </c>
      <c r="M178" s="20">
        <v>0.0</v>
      </c>
      <c r="N178" s="20">
        <v>0.0</v>
      </c>
      <c r="O178" s="20">
        <v>0.0</v>
      </c>
      <c r="P178" s="20">
        <v>0.0</v>
      </c>
      <c r="Q178" s="20">
        <v>0.0</v>
      </c>
      <c r="R178" s="20">
        <v>0.0</v>
      </c>
      <c r="S178" s="20">
        <v>0.0</v>
      </c>
      <c r="T178" s="20">
        <v>0.0</v>
      </c>
      <c r="U178" s="20">
        <v>0.0</v>
      </c>
    </row>
    <row r="179" ht="23.25" customHeight="1">
      <c r="A179" s="17" t="str">
        <f>IF(COUNTIF('Icon Lookup'!C:C,B179)&gt;0,LOOKUP(B179,'Icon Lookup'!C:C,'Icon Lookup'!B:B),"")</f>
        <v/>
      </c>
      <c r="B179" s="18" t="s">
        <v>304</v>
      </c>
      <c r="C179" s="17"/>
      <c r="D179" s="17">
        <v>27.0</v>
      </c>
      <c r="E179" s="17" t="s">
        <v>20</v>
      </c>
      <c r="G179" s="19"/>
      <c r="H179" s="20" t="s">
        <v>305</v>
      </c>
      <c r="I179" s="17" t="s">
        <v>22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</row>
    <row r="180" ht="23.25" customHeight="1">
      <c r="A180" s="1"/>
      <c r="B180" s="15" t="s">
        <v>306</v>
      </c>
      <c r="C180" s="1" t="s">
        <v>17</v>
      </c>
      <c r="D180" s="1" t="s">
        <v>307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23.25" customHeight="1">
      <c r="A181" s="20" t="str">
        <f>IF(COUNTIF('Icon Lookup'!C:C,B181)&gt;0,LOOKUP(B181,'Icon Lookup'!C:C,'Icon Lookup'!B:B),"")</f>
        <v/>
      </c>
      <c r="B181" s="21" t="s">
        <v>190</v>
      </c>
      <c r="C181" s="20"/>
      <c r="D181" s="20">
        <v>27.0</v>
      </c>
      <c r="E181" s="20" t="s">
        <v>26</v>
      </c>
      <c r="G181" s="22"/>
      <c r="H181" s="23" t="s">
        <v>308</v>
      </c>
      <c r="I181" s="20" t="s">
        <v>156</v>
      </c>
      <c r="J181" s="20">
        <v>0.0</v>
      </c>
      <c r="K181" s="20">
        <v>0.0</v>
      </c>
      <c r="L181" s="20">
        <v>0.0</v>
      </c>
      <c r="M181" s="20">
        <v>0.0</v>
      </c>
      <c r="N181" s="20">
        <v>0.0</v>
      </c>
      <c r="O181" s="20">
        <v>0.0</v>
      </c>
      <c r="P181" s="20">
        <v>0.0</v>
      </c>
      <c r="Q181" s="20">
        <v>0.0</v>
      </c>
      <c r="R181" s="20">
        <v>0.0</v>
      </c>
      <c r="S181" s="20">
        <v>0.0</v>
      </c>
      <c r="T181" s="20">
        <v>0.0</v>
      </c>
      <c r="U181" s="20">
        <v>0.0</v>
      </c>
    </row>
    <row r="182" ht="23.25" customHeight="1">
      <c r="A182" s="1"/>
      <c r="B182" s="15" t="s">
        <v>309</v>
      </c>
      <c r="C182" s="1" t="s">
        <v>17</v>
      </c>
      <c r="D182" s="1" t="s">
        <v>310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23.25" customHeight="1">
      <c r="A183" s="17" t="str">
        <f>IF(COUNTIF('Icon Lookup'!C:C,B183)&gt;0,LOOKUP(B183,'Icon Lookup'!C:C,'Icon Lookup'!B:B),"")</f>
        <v/>
      </c>
      <c r="B183" s="18" t="s">
        <v>311</v>
      </c>
      <c r="C183" s="17"/>
      <c r="D183" s="17">
        <v>27.0</v>
      </c>
      <c r="E183" s="17" t="s">
        <v>137</v>
      </c>
      <c r="G183" s="19"/>
      <c r="H183" s="20" t="s">
        <v>312</v>
      </c>
      <c r="I183" s="17" t="s">
        <v>156</v>
      </c>
      <c r="J183" s="17">
        <v>0.0</v>
      </c>
      <c r="K183" s="17">
        <v>0.0</v>
      </c>
      <c r="L183" s="17">
        <v>0.0</v>
      </c>
      <c r="M183" s="17">
        <v>0.0</v>
      </c>
      <c r="N183" s="17">
        <v>0.0</v>
      </c>
      <c r="O183" s="17">
        <v>0.0</v>
      </c>
      <c r="P183" s="17">
        <v>0.0</v>
      </c>
      <c r="Q183" s="17">
        <v>0.0</v>
      </c>
      <c r="R183" s="17">
        <v>0.0</v>
      </c>
      <c r="S183" s="17">
        <v>0.0</v>
      </c>
      <c r="T183" s="17">
        <v>0.0</v>
      </c>
      <c r="U183" s="17">
        <v>0.0</v>
      </c>
    </row>
    <row r="184" ht="23.25" customHeight="1">
      <c r="A184" s="1"/>
      <c r="B184" s="15" t="s">
        <v>313</v>
      </c>
      <c r="C184" s="1" t="s">
        <v>17</v>
      </c>
      <c r="D184" s="1" t="s">
        <v>314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23.25" customHeight="1">
      <c r="A185" s="20" t="str">
        <f>IF(COUNTIF('Icon Lookup'!C:C,B185)&gt;0,LOOKUP(B185,'Icon Lookup'!C:C,'Icon Lookup'!B:B),"")</f>
        <v/>
      </c>
      <c r="B185" s="21" t="s">
        <v>302</v>
      </c>
      <c r="C185" s="20"/>
      <c r="D185" s="20">
        <v>19.0</v>
      </c>
      <c r="E185" s="20" t="s">
        <v>20</v>
      </c>
      <c r="G185" s="22"/>
      <c r="H185" s="23" t="s">
        <v>315</v>
      </c>
      <c r="I185" s="20" t="s">
        <v>105</v>
      </c>
      <c r="J185" s="20">
        <v>0.0</v>
      </c>
      <c r="K185" s="20">
        <v>0.0</v>
      </c>
      <c r="L185" s="20">
        <v>0.0</v>
      </c>
      <c r="M185" s="20">
        <v>0.0</v>
      </c>
      <c r="N185" s="20">
        <v>0.0</v>
      </c>
      <c r="O185" s="20">
        <v>0.0</v>
      </c>
      <c r="P185" s="20">
        <v>0.0</v>
      </c>
      <c r="Q185" s="20">
        <v>0.0</v>
      </c>
      <c r="R185" s="20">
        <v>0.0</v>
      </c>
      <c r="S185" s="20">
        <v>0.0</v>
      </c>
      <c r="T185" s="20">
        <v>0.0</v>
      </c>
      <c r="U185" s="20">
        <v>0.0</v>
      </c>
    </row>
    <row r="186" ht="23.25" customHeight="1">
      <c r="A186" s="1"/>
      <c r="B186" s="15" t="s">
        <v>316</v>
      </c>
      <c r="C186" s="1" t="s">
        <v>17</v>
      </c>
      <c r="D186" s="1" t="s">
        <v>317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23.25" customHeight="1">
      <c r="A187" s="17" t="str">
        <f>IF(COUNTIF('Icon Lookup'!C:C,B187)&gt;0,LOOKUP(B187,'Icon Lookup'!C:C,'Icon Lookup'!B:B),"")</f>
        <v/>
      </c>
      <c r="B187" s="18" t="s">
        <v>37</v>
      </c>
      <c r="C187" s="17"/>
      <c r="D187" s="17">
        <v>13.0</v>
      </c>
      <c r="E187" s="17" t="s">
        <v>38</v>
      </c>
      <c r="G187" s="19"/>
      <c r="H187" s="20" t="s">
        <v>318</v>
      </c>
      <c r="I187" s="17" t="s">
        <v>22</v>
      </c>
      <c r="J187" s="17">
        <v>0.0</v>
      </c>
      <c r="K187" s="17">
        <v>0.0</v>
      </c>
      <c r="L187" s="17">
        <v>0.0</v>
      </c>
      <c r="M187" s="17">
        <v>0.0</v>
      </c>
      <c r="N187" s="17">
        <v>0.0</v>
      </c>
      <c r="O187" s="17">
        <v>0.0</v>
      </c>
      <c r="P187" s="17">
        <v>0.0</v>
      </c>
      <c r="Q187" s="17">
        <v>0.0</v>
      </c>
      <c r="R187" s="17">
        <v>0.0</v>
      </c>
      <c r="S187" s="17">
        <v>0.0</v>
      </c>
      <c r="T187" s="17">
        <v>0.0</v>
      </c>
      <c r="U187" s="17">
        <v>0.0</v>
      </c>
    </row>
    <row r="188" ht="23.25" customHeight="1">
      <c r="A188" s="20" t="str">
        <f>IF(COUNTIF('Icon Lookup'!C:C,B188)&gt;0,LOOKUP(B188,'Icon Lookup'!C:C,'Icon Lookup'!B:B),"")</f>
        <v/>
      </c>
      <c r="B188" s="21" t="s">
        <v>37</v>
      </c>
      <c r="C188" s="20"/>
      <c r="D188" s="20">
        <v>14.0</v>
      </c>
      <c r="E188" s="20" t="s">
        <v>38</v>
      </c>
      <c r="G188" s="22"/>
      <c r="H188" s="23" t="s">
        <v>318</v>
      </c>
      <c r="I188" s="20" t="s">
        <v>22</v>
      </c>
      <c r="J188" s="20">
        <v>0.0</v>
      </c>
      <c r="K188" s="20">
        <v>0.0</v>
      </c>
      <c r="L188" s="20">
        <v>0.0</v>
      </c>
      <c r="M188" s="20">
        <v>0.0</v>
      </c>
      <c r="N188" s="20">
        <v>0.0</v>
      </c>
      <c r="O188" s="20">
        <v>0.0</v>
      </c>
      <c r="P188" s="20">
        <v>0.0</v>
      </c>
      <c r="Q188" s="20">
        <v>0.0</v>
      </c>
      <c r="R188" s="20">
        <v>0.0</v>
      </c>
      <c r="S188" s="20">
        <v>0.0</v>
      </c>
      <c r="T188" s="20">
        <v>0.0</v>
      </c>
      <c r="U188" s="20">
        <v>0.0</v>
      </c>
    </row>
    <row r="189" ht="23.25" customHeight="1">
      <c r="A189" s="17" t="str">
        <f>IF(COUNTIF('Icon Lookup'!C:C,B189)&gt;0,LOOKUP(B189,'Icon Lookup'!C:C,'Icon Lookup'!B:B),"")</f>
        <v/>
      </c>
      <c r="B189" s="18" t="s">
        <v>37</v>
      </c>
      <c r="C189" s="17"/>
      <c r="D189" s="17">
        <v>15.0</v>
      </c>
      <c r="E189" s="17" t="s">
        <v>38</v>
      </c>
      <c r="G189" s="19"/>
      <c r="H189" s="20" t="s">
        <v>319</v>
      </c>
      <c r="I189" s="17" t="s">
        <v>52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</row>
    <row r="190" ht="23.25" customHeight="1">
      <c r="A190" s="1"/>
      <c r="B190" s="15" t="s">
        <v>320</v>
      </c>
      <c r="C190" s="1" t="s">
        <v>17</v>
      </c>
      <c r="D190" s="1" t="s">
        <v>321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23.25" customHeight="1">
      <c r="A191" s="20" t="str">
        <f>IF(COUNTIF('Icon Lookup'!C:C,B191)&gt;0,LOOKUP(B191,'Icon Lookup'!C:C,'Icon Lookup'!B:B),"")</f>
        <v/>
      </c>
      <c r="B191" s="21" t="s">
        <v>288</v>
      </c>
      <c r="C191" s="20"/>
      <c r="D191" s="20">
        <v>28.0</v>
      </c>
      <c r="E191" s="20" t="s">
        <v>289</v>
      </c>
      <c r="G191" s="22"/>
      <c r="H191" s="23" t="s">
        <v>322</v>
      </c>
      <c r="I191" s="20" t="s">
        <v>94</v>
      </c>
      <c r="J191" s="20">
        <v>0.0</v>
      </c>
      <c r="K191" s="20">
        <v>0.0</v>
      </c>
      <c r="L191" s="20">
        <v>0.0</v>
      </c>
      <c r="M191" s="20">
        <v>0.0</v>
      </c>
      <c r="N191" s="20">
        <v>0.0</v>
      </c>
      <c r="O191" s="20">
        <v>0.0</v>
      </c>
      <c r="P191" s="20">
        <v>0.0</v>
      </c>
      <c r="Q191" s="20">
        <v>0.0</v>
      </c>
      <c r="R191" s="20">
        <v>0.0</v>
      </c>
      <c r="S191" s="20">
        <v>0.0</v>
      </c>
      <c r="T191" s="20">
        <v>0.0</v>
      </c>
      <c r="U191" s="20">
        <v>0.0</v>
      </c>
    </row>
    <row r="192" ht="23.25" customHeight="1">
      <c r="A192" s="17" t="str">
        <f>IF(COUNTIF('Icon Lookup'!C:C,B192)&gt;0,LOOKUP(B192,'Icon Lookup'!C:C,'Icon Lookup'!B:B),"")</f>
        <v/>
      </c>
      <c r="B192" s="18" t="s">
        <v>165</v>
      </c>
      <c r="C192" s="17"/>
      <c r="D192" s="17">
        <v>27.0</v>
      </c>
      <c r="E192" s="17" t="s">
        <v>166</v>
      </c>
      <c r="G192" s="19"/>
      <c r="H192" s="20" t="s">
        <v>323</v>
      </c>
      <c r="I192" s="17" t="s">
        <v>94</v>
      </c>
      <c r="J192" s="17">
        <v>0.0</v>
      </c>
      <c r="K192" s="17">
        <v>0.0</v>
      </c>
      <c r="L192" s="17">
        <v>0.0</v>
      </c>
      <c r="M192" s="17">
        <v>0.0</v>
      </c>
      <c r="N192" s="17">
        <v>0.0</v>
      </c>
      <c r="O192" s="17">
        <v>0.0</v>
      </c>
      <c r="P192" s="17">
        <v>0.0</v>
      </c>
      <c r="Q192" s="17">
        <v>0.0</v>
      </c>
      <c r="R192" s="17">
        <v>0.0</v>
      </c>
      <c r="S192" s="17">
        <v>0.0</v>
      </c>
      <c r="T192" s="17">
        <v>0.0</v>
      </c>
      <c r="U192" s="17">
        <v>0.0</v>
      </c>
    </row>
    <row r="193" ht="23.25" customHeight="1">
      <c r="A193" s="20" t="str">
        <f>IF(COUNTIF('Icon Lookup'!C:C,B193)&gt;0,LOOKUP(B193,'Icon Lookup'!C:C,'Icon Lookup'!B:B),"")</f>
        <v/>
      </c>
      <c r="B193" s="21" t="s">
        <v>275</v>
      </c>
      <c r="C193" s="20"/>
      <c r="D193" s="20">
        <v>29.0</v>
      </c>
      <c r="E193" s="20" t="s">
        <v>91</v>
      </c>
      <c r="G193" s="22"/>
      <c r="H193" s="23" t="s">
        <v>324</v>
      </c>
      <c r="I193" s="20" t="s">
        <v>89</v>
      </c>
      <c r="J193" s="20">
        <v>0.0</v>
      </c>
      <c r="K193" s="20">
        <v>0.0</v>
      </c>
      <c r="L193" s="20">
        <v>0.0</v>
      </c>
      <c r="M193" s="20">
        <v>0.0</v>
      </c>
      <c r="N193" s="20">
        <v>0.0</v>
      </c>
      <c r="O193" s="20">
        <v>0.0</v>
      </c>
      <c r="P193" s="20">
        <v>0.0</v>
      </c>
      <c r="Q193" s="20">
        <v>0.0</v>
      </c>
      <c r="R193" s="20">
        <v>0.0</v>
      </c>
      <c r="S193" s="20">
        <v>0.0</v>
      </c>
      <c r="T193" s="20">
        <v>0.0</v>
      </c>
      <c r="U193" s="20">
        <v>0.0</v>
      </c>
    </row>
    <row r="194" ht="23.25" customHeight="1">
      <c r="A194" s="1"/>
      <c r="B194" s="15" t="s">
        <v>325</v>
      </c>
      <c r="C194" s="1" t="s">
        <v>17</v>
      </c>
      <c r="D194" s="1" t="s">
        <v>326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23.25" customHeight="1">
      <c r="A195" s="17" t="str">
        <f>IF(COUNTIF('Icon Lookup'!C:C,B195)&gt;0,LOOKUP(B195,'Icon Lookup'!C:C,'Icon Lookup'!B:B),"")</f>
        <v/>
      </c>
      <c r="B195" s="18" t="s">
        <v>282</v>
      </c>
      <c r="C195" s="17"/>
      <c r="D195" s="17">
        <v>27.0</v>
      </c>
      <c r="E195" s="17" t="s">
        <v>283</v>
      </c>
      <c r="G195" s="19"/>
      <c r="H195" s="20" t="s">
        <v>327</v>
      </c>
      <c r="I195" s="17" t="s">
        <v>46</v>
      </c>
      <c r="J195" s="17">
        <v>0.0</v>
      </c>
      <c r="K195" s="17">
        <v>0.0</v>
      </c>
      <c r="L195" s="17">
        <v>0.0</v>
      </c>
      <c r="M195" s="17">
        <v>0.0</v>
      </c>
      <c r="N195" s="17">
        <v>0.0</v>
      </c>
      <c r="O195" s="17">
        <v>0.0</v>
      </c>
      <c r="P195" s="17">
        <v>0.0</v>
      </c>
      <c r="Q195" s="17">
        <v>0.0</v>
      </c>
      <c r="R195" s="17">
        <v>0.0</v>
      </c>
      <c r="S195" s="17">
        <v>0.0</v>
      </c>
      <c r="T195" s="17">
        <v>0.0</v>
      </c>
      <c r="U195" s="17">
        <v>0.0</v>
      </c>
    </row>
    <row r="196" ht="23.25" customHeight="1">
      <c r="A196" s="20" t="str">
        <f>IF(COUNTIF('Icon Lookup'!C:C,B196)&gt;0,LOOKUP(B196,'Icon Lookup'!C:C,'Icon Lookup'!B:B),"")</f>
        <v/>
      </c>
      <c r="B196" s="21" t="s">
        <v>174</v>
      </c>
      <c r="C196" s="20"/>
      <c r="D196" s="20">
        <v>27.0</v>
      </c>
      <c r="E196" s="20" t="s">
        <v>38</v>
      </c>
      <c r="G196" s="22"/>
      <c r="H196" s="23" t="s">
        <v>328</v>
      </c>
      <c r="I196" s="20" t="s">
        <v>40</v>
      </c>
      <c r="J196" s="20">
        <v>0.0</v>
      </c>
      <c r="K196" s="20">
        <v>0.0</v>
      </c>
      <c r="L196" s="20">
        <v>0.0</v>
      </c>
      <c r="M196" s="20">
        <v>0.0</v>
      </c>
      <c r="N196" s="20">
        <v>0.0</v>
      </c>
      <c r="O196" s="20">
        <v>0.0</v>
      </c>
      <c r="P196" s="20">
        <v>0.0</v>
      </c>
      <c r="Q196" s="20">
        <v>0.0</v>
      </c>
      <c r="R196" s="20">
        <v>0.0</v>
      </c>
      <c r="S196" s="20">
        <v>0.0</v>
      </c>
      <c r="T196" s="20">
        <v>0.0</v>
      </c>
      <c r="U196" s="20">
        <v>0.0</v>
      </c>
    </row>
    <row r="197" ht="23.25" customHeight="1">
      <c r="A197" s="1"/>
      <c r="B197" s="15" t="s">
        <v>329</v>
      </c>
      <c r="C197" s="1" t="s">
        <v>17</v>
      </c>
      <c r="D197" s="1" t="s">
        <v>330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23.25" customHeight="1">
      <c r="A198" s="17" t="str">
        <f>IF(COUNTIF('Icon Lookup'!C:C,B198)&gt;0,LOOKUP(B198,'Icon Lookup'!C:C,'Icon Lookup'!B:B),"")</f>
        <v/>
      </c>
      <c r="B198" s="18" t="s">
        <v>304</v>
      </c>
      <c r="C198" s="17"/>
      <c r="D198" s="17">
        <v>31.0</v>
      </c>
      <c r="E198" s="17" t="s">
        <v>20</v>
      </c>
      <c r="G198" s="19"/>
      <c r="H198" s="20" t="s">
        <v>331</v>
      </c>
      <c r="I198" s="17" t="s">
        <v>105</v>
      </c>
      <c r="J198" s="17">
        <v>0.0</v>
      </c>
      <c r="K198" s="17">
        <v>0.0</v>
      </c>
      <c r="L198" s="17">
        <v>0.0</v>
      </c>
      <c r="M198" s="17">
        <v>0.0</v>
      </c>
      <c r="N198" s="17">
        <v>0.0</v>
      </c>
      <c r="O198" s="17">
        <v>0.0</v>
      </c>
      <c r="P198" s="17">
        <v>0.0</v>
      </c>
      <c r="Q198" s="17">
        <v>0.0</v>
      </c>
      <c r="R198" s="17">
        <v>0.0</v>
      </c>
      <c r="S198" s="17">
        <v>0.0</v>
      </c>
      <c r="T198" s="17">
        <v>0.0</v>
      </c>
      <c r="U198" s="17">
        <v>0.0</v>
      </c>
    </row>
    <row r="199" ht="23.25" customHeight="1">
      <c r="A199" s="1"/>
      <c r="B199" s="15" t="s">
        <v>332</v>
      </c>
      <c r="C199" s="1" t="s">
        <v>17</v>
      </c>
      <c r="D199" s="1" t="s">
        <v>333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23.25" customHeight="1">
      <c r="A200" s="20" t="str">
        <f>IF(COUNTIF('Icon Lookup'!C:C,B200)&gt;0,LOOKUP(B200,'Icon Lookup'!C:C,'Icon Lookup'!B:B),"")</f>
        <v/>
      </c>
      <c r="B200" s="21" t="s">
        <v>225</v>
      </c>
      <c r="C200" s="20"/>
      <c r="D200" s="20">
        <v>19.0</v>
      </c>
      <c r="E200" s="20" t="s">
        <v>26</v>
      </c>
      <c r="G200" s="22"/>
      <c r="H200" s="23" t="s">
        <v>226</v>
      </c>
      <c r="I200" s="20" t="s">
        <v>36</v>
      </c>
      <c r="J200" s="20">
        <v>0.0</v>
      </c>
      <c r="K200" s="20">
        <v>0.0</v>
      </c>
      <c r="L200" s="20">
        <v>0.0</v>
      </c>
      <c r="M200" s="20">
        <v>0.0</v>
      </c>
      <c r="N200" s="20">
        <v>0.0</v>
      </c>
      <c r="O200" s="20">
        <v>0.0</v>
      </c>
      <c r="P200" s="20">
        <v>0.0</v>
      </c>
      <c r="Q200" s="20">
        <v>0.0</v>
      </c>
      <c r="R200" s="20">
        <v>0.0</v>
      </c>
      <c r="S200" s="20">
        <v>0.0</v>
      </c>
      <c r="T200" s="20">
        <v>0.0</v>
      </c>
      <c r="U200" s="20">
        <v>0.0</v>
      </c>
    </row>
    <row r="201" ht="23.25" customHeight="1">
      <c r="A201" s="1"/>
      <c r="B201" s="15" t="s">
        <v>334</v>
      </c>
      <c r="C201" s="1" t="s">
        <v>17</v>
      </c>
      <c r="D201" s="1" t="s">
        <v>335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23.25" customHeight="1">
      <c r="A202" s="17" t="str">
        <f>IF(COUNTIF('Icon Lookup'!C:C,B202)&gt;0,LOOKUP(B202,'Icon Lookup'!C:C,'Icon Lookup'!B:B),"")</f>
        <v/>
      </c>
      <c r="B202" s="18" t="s">
        <v>336</v>
      </c>
      <c r="C202" s="17"/>
      <c r="D202" s="17">
        <v>19.0</v>
      </c>
      <c r="E202" s="17" t="s">
        <v>337</v>
      </c>
      <c r="G202" s="19"/>
      <c r="H202" s="20" t="s">
        <v>338</v>
      </c>
      <c r="I202" s="17" t="s">
        <v>22</v>
      </c>
      <c r="J202" s="17">
        <v>0.0</v>
      </c>
      <c r="K202" s="17">
        <v>0.0</v>
      </c>
      <c r="L202" s="17">
        <v>0.0</v>
      </c>
      <c r="M202" s="17">
        <v>0.0</v>
      </c>
      <c r="N202" s="17">
        <v>0.0</v>
      </c>
      <c r="O202" s="17">
        <v>0.0</v>
      </c>
      <c r="P202" s="17">
        <v>0.0</v>
      </c>
      <c r="Q202" s="17">
        <v>0.0</v>
      </c>
      <c r="R202" s="17">
        <v>0.0</v>
      </c>
      <c r="S202" s="17">
        <v>0.0</v>
      </c>
      <c r="T202" s="17">
        <v>0.0</v>
      </c>
      <c r="U202" s="17">
        <v>0.0</v>
      </c>
    </row>
    <row r="203" ht="23.25" customHeight="1">
      <c r="A203" s="1"/>
      <c r="B203" s="15" t="s">
        <v>339</v>
      </c>
      <c r="C203" s="1" t="s">
        <v>17</v>
      </c>
      <c r="D203" s="1" t="s">
        <v>340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23.25" customHeight="1">
      <c r="A204" s="20" t="str">
        <f>IF(COUNTIF('Icon Lookup'!C:C,B204)&gt;0,LOOKUP(B204,'Icon Lookup'!C:C,'Icon Lookup'!B:B),"")</f>
        <v/>
      </c>
      <c r="B204" s="21" t="s">
        <v>341</v>
      </c>
      <c r="C204" s="20"/>
      <c r="D204" s="20">
        <v>19.0</v>
      </c>
      <c r="E204" s="20" t="s">
        <v>342</v>
      </c>
      <c r="G204" s="22"/>
      <c r="H204" s="23" t="s">
        <v>343</v>
      </c>
      <c r="I204" s="20" t="s">
        <v>52</v>
      </c>
      <c r="J204" s="20">
        <v>0.0</v>
      </c>
      <c r="K204" s="20">
        <v>0.0</v>
      </c>
      <c r="L204" s="20">
        <v>0.0</v>
      </c>
      <c r="M204" s="20">
        <v>0.0</v>
      </c>
      <c r="N204" s="20">
        <v>0.0</v>
      </c>
      <c r="O204" s="20">
        <v>0.0</v>
      </c>
      <c r="P204" s="20">
        <v>0.0</v>
      </c>
      <c r="Q204" s="20">
        <v>0.0</v>
      </c>
      <c r="R204" s="20">
        <v>0.0</v>
      </c>
      <c r="S204" s="20">
        <v>0.0</v>
      </c>
      <c r="T204" s="20">
        <v>0.0</v>
      </c>
      <c r="U204" s="20">
        <v>0.0</v>
      </c>
    </row>
    <row r="205" ht="23.25" customHeight="1">
      <c r="A205" s="1"/>
      <c r="B205" s="15" t="s">
        <v>344</v>
      </c>
      <c r="C205" s="1" t="s">
        <v>17</v>
      </c>
      <c r="D205" s="1" t="s">
        <v>345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23.25" customHeight="1">
      <c r="A206" s="17" t="str">
        <f>IF(COUNTIF('Icon Lookup'!C:C,B206)&gt;0,LOOKUP(B206,'Icon Lookup'!C:C,'Icon Lookup'!B:B),"")</f>
        <v/>
      </c>
      <c r="B206" s="18" t="s">
        <v>198</v>
      </c>
      <c r="C206" s="17"/>
      <c r="D206" s="17">
        <v>19.0</v>
      </c>
      <c r="E206" s="17" t="s">
        <v>50</v>
      </c>
      <c r="G206" s="19"/>
      <c r="H206" s="20" t="s">
        <v>199</v>
      </c>
      <c r="I206" s="17" t="s">
        <v>52</v>
      </c>
      <c r="J206" s="17">
        <v>0.0</v>
      </c>
      <c r="K206" s="17">
        <v>0.0</v>
      </c>
      <c r="L206" s="17">
        <v>0.0</v>
      </c>
      <c r="M206" s="17">
        <v>0.0</v>
      </c>
      <c r="N206" s="17">
        <v>0.0</v>
      </c>
      <c r="O206" s="17">
        <v>0.0</v>
      </c>
      <c r="P206" s="17">
        <v>0.0</v>
      </c>
      <c r="Q206" s="17">
        <v>0.0</v>
      </c>
      <c r="R206" s="17">
        <v>0.0</v>
      </c>
      <c r="S206" s="17">
        <v>0.0</v>
      </c>
      <c r="T206" s="17">
        <v>0.0</v>
      </c>
      <c r="U206" s="17">
        <v>0.0</v>
      </c>
    </row>
    <row r="207" ht="23.25" customHeight="1">
      <c r="A207" s="1"/>
      <c r="B207" s="15" t="s">
        <v>346</v>
      </c>
      <c r="C207" s="1" t="s">
        <v>17</v>
      </c>
      <c r="D207" s="1" t="s">
        <v>347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23.25" customHeight="1">
      <c r="A208" s="20" t="str">
        <f>IF(COUNTIF('Icon Lookup'!C:C,B208)&gt;0,LOOKUP(B208,'Icon Lookup'!C:C,'Icon Lookup'!B:B),"")</f>
        <v/>
      </c>
      <c r="B208" s="21" t="s">
        <v>302</v>
      </c>
      <c r="C208" s="20"/>
      <c r="D208" s="20">
        <v>18.0</v>
      </c>
      <c r="E208" s="20" t="s">
        <v>20</v>
      </c>
      <c r="G208" s="22"/>
      <c r="H208" s="23" t="s">
        <v>348</v>
      </c>
      <c r="I208" s="20" t="s">
        <v>156</v>
      </c>
      <c r="J208" s="20">
        <v>0.0</v>
      </c>
      <c r="K208" s="20">
        <v>0.0</v>
      </c>
      <c r="L208" s="20">
        <v>0.0</v>
      </c>
      <c r="M208" s="20">
        <v>0.0</v>
      </c>
      <c r="N208" s="20">
        <v>0.0</v>
      </c>
      <c r="O208" s="20">
        <v>0.0</v>
      </c>
      <c r="P208" s="20">
        <v>0.0</v>
      </c>
      <c r="Q208" s="20">
        <v>0.0</v>
      </c>
      <c r="R208" s="20">
        <v>0.0</v>
      </c>
      <c r="S208" s="20">
        <v>0.0</v>
      </c>
      <c r="T208" s="20">
        <v>0.0</v>
      </c>
      <c r="U208" s="20">
        <v>0.0</v>
      </c>
    </row>
    <row r="209" ht="23.25" customHeight="1">
      <c r="A209" s="17" t="str">
        <f>IF(COUNTIF('Icon Lookup'!C:C,B209)&gt;0,LOOKUP(B209,'Icon Lookup'!C:C,'Icon Lookup'!B:B),"")</f>
        <v/>
      </c>
      <c r="B209" s="18" t="s">
        <v>90</v>
      </c>
      <c r="C209" s="17"/>
      <c r="D209" s="17">
        <v>18.0</v>
      </c>
      <c r="E209" s="17" t="s">
        <v>91</v>
      </c>
      <c r="G209" s="19"/>
      <c r="H209" s="20" t="s">
        <v>232</v>
      </c>
      <c r="I209" s="17" t="s">
        <v>89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</row>
    <row r="210" ht="23.25" customHeight="1">
      <c r="A210" s="1"/>
      <c r="B210" s="15" t="s">
        <v>349</v>
      </c>
      <c r="C210" s="1" t="s">
        <v>17</v>
      </c>
      <c r="D210" s="1" t="s">
        <v>350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23.25" customHeight="1">
      <c r="A211" s="20" t="str">
        <f>IF(COUNTIF('Icon Lookup'!C:C,B211)&gt;0,LOOKUP(B211,'Icon Lookup'!C:C,'Icon Lookup'!B:B),"")</f>
        <v/>
      </c>
      <c r="B211" s="21" t="s">
        <v>302</v>
      </c>
      <c r="C211" s="20"/>
      <c r="D211" s="20">
        <v>18.0</v>
      </c>
      <c r="E211" s="20" t="s">
        <v>20</v>
      </c>
      <c r="G211" s="22"/>
      <c r="H211" s="23" t="s">
        <v>351</v>
      </c>
      <c r="I211" s="20" t="s">
        <v>156</v>
      </c>
      <c r="J211" s="20">
        <v>0.0</v>
      </c>
      <c r="K211" s="20">
        <v>0.0</v>
      </c>
      <c r="L211" s="20">
        <v>0.0</v>
      </c>
      <c r="M211" s="20">
        <v>0.0</v>
      </c>
      <c r="N211" s="20">
        <v>0.0</v>
      </c>
      <c r="O211" s="20">
        <v>0.0</v>
      </c>
      <c r="P211" s="20">
        <v>0.0</v>
      </c>
      <c r="Q211" s="20">
        <v>0.0</v>
      </c>
      <c r="R211" s="20">
        <v>0.0</v>
      </c>
      <c r="S211" s="20">
        <v>0.0</v>
      </c>
      <c r="T211" s="20">
        <v>0.0</v>
      </c>
      <c r="U211" s="20">
        <v>0.0</v>
      </c>
    </row>
    <row r="212" ht="23.25" customHeight="1">
      <c r="A212" s="17" t="str">
        <f>IF(COUNTIF('Icon Lookup'!C:C,B212)&gt;0,LOOKUP(B212,'Icon Lookup'!C:C,'Icon Lookup'!B:B),"")</f>
        <v/>
      </c>
      <c r="B212" s="18" t="s">
        <v>90</v>
      </c>
      <c r="C212" s="17"/>
      <c r="D212" s="17">
        <v>18.0</v>
      </c>
      <c r="E212" s="17" t="s">
        <v>91</v>
      </c>
      <c r="G212" s="19"/>
      <c r="H212" s="20" t="s">
        <v>184</v>
      </c>
      <c r="I212" s="17" t="s">
        <v>89</v>
      </c>
      <c r="J212" s="17">
        <v>0.0</v>
      </c>
      <c r="K212" s="17">
        <v>0.0</v>
      </c>
      <c r="L212" s="17">
        <v>0.0</v>
      </c>
      <c r="M212" s="17">
        <v>0.0</v>
      </c>
      <c r="N212" s="17">
        <v>0.0</v>
      </c>
      <c r="O212" s="17">
        <v>0.0</v>
      </c>
      <c r="P212" s="17">
        <v>0.0</v>
      </c>
      <c r="Q212" s="17">
        <v>0.0</v>
      </c>
      <c r="R212" s="17">
        <v>0.0</v>
      </c>
      <c r="S212" s="17">
        <v>0.0</v>
      </c>
      <c r="T212" s="17">
        <v>0.0</v>
      </c>
      <c r="U212" s="17">
        <v>0.0</v>
      </c>
    </row>
    <row r="213" ht="23.25" customHeight="1">
      <c r="A213" s="1"/>
      <c r="B213" s="15" t="s">
        <v>352</v>
      </c>
      <c r="C213" s="1" t="s">
        <v>17</v>
      </c>
      <c r="D213" s="1" t="s">
        <v>353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23.25" customHeight="1">
      <c r="A214" s="20" t="str">
        <f>IF(COUNTIF('Icon Lookup'!C:C,B214)&gt;0,LOOKUP(B214,'Icon Lookup'!C:C,'Icon Lookup'!B:B),"")</f>
        <v/>
      </c>
      <c r="B214" s="21" t="s">
        <v>302</v>
      </c>
      <c r="C214" s="20"/>
      <c r="D214" s="20">
        <v>18.0</v>
      </c>
      <c r="E214" s="20" t="s">
        <v>20</v>
      </c>
      <c r="G214" s="22"/>
      <c r="H214" s="23" t="s">
        <v>354</v>
      </c>
      <c r="I214" s="20" t="s">
        <v>156</v>
      </c>
      <c r="J214" s="20">
        <v>0.0</v>
      </c>
      <c r="K214" s="20">
        <v>0.0</v>
      </c>
      <c r="L214" s="20">
        <v>0.0</v>
      </c>
      <c r="M214" s="20">
        <v>0.0</v>
      </c>
      <c r="N214" s="20">
        <v>0.0</v>
      </c>
      <c r="O214" s="20">
        <v>0.0</v>
      </c>
      <c r="P214" s="20">
        <v>0.0</v>
      </c>
      <c r="Q214" s="20">
        <v>0.0</v>
      </c>
      <c r="R214" s="20">
        <v>0.0</v>
      </c>
      <c r="S214" s="20">
        <v>0.0</v>
      </c>
      <c r="T214" s="20">
        <v>0.0</v>
      </c>
      <c r="U214" s="20">
        <v>0.0</v>
      </c>
    </row>
    <row r="215" ht="23.25" customHeight="1">
      <c r="A215" s="17" t="str">
        <f>IF(COUNTIF('Icon Lookup'!C:C,B215)&gt;0,LOOKUP(B215,'Icon Lookup'!C:C,'Icon Lookup'!B:B),"")</f>
        <v/>
      </c>
      <c r="B215" s="18" t="s">
        <v>165</v>
      </c>
      <c r="C215" s="17"/>
      <c r="D215" s="17">
        <v>18.0</v>
      </c>
      <c r="E215" s="17" t="s">
        <v>166</v>
      </c>
      <c r="G215" s="19"/>
      <c r="H215" s="20" t="s">
        <v>355</v>
      </c>
      <c r="I215" s="17" t="s">
        <v>94</v>
      </c>
      <c r="J215" s="17">
        <v>0.0</v>
      </c>
      <c r="K215" s="17">
        <v>0.0</v>
      </c>
      <c r="L215" s="17">
        <v>0.0</v>
      </c>
      <c r="M215" s="17">
        <v>0.0</v>
      </c>
      <c r="N215" s="17">
        <v>0.0</v>
      </c>
      <c r="O215" s="17">
        <v>0.0</v>
      </c>
      <c r="P215" s="17">
        <v>0.0</v>
      </c>
      <c r="Q215" s="17">
        <v>0.0</v>
      </c>
      <c r="R215" s="17">
        <v>0.0</v>
      </c>
      <c r="S215" s="17">
        <v>0.0</v>
      </c>
      <c r="T215" s="17">
        <v>0.0</v>
      </c>
      <c r="U215" s="17">
        <v>0.0</v>
      </c>
    </row>
    <row r="216" ht="23.25" customHeight="1">
      <c r="A216" s="1"/>
      <c r="B216" s="15" t="s">
        <v>356</v>
      </c>
      <c r="C216" s="1" t="s">
        <v>17</v>
      </c>
      <c r="D216" s="1" t="s">
        <v>357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23.25" customHeight="1">
      <c r="A217" s="20" t="str">
        <f>IF(COUNTIF('Icon Lookup'!C:C,B217)&gt;0,LOOKUP(B217,'Icon Lookup'!C:C,'Icon Lookup'!B:B),"")</f>
        <v/>
      </c>
      <c r="B217" s="21" t="s">
        <v>190</v>
      </c>
      <c r="C217" s="20"/>
      <c r="D217" s="20">
        <v>21.0</v>
      </c>
      <c r="E217" s="20" t="s">
        <v>26</v>
      </c>
      <c r="G217" s="22"/>
      <c r="H217" s="23" t="s">
        <v>358</v>
      </c>
      <c r="I217" s="20" t="s">
        <v>156</v>
      </c>
      <c r="J217" s="20">
        <v>0.0</v>
      </c>
      <c r="K217" s="20">
        <v>0.0</v>
      </c>
      <c r="L217" s="20">
        <v>0.0</v>
      </c>
      <c r="M217" s="20">
        <v>0.0</v>
      </c>
      <c r="N217" s="20">
        <v>0.0</v>
      </c>
      <c r="O217" s="20">
        <v>0.0</v>
      </c>
      <c r="P217" s="20">
        <v>0.0</v>
      </c>
      <c r="Q217" s="20">
        <v>0.0</v>
      </c>
      <c r="R217" s="20">
        <v>0.0</v>
      </c>
      <c r="S217" s="20">
        <v>0.0</v>
      </c>
      <c r="T217" s="20">
        <v>0.0</v>
      </c>
      <c r="U217" s="20">
        <v>0.0</v>
      </c>
    </row>
    <row r="218" ht="23.25" customHeight="1">
      <c r="A218" s="1"/>
      <c r="B218" s="15" t="s">
        <v>359</v>
      </c>
      <c r="C218" s="1" t="s">
        <v>17</v>
      </c>
      <c r="D218" s="1" t="s">
        <v>360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23.25" customHeight="1">
      <c r="A219" s="17" t="str">
        <f>IF(COUNTIF('Icon Lookup'!C:C,B219)&gt;0,LOOKUP(B219,'Icon Lookup'!C:C,'Icon Lookup'!B:B),"")</f>
        <v/>
      </c>
      <c r="B219" s="18" t="s">
        <v>110</v>
      </c>
      <c r="C219" s="17"/>
      <c r="D219" s="17">
        <v>19.0</v>
      </c>
      <c r="E219" s="17" t="s">
        <v>111</v>
      </c>
      <c r="G219" s="19"/>
      <c r="H219" s="20" t="s">
        <v>361</v>
      </c>
      <c r="I219" s="17" t="s">
        <v>89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</row>
    <row r="220" ht="23.25" customHeight="1">
      <c r="A220" s="20" t="str">
        <f>IF(COUNTIF('Icon Lookup'!C:C,B220)&gt;0,LOOKUP(B220,'Icon Lookup'!C:C,'Icon Lookup'!B:B),"")</f>
        <v/>
      </c>
      <c r="B220" s="21" t="s">
        <v>187</v>
      </c>
      <c r="C220" s="20"/>
      <c r="D220" s="20">
        <v>19.0</v>
      </c>
      <c r="E220" s="20" t="s">
        <v>188</v>
      </c>
      <c r="G220" s="22"/>
      <c r="H220" s="23" t="s">
        <v>362</v>
      </c>
      <c r="I220" s="20" t="s">
        <v>89</v>
      </c>
      <c r="J220" s="20">
        <v>0.0</v>
      </c>
      <c r="K220" s="20">
        <v>0.0</v>
      </c>
      <c r="L220" s="20">
        <v>0.0</v>
      </c>
      <c r="M220" s="20">
        <v>0.0</v>
      </c>
      <c r="N220" s="20">
        <v>0.0</v>
      </c>
      <c r="O220" s="20">
        <v>0.0</v>
      </c>
      <c r="P220" s="20">
        <v>0.0</v>
      </c>
      <c r="Q220" s="20">
        <v>0.0</v>
      </c>
      <c r="R220" s="20">
        <v>0.0</v>
      </c>
      <c r="S220" s="20">
        <v>0.0</v>
      </c>
      <c r="T220" s="20">
        <v>0.0</v>
      </c>
      <c r="U220" s="20">
        <v>0.0</v>
      </c>
    </row>
    <row r="221" ht="23.25" customHeight="1">
      <c r="A221" s="1"/>
      <c r="B221" s="15" t="s">
        <v>363</v>
      </c>
      <c r="C221" s="1" t="s">
        <v>17</v>
      </c>
      <c r="D221" s="1" t="s">
        <v>364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ht="23.25" customHeight="1">
      <c r="A222" s="17" t="str">
        <f>IF(COUNTIF('Icon Lookup'!C:C,B222)&gt;0,LOOKUP(B222,'Icon Lookup'!C:C,'Icon Lookup'!B:B),"")</f>
        <v/>
      </c>
      <c r="B222" s="18" t="s">
        <v>187</v>
      </c>
      <c r="C222" s="17"/>
      <c r="D222" s="17">
        <v>17.0</v>
      </c>
      <c r="E222" s="17" t="s">
        <v>188</v>
      </c>
      <c r="G222" s="19"/>
      <c r="H222" s="20" t="s">
        <v>362</v>
      </c>
      <c r="I222" s="17" t="s">
        <v>89</v>
      </c>
      <c r="J222" s="17">
        <v>0.0</v>
      </c>
      <c r="K222" s="17">
        <v>0.0</v>
      </c>
      <c r="L222" s="17">
        <v>0.0</v>
      </c>
      <c r="M222" s="17">
        <v>0.0</v>
      </c>
      <c r="N222" s="17">
        <v>0.0</v>
      </c>
      <c r="O222" s="17">
        <v>0.0</v>
      </c>
      <c r="P222" s="17">
        <v>0.0</v>
      </c>
      <c r="Q222" s="17">
        <v>0.0</v>
      </c>
      <c r="R222" s="17">
        <v>0.0</v>
      </c>
      <c r="S222" s="17">
        <v>0.0</v>
      </c>
      <c r="T222" s="17">
        <v>0.0</v>
      </c>
      <c r="U222" s="17">
        <v>0.0</v>
      </c>
    </row>
    <row r="223" ht="23.25" customHeight="1">
      <c r="A223" s="20" t="str">
        <f>IF(COUNTIF('Icon Lookup'!C:C,B223)&gt;0,LOOKUP(B223,'Icon Lookup'!C:C,'Icon Lookup'!B:B),"")</f>
        <v/>
      </c>
      <c r="B223" s="21" t="s">
        <v>187</v>
      </c>
      <c r="C223" s="20"/>
      <c r="D223" s="20">
        <v>18.0</v>
      </c>
      <c r="E223" s="20" t="s">
        <v>188</v>
      </c>
      <c r="G223" s="22"/>
      <c r="H223" s="23" t="s">
        <v>362</v>
      </c>
      <c r="I223" s="20" t="s">
        <v>89</v>
      </c>
      <c r="J223" s="20">
        <v>0.0</v>
      </c>
      <c r="K223" s="20">
        <v>0.0</v>
      </c>
      <c r="L223" s="20">
        <v>0.0</v>
      </c>
      <c r="M223" s="20">
        <v>0.0</v>
      </c>
      <c r="N223" s="20">
        <v>0.0</v>
      </c>
      <c r="O223" s="20">
        <v>0.0</v>
      </c>
      <c r="P223" s="20">
        <v>0.0</v>
      </c>
      <c r="Q223" s="20">
        <v>0.0</v>
      </c>
      <c r="R223" s="20">
        <v>0.0</v>
      </c>
      <c r="S223" s="20">
        <v>0.0</v>
      </c>
      <c r="T223" s="20">
        <v>0.0</v>
      </c>
      <c r="U223" s="20">
        <v>0.0</v>
      </c>
    </row>
    <row r="224" ht="23.25" customHeight="1">
      <c r="A224" s="17" t="str">
        <f>IF(COUNTIF('Icon Lookup'!C:C,B224)&gt;0,LOOKUP(B224,'Icon Lookup'!C:C,'Icon Lookup'!B:B),"")</f>
        <v/>
      </c>
      <c r="B224" s="18" t="s">
        <v>365</v>
      </c>
      <c r="C224" s="17"/>
      <c r="D224" s="17">
        <v>20.0</v>
      </c>
      <c r="E224" s="17" t="s">
        <v>366</v>
      </c>
      <c r="G224" s="19"/>
      <c r="H224" s="20" t="s">
        <v>367</v>
      </c>
      <c r="I224" s="17" t="s">
        <v>156</v>
      </c>
      <c r="J224" s="17">
        <v>0.0</v>
      </c>
      <c r="K224" s="17">
        <v>0.0</v>
      </c>
      <c r="L224" s="17">
        <v>0.0</v>
      </c>
      <c r="M224" s="17">
        <v>0.0</v>
      </c>
      <c r="N224" s="17">
        <v>0.0</v>
      </c>
      <c r="O224" s="17">
        <v>0.0</v>
      </c>
      <c r="P224" s="17">
        <v>0.0</v>
      </c>
      <c r="Q224" s="17">
        <v>0.0</v>
      </c>
      <c r="R224" s="17">
        <v>0.0</v>
      </c>
      <c r="S224" s="17">
        <v>0.0</v>
      </c>
      <c r="T224" s="17">
        <v>0.0</v>
      </c>
      <c r="U224" s="17">
        <v>0.0</v>
      </c>
    </row>
    <row r="225" ht="23.25" customHeight="1">
      <c r="A225" s="20" t="str">
        <f>IF(COUNTIF('Icon Lookup'!C:C,B225)&gt;0,LOOKUP(B225,'Icon Lookup'!C:C,'Icon Lookup'!B:B),"")</f>
        <v/>
      </c>
      <c r="B225" s="21" t="s">
        <v>187</v>
      </c>
      <c r="C225" s="20"/>
      <c r="D225" s="20">
        <v>17.0</v>
      </c>
      <c r="E225" s="20" t="s">
        <v>188</v>
      </c>
      <c r="G225" s="22"/>
      <c r="H225" s="23" t="s">
        <v>362</v>
      </c>
      <c r="I225" s="20" t="s">
        <v>89</v>
      </c>
      <c r="J225" s="20">
        <v>0.0</v>
      </c>
      <c r="K225" s="20">
        <v>0.0</v>
      </c>
      <c r="L225" s="20">
        <v>0.0</v>
      </c>
      <c r="M225" s="20">
        <v>0.0</v>
      </c>
      <c r="N225" s="20">
        <v>0.0</v>
      </c>
      <c r="O225" s="20">
        <v>0.0</v>
      </c>
      <c r="P225" s="20">
        <v>0.0</v>
      </c>
      <c r="Q225" s="20">
        <v>0.0</v>
      </c>
      <c r="R225" s="20">
        <v>0.0</v>
      </c>
      <c r="S225" s="20">
        <v>0.0</v>
      </c>
      <c r="T225" s="20">
        <v>0.0</v>
      </c>
      <c r="U225" s="20">
        <v>0.0</v>
      </c>
    </row>
    <row r="226" ht="23.25" customHeight="1">
      <c r="A226" s="1"/>
      <c r="B226" s="15" t="s">
        <v>368</v>
      </c>
      <c r="C226" s="1" t="s">
        <v>17</v>
      </c>
      <c r="D226" s="1" t="s">
        <v>369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ht="23.25" customHeight="1">
      <c r="A227" s="17" t="str">
        <f>IF(COUNTIF('Icon Lookup'!C:C,B227)&gt;0,LOOKUP(B227,'Icon Lookup'!C:C,'Icon Lookup'!B:B),"")</f>
        <v/>
      </c>
      <c r="B227" s="18" t="s">
        <v>225</v>
      </c>
      <c r="C227" s="17"/>
      <c r="D227" s="17">
        <v>21.0</v>
      </c>
      <c r="E227" s="17" t="s">
        <v>26</v>
      </c>
      <c r="G227" s="19"/>
      <c r="H227" s="20" t="s">
        <v>130</v>
      </c>
      <c r="I227" s="17" t="s">
        <v>22</v>
      </c>
      <c r="J227" s="17">
        <v>0.0</v>
      </c>
      <c r="K227" s="17">
        <v>0.0</v>
      </c>
      <c r="L227" s="17">
        <v>0.0</v>
      </c>
      <c r="M227" s="17">
        <v>0.0</v>
      </c>
      <c r="N227" s="17">
        <v>0.0</v>
      </c>
      <c r="O227" s="17">
        <v>0.0</v>
      </c>
      <c r="P227" s="17">
        <v>0.0</v>
      </c>
      <c r="Q227" s="17">
        <v>0.0</v>
      </c>
      <c r="R227" s="17">
        <v>0.0</v>
      </c>
      <c r="S227" s="17">
        <v>0.0</v>
      </c>
      <c r="T227" s="17">
        <v>0.0</v>
      </c>
      <c r="U227" s="17">
        <v>0.0</v>
      </c>
    </row>
    <row r="228" ht="23.25" customHeight="1">
      <c r="A228" s="20" t="str">
        <f>IF(COUNTIF('Icon Lookup'!C:C,B228)&gt;0,LOOKUP(B228,'Icon Lookup'!C:C,'Icon Lookup'!B:B),"")</f>
        <v/>
      </c>
      <c r="B228" s="21" t="s">
        <v>271</v>
      </c>
      <c r="C228" s="20"/>
      <c r="D228" s="20">
        <v>21.0</v>
      </c>
      <c r="E228" s="20" t="s">
        <v>44</v>
      </c>
      <c r="G228" s="22"/>
      <c r="H228" s="23" t="s">
        <v>370</v>
      </c>
      <c r="I228" s="20" t="s">
        <v>22</v>
      </c>
      <c r="J228" s="20">
        <v>0.0</v>
      </c>
      <c r="K228" s="20">
        <v>0.0</v>
      </c>
      <c r="L228" s="20">
        <v>0.0</v>
      </c>
      <c r="M228" s="20">
        <v>0.0</v>
      </c>
      <c r="N228" s="20">
        <v>0.0</v>
      </c>
      <c r="O228" s="20">
        <v>0.0</v>
      </c>
      <c r="P228" s="20">
        <v>0.0</v>
      </c>
      <c r="Q228" s="20">
        <v>0.0</v>
      </c>
      <c r="R228" s="20">
        <v>0.0</v>
      </c>
      <c r="S228" s="20">
        <v>0.0</v>
      </c>
      <c r="T228" s="20">
        <v>0.0</v>
      </c>
      <c r="U228" s="20">
        <v>0.0</v>
      </c>
    </row>
    <row r="229" ht="23.25" customHeight="1">
      <c r="A229" s="1"/>
      <c r="B229" s="15" t="s">
        <v>371</v>
      </c>
      <c r="C229" s="1" t="s">
        <v>17</v>
      </c>
      <c r="D229" s="1" t="s">
        <v>372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ht="23.25" customHeight="1">
      <c r="A230" s="17" t="str">
        <f>IF(COUNTIF('Icon Lookup'!C:C,B230)&gt;0,LOOKUP(B230,'Icon Lookup'!C:C,'Icon Lookup'!B:B),"")</f>
        <v/>
      </c>
      <c r="B230" s="18" t="s">
        <v>373</v>
      </c>
      <c r="C230" s="17"/>
      <c r="D230" s="17">
        <v>21.0</v>
      </c>
      <c r="E230" s="17" t="s">
        <v>374</v>
      </c>
      <c r="G230" s="19"/>
      <c r="H230" s="20" t="s">
        <v>375</v>
      </c>
      <c r="I230" s="17" t="s">
        <v>156</v>
      </c>
      <c r="J230" s="17">
        <v>0.0</v>
      </c>
      <c r="K230" s="17">
        <v>0.0</v>
      </c>
      <c r="L230" s="17">
        <v>0.0</v>
      </c>
      <c r="M230" s="17">
        <v>0.0</v>
      </c>
      <c r="N230" s="17">
        <v>0.0</v>
      </c>
      <c r="O230" s="17">
        <v>0.0</v>
      </c>
      <c r="P230" s="17">
        <v>0.0</v>
      </c>
      <c r="Q230" s="17">
        <v>0.0</v>
      </c>
      <c r="R230" s="17">
        <v>0.0</v>
      </c>
      <c r="S230" s="17">
        <v>0.0</v>
      </c>
      <c r="T230" s="17">
        <v>0.0</v>
      </c>
      <c r="U230" s="17">
        <v>0.0</v>
      </c>
    </row>
    <row r="231" ht="23.25" customHeight="1">
      <c r="A231" s="20" t="str">
        <f>IF(COUNTIF('Icon Lookup'!C:C,B231)&gt;0,LOOKUP(B231,'Icon Lookup'!C:C,'Icon Lookup'!B:B),"")</f>
        <v/>
      </c>
      <c r="B231" s="21" t="s">
        <v>373</v>
      </c>
      <c r="C231" s="20"/>
      <c r="D231" s="20">
        <v>21.0</v>
      </c>
      <c r="E231" s="20" t="s">
        <v>374</v>
      </c>
      <c r="G231" s="22"/>
      <c r="H231" s="23" t="s">
        <v>376</v>
      </c>
      <c r="I231" s="20" t="s">
        <v>156</v>
      </c>
      <c r="J231" s="20">
        <v>0.0</v>
      </c>
      <c r="K231" s="20">
        <v>0.0</v>
      </c>
      <c r="L231" s="20">
        <v>0.0</v>
      </c>
      <c r="M231" s="20">
        <v>0.0</v>
      </c>
      <c r="N231" s="20">
        <v>0.0</v>
      </c>
      <c r="O231" s="20">
        <v>0.0</v>
      </c>
      <c r="P231" s="20">
        <v>0.0</v>
      </c>
      <c r="Q231" s="20">
        <v>0.0</v>
      </c>
      <c r="R231" s="20">
        <v>0.0</v>
      </c>
      <c r="S231" s="20">
        <v>0.0</v>
      </c>
      <c r="T231" s="20">
        <v>0.0</v>
      </c>
      <c r="U231" s="20">
        <v>0.0</v>
      </c>
    </row>
    <row r="232" ht="23.25" customHeight="1">
      <c r="A232" s="1"/>
      <c r="B232" s="15" t="s">
        <v>377</v>
      </c>
      <c r="C232" s="1" t="s">
        <v>17</v>
      </c>
      <c r="D232" s="1" t="s">
        <v>378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ht="23.25" customHeight="1">
      <c r="A233" s="17" t="str">
        <f>IF(COUNTIF('Icon Lookup'!C:C,B233)&gt;0,LOOKUP(B233,'Icon Lookup'!C:C,'Icon Lookup'!B:B),"")</f>
        <v/>
      </c>
      <c r="B233" s="18" t="s">
        <v>379</v>
      </c>
      <c r="C233" s="17"/>
      <c r="D233" s="17">
        <v>21.0</v>
      </c>
      <c r="E233" s="17" t="s">
        <v>71</v>
      </c>
      <c r="G233" s="19"/>
      <c r="H233" s="20" t="s">
        <v>380</v>
      </c>
      <c r="I233" s="17" t="s">
        <v>22</v>
      </c>
      <c r="J233" s="17">
        <v>0.0</v>
      </c>
      <c r="K233" s="17">
        <v>0.0</v>
      </c>
      <c r="L233" s="17">
        <v>0.0</v>
      </c>
      <c r="M233" s="17">
        <v>0.0</v>
      </c>
      <c r="N233" s="17">
        <v>0.0</v>
      </c>
      <c r="O233" s="17">
        <v>0.0</v>
      </c>
      <c r="P233" s="17">
        <v>0.0</v>
      </c>
      <c r="Q233" s="17">
        <v>0.0</v>
      </c>
      <c r="R233" s="17">
        <v>0.0</v>
      </c>
      <c r="S233" s="17">
        <v>0.0</v>
      </c>
      <c r="T233" s="17">
        <v>0.0</v>
      </c>
      <c r="U233" s="17">
        <v>0.0</v>
      </c>
    </row>
    <row r="234" ht="23.25" customHeight="1">
      <c r="A234" s="20" t="str">
        <f>IF(COUNTIF('Icon Lookup'!C:C,B234)&gt;0,LOOKUP(B234,'Icon Lookup'!C:C,'Icon Lookup'!B:B),"")</f>
        <v/>
      </c>
      <c r="B234" s="21" t="s">
        <v>381</v>
      </c>
      <c r="C234" s="20"/>
      <c r="D234" s="20">
        <v>21.0</v>
      </c>
      <c r="E234" s="20" t="s">
        <v>382</v>
      </c>
      <c r="G234" s="22"/>
      <c r="H234" s="23" t="s">
        <v>383</v>
      </c>
      <c r="I234" s="20" t="s">
        <v>22</v>
      </c>
      <c r="J234" s="20">
        <v>0.0</v>
      </c>
      <c r="K234" s="20">
        <v>0.0</v>
      </c>
      <c r="L234" s="20">
        <v>0.0</v>
      </c>
      <c r="M234" s="20">
        <v>0.0</v>
      </c>
      <c r="N234" s="20">
        <v>0.0</v>
      </c>
      <c r="O234" s="20">
        <v>0.0</v>
      </c>
      <c r="P234" s="20">
        <v>0.0</v>
      </c>
      <c r="Q234" s="20">
        <v>0.0</v>
      </c>
      <c r="R234" s="20">
        <v>0.0</v>
      </c>
      <c r="S234" s="20">
        <v>0.0</v>
      </c>
      <c r="T234" s="20">
        <v>0.0</v>
      </c>
      <c r="U234" s="20">
        <v>0.0</v>
      </c>
    </row>
    <row r="235" ht="23.25" customHeight="1">
      <c r="A235" s="1"/>
      <c r="B235" s="15" t="s">
        <v>384</v>
      </c>
      <c r="C235" s="1" t="s">
        <v>17</v>
      </c>
      <c r="D235" s="1" t="s">
        <v>385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ht="23.25" customHeight="1">
      <c r="A236" s="17" t="str">
        <f>IF(COUNTIF('Icon Lookup'!C:C,B236)&gt;0,LOOKUP(B236,'Icon Lookup'!C:C,'Icon Lookup'!B:B),"")</f>
        <v/>
      </c>
      <c r="B236" s="18" t="s">
        <v>386</v>
      </c>
      <c r="C236" s="17"/>
      <c r="D236" s="17">
        <v>21.0</v>
      </c>
      <c r="E236" s="17" t="s">
        <v>387</v>
      </c>
      <c r="G236" s="19"/>
      <c r="H236" s="20" t="s">
        <v>388</v>
      </c>
      <c r="I236" s="17" t="s">
        <v>156</v>
      </c>
      <c r="J236" s="17">
        <v>0.0</v>
      </c>
      <c r="K236" s="17">
        <v>0.0</v>
      </c>
      <c r="L236" s="17">
        <v>0.0</v>
      </c>
      <c r="M236" s="17">
        <v>0.0</v>
      </c>
      <c r="N236" s="17">
        <v>0.0</v>
      </c>
      <c r="O236" s="17">
        <v>0.0</v>
      </c>
      <c r="P236" s="17">
        <v>0.0</v>
      </c>
      <c r="Q236" s="17">
        <v>0.0</v>
      </c>
      <c r="R236" s="17">
        <v>0.0</v>
      </c>
      <c r="S236" s="17">
        <v>0.0</v>
      </c>
      <c r="T236" s="17">
        <v>0.0</v>
      </c>
      <c r="U236" s="17">
        <v>0.0</v>
      </c>
    </row>
    <row r="237" ht="23.25" customHeight="1">
      <c r="A237" s="1"/>
      <c r="B237" s="15" t="s">
        <v>389</v>
      </c>
      <c r="C237" s="1" t="s">
        <v>17</v>
      </c>
      <c r="D237" s="1" t="s">
        <v>390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ht="23.25" customHeight="1">
      <c r="A238" s="20" t="str">
        <f>IF(COUNTIF('Icon Lookup'!C:C,B238)&gt;0,LOOKUP(B238,'Icon Lookup'!C:C,'Icon Lookup'!B:B),"")</f>
        <v/>
      </c>
      <c r="B238" s="21" t="s">
        <v>302</v>
      </c>
      <c r="C238" s="20"/>
      <c r="D238" s="20">
        <v>17.0</v>
      </c>
      <c r="E238" s="20" t="s">
        <v>20</v>
      </c>
      <c r="G238" s="22"/>
      <c r="H238" s="23" t="s">
        <v>351</v>
      </c>
      <c r="I238" s="20" t="s">
        <v>156</v>
      </c>
      <c r="J238" s="20">
        <v>0.0</v>
      </c>
      <c r="K238" s="20">
        <v>0.0</v>
      </c>
      <c r="L238" s="20">
        <v>0.0</v>
      </c>
      <c r="M238" s="20">
        <v>0.0</v>
      </c>
      <c r="N238" s="20">
        <v>0.0</v>
      </c>
      <c r="O238" s="20">
        <v>0.0</v>
      </c>
      <c r="P238" s="20">
        <v>0.0</v>
      </c>
      <c r="Q238" s="20">
        <v>0.0</v>
      </c>
      <c r="R238" s="20">
        <v>0.0</v>
      </c>
      <c r="S238" s="20">
        <v>0.0</v>
      </c>
      <c r="T238" s="20">
        <v>0.0</v>
      </c>
      <c r="U238" s="20">
        <v>0.0</v>
      </c>
    </row>
    <row r="239" ht="23.25" customHeight="1">
      <c r="A239" s="17" t="str">
        <f>IF(COUNTIF('Icon Lookup'!C:C,B239)&gt;0,LOOKUP(B239,'Icon Lookup'!C:C,'Icon Lookup'!B:B),"")</f>
        <v/>
      </c>
      <c r="B239" s="18" t="s">
        <v>165</v>
      </c>
      <c r="C239" s="17"/>
      <c r="D239" s="17">
        <v>19.0</v>
      </c>
      <c r="E239" s="17" t="s">
        <v>166</v>
      </c>
      <c r="G239" s="19"/>
      <c r="H239" s="20" t="s">
        <v>355</v>
      </c>
      <c r="I239" s="17" t="s">
        <v>94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</row>
    <row r="240" ht="23.25" customHeight="1">
      <c r="A240" s="1"/>
      <c r="B240" s="15" t="s">
        <v>391</v>
      </c>
      <c r="C240" s="1" t="s">
        <v>17</v>
      </c>
      <c r="D240" s="1" t="s">
        <v>392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ht="23.25" customHeight="1">
      <c r="A241" s="20" t="str">
        <f>IF(COUNTIF('Icon Lookup'!C:C,B241)&gt;0,LOOKUP(B241,'Icon Lookup'!C:C,'Icon Lookup'!B:B),"")</f>
        <v/>
      </c>
      <c r="B241" s="21" t="s">
        <v>190</v>
      </c>
      <c r="C241" s="20"/>
      <c r="D241" s="20">
        <v>30.0</v>
      </c>
      <c r="E241" s="20" t="s">
        <v>26</v>
      </c>
      <c r="G241" s="22"/>
      <c r="H241" s="23" t="s">
        <v>393</v>
      </c>
      <c r="I241" s="20" t="s">
        <v>156</v>
      </c>
      <c r="J241" s="20">
        <v>0.0</v>
      </c>
      <c r="K241" s="20">
        <v>0.0</v>
      </c>
      <c r="L241" s="20">
        <v>0.0</v>
      </c>
      <c r="M241" s="20">
        <v>0.0</v>
      </c>
      <c r="N241" s="20">
        <v>0.0</v>
      </c>
      <c r="O241" s="20">
        <v>0.0</v>
      </c>
      <c r="P241" s="20">
        <v>0.0</v>
      </c>
      <c r="Q241" s="20">
        <v>0.0</v>
      </c>
      <c r="R241" s="20">
        <v>0.0</v>
      </c>
      <c r="S241" s="20">
        <v>0.0</v>
      </c>
      <c r="T241" s="20">
        <v>0.0</v>
      </c>
      <c r="U241" s="20">
        <v>0.0</v>
      </c>
    </row>
    <row r="242" ht="23.25" customHeight="1">
      <c r="A242" s="17" t="str">
        <f>IF(COUNTIF('Icon Lookup'!C:C,B242)&gt;0,LOOKUP(B242,'Icon Lookup'!C:C,'Icon Lookup'!B:B),"")</f>
        <v/>
      </c>
      <c r="B242" s="18" t="s">
        <v>190</v>
      </c>
      <c r="C242" s="17"/>
      <c r="D242" s="17">
        <v>29.0</v>
      </c>
      <c r="E242" s="17" t="s">
        <v>26</v>
      </c>
      <c r="G242" s="19"/>
      <c r="H242" s="20" t="s">
        <v>394</v>
      </c>
      <c r="I242" s="17" t="s">
        <v>156</v>
      </c>
      <c r="J242" s="17">
        <v>0.0</v>
      </c>
      <c r="K242" s="17">
        <v>0.0</v>
      </c>
      <c r="L242" s="17">
        <v>0.0</v>
      </c>
      <c r="M242" s="17">
        <v>0.0</v>
      </c>
      <c r="N242" s="17">
        <v>0.0</v>
      </c>
      <c r="O242" s="17">
        <v>0.0</v>
      </c>
      <c r="P242" s="17">
        <v>0.0</v>
      </c>
      <c r="Q242" s="17">
        <v>0.0</v>
      </c>
      <c r="R242" s="17">
        <v>0.0</v>
      </c>
      <c r="S242" s="17">
        <v>0.0</v>
      </c>
      <c r="T242" s="17">
        <v>0.0</v>
      </c>
      <c r="U242" s="17">
        <v>0.0</v>
      </c>
    </row>
    <row r="243" ht="23.25" customHeight="1">
      <c r="A243" s="20" t="str">
        <f>IF(COUNTIF('Icon Lookup'!C:C,B243)&gt;0,LOOKUP(B243,'Icon Lookup'!C:C,'Icon Lookup'!B:B),"")</f>
        <v/>
      </c>
      <c r="B243" s="21" t="s">
        <v>190</v>
      </c>
      <c r="C243" s="20"/>
      <c r="D243" s="20">
        <v>31.0</v>
      </c>
      <c r="E243" s="20" t="s">
        <v>26</v>
      </c>
      <c r="G243" s="22"/>
      <c r="H243" s="23" t="s">
        <v>395</v>
      </c>
      <c r="I243" s="20" t="s">
        <v>156</v>
      </c>
      <c r="J243" s="20">
        <v>0.0</v>
      </c>
      <c r="K243" s="20">
        <v>0.0</v>
      </c>
      <c r="L243" s="20">
        <v>0.0</v>
      </c>
      <c r="M243" s="20">
        <v>0.0</v>
      </c>
      <c r="N243" s="20">
        <v>0.0</v>
      </c>
      <c r="O243" s="20">
        <v>0.0</v>
      </c>
      <c r="P243" s="20">
        <v>0.0</v>
      </c>
      <c r="Q243" s="20">
        <v>0.0</v>
      </c>
      <c r="R243" s="20">
        <v>0.0</v>
      </c>
      <c r="S243" s="20">
        <v>0.0</v>
      </c>
      <c r="T243" s="20">
        <v>0.0</v>
      </c>
      <c r="U243" s="20">
        <v>0.0</v>
      </c>
    </row>
    <row r="244" ht="23.25" customHeight="1">
      <c r="A244" s="1"/>
      <c r="B244" s="15" t="s">
        <v>396</v>
      </c>
      <c r="C244" s="1" t="s">
        <v>17</v>
      </c>
      <c r="D244" s="1" t="s">
        <v>397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ht="23.25" customHeight="1">
      <c r="A245" s="17" t="str">
        <f>IF(COUNTIF('Icon Lookup'!C:C,B245)&gt;0,LOOKUP(B245,'Icon Lookup'!C:C,'Icon Lookup'!B:B),"")</f>
        <v/>
      </c>
      <c r="B245" s="18" t="s">
        <v>398</v>
      </c>
      <c r="C245" s="17"/>
      <c r="D245" s="17">
        <v>30.0</v>
      </c>
      <c r="E245" s="17" t="s">
        <v>399</v>
      </c>
      <c r="G245" s="19"/>
      <c r="H245" s="20" t="s">
        <v>400</v>
      </c>
      <c r="I245" s="17" t="s">
        <v>156</v>
      </c>
      <c r="J245" s="17">
        <v>0.0</v>
      </c>
      <c r="K245" s="17">
        <v>0.0</v>
      </c>
      <c r="L245" s="17">
        <v>0.0</v>
      </c>
      <c r="M245" s="17">
        <v>0.0</v>
      </c>
      <c r="N245" s="17">
        <v>0.0</v>
      </c>
      <c r="O245" s="17">
        <v>0.0</v>
      </c>
      <c r="P245" s="17">
        <v>0.0</v>
      </c>
      <c r="Q245" s="17">
        <v>0.0</v>
      </c>
      <c r="R245" s="17">
        <v>0.0</v>
      </c>
      <c r="S245" s="17">
        <v>0.0</v>
      </c>
      <c r="T245" s="17">
        <v>0.0</v>
      </c>
      <c r="U245" s="17">
        <v>0.0</v>
      </c>
    </row>
    <row r="246" ht="23.25" customHeight="1">
      <c r="A246" s="20" t="str">
        <f>IF(COUNTIF('Icon Lookup'!C:C,B246)&gt;0,LOOKUP(B246,'Icon Lookup'!C:C,'Icon Lookup'!B:B),"")</f>
        <v/>
      </c>
      <c r="B246" s="21" t="s">
        <v>398</v>
      </c>
      <c r="C246" s="20"/>
      <c r="D246" s="20">
        <v>32.0</v>
      </c>
      <c r="E246" s="20" t="s">
        <v>399</v>
      </c>
      <c r="G246" s="22"/>
      <c r="H246" s="23" t="s">
        <v>401</v>
      </c>
      <c r="I246" s="20" t="s">
        <v>156</v>
      </c>
      <c r="J246" s="20">
        <v>0.0</v>
      </c>
      <c r="K246" s="20">
        <v>0.0</v>
      </c>
      <c r="L246" s="20">
        <v>0.0</v>
      </c>
      <c r="M246" s="20">
        <v>0.0</v>
      </c>
      <c r="N246" s="20">
        <v>0.0</v>
      </c>
      <c r="O246" s="20">
        <v>0.0</v>
      </c>
      <c r="P246" s="20">
        <v>0.0</v>
      </c>
      <c r="Q246" s="20">
        <v>0.0</v>
      </c>
      <c r="R246" s="20">
        <v>0.0</v>
      </c>
      <c r="S246" s="20">
        <v>0.0</v>
      </c>
      <c r="T246" s="20">
        <v>0.0</v>
      </c>
      <c r="U246" s="20">
        <v>0.0</v>
      </c>
    </row>
    <row r="247" ht="23.25" customHeight="1">
      <c r="A247" s="1"/>
      <c r="B247" s="15" t="s">
        <v>402</v>
      </c>
      <c r="C247" s="1" t="s">
        <v>17</v>
      </c>
      <c r="D247" s="1" t="s">
        <v>403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ht="23.25" customHeight="1">
      <c r="A248" s="17" t="str">
        <f>IF(COUNTIF('Icon Lookup'!C:C,B248)&gt;0,LOOKUP(B248,'Icon Lookup'!C:C,'Icon Lookup'!B:B),"")</f>
        <v/>
      </c>
      <c r="B248" s="18" t="s">
        <v>381</v>
      </c>
      <c r="C248" s="17"/>
      <c r="D248" s="17">
        <v>31.0</v>
      </c>
      <c r="E248" s="17" t="s">
        <v>382</v>
      </c>
      <c r="G248" s="19"/>
      <c r="H248" s="20" t="s">
        <v>404</v>
      </c>
      <c r="I248" s="17" t="s">
        <v>197</v>
      </c>
      <c r="J248" s="17">
        <v>0.0</v>
      </c>
      <c r="K248" s="17">
        <v>0.0</v>
      </c>
      <c r="L248" s="17">
        <v>0.0</v>
      </c>
      <c r="M248" s="17">
        <v>0.0</v>
      </c>
      <c r="N248" s="17">
        <v>0.0</v>
      </c>
      <c r="O248" s="17">
        <v>0.0</v>
      </c>
      <c r="P248" s="17">
        <v>0.0</v>
      </c>
      <c r="Q248" s="17">
        <v>0.0</v>
      </c>
      <c r="R248" s="17">
        <v>0.0</v>
      </c>
      <c r="S248" s="17">
        <v>0.0</v>
      </c>
      <c r="T248" s="17">
        <v>0.0</v>
      </c>
      <c r="U248" s="17">
        <v>0.0</v>
      </c>
    </row>
    <row r="249" ht="23.25" customHeight="1">
      <c r="A249" s="20" t="str">
        <f>IF(COUNTIF('Icon Lookup'!C:C,B249)&gt;0,LOOKUP(B249,'Icon Lookup'!C:C,'Icon Lookup'!B:B),"")</f>
        <v/>
      </c>
      <c r="B249" s="21" t="s">
        <v>405</v>
      </c>
      <c r="C249" s="20"/>
      <c r="D249" s="20">
        <v>31.0</v>
      </c>
      <c r="E249" s="20" t="s">
        <v>382</v>
      </c>
      <c r="G249" s="22"/>
      <c r="H249" s="23" t="s">
        <v>406</v>
      </c>
      <c r="I249" s="20" t="s">
        <v>197</v>
      </c>
      <c r="J249" s="20">
        <v>0.0</v>
      </c>
      <c r="K249" s="20">
        <v>0.0</v>
      </c>
      <c r="L249" s="20">
        <v>0.0</v>
      </c>
      <c r="M249" s="20">
        <v>0.0</v>
      </c>
      <c r="N249" s="20">
        <v>0.0</v>
      </c>
      <c r="O249" s="20">
        <v>0.0</v>
      </c>
      <c r="P249" s="20">
        <v>0.0</v>
      </c>
      <c r="Q249" s="20">
        <v>0.0</v>
      </c>
      <c r="R249" s="20">
        <v>0.0</v>
      </c>
      <c r="S249" s="20">
        <v>0.0</v>
      </c>
      <c r="T249" s="20">
        <v>0.0</v>
      </c>
      <c r="U249" s="20">
        <v>0.0</v>
      </c>
    </row>
    <row r="250" ht="23.25" customHeight="1">
      <c r="A250" s="1"/>
      <c r="B250" s="15" t="s">
        <v>407</v>
      </c>
      <c r="C250" s="1" t="s">
        <v>17</v>
      </c>
      <c r="D250" s="1" t="s">
        <v>408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ht="23.25" customHeight="1">
      <c r="A251" s="17" t="str">
        <f>IF(COUNTIF('Icon Lookup'!C:C,B251)&gt;0,LOOKUP(B251,'Icon Lookup'!C:C,'Icon Lookup'!B:B),"")</f>
        <v/>
      </c>
      <c r="B251" s="18" t="s">
        <v>381</v>
      </c>
      <c r="C251" s="17"/>
      <c r="D251" s="17">
        <v>32.0</v>
      </c>
      <c r="E251" s="17" t="s">
        <v>382</v>
      </c>
      <c r="G251" s="19"/>
      <c r="H251" s="20" t="s">
        <v>409</v>
      </c>
      <c r="I251" s="17" t="s">
        <v>197</v>
      </c>
      <c r="J251" s="17">
        <v>0.0</v>
      </c>
      <c r="K251" s="17">
        <v>0.0</v>
      </c>
      <c r="L251" s="17">
        <v>0.0</v>
      </c>
      <c r="M251" s="17">
        <v>0.0</v>
      </c>
      <c r="N251" s="17">
        <v>0.0</v>
      </c>
      <c r="O251" s="17">
        <v>0.0</v>
      </c>
      <c r="P251" s="17">
        <v>0.0</v>
      </c>
      <c r="Q251" s="17">
        <v>0.0</v>
      </c>
      <c r="R251" s="17">
        <v>0.0</v>
      </c>
      <c r="S251" s="17">
        <v>0.0</v>
      </c>
      <c r="T251" s="17">
        <v>0.0</v>
      </c>
      <c r="U251" s="17">
        <v>0.0</v>
      </c>
    </row>
    <row r="252" ht="23.25" customHeight="1">
      <c r="A252" s="20" t="str">
        <f>IF(COUNTIF('Icon Lookup'!C:C,B252)&gt;0,LOOKUP(B252,'Icon Lookup'!C:C,'Icon Lookup'!B:B),"")</f>
        <v/>
      </c>
      <c r="B252" s="21" t="s">
        <v>410</v>
      </c>
      <c r="C252" s="20"/>
      <c r="D252" s="20">
        <v>30.0</v>
      </c>
      <c r="E252" s="20" t="s">
        <v>411</v>
      </c>
      <c r="G252" s="22"/>
      <c r="H252" s="23" t="s">
        <v>412</v>
      </c>
      <c r="I252" s="20" t="s">
        <v>205</v>
      </c>
      <c r="J252" s="20">
        <v>0.0</v>
      </c>
      <c r="K252" s="20">
        <v>0.0</v>
      </c>
      <c r="L252" s="20">
        <v>0.0</v>
      </c>
      <c r="M252" s="20">
        <v>0.0</v>
      </c>
      <c r="N252" s="20">
        <v>0.0</v>
      </c>
      <c r="O252" s="20">
        <v>0.0</v>
      </c>
      <c r="P252" s="20">
        <v>0.0</v>
      </c>
      <c r="Q252" s="20">
        <v>0.0</v>
      </c>
      <c r="R252" s="20">
        <v>0.0</v>
      </c>
      <c r="S252" s="20">
        <v>0.0</v>
      </c>
      <c r="T252" s="20">
        <v>0.0</v>
      </c>
      <c r="U252" s="20">
        <v>0.0</v>
      </c>
    </row>
    <row r="253" ht="23.25" customHeight="1">
      <c r="A253" s="1"/>
      <c r="B253" s="15" t="s">
        <v>413</v>
      </c>
      <c r="C253" s="1" t="s">
        <v>17</v>
      </c>
      <c r="D253" s="1" t="s">
        <v>414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ht="23.25" customHeight="1">
      <c r="A254" s="17" t="str">
        <f t="shared" ref="A254:A255" si="1">IMAGE("https://www.smogon.com/forums//media/minisprites/shellos-east.png",3)</f>
        <v/>
      </c>
      <c r="B254" s="18" t="s">
        <v>415</v>
      </c>
      <c r="C254" s="17"/>
      <c r="D254" s="17">
        <v>19.0</v>
      </c>
      <c r="E254" s="17" t="s">
        <v>366</v>
      </c>
      <c r="G254" s="19"/>
      <c r="H254" s="20" t="s">
        <v>367</v>
      </c>
      <c r="I254" s="17" t="s">
        <v>105</v>
      </c>
      <c r="J254" s="17">
        <v>0.0</v>
      </c>
      <c r="K254" s="17">
        <v>0.0</v>
      </c>
      <c r="L254" s="17">
        <v>0.0</v>
      </c>
      <c r="M254" s="17">
        <v>0.0</v>
      </c>
      <c r="N254" s="17">
        <v>0.0</v>
      </c>
      <c r="O254" s="17">
        <v>0.0</v>
      </c>
      <c r="P254" s="17">
        <v>0.0</v>
      </c>
      <c r="Q254" s="17">
        <v>0.0</v>
      </c>
      <c r="R254" s="17">
        <v>0.0</v>
      </c>
      <c r="S254" s="17">
        <v>0.0</v>
      </c>
      <c r="T254" s="17">
        <v>0.0</v>
      </c>
      <c r="U254" s="17">
        <v>0.0</v>
      </c>
    </row>
    <row r="255" ht="23.25" customHeight="1">
      <c r="A255" s="20" t="str">
        <f t="shared" si="1"/>
        <v/>
      </c>
      <c r="B255" s="21" t="s">
        <v>415</v>
      </c>
      <c r="C255" s="20"/>
      <c r="D255" s="20">
        <v>21.0</v>
      </c>
      <c r="E255" s="20" t="s">
        <v>366</v>
      </c>
      <c r="G255" s="22"/>
      <c r="H255" s="23" t="s">
        <v>416</v>
      </c>
      <c r="I255" s="20" t="s">
        <v>105</v>
      </c>
      <c r="J255" s="20">
        <v>0.0</v>
      </c>
      <c r="K255" s="20">
        <v>0.0</v>
      </c>
      <c r="L255" s="20">
        <v>0.0</v>
      </c>
      <c r="M255" s="20">
        <v>0.0</v>
      </c>
      <c r="N255" s="20">
        <v>0.0</v>
      </c>
      <c r="O255" s="20">
        <v>0.0</v>
      </c>
      <c r="P255" s="20">
        <v>0.0</v>
      </c>
      <c r="Q255" s="20">
        <v>0.0</v>
      </c>
      <c r="R255" s="20">
        <v>0.0</v>
      </c>
      <c r="S255" s="20">
        <v>0.0</v>
      </c>
      <c r="T255" s="20">
        <v>0.0</v>
      </c>
      <c r="U255" s="20">
        <v>0.0</v>
      </c>
    </row>
    <row r="256" ht="23.25" customHeight="1">
      <c r="A256" s="17" t="str">
        <f>IF(COUNTIF('Icon Lookup'!C:C,B256)&gt;0,LOOKUP(B256,'Icon Lookup'!C:C,'Icon Lookup'!B:B),"")</f>
        <v/>
      </c>
      <c r="B256" s="18" t="s">
        <v>365</v>
      </c>
      <c r="C256" s="17"/>
      <c r="D256" s="17">
        <v>20.0</v>
      </c>
      <c r="E256" s="17" t="s">
        <v>366</v>
      </c>
      <c r="G256" s="19"/>
      <c r="H256" s="20" t="s">
        <v>416</v>
      </c>
      <c r="I256" s="17" t="s">
        <v>105</v>
      </c>
      <c r="J256" s="17">
        <v>0.0</v>
      </c>
      <c r="K256" s="17">
        <v>0.0</v>
      </c>
      <c r="L256" s="17">
        <v>0.0</v>
      </c>
      <c r="M256" s="17">
        <v>0.0</v>
      </c>
      <c r="N256" s="17">
        <v>0.0</v>
      </c>
      <c r="O256" s="17">
        <v>0.0</v>
      </c>
      <c r="P256" s="17">
        <v>0.0</v>
      </c>
      <c r="Q256" s="17">
        <v>0.0</v>
      </c>
      <c r="R256" s="17">
        <v>0.0</v>
      </c>
      <c r="S256" s="17">
        <v>0.0</v>
      </c>
      <c r="T256" s="17">
        <v>0.0</v>
      </c>
      <c r="U256" s="17">
        <v>0.0</v>
      </c>
    </row>
    <row r="257" ht="23.25" customHeight="1">
      <c r="A257" s="1"/>
      <c r="B257" s="15" t="s">
        <v>417</v>
      </c>
      <c r="C257" s="1" t="s">
        <v>17</v>
      </c>
      <c r="D257" s="1" t="s">
        <v>418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ht="23.25" customHeight="1">
      <c r="A258" s="20" t="str">
        <f>IF(COUNTIF('Icon Lookup'!C:C,B258)&gt;0,LOOKUP(B258,'Icon Lookup'!C:C,'Icon Lookup'!B:B),"")</f>
        <v/>
      </c>
      <c r="B258" s="21" t="s">
        <v>419</v>
      </c>
      <c r="C258" s="20"/>
      <c r="D258" s="20">
        <v>23.0</v>
      </c>
      <c r="E258" s="20" t="s">
        <v>31</v>
      </c>
      <c r="G258" s="22"/>
      <c r="H258" s="23" t="s">
        <v>420</v>
      </c>
      <c r="I258" s="20" t="s">
        <v>22</v>
      </c>
      <c r="J258" s="20">
        <v>0.0</v>
      </c>
      <c r="K258" s="20">
        <v>0.0</v>
      </c>
      <c r="L258" s="20">
        <v>0.0</v>
      </c>
      <c r="M258" s="20">
        <v>0.0</v>
      </c>
      <c r="N258" s="20">
        <v>0.0</v>
      </c>
      <c r="O258" s="20">
        <v>0.0</v>
      </c>
      <c r="P258" s="20">
        <v>0.0</v>
      </c>
      <c r="Q258" s="20">
        <v>0.0</v>
      </c>
      <c r="R258" s="20">
        <v>0.0</v>
      </c>
      <c r="S258" s="20">
        <v>0.0</v>
      </c>
      <c r="T258" s="20">
        <v>0.0</v>
      </c>
      <c r="U258" s="20">
        <v>0.0</v>
      </c>
    </row>
    <row r="259" ht="23.25" customHeight="1">
      <c r="A259" s="1"/>
      <c r="B259" s="15" t="s">
        <v>421</v>
      </c>
      <c r="C259" s="1" t="s">
        <v>17</v>
      </c>
      <c r="D259" s="1" t="s">
        <v>422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ht="23.25" customHeight="1">
      <c r="A260" s="17" t="str">
        <f>IF(COUNTIF('Icon Lookup'!C:C,B260)&gt;0,LOOKUP(B260,'Icon Lookup'!C:C,'Icon Lookup'!B:B),"")</f>
        <v/>
      </c>
      <c r="B260" s="18" t="s">
        <v>190</v>
      </c>
      <c r="C260" s="17"/>
      <c r="D260" s="17">
        <v>31.0</v>
      </c>
      <c r="E260" s="17" t="s">
        <v>26</v>
      </c>
      <c r="G260" s="19"/>
      <c r="H260" s="20" t="s">
        <v>308</v>
      </c>
      <c r="I260" s="17" t="s">
        <v>156</v>
      </c>
      <c r="J260" s="17">
        <v>0.0</v>
      </c>
      <c r="K260" s="17">
        <v>0.0</v>
      </c>
      <c r="L260" s="17">
        <v>0.0</v>
      </c>
      <c r="M260" s="17">
        <v>0.0</v>
      </c>
      <c r="N260" s="17">
        <v>0.0</v>
      </c>
      <c r="O260" s="17">
        <v>0.0</v>
      </c>
      <c r="P260" s="17">
        <v>0.0</v>
      </c>
      <c r="Q260" s="17">
        <v>0.0</v>
      </c>
      <c r="R260" s="17">
        <v>0.0</v>
      </c>
      <c r="S260" s="17">
        <v>0.0</v>
      </c>
      <c r="T260" s="17">
        <v>0.0</v>
      </c>
      <c r="U260" s="17">
        <v>0.0</v>
      </c>
    </row>
    <row r="261" ht="23.25" customHeight="1">
      <c r="A261" s="20" t="str">
        <f>IF(COUNTIF('Icon Lookup'!C:C,B261)&gt;0,LOOKUP(B261,'Icon Lookup'!C:C,'Icon Lookup'!B:B),"")</f>
        <v/>
      </c>
      <c r="B261" s="21" t="s">
        <v>90</v>
      </c>
      <c r="C261" s="20"/>
      <c r="D261" s="20">
        <v>31.0</v>
      </c>
      <c r="E261" s="20" t="s">
        <v>91</v>
      </c>
      <c r="G261" s="22"/>
      <c r="H261" s="23" t="s">
        <v>423</v>
      </c>
      <c r="I261" s="20" t="s">
        <v>89</v>
      </c>
      <c r="J261" s="20">
        <v>0.0</v>
      </c>
      <c r="K261" s="20">
        <v>0.0</v>
      </c>
      <c r="L261" s="20">
        <v>0.0</v>
      </c>
      <c r="M261" s="20">
        <v>0.0</v>
      </c>
      <c r="N261" s="20">
        <v>0.0</v>
      </c>
      <c r="O261" s="20">
        <v>0.0</v>
      </c>
      <c r="P261" s="20">
        <v>0.0</v>
      </c>
      <c r="Q261" s="20">
        <v>0.0</v>
      </c>
      <c r="R261" s="20">
        <v>0.0</v>
      </c>
      <c r="S261" s="20">
        <v>0.0</v>
      </c>
      <c r="T261" s="20">
        <v>0.0</v>
      </c>
      <c r="U261" s="20">
        <v>0.0</v>
      </c>
    </row>
    <row r="262" ht="23.25" customHeight="1">
      <c r="A262" s="1"/>
      <c r="B262" s="15" t="s">
        <v>424</v>
      </c>
      <c r="C262" s="1" t="s">
        <v>17</v>
      </c>
      <c r="D262" s="1" t="s">
        <v>425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ht="23.25" customHeight="1">
      <c r="A263" s="17" t="str">
        <f>IF(COUNTIF('Icon Lookup'!C:C,B263)&gt;0,LOOKUP(B263,'Icon Lookup'!C:C,'Icon Lookup'!B:B),"")</f>
        <v/>
      </c>
      <c r="B263" s="18" t="s">
        <v>43</v>
      </c>
      <c r="C263" s="17"/>
      <c r="D263" s="17">
        <v>19.0</v>
      </c>
      <c r="E263" s="17" t="s">
        <v>44</v>
      </c>
      <c r="G263" s="19"/>
      <c r="H263" s="20" t="s">
        <v>426</v>
      </c>
      <c r="I263" s="17" t="s">
        <v>89</v>
      </c>
      <c r="J263" s="17">
        <v>0.0</v>
      </c>
      <c r="K263" s="17">
        <v>0.0</v>
      </c>
      <c r="L263" s="17">
        <v>0.0</v>
      </c>
      <c r="M263" s="17">
        <v>0.0</v>
      </c>
      <c r="N263" s="17">
        <v>0.0</v>
      </c>
      <c r="O263" s="17">
        <v>0.0</v>
      </c>
      <c r="P263" s="17">
        <v>0.0</v>
      </c>
      <c r="Q263" s="17">
        <v>0.0</v>
      </c>
      <c r="R263" s="17">
        <v>0.0</v>
      </c>
      <c r="S263" s="17">
        <v>0.0</v>
      </c>
      <c r="T263" s="17">
        <v>0.0</v>
      </c>
      <c r="U263" s="17">
        <v>0.0</v>
      </c>
    </row>
    <row r="264" ht="23.25" customHeight="1">
      <c r="A264" s="20" t="str">
        <f>IF(COUNTIF('Icon Lookup'!C:C,B264)&gt;0,LOOKUP(B264,'Icon Lookup'!C:C,'Icon Lookup'!B:B),"")</f>
        <v/>
      </c>
      <c r="B264" s="21" t="s">
        <v>427</v>
      </c>
      <c r="C264" s="20"/>
      <c r="D264" s="20">
        <v>19.0</v>
      </c>
      <c r="E264" s="20" t="s">
        <v>428</v>
      </c>
      <c r="G264" s="22"/>
      <c r="H264" s="23" t="s">
        <v>429</v>
      </c>
      <c r="I264" s="20" t="s">
        <v>94</v>
      </c>
      <c r="J264" s="20">
        <v>0.0</v>
      </c>
      <c r="K264" s="20">
        <v>0.0</v>
      </c>
      <c r="L264" s="20">
        <v>0.0</v>
      </c>
      <c r="M264" s="20">
        <v>0.0</v>
      </c>
      <c r="N264" s="20">
        <v>0.0</v>
      </c>
      <c r="O264" s="20">
        <v>0.0</v>
      </c>
      <c r="P264" s="20">
        <v>0.0</v>
      </c>
      <c r="Q264" s="20">
        <v>0.0</v>
      </c>
      <c r="R264" s="20">
        <v>0.0</v>
      </c>
      <c r="S264" s="20">
        <v>0.0</v>
      </c>
      <c r="T264" s="20">
        <v>0.0</v>
      </c>
      <c r="U264" s="20">
        <v>0.0</v>
      </c>
    </row>
    <row r="265" ht="23.25" customHeight="1">
      <c r="A265" s="17" t="str">
        <f>IF(COUNTIF('Icon Lookup'!C:C,B265)&gt;0,LOOKUP(B265,'Icon Lookup'!C:C,'Icon Lookup'!B:B),"")</f>
        <v/>
      </c>
      <c r="B265" s="18" t="s">
        <v>190</v>
      </c>
      <c r="C265" s="17"/>
      <c r="D265" s="17">
        <v>22.0</v>
      </c>
      <c r="E265" s="17" t="s">
        <v>26</v>
      </c>
      <c r="G265" s="19"/>
      <c r="H265" s="20" t="s">
        <v>430</v>
      </c>
      <c r="I265" s="17" t="s">
        <v>156</v>
      </c>
      <c r="J265" s="17">
        <v>0.0</v>
      </c>
      <c r="K265" s="17">
        <v>0.0</v>
      </c>
      <c r="L265" s="17">
        <v>0.0</v>
      </c>
      <c r="M265" s="17">
        <v>0.0</v>
      </c>
      <c r="N265" s="17">
        <v>0.0</v>
      </c>
      <c r="O265" s="17">
        <v>0.0</v>
      </c>
      <c r="P265" s="17">
        <v>0.0</v>
      </c>
      <c r="Q265" s="17">
        <v>0.0</v>
      </c>
      <c r="R265" s="17">
        <v>0.0</v>
      </c>
      <c r="S265" s="17">
        <v>0.0</v>
      </c>
      <c r="T265" s="17">
        <v>0.0</v>
      </c>
      <c r="U265" s="17">
        <v>0.0</v>
      </c>
    </row>
    <row r="266" ht="23.25" customHeight="1">
      <c r="A266" s="1"/>
      <c r="B266" s="15" t="s">
        <v>431</v>
      </c>
      <c r="C266" s="1" t="s">
        <v>17</v>
      </c>
      <c r="D266" s="1" t="s">
        <v>432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ht="23.25" customHeight="1">
      <c r="A267" s="20" t="str">
        <f>IF(COUNTIF('Icon Lookup'!C:C,B267)&gt;0,LOOKUP(B267,'Icon Lookup'!C:C,'Icon Lookup'!B:B),"")</f>
        <v/>
      </c>
      <c r="B267" s="21" t="s">
        <v>433</v>
      </c>
      <c r="C267" s="20"/>
      <c r="D267" s="20">
        <v>24.0</v>
      </c>
      <c r="E267" s="20" t="s">
        <v>434</v>
      </c>
      <c r="G267" s="22"/>
      <c r="H267" s="23" t="s">
        <v>435</v>
      </c>
      <c r="I267" s="20" t="s">
        <v>89</v>
      </c>
      <c r="J267" s="20">
        <v>0.0</v>
      </c>
      <c r="K267" s="20">
        <v>0.0</v>
      </c>
      <c r="L267" s="20">
        <v>0.0</v>
      </c>
      <c r="M267" s="20">
        <v>0.0</v>
      </c>
      <c r="N267" s="20">
        <v>0.0</v>
      </c>
      <c r="O267" s="20">
        <v>0.0</v>
      </c>
      <c r="P267" s="20">
        <v>0.0</v>
      </c>
      <c r="Q267" s="20">
        <v>0.0</v>
      </c>
      <c r="R267" s="20">
        <v>0.0</v>
      </c>
      <c r="S267" s="20">
        <v>0.0</v>
      </c>
      <c r="T267" s="20">
        <v>0.0</v>
      </c>
      <c r="U267" s="20">
        <v>0.0</v>
      </c>
    </row>
    <row r="268" ht="23.25" customHeight="1">
      <c r="A268" s="17" t="str">
        <f>IF(COUNTIF('Icon Lookup'!C:C,B268)&gt;0,LOOKUP(B268,'Icon Lookup'!C:C,'Icon Lookup'!B:B),"")</f>
        <v/>
      </c>
      <c r="B268" s="18" t="s">
        <v>86</v>
      </c>
      <c r="C268" s="17"/>
      <c r="D268" s="17">
        <v>22.0</v>
      </c>
      <c r="E268" s="17" t="s">
        <v>98</v>
      </c>
      <c r="G268" s="19"/>
      <c r="H268" s="20" t="s">
        <v>177</v>
      </c>
      <c r="I268" s="17" t="s">
        <v>89</v>
      </c>
      <c r="J268" s="17">
        <v>0.0</v>
      </c>
      <c r="K268" s="17">
        <v>0.0</v>
      </c>
      <c r="L268" s="17">
        <v>0.0</v>
      </c>
      <c r="M268" s="17">
        <v>0.0</v>
      </c>
      <c r="N268" s="17">
        <v>0.0</v>
      </c>
      <c r="O268" s="17">
        <v>0.0</v>
      </c>
      <c r="P268" s="17">
        <v>0.0</v>
      </c>
      <c r="Q268" s="17">
        <v>0.0</v>
      </c>
      <c r="R268" s="17">
        <v>0.0</v>
      </c>
      <c r="S268" s="17">
        <v>0.0</v>
      </c>
      <c r="T268" s="17">
        <v>0.0</v>
      </c>
      <c r="U268" s="17">
        <v>0.0</v>
      </c>
    </row>
    <row r="269" ht="23.25" customHeight="1">
      <c r="A269" s="20" t="str">
        <f>IF(COUNTIF('Icon Lookup'!C:C,B269)&gt;0,LOOKUP(B269,'Icon Lookup'!C:C,'Icon Lookup'!B:B),"")</f>
        <v/>
      </c>
      <c r="B269" s="21" t="s">
        <v>160</v>
      </c>
      <c r="C269" s="20"/>
      <c r="D269" s="20">
        <v>23.0</v>
      </c>
      <c r="E269" s="20" t="s">
        <v>161</v>
      </c>
      <c r="G269" s="22"/>
      <c r="H269" s="23" t="s">
        <v>162</v>
      </c>
      <c r="I269" s="20" t="s">
        <v>94</v>
      </c>
      <c r="J269" s="20">
        <v>0.0</v>
      </c>
      <c r="K269" s="20">
        <v>0.0</v>
      </c>
      <c r="L269" s="20">
        <v>0.0</v>
      </c>
      <c r="M269" s="20">
        <v>0.0</v>
      </c>
      <c r="N269" s="20">
        <v>0.0</v>
      </c>
      <c r="O269" s="20">
        <v>0.0</v>
      </c>
      <c r="P269" s="20">
        <v>0.0</v>
      </c>
      <c r="Q269" s="20">
        <v>0.0</v>
      </c>
      <c r="R269" s="20">
        <v>0.0</v>
      </c>
      <c r="S269" s="20">
        <v>0.0</v>
      </c>
      <c r="T269" s="20">
        <v>0.0</v>
      </c>
      <c r="U269" s="20">
        <v>0.0</v>
      </c>
    </row>
    <row r="270" ht="23.25" customHeight="1">
      <c r="A270" s="1"/>
      <c r="B270" s="15" t="s">
        <v>436</v>
      </c>
      <c r="C270" s="1" t="s">
        <v>17</v>
      </c>
      <c r="D270" s="1" t="s">
        <v>437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ht="23.25" customHeight="1">
      <c r="A271" s="17" t="str">
        <f>IF(COUNTIF('Icon Lookup'!C:C,B271)&gt;0,LOOKUP(B271,'Icon Lookup'!C:C,'Icon Lookup'!B:B),"")</f>
        <v/>
      </c>
      <c r="B271" s="18" t="s">
        <v>438</v>
      </c>
      <c r="C271" s="17"/>
      <c r="D271" s="17">
        <v>26.0</v>
      </c>
      <c r="E271" s="17" t="s">
        <v>98</v>
      </c>
      <c r="G271" s="19"/>
      <c r="H271" s="20" t="s">
        <v>439</v>
      </c>
      <c r="I271" s="17" t="s">
        <v>89</v>
      </c>
      <c r="J271" s="17">
        <v>0.0</v>
      </c>
      <c r="K271" s="17">
        <v>0.0</v>
      </c>
      <c r="L271" s="17">
        <v>0.0</v>
      </c>
      <c r="M271" s="17">
        <v>0.0</v>
      </c>
      <c r="N271" s="17">
        <v>0.0</v>
      </c>
      <c r="O271" s="17">
        <v>0.0</v>
      </c>
      <c r="P271" s="17">
        <v>0.0</v>
      </c>
      <c r="Q271" s="17">
        <v>0.0</v>
      </c>
      <c r="R271" s="17">
        <v>0.0</v>
      </c>
      <c r="S271" s="17">
        <v>0.0</v>
      </c>
      <c r="T271" s="17">
        <v>0.0</v>
      </c>
      <c r="U271" s="17">
        <v>0.0</v>
      </c>
    </row>
    <row r="272" ht="23.25" customHeight="1">
      <c r="A272" s="1"/>
      <c r="B272" s="15" t="s">
        <v>440</v>
      </c>
      <c r="C272" s="1" t="s">
        <v>17</v>
      </c>
      <c r="D272" s="1" t="s">
        <v>441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ht="23.25" customHeight="1">
      <c r="A273" s="20" t="str">
        <f>IF(COUNTIF('Icon Lookup'!C:C,B273)&gt;0,LOOKUP(B273,'Icon Lookup'!C:C,'Icon Lookup'!B:B),"")</f>
        <v/>
      </c>
      <c r="B273" s="21" t="s">
        <v>442</v>
      </c>
      <c r="C273" s="20"/>
      <c r="D273" s="20">
        <v>23.0</v>
      </c>
      <c r="E273" s="20" t="s">
        <v>161</v>
      </c>
      <c r="G273" s="22"/>
      <c r="H273" s="23" t="s">
        <v>443</v>
      </c>
      <c r="I273" s="20" t="s">
        <v>52</v>
      </c>
      <c r="J273" s="20">
        <v>0.0</v>
      </c>
      <c r="K273" s="20">
        <v>0.0</v>
      </c>
      <c r="L273" s="20">
        <v>0.0</v>
      </c>
      <c r="M273" s="20">
        <v>0.0</v>
      </c>
      <c r="N273" s="20">
        <v>0.0</v>
      </c>
      <c r="O273" s="20">
        <v>0.0</v>
      </c>
      <c r="P273" s="20">
        <v>0.0</v>
      </c>
      <c r="Q273" s="20">
        <v>0.0</v>
      </c>
      <c r="R273" s="20">
        <v>0.0</v>
      </c>
      <c r="S273" s="20">
        <v>0.0</v>
      </c>
      <c r="T273" s="20">
        <v>0.0</v>
      </c>
      <c r="U273" s="20">
        <v>0.0</v>
      </c>
    </row>
    <row r="274" ht="23.25" customHeight="1">
      <c r="A274" s="17" t="str">
        <f>IF(COUNTIF('Icon Lookup'!C:C,B274)&gt;0,LOOKUP(B274,'Icon Lookup'!C:C,'Icon Lookup'!B:B),"")</f>
        <v/>
      </c>
      <c r="B274" s="18" t="s">
        <v>386</v>
      </c>
      <c r="C274" s="17"/>
      <c r="D274" s="17">
        <v>23.0</v>
      </c>
      <c r="E274" s="17" t="s">
        <v>387</v>
      </c>
      <c r="G274" s="19"/>
      <c r="H274" s="20" t="s">
        <v>444</v>
      </c>
      <c r="I274" s="17" t="s">
        <v>52</v>
      </c>
      <c r="J274" s="17">
        <v>0.0</v>
      </c>
      <c r="K274" s="17">
        <v>0.0</v>
      </c>
      <c r="L274" s="17">
        <v>0.0</v>
      </c>
      <c r="M274" s="17">
        <v>0.0</v>
      </c>
      <c r="N274" s="17">
        <v>0.0</v>
      </c>
      <c r="O274" s="17">
        <v>0.0</v>
      </c>
      <c r="P274" s="17">
        <v>0.0</v>
      </c>
      <c r="Q274" s="17">
        <v>0.0</v>
      </c>
      <c r="R274" s="17">
        <v>0.0</v>
      </c>
      <c r="S274" s="17">
        <v>0.0</v>
      </c>
      <c r="T274" s="17">
        <v>0.0</v>
      </c>
      <c r="U274" s="17">
        <v>0.0</v>
      </c>
    </row>
    <row r="275" ht="23.25" customHeight="1">
      <c r="A275" s="1"/>
      <c r="B275" s="15" t="s">
        <v>445</v>
      </c>
      <c r="C275" s="1" t="s">
        <v>17</v>
      </c>
      <c r="D275" s="1" t="s">
        <v>446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ht="23.25" customHeight="1">
      <c r="A276" s="20" t="str">
        <f>IF(COUNTIF('Icon Lookup'!C:C,B276)&gt;0,LOOKUP(B276,'Icon Lookup'!C:C,'Icon Lookup'!B:B),"")</f>
        <v/>
      </c>
      <c r="B276" s="21" t="s">
        <v>447</v>
      </c>
      <c r="C276" s="20"/>
      <c r="D276" s="20">
        <v>22.0</v>
      </c>
      <c r="E276" s="20" t="s">
        <v>161</v>
      </c>
      <c r="G276" s="22"/>
      <c r="H276" s="23" t="s">
        <v>448</v>
      </c>
      <c r="I276" s="20" t="s">
        <v>52</v>
      </c>
      <c r="J276" s="20">
        <v>0.0</v>
      </c>
      <c r="K276" s="20">
        <v>0.0</v>
      </c>
      <c r="L276" s="20">
        <v>0.0</v>
      </c>
      <c r="M276" s="20">
        <v>0.0</v>
      </c>
      <c r="N276" s="20">
        <v>0.0</v>
      </c>
      <c r="O276" s="20">
        <v>0.0</v>
      </c>
      <c r="P276" s="20">
        <v>0.0</v>
      </c>
      <c r="Q276" s="20">
        <v>0.0</v>
      </c>
      <c r="R276" s="20">
        <v>0.0</v>
      </c>
      <c r="S276" s="20">
        <v>0.0</v>
      </c>
      <c r="T276" s="20">
        <v>0.0</v>
      </c>
      <c r="U276" s="20">
        <v>0.0</v>
      </c>
    </row>
    <row r="277" ht="23.25" customHeight="1">
      <c r="A277" s="17" t="str">
        <f>IF(COUNTIF('Icon Lookup'!C:C,B277)&gt;0,LOOKUP(B277,'Icon Lookup'!C:C,'Icon Lookup'!B:B),"")</f>
        <v/>
      </c>
      <c r="B277" s="18" t="s">
        <v>449</v>
      </c>
      <c r="C277" s="17"/>
      <c r="D277" s="17">
        <v>23.0</v>
      </c>
      <c r="E277" s="17" t="s">
        <v>161</v>
      </c>
      <c r="G277" s="19"/>
      <c r="H277" s="20" t="s">
        <v>450</v>
      </c>
      <c r="I277" s="17" t="s">
        <v>52</v>
      </c>
      <c r="J277" s="17">
        <v>0.0</v>
      </c>
      <c r="K277" s="17">
        <v>0.0</v>
      </c>
      <c r="L277" s="17">
        <v>0.0</v>
      </c>
      <c r="M277" s="17">
        <v>0.0</v>
      </c>
      <c r="N277" s="17">
        <v>0.0</v>
      </c>
      <c r="O277" s="17">
        <v>0.0</v>
      </c>
      <c r="P277" s="17">
        <v>0.0</v>
      </c>
      <c r="Q277" s="17">
        <v>0.0</v>
      </c>
      <c r="R277" s="17">
        <v>0.0</v>
      </c>
      <c r="S277" s="17">
        <v>0.0</v>
      </c>
      <c r="T277" s="17">
        <v>0.0</v>
      </c>
      <c r="U277" s="17">
        <v>0.0</v>
      </c>
    </row>
    <row r="278" ht="23.25" customHeight="1">
      <c r="A278" s="20" t="str">
        <f>IF(COUNTIF('Icon Lookup'!C:C,B278)&gt;0,LOOKUP(B278,'Icon Lookup'!C:C,'Icon Lookup'!B:B),"")</f>
        <v/>
      </c>
      <c r="B278" s="21" t="s">
        <v>386</v>
      </c>
      <c r="C278" s="20"/>
      <c r="D278" s="20">
        <v>24.0</v>
      </c>
      <c r="E278" s="20" t="s">
        <v>387</v>
      </c>
      <c r="G278" s="22"/>
      <c r="H278" s="23" t="s">
        <v>444</v>
      </c>
      <c r="I278" s="20" t="s">
        <v>52</v>
      </c>
      <c r="J278" s="20">
        <v>0.0</v>
      </c>
      <c r="K278" s="20">
        <v>0.0</v>
      </c>
      <c r="L278" s="20">
        <v>0.0</v>
      </c>
      <c r="M278" s="20">
        <v>0.0</v>
      </c>
      <c r="N278" s="20">
        <v>0.0</v>
      </c>
      <c r="O278" s="20">
        <v>0.0</v>
      </c>
      <c r="P278" s="20">
        <v>0.0</v>
      </c>
      <c r="Q278" s="20">
        <v>0.0</v>
      </c>
      <c r="R278" s="20">
        <v>0.0</v>
      </c>
      <c r="S278" s="20">
        <v>0.0</v>
      </c>
      <c r="T278" s="20">
        <v>0.0</v>
      </c>
      <c r="U278" s="20">
        <v>0.0</v>
      </c>
    </row>
    <row r="279" ht="23.25" customHeight="1">
      <c r="A279" s="1"/>
      <c r="B279" s="15" t="s">
        <v>451</v>
      </c>
      <c r="C279" s="1" t="s">
        <v>17</v>
      </c>
      <c r="D279" s="1" t="s">
        <v>452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ht="23.25" customHeight="1">
      <c r="A280" s="17" t="str">
        <f>IF(COUNTIF('Icon Lookup'!C:C,B280)&gt;0,LOOKUP(B280,'Icon Lookup'!C:C,'Icon Lookup'!B:B),"")</f>
        <v/>
      </c>
      <c r="B280" s="18" t="s">
        <v>110</v>
      </c>
      <c r="C280" s="17"/>
      <c r="D280" s="17">
        <v>23.0</v>
      </c>
      <c r="E280" s="17" t="s">
        <v>111</v>
      </c>
      <c r="G280" s="19"/>
      <c r="H280" s="20" t="s">
        <v>112</v>
      </c>
      <c r="I280" s="17" t="s">
        <v>52</v>
      </c>
      <c r="J280" s="17">
        <v>0.0</v>
      </c>
      <c r="K280" s="17">
        <v>0.0</v>
      </c>
      <c r="L280" s="17">
        <v>0.0</v>
      </c>
      <c r="M280" s="17">
        <v>0.0</v>
      </c>
      <c r="N280" s="17">
        <v>0.0</v>
      </c>
      <c r="O280" s="17">
        <v>0.0</v>
      </c>
      <c r="P280" s="17">
        <v>0.0</v>
      </c>
      <c r="Q280" s="17">
        <v>0.0</v>
      </c>
      <c r="R280" s="17">
        <v>0.0</v>
      </c>
      <c r="S280" s="17">
        <v>0.0</v>
      </c>
      <c r="T280" s="17">
        <v>0.0</v>
      </c>
      <c r="U280" s="17">
        <v>0.0</v>
      </c>
    </row>
    <row r="281" ht="23.25" customHeight="1">
      <c r="A281" s="20" t="str">
        <f>IF(COUNTIF('Icon Lookup'!C:C,B281)&gt;0,LOOKUP(B281,'Icon Lookup'!C:C,'Icon Lookup'!B:B),"")</f>
        <v/>
      </c>
      <c r="B281" s="21" t="s">
        <v>110</v>
      </c>
      <c r="C281" s="20"/>
      <c r="D281" s="20">
        <v>23.0</v>
      </c>
      <c r="E281" s="20" t="s">
        <v>111</v>
      </c>
      <c r="G281" s="22"/>
      <c r="H281" s="23" t="s">
        <v>453</v>
      </c>
      <c r="I281" s="20" t="s">
        <v>22</v>
      </c>
      <c r="J281" s="20">
        <v>0.0</v>
      </c>
      <c r="K281" s="20">
        <v>0.0</v>
      </c>
      <c r="L281" s="20">
        <v>0.0</v>
      </c>
      <c r="M281" s="20">
        <v>0.0</v>
      </c>
      <c r="N281" s="20">
        <v>0.0</v>
      </c>
      <c r="O281" s="20">
        <v>0.0</v>
      </c>
      <c r="P281" s="20">
        <v>0.0</v>
      </c>
      <c r="Q281" s="20">
        <v>0.0</v>
      </c>
      <c r="R281" s="20">
        <v>0.0</v>
      </c>
      <c r="S281" s="20">
        <v>0.0</v>
      </c>
      <c r="T281" s="20">
        <v>0.0</v>
      </c>
      <c r="U281" s="20">
        <v>0.0</v>
      </c>
    </row>
    <row r="282" ht="23.25" customHeight="1">
      <c r="A282" s="17" t="str">
        <f>IF(COUNTIF('Icon Lookup'!C:C,B282)&gt;0,LOOKUP(B282,'Icon Lookup'!C:C,'Icon Lookup'!B:B),"")</f>
        <v/>
      </c>
      <c r="B282" s="18" t="s">
        <v>110</v>
      </c>
      <c r="C282" s="17"/>
      <c r="D282" s="17">
        <v>23.0</v>
      </c>
      <c r="E282" s="17" t="s">
        <v>111</v>
      </c>
      <c r="G282" s="19"/>
      <c r="H282" s="20" t="s">
        <v>454</v>
      </c>
      <c r="I282" s="17" t="s">
        <v>22</v>
      </c>
      <c r="J282" s="17">
        <v>0.0</v>
      </c>
      <c r="K282" s="17">
        <v>0.0</v>
      </c>
      <c r="L282" s="17">
        <v>0.0</v>
      </c>
      <c r="M282" s="17">
        <v>0.0</v>
      </c>
      <c r="N282" s="17">
        <v>0.0</v>
      </c>
      <c r="O282" s="17">
        <v>0.0</v>
      </c>
      <c r="P282" s="17">
        <v>0.0</v>
      </c>
      <c r="Q282" s="17">
        <v>0.0</v>
      </c>
      <c r="R282" s="17">
        <v>0.0</v>
      </c>
      <c r="S282" s="17">
        <v>0.0</v>
      </c>
      <c r="T282" s="17">
        <v>0.0</v>
      </c>
      <c r="U282" s="17">
        <v>0.0</v>
      </c>
    </row>
    <row r="283" ht="23.25" customHeight="1">
      <c r="A283" s="1"/>
      <c r="B283" s="15" t="s">
        <v>455</v>
      </c>
      <c r="C283" s="1" t="s">
        <v>17</v>
      </c>
      <c r="D283" s="1" t="s">
        <v>456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ht="23.25" customHeight="1">
      <c r="A284" s="20" t="str">
        <f>IF(COUNTIF('Icon Lookup'!C:C,B284)&gt;0,LOOKUP(B284,'Icon Lookup'!C:C,'Icon Lookup'!B:B),"")</f>
        <v/>
      </c>
      <c r="B284" s="21" t="s">
        <v>165</v>
      </c>
      <c r="C284" s="20"/>
      <c r="D284" s="20">
        <v>23.0</v>
      </c>
      <c r="E284" s="20" t="s">
        <v>166</v>
      </c>
      <c r="G284" s="22"/>
      <c r="H284" s="23" t="s">
        <v>457</v>
      </c>
      <c r="I284" s="20" t="s">
        <v>94</v>
      </c>
      <c r="J284" s="20">
        <v>0.0</v>
      </c>
      <c r="K284" s="20">
        <v>0.0</v>
      </c>
      <c r="L284" s="20">
        <v>0.0</v>
      </c>
      <c r="M284" s="20">
        <v>0.0</v>
      </c>
      <c r="N284" s="20">
        <v>0.0</v>
      </c>
      <c r="O284" s="20">
        <v>0.0</v>
      </c>
      <c r="P284" s="20">
        <v>0.0</v>
      </c>
      <c r="Q284" s="20">
        <v>0.0</v>
      </c>
      <c r="R284" s="20">
        <v>0.0</v>
      </c>
      <c r="S284" s="20">
        <v>0.0</v>
      </c>
      <c r="T284" s="20">
        <v>0.0</v>
      </c>
      <c r="U284" s="20">
        <v>0.0</v>
      </c>
    </row>
    <row r="285" ht="23.25" customHeight="1">
      <c r="A285" s="17" t="str">
        <f>IF(COUNTIF('Icon Lookup'!C:C,B285)&gt;0,LOOKUP(B285,'Icon Lookup'!C:C,'Icon Lookup'!B:B),"")</f>
        <v/>
      </c>
      <c r="B285" s="18" t="s">
        <v>90</v>
      </c>
      <c r="C285" s="17"/>
      <c r="D285" s="17">
        <v>22.0</v>
      </c>
      <c r="E285" s="17" t="s">
        <v>91</v>
      </c>
      <c r="G285" s="19"/>
      <c r="H285" s="20" t="s">
        <v>458</v>
      </c>
      <c r="I285" s="17" t="s">
        <v>89</v>
      </c>
      <c r="J285" s="17">
        <v>0.0</v>
      </c>
      <c r="K285" s="17">
        <v>0.0</v>
      </c>
      <c r="L285" s="17">
        <v>0.0</v>
      </c>
      <c r="M285" s="17">
        <v>0.0</v>
      </c>
      <c r="N285" s="17">
        <v>0.0</v>
      </c>
      <c r="O285" s="17">
        <v>0.0</v>
      </c>
      <c r="P285" s="17">
        <v>0.0</v>
      </c>
      <c r="Q285" s="17">
        <v>0.0</v>
      </c>
      <c r="R285" s="17">
        <v>0.0</v>
      </c>
      <c r="S285" s="17">
        <v>0.0</v>
      </c>
      <c r="T285" s="17">
        <v>0.0</v>
      </c>
      <c r="U285" s="17">
        <v>0.0</v>
      </c>
    </row>
    <row r="286" ht="23.25" customHeight="1">
      <c r="A286" s="20" t="str">
        <f>IF(COUNTIF('Icon Lookup'!C:C,B286)&gt;0,LOOKUP(B286,'Icon Lookup'!C:C,'Icon Lookup'!B:B),"")</f>
        <v/>
      </c>
      <c r="B286" s="21" t="s">
        <v>165</v>
      </c>
      <c r="C286" s="20"/>
      <c r="D286" s="20">
        <v>21.0</v>
      </c>
      <c r="E286" s="20" t="s">
        <v>166</v>
      </c>
      <c r="G286" s="22"/>
      <c r="H286" s="23" t="s">
        <v>457</v>
      </c>
      <c r="I286" s="20" t="s">
        <v>94</v>
      </c>
      <c r="J286" s="20">
        <v>0.0</v>
      </c>
      <c r="K286" s="20">
        <v>0.0</v>
      </c>
      <c r="L286" s="20">
        <v>0.0</v>
      </c>
      <c r="M286" s="20">
        <v>0.0</v>
      </c>
      <c r="N286" s="20">
        <v>0.0</v>
      </c>
      <c r="O286" s="20">
        <v>0.0</v>
      </c>
      <c r="P286" s="20">
        <v>0.0</v>
      </c>
      <c r="Q286" s="20">
        <v>0.0</v>
      </c>
      <c r="R286" s="20">
        <v>0.0</v>
      </c>
      <c r="S286" s="20">
        <v>0.0</v>
      </c>
      <c r="T286" s="20">
        <v>0.0</v>
      </c>
      <c r="U286" s="20">
        <v>0.0</v>
      </c>
    </row>
    <row r="287" ht="23.25" customHeight="1">
      <c r="A287" s="1"/>
      <c r="B287" s="15" t="s">
        <v>459</v>
      </c>
      <c r="C287" s="1" t="s">
        <v>17</v>
      </c>
      <c r="D287" s="1" t="s">
        <v>460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ht="23.25" customHeight="1">
      <c r="A288" s="17" t="str">
        <f>IF(COUNTIF('Icon Lookup'!C:C,B288)&gt;0,LOOKUP(B288,'Icon Lookup'!C:C,'Icon Lookup'!B:B),"")</f>
        <v/>
      </c>
      <c r="B288" s="18" t="s">
        <v>288</v>
      </c>
      <c r="C288" s="17"/>
      <c r="D288" s="17">
        <v>25.0</v>
      </c>
      <c r="E288" s="17" t="s">
        <v>289</v>
      </c>
      <c r="G288" s="19"/>
      <c r="H288" s="20" t="s">
        <v>461</v>
      </c>
      <c r="I288" s="17" t="s">
        <v>94</v>
      </c>
      <c r="J288" s="17">
        <v>0.0</v>
      </c>
      <c r="K288" s="17">
        <v>0.0</v>
      </c>
      <c r="L288" s="17">
        <v>0.0</v>
      </c>
      <c r="M288" s="17">
        <v>0.0</v>
      </c>
      <c r="N288" s="17">
        <v>0.0</v>
      </c>
      <c r="O288" s="17">
        <v>0.0</v>
      </c>
      <c r="P288" s="17">
        <v>0.0</v>
      </c>
      <c r="Q288" s="17">
        <v>0.0</v>
      </c>
      <c r="R288" s="17">
        <v>0.0</v>
      </c>
      <c r="S288" s="17">
        <v>0.0</v>
      </c>
      <c r="T288" s="17">
        <v>0.0</v>
      </c>
      <c r="U288" s="17">
        <v>0.0</v>
      </c>
    </row>
    <row r="289" ht="23.25" customHeight="1">
      <c r="A289" s="1"/>
      <c r="B289" s="15" t="s">
        <v>462</v>
      </c>
      <c r="C289" s="1" t="s">
        <v>17</v>
      </c>
      <c r="D289" s="1" t="s">
        <v>463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ht="23.25" customHeight="1">
      <c r="A290" s="20" t="str">
        <f>IF(COUNTIF('Icon Lookup'!C:C,B290)&gt;0,LOOKUP(B290,'Icon Lookup'!C:C,'Icon Lookup'!B:B),"")</f>
        <v/>
      </c>
      <c r="B290" s="21" t="s">
        <v>288</v>
      </c>
      <c r="C290" s="20"/>
      <c r="D290" s="20">
        <v>21.0</v>
      </c>
      <c r="E290" s="20" t="s">
        <v>289</v>
      </c>
      <c r="G290" s="22"/>
      <c r="H290" s="23" t="s">
        <v>464</v>
      </c>
      <c r="I290" s="20" t="s">
        <v>94</v>
      </c>
      <c r="J290" s="20">
        <v>0.0</v>
      </c>
      <c r="K290" s="20">
        <v>0.0</v>
      </c>
      <c r="L290" s="20">
        <v>0.0</v>
      </c>
      <c r="M290" s="20">
        <v>0.0</v>
      </c>
      <c r="N290" s="20">
        <v>0.0</v>
      </c>
      <c r="O290" s="20">
        <v>0.0</v>
      </c>
      <c r="P290" s="20">
        <v>0.0</v>
      </c>
      <c r="Q290" s="20">
        <v>0.0</v>
      </c>
      <c r="R290" s="20">
        <v>0.0</v>
      </c>
      <c r="S290" s="20">
        <v>0.0</v>
      </c>
      <c r="T290" s="20">
        <v>0.0</v>
      </c>
      <c r="U290" s="20">
        <v>0.0</v>
      </c>
    </row>
    <row r="291" ht="23.25" customHeight="1">
      <c r="A291" s="17" t="str">
        <f>IF(COUNTIF('Icon Lookup'!C:C,B291)&gt;0,LOOKUP(B291,'Icon Lookup'!C:C,'Icon Lookup'!B:B),"")</f>
        <v/>
      </c>
      <c r="B291" s="18" t="s">
        <v>165</v>
      </c>
      <c r="C291" s="17"/>
      <c r="D291" s="17">
        <v>23.0</v>
      </c>
      <c r="E291" s="17" t="s">
        <v>166</v>
      </c>
      <c r="G291" s="19"/>
      <c r="H291" s="20" t="s">
        <v>465</v>
      </c>
      <c r="I291" s="17" t="s">
        <v>94</v>
      </c>
      <c r="J291" s="17">
        <v>0.0</v>
      </c>
      <c r="K291" s="17">
        <v>0.0</v>
      </c>
      <c r="L291" s="17">
        <v>0.0</v>
      </c>
      <c r="M291" s="17">
        <v>0.0</v>
      </c>
      <c r="N291" s="17">
        <v>0.0</v>
      </c>
      <c r="O291" s="17">
        <v>0.0</v>
      </c>
      <c r="P291" s="17">
        <v>0.0</v>
      </c>
      <c r="Q291" s="17">
        <v>0.0</v>
      </c>
      <c r="R291" s="17">
        <v>0.0</v>
      </c>
      <c r="S291" s="17">
        <v>0.0</v>
      </c>
      <c r="T291" s="17">
        <v>0.0</v>
      </c>
      <c r="U291" s="17">
        <v>0.0</v>
      </c>
    </row>
    <row r="292" ht="23.25" customHeight="1">
      <c r="A292" s="20" t="str">
        <f>IF(COUNTIF('Icon Lookup'!C:C,B292)&gt;0,LOOKUP(B292,'Icon Lookup'!C:C,'Icon Lookup'!B:B),"")</f>
        <v/>
      </c>
      <c r="B292" s="21" t="s">
        <v>90</v>
      </c>
      <c r="C292" s="20"/>
      <c r="D292" s="20">
        <v>22.0</v>
      </c>
      <c r="E292" s="20" t="s">
        <v>91</v>
      </c>
      <c r="G292" s="22"/>
      <c r="H292" s="23" t="s">
        <v>458</v>
      </c>
      <c r="I292" s="20" t="s">
        <v>89</v>
      </c>
      <c r="J292" s="20">
        <v>0.0</v>
      </c>
      <c r="K292" s="20">
        <v>0.0</v>
      </c>
      <c r="L292" s="20">
        <v>0.0</v>
      </c>
      <c r="M292" s="20">
        <v>0.0</v>
      </c>
      <c r="N292" s="20">
        <v>0.0</v>
      </c>
      <c r="O292" s="20">
        <v>0.0</v>
      </c>
      <c r="P292" s="20">
        <v>0.0</v>
      </c>
      <c r="Q292" s="20">
        <v>0.0</v>
      </c>
      <c r="R292" s="20">
        <v>0.0</v>
      </c>
      <c r="S292" s="20">
        <v>0.0</v>
      </c>
      <c r="T292" s="20">
        <v>0.0</v>
      </c>
      <c r="U292" s="20">
        <v>0.0</v>
      </c>
    </row>
    <row r="293" ht="23.25" customHeight="1">
      <c r="A293" s="1"/>
      <c r="B293" s="15" t="s">
        <v>466</v>
      </c>
      <c r="C293" s="1" t="s">
        <v>17</v>
      </c>
      <c r="D293" s="1" t="s">
        <v>467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ht="23.25" customHeight="1">
      <c r="A294" s="17" t="str">
        <f>IF(COUNTIF('Icon Lookup'!C:C,B294)&gt;0,LOOKUP(B294,'Icon Lookup'!C:C,'Icon Lookup'!B:B),"")</f>
        <v/>
      </c>
      <c r="B294" s="18" t="s">
        <v>117</v>
      </c>
      <c r="C294" s="17"/>
      <c r="D294" s="17">
        <v>23.0</v>
      </c>
      <c r="E294" s="17" t="s">
        <v>26</v>
      </c>
      <c r="G294" s="19"/>
      <c r="H294" s="20" t="s">
        <v>468</v>
      </c>
      <c r="I294" s="17" t="s">
        <v>156</v>
      </c>
      <c r="J294" s="17">
        <v>0.0</v>
      </c>
      <c r="K294" s="17">
        <v>0.0</v>
      </c>
      <c r="L294" s="17">
        <v>0.0</v>
      </c>
      <c r="M294" s="17">
        <v>0.0</v>
      </c>
      <c r="N294" s="17">
        <v>0.0</v>
      </c>
      <c r="O294" s="17">
        <v>0.0</v>
      </c>
      <c r="P294" s="17">
        <v>0.0</v>
      </c>
      <c r="Q294" s="17">
        <v>0.0</v>
      </c>
      <c r="R294" s="17">
        <v>0.0</v>
      </c>
      <c r="S294" s="17">
        <v>0.0</v>
      </c>
      <c r="T294" s="17">
        <v>0.0</v>
      </c>
      <c r="U294" s="17">
        <v>0.0</v>
      </c>
    </row>
    <row r="295" ht="23.25" customHeight="1">
      <c r="A295" s="1"/>
      <c r="B295" s="15" t="s">
        <v>469</v>
      </c>
      <c r="C295" s="1" t="s">
        <v>17</v>
      </c>
      <c r="D295" s="1" t="s">
        <v>470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ht="23.25" customHeight="1">
      <c r="A296" s="20" t="str">
        <f>IF(COUNTIF('Icon Lookup'!C:C,B296)&gt;0,LOOKUP(B296,'Icon Lookup'!C:C,'Icon Lookup'!B:B),"")</f>
        <v/>
      </c>
      <c r="B296" s="21" t="s">
        <v>471</v>
      </c>
      <c r="C296" s="20"/>
      <c r="D296" s="20">
        <v>35.0</v>
      </c>
      <c r="E296" s="20" t="s">
        <v>71</v>
      </c>
      <c r="G296" s="22"/>
      <c r="H296" s="23" t="s">
        <v>472</v>
      </c>
      <c r="I296" s="20" t="s">
        <v>94</v>
      </c>
      <c r="J296" s="20">
        <v>0.0</v>
      </c>
      <c r="K296" s="20">
        <v>0.0</v>
      </c>
      <c r="L296" s="20">
        <v>0.0</v>
      </c>
      <c r="M296" s="20">
        <v>0.0</v>
      </c>
      <c r="N296" s="20">
        <v>0.0</v>
      </c>
      <c r="O296" s="20">
        <v>0.0</v>
      </c>
      <c r="P296" s="20">
        <v>0.0</v>
      </c>
      <c r="Q296" s="20">
        <v>0.0</v>
      </c>
      <c r="R296" s="20">
        <v>0.0</v>
      </c>
      <c r="S296" s="20">
        <v>0.0</v>
      </c>
      <c r="T296" s="20">
        <v>0.0</v>
      </c>
      <c r="U296" s="20">
        <v>0.0</v>
      </c>
    </row>
    <row r="297" ht="23.25" customHeight="1">
      <c r="A297" s="17" t="str">
        <f>IF(COUNTIF('Icon Lookup'!C:C,B297)&gt;0,LOOKUP(B297,'Icon Lookup'!C:C,'Icon Lookup'!B:B),"")</f>
        <v/>
      </c>
      <c r="B297" s="18" t="s">
        <v>386</v>
      </c>
      <c r="C297" s="17"/>
      <c r="D297" s="17">
        <v>35.0</v>
      </c>
      <c r="E297" s="17" t="s">
        <v>38</v>
      </c>
      <c r="G297" s="19"/>
      <c r="H297" s="20" t="s">
        <v>473</v>
      </c>
      <c r="I297" s="17" t="s">
        <v>156</v>
      </c>
      <c r="J297" s="17">
        <v>0.0</v>
      </c>
      <c r="K297" s="17">
        <v>0.0</v>
      </c>
      <c r="L297" s="17">
        <v>0.0</v>
      </c>
      <c r="M297" s="17">
        <v>0.0</v>
      </c>
      <c r="N297" s="17">
        <v>0.0</v>
      </c>
      <c r="O297" s="17">
        <v>0.0</v>
      </c>
      <c r="P297" s="17">
        <v>0.0</v>
      </c>
      <c r="Q297" s="17">
        <v>0.0</v>
      </c>
      <c r="R297" s="17">
        <v>0.0</v>
      </c>
      <c r="S297" s="17">
        <v>0.0</v>
      </c>
      <c r="T297" s="17">
        <v>0.0</v>
      </c>
      <c r="U297" s="17">
        <v>0.0</v>
      </c>
    </row>
    <row r="298" ht="23.25" customHeight="1">
      <c r="A298" s="1"/>
      <c r="B298" s="15" t="s">
        <v>474</v>
      </c>
      <c r="C298" s="1" t="s">
        <v>17</v>
      </c>
      <c r="D298" s="1" t="s">
        <v>475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ht="23.25" customHeight="1">
      <c r="A299" s="20" t="str">
        <f>IF(COUNTIF('Icon Lookup'!C:C,B299)&gt;0,LOOKUP(B299,'Icon Lookup'!C:C,'Icon Lookup'!B:B),"")</f>
        <v/>
      </c>
      <c r="B299" s="21" t="s">
        <v>476</v>
      </c>
      <c r="C299" s="20"/>
      <c r="D299" s="20">
        <v>33.0</v>
      </c>
      <c r="E299" s="20" t="s">
        <v>203</v>
      </c>
      <c r="G299" s="22"/>
      <c r="H299" s="23" t="s">
        <v>477</v>
      </c>
      <c r="I299" s="20" t="s">
        <v>156</v>
      </c>
      <c r="J299" s="20">
        <v>0.0</v>
      </c>
      <c r="K299" s="20">
        <v>0.0</v>
      </c>
      <c r="L299" s="20">
        <v>0.0</v>
      </c>
      <c r="M299" s="20">
        <v>0.0</v>
      </c>
      <c r="N299" s="20">
        <v>0.0</v>
      </c>
      <c r="O299" s="20">
        <v>0.0</v>
      </c>
      <c r="P299" s="20">
        <v>0.0</v>
      </c>
      <c r="Q299" s="20">
        <v>0.0</v>
      </c>
      <c r="R299" s="20">
        <v>0.0</v>
      </c>
      <c r="S299" s="20">
        <v>0.0</v>
      </c>
      <c r="T299" s="20">
        <v>0.0</v>
      </c>
      <c r="U299" s="20">
        <v>0.0</v>
      </c>
    </row>
    <row r="300" ht="23.25" customHeight="1">
      <c r="A300" s="17" t="str">
        <f>IF(COUNTIF('Icon Lookup'!C:C,B300)&gt;0,LOOKUP(B300,'Icon Lookup'!C:C,'Icon Lookup'!B:B),"")</f>
        <v/>
      </c>
      <c r="B300" s="18" t="s">
        <v>275</v>
      </c>
      <c r="C300" s="17"/>
      <c r="D300" s="17">
        <v>34.0</v>
      </c>
      <c r="E300" s="17" t="s">
        <v>91</v>
      </c>
      <c r="G300" s="19"/>
      <c r="H300" s="20" t="s">
        <v>423</v>
      </c>
      <c r="I300" s="17" t="s">
        <v>89</v>
      </c>
      <c r="J300" s="17">
        <v>0.0</v>
      </c>
      <c r="K300" s="17">
        <v>0.0</v>
      </c>
      <c r="L300" s="17">
        <v>0.0</v>
      </c>
      <c r="M300" s="17">
        <v>0.0</v>
      </c>
      <c r="N300" s="17">
        <v>0.0</v>
      </c>
      <c r="O300" s="17">
        <v>0.0</v>
      </c>
      <c r="P300" s="17">
        <v>0.0</v>
      </c>
      <c r="Q300" s="17">
        <v>0.0</v>
      </c>
      <c r="R300" s="17">
        <v>0.0</v>
      </c>
      <c r="S300" s="17">
        <v>0.0</v>
      </c>
      <c r="T300" s="17">
        <v>0.0</v>
      </c>
      <c r="U300" s="17">
        <v>0.0</v>
      </c>
    </row>
    <row r="301" ht="23.25" customHeight="1">
      <c r="A301" s="20" t="str">
        <f>IF(COUNTIF('Icon Lookup'!C:C,B301)&gt;0,LOOKUP(B301,'Icon Lookup'!C:C,'Icon Lookup'!B:B),"")</f>
        <v/>
      </c>
      <c r="B301" s="21" t="s">
        <v>478</v>
      </c>
      <c r="C301" s="20"/>
      <c r="D301" s="20">
        <v>35.0</v>
      </c>
      <c r="E301" s="20" t="s">
        <v>38</v>
      </c>
      <c r="G301" s="22"/>
      <c r="H301" s="23" t="s">
        <v>479</v>
      </c>
      <c r="I301" s="20" t="s">
        <v>156</v>
      </c>
      <c r="J301" s="20">
        <v>0.0</v>
      </c>
      <c r="K301" s="20">
        <v>0.0</v>
      </c>
      <c r="L301" s="20">
        <v>0.0</v>
      </c>
      <c r="M301" s="20">
        <v>0.0</v>
      </c>
      <c r="N301" s="20">
        <v>0.0</v>
      </c>
      <c r="O301" s="20">
        <v>0.0</v>
      </c>
      <c r="P301" s="20">
        <v>0.0</v>
      </c>
      <c r="Q301" s="20">
        <v>0.0</v>
      </c>
      <c r="R301" s="20">
        <v>0.0</v>
      </c>
      <c r="S301" s="20">
        <v>0.0</v>
      </c>
      <c r="T301" s="20">
        <v>0.0</v>
      </c>
      <c r="U301" s="20">
        <v>0.0</v>
      </c>
    </row>
    <row r="302" ht="23.25" customHeight="1">
      <c r="A302" s="1"/>
      <c r="B302" s="15" t="s">
        <v>480</v>
      </c>
      <c r="C302" s="1" t="s">
        <v>17</v>
      </c>
      <c r="D302" s="1" t="s">
        <v>481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ht="23.25" customHeight="1">
      <c r="A303" s="17" t="str">
        <f>IF(COUNTIF('Icon Lookup'!C:C,B303)&gt;0,LOOKUP(B303,'Icon Lookup'!C:C,'Icon Lookup'!B:B),"")</f>
        <v/>
      </c>
      <c r="B303" s="18" t="s">
        <v>482</v>
      </c>
      <c r="C303" s="17"/>
      <c r="D303" s="17">
        <v>37.0</v>
      </c>
      <c r="E303" s="17" t="s">
        <v>218</v>
      </c>
      <c r="G303" s="19"/>
      <c r="H303" s="20" t="s">
        <v>483</v>
      </c>
      <c r="I303" s="17" t="s">
        <v>265</v>
      </c>
      <c r="J303" s="17">
        <v>0.0</v>
      </c>
      <c r="K303" s="17">
        <v>0.0</v>
      </c>
      <c r="L303" s="17">
        <v>0.0</v>
      </c>
      <c r="M303" s="17">
        <v>0.0</v>
      </c>
      <c r="N303" s="17">
        <v>0.0</v>
      </c>
      <c r="O303" s="17">
        <v>0.0</v>
      </c>
      <c r="P303" s="17">
        <v>0.0</v>
      </c>
      <c r="Q303" s="17">
        <v>0.0</v>
      </c>
      <c r="R303" s="17">
        <v>0.0</v>
      </c>
      <c r="S303" s="17">
        <v>0.0</v>
      </c>
      <c r="T303" s="17">
        <v>0.0</v>
      </c>
      <c r="U303" s="17">
        <v>0.0</v>
      </c>
    </row>
    <row r="304" ht="23.25" customHeight="1">
      <c r="A304" s="1"/>
      <c r="B304" s="15" t="s">
        <v>484</v>
      </c>
      <c r="C304" s="1" t="s">
        <v>17</v>
      </c>
      <c r="D304" s="1" t="s">
        <v>485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ht="23.25" customHeight="1">
      <c r="A305" s="20" t="str">
        <f>IF(COUNTIF('Icon Lookup'!C:C,B305)&gt;0,LOOKUP(B305,'Icon Lookup'!C:C,'Icon Lookup'!B:B),"")</f>
        <v/>
      </c>
      <c r="B305" s="21" t="s">
        <v>398</v>
      </c>
      <c r="C305" s="20"/>
      <c r="D305" s="20">
        <v>34.0</v>
      </c>
      <c r="E305" s="20" t="s">
        <v>399</v>
      </c>
      <c r="G305" s="22"/>
      <c r="H305" s="23" t="s">
        <v>486</v>
      </c>
      <c r="I305" s="20" t="s">
        <v>105</v>
      </c>
      <c r="J305" s="20">
        <v>0.0</v>
      </c>
      <c r="K305" s="20">
        <v>0.0</v>
      </c>
      <c r="L305" s="20">
        <v>0.0</v>
      </c>
      <c r="M305" s="20">
        <v>0.0</v>
      </c>
      <c r="N305" s="20">
        <v>0.0</v>
      </c>
      <c r="O305" s="20">
        <v>0.0</v>
      </c>
      <c r="P305" s="20">
        <v>0.0</v>
      </c>
      <c r="Q305" s="20">
        <v>0.0</v>
      </c>
      <c r="R305" s="20">
        <v>0.0</v>
      </c>
      <c r="S305" s="20">
        <v>0.0</v>
      </c>
      <c r="T305" s="20">
        <v>0.0</v>
      </c>
      <c r="U305" s="20">
        <v>0.0</v>
      </c>
    </row>
    <row r="306" ht="23.25" customHeight="1">
      <c r="A306" s="17" t="str">
        <f>IF(COUNTIF('Icon Lookup'!C:C,B306)&gt;0,LOOKUP(B306,'Icon Lookup'!C:C,'Icon Lookup'!B:B),"")</f>
        <v/>
      </c>
      <c r="B306" s="18" t="s">
        <v>78</v>
      </c>
      <c r="C306" s="17"/>
      <c r="D306" s="17">
        <v>35.0</v>
      </c>
      <c r="E306" s="17" t="s">
        <v>121</v>
      </c>
      <c r="G306" s="19"/>
      <c r="H306" s="20" t="s">
        <v>487</v>
      </c>
      <c r="I306" s="17" t="s">
        <v>265</v>
      </c>
      <c r="J306" s="17">
        <v>0.0</v>
      </c>
      <c r="K306" s="17">
        <v>0.0</v>
      </c>
      <c r="L306" s="17">
        <v>0.0</v>
      </c>
      <c r="M306" s="17">
        <v>0.0</v>
      </c>
      <c r="N306" s="17">
        <v>0.0</v>
      </c>
      <c r="O306" s="17">
        <v>0.0</v>
      </c>
      <c r="P306" s="17">
        <v>0.0</v>
      </c>
      <c r="Q306" s="17">
        <v>0.0</v>
      </c>
      <c r="R306" s="17">
        <v>0.0</v>
      </c>
      <c r="S306" s="17">
        <v>0.0</v>
      </c>
      <c r="T306" s="17">
        <v>0.0</v>
      </c>
      <c r="U306" s="17">
        <v>0.0</v>
      </c>
    </row>
    <row r="307" ht="23.25" customHeight="1">
      <c r="A307" s="20" t="str">
        <f>IF(COUNTIF('Icon Lookup'!C:C,B307)&gt;0,LOOKUP(B307,'Icon Lookup'!C:C,'Icon Lookup'!B:B),"")</f>
        <v/>
      </c>
      <c r="B307" s="21" t="s">
        <v>488</v>
      </c>
      <c r="C307" s="20"/>
      <c r="D307" s="20">
        <v>33.0</v>
      </c>
      <c r="E307" s="20" t="s">
        <v>87</v>
      </c>
      <c r="G307" s="22"/>
      <c r="H307" s="23" t="s">
        <v>489</v>
      </c>
      <c r="I307" s="20" t="s">
        <v>211</v>
      </c>
      <c r="J307" s="20">
        <v>0.0</v>
      </c>
      <c r="K307" s="20">
        <v>0.0</v>
      </c>
      <c r="L307" s="20">
        <v>0.0</v>
      </c>
      <c r="M307" s="20">
        <v>0.0</v>
      </c>
      <c r="N307" s="20">
        <v>0.0</v>
      </c>
      <c r="O307" s="20">
        <v>0.0</v>
      </c>
      <c r="P307" s="20">
        <v>0.0</v>
      </c>
      <c r="Q307" s="20">
        <v>0.0</v>
      </c>
      <c r="R307" s="20">
        <v>0.0</v>
      </c>
      <c r="S307" s="20">
        <v>0.0</v>
      </c>
      <c r="T307" s="20">
        <v>0.0</v>
      </c>
      <c r="U307" s="20">
        <v>0.0</v>
      </c>
    </row>
    <row r="308" ht="23.25" customHeight="1">
      <c r="A308" s="1"/>
      <c r="B308" s="15" t="s">
        <v>490</v>
      </c>
      <c r="C308" s="1" t="s">
        <v>17</v>
      </c>
      <c r="D308" s="1" t="s">
        <v>491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ht="23.25" customHeight="1">
      <c r="A309" s="17" t="str">
        <f>IF(COUNTIF('Icon Lookup'!C:C,B309)&gt;0,LOOKUP(B309,'Icon Lookup'!C:C,'Icon Lookup'!B:B),"")</f>
        <v/>
      </c>
      <c r="B309" s="18" t="s">
        <v>86</v>
      </c>
      <c r="C309" s="17"/>
      <c r="D309" s="17">
        <v>35.0</v>
      </c>
      <c r="E309" s="17" t="s">
        <v>87</v>
      </c>
      <c r="G309" s="19"/>
      <c r="H309" s="20" t="s">
        <v>492</v>
      </c>
      <c r="I309" s="17" t="s">
        <v>46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</row>
    <row r="310" ht="23.25" customHeight="1">
      <c r="A310" s="20" t="str">
        <f>IF(COUNTIF('Icon Lookup'!C:C,B310)&gt;0,LOOKUP(B310,'Icon Lookup'!C:C,'Icon Lookup'!B:B),"")</f>
        <v/>
      </c>
      <c r="B310" s="21" t="s">
        <v>176</v>
      </c>
      <c r="C310" s="20"/>
      <c r="D310" s="20">
        <v>35.0</v>
      </c>
      <c r="E310" s="20" t="s">
        <v>98</v>
      </c>
      <c r="G310" s="22"/>
      <c r="H310" s="23" t="s">
        <v>493</v>
      </c>
      <c r="I310" s="20" t="s">
        <v>46</v>
      </c>
      <c r="J310" s="20">
        <v>0.0</v>
      </c>
      <c r="K310" s="20">
        <v>0.0</v>
      </c>
      <c r="L310" s="20">
        <v>0.0</v>
      </c>
      <c r="M310" s="20">
        <v>0.0</v>
      </c>
      <c r="N310" s="20">
        <v>0.0</v>
      </c>
      <c r="O310" s="20">
        <v>0.0</v>
      </c>
      <c r="P310" s="20">
        <v>0.0</v>
      </c>
      <c r="Q310" s="20">
        <v>0.0</v>
      </c>
      <c r="R310" s="20">
        <v>0.0</v>
      </c>
      <c r="S310" s="20">
        <v>0.0</v>
      </c>
      <c r="T310" s="20">
        <v>0.0</v>
      </c>
      <c r="U310" s="20">
        <v>0.0</v>
      </c>
    </row>
    <row r="311" ht="23.25" customHeight="1">
      <c r="A311" s="17" t="str">
        <f>IF(COUNTIF('Icon Lookup'!C:C,B311)&gt;0,LOOKUP(B311,'Icon Lookup'!C:C,'Icon Lookup'!B:B),"")</f>
        <v/>
      </c>
      <c r="B311" s="18" t="s">
        <v>494</v>
      </c>
      <c r="C311" s="17"/>
      <c r="D311" s="17">
        <v>35.0</v>
      </c>
      <c r="E311" s="17" t="s">
        <v>495</v>
      </c>
      <c r="G311" s="19"/>
      <c r="H311" s="20" t="s">
        <v>496</v>
      </c>
      <c r="I311" s="17" t="s">
        <v>40</v>
      </c>
      <c r="J311" s="17">
        <v>0.0</v>
      </c>
      <c r="K311" s="17">
        <v>0.0</v>
      </c>
      <c r="L311" s="17">
        <v>0.0</v>
      </c>
      <c r="M311" s="17">
        <v>0.0</v>
      </c>
      <c r="N311" s="17">
        <v>0.0</v>
      </c>
      <c r="O311" s="17">
        <v>0.0</v>
      </c>
      <c r="P311" s="17">
        <v>0.0</v>
      </c>
      <c r="Q311" s="17">
        <v>0.0</v>
      </c>
      <c r="R311" s="17">
        <v>0.0</v>
      </c>
      <c r="S311" s="17">
        <v>0.0</v>
      </c>
      <c r="T311" s="17">
        <v>0.0</v>
      </c>
      <c r="U311" s="17">
        <v>0.0</v>
      </c>
    </row>
    <row r="312" ht="23.25" customHeight="1">
      <c r="A312" s="1"/>
      <c r="B312" s="15" t="s">
        <v>497</v>
      </c>
      <c r="C312" s="1" t="s">
        <v>17</v>
      </c>
      <c r="D312" s="1" t="s">
        <v>498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ht="23.25" customHeight="1">
      <c r="A313" s="20" t="str">
        <f>IF(COUNTIF('Icon Lookup'!C:C,B313)&gt;0,LOOKUP(B313,'Icon Lookup'!C:C,'Icon Lookup'!B:B),"")</f>
        <v/>
      </c>
      <c r="B313" s="21" t="s">
        <v>478</v>
      </c>
      <c r="C313" s="20"/>
      <c r="D313" s="20">
        <v>35.0</v>
      </c>
      <c r="E313" s="20" t="s">
        <v>38</v>
      </c>
      <c r="G313" s="22"/>
      <c r="H313" s="23" t="s">
        <v>499</v>
      </c>
      <c r="I313" s="20" t="s">
        <v>22</v>
      </c>
      <c r="J313" s="20">
        <v>0.0</v>
      </c>
      <c r="K313" s="20">
        <v>0.0</v>
      </c>
      <c r="L313" s="20">
        <v>0.0</v>
      </c>
      <c r="M313" s="20">
        <v>0.0</v>
      </c>
      <c r="N313" s="20">
        <v>0.0</v>
      </c>
      <c r="O313" s="20">
        <v>0.0</v>
      </c>
      <c r="P313" s="20">
        <v>0.0</v>
      </c>
      <c r="Q313" s="20">
        <v>0.0</v>
      </c>
      <c r="R313" s="20">
        <v>0.0</v>
      </c>
      <c r="S313" s="20">
        <v>0.0</v>
      </c>
      <c r="T313" s="20">
        <v>0.0</v>
      </c>
      <c r="U313" s="20">
        <v>0.0</v>
      </c>
    </row>
    <row r="314" ht="23.25" customHeight="1">
      <c r="A314" s="1"/>
      <c r="B314" s="15" t="s">
        <v>500</v>
      </c>
      <c r="C314" s="1" t="s">
        <v>17</v>
      </c>
      <c r="D314" s="1" t="s">
        <v>501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ht="23.25" customHeight="1">
      <c r="A315" s="17" t="str">
        <f>IF(COUNTIF('Icon Lookup'!C:C,B315)&gt;0,LOOKUP(B315,'Icon Lookup'!C:C,'Icon Lookup'!B:B),"")</f>
        <v/>
      </c>
      <c r="B315" s="18" t="s">
        <v>198</v>
      </c>
      <c r="C315" s="17"/>
      <c r="D315" s="17">
        <v>36.0</v>
      </c>
      <c r="E315" s="17" t="s">
        <v>50</v>
      </c>
      <c r="G315" s="19"/>
      <c r="H315" s="20" t="s">
        <v>502</v>
      </c>
      <c r="I315" s="17" t="s">
        <v>52</v>
      </c>
      <c r="J315" s="17">
        <v>0.0</v>
      </c>
      <c r="K315" s="17">
        <v>0.0</v>
      </c>
      <c r="L315" s="17">
        <v>0.0</v>
      </c>
      <c r="M315" s="17">
        <v>0.0</v>
      </c>
      <c r="N315" s="17">
        <v>0.0</v>
      </c>
      <c r="O315" s="17">
        <v>0.0</v>
      </c>
      <c r="P315" s="17">
        <v>0.0</v>
      </c>
      <c r="Q315" s="17">
        <v>0.0</v>
      </c>
      <c r="R315" s="17">
        <v>0.0</v>
      </c>
      <c r="S315" s="17">
        <v>0.0</v>
      </c>
      <c r="T315" s="17">
        <v>0.0</v>
      </c>
      <c r="U315" s="17">
        <v>0.0</v>
      </c>
    </row>
    <row r="316" ht="23.25" customHeight="1">
      <c r="A316" s="20" t="str">
        <f>IF(COUNTIF('Icon Lookup'!C:C,B316)&gt;0,LOOKUP(B316,'Icon Lookup'!C:C,'Icon Lookup'!B:B),"")</f>
        <v/>
      </c>
      <c r="B316" s="21" t="s">
        <v>494</v>
      </c>
      <c r="C316" s="20"/>
      <c r="D316" s="20">
        <v>36.0</v>
      </c>
      <c r="E316" s="20" t="s">
        <v>495</v>
      </c>
      <c r="G316" s="22"/>
      <c r="H316" s="23" t="s">
        <v>496</v>
      </c>
      <c r="I316" s="20" t="s">
        <v>73</v>
      </c>
      <c r="J316" s="20">
        <v>0.0</v>
      </c>
      <c r="K316" s="20">
        <v>0.0</v>
      </c>
      <c r="L316" s="20">
        <v>0.0</v>
      </c>
      <c r="M316" s="20">
        <v>0.0</v>
      </c>
      <c r="N316" s="20">
        <v>0.0</v>
      </c>
      <c r="O316" s="20">
        <v>0.0</v>
      </c>
      <c r="P316" s="20">
        <v>0.0</v>
      </c>
      <c r="Q316" s="20">
        <v>0.0</v>
      </c>
      <c r="R316" s="20">
        <v>0.0</v>
      </c>
      <c r="S316" s="20">
        <v>0.0</v>
      </c>
      <c r="T316" s="20">
        <v>0.0</v>
      </c>
      <c r="U316" s="20">
        <v>0.0</v>
      </c>
    </row>
    <row r="317" ht="23.25" customHeight="1">
      <c r="A317" s="1"/>
      <c r="B317" s="15" t="s">
        <v>503</v>
      </c>
      <c r="C317" s="1" t="s">
        <v>17</v>
      </c>
      <c r="D317" s="1" t="s">
        <v>504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ht="23.25" customHeight="1">
      <c r="A318" s="17" t="str">
        <f>IF(COUNTIF('Icon Lookup'!C:C,B318)&gt;0,LOOKUP(B318,'Icon Lookup'!C:C,'Icon Lookup'!B:B),"")</f>
        <v/>
      </c>
      <c r="B318" s="18" t="s">
        <v>117</v>
      </c>
      <c r="C318" s="17"/>
      <c r="D318" s="17">
        <v>38.0</v>
      </c>
      <c r="E318" s="17" t="s">
        <v>26</v>
      </c>
      <c r="G318" s="19"/>
      <c r="H318" s="20" t="s">
        <v>505</v>
      </c>
      <c r="I318" s="17" t="s">
        <v>22</v>
      </c>
      <c r="J318" s="17">
        <v>0.0</v>
      </c>
      <c r="K318" s="17">
        <v>0.0</v>
      </c>
      <c r="L318" s="17">
        <v>0.0</v>
      </c>
      <c r="M318" s="17">
        <v>0.0</v>
      </c>
      <c r="N318" s="17">
        <v>0.0</v>
      </c>
      <c r="O318" s="17">
        <v>0.0</v>
      </c>
      <c r="P318" s="17">
        <v>0.0</v>
      </c>
      <c r="Q318" s="17">
        <v>0.0</v>
      </c>
      <c r="R318" s="17">
        <v>0.0</v>
      </c>
      <c r="S318" s="17">
        <v>0.0</v>
      </c>
      <c r="T318" s="17">
        <v>0.0</v>
      </c>
      <c r="U318" s="17">
        <v>0.0</v>
      </c>
    </row>
    <row r="319" ht="23.25" customHeight="1">
      <c r="A319" s="1"/>
      <c r="B319" s="15" t="s">
        <v>506</v>
      </c>
      <c r="C319" s="1" t="s">
        <v>17</v>
      </c>
      <c r="D319" s="1" t="s">
        <v>507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ht="23.25" customHeight="1">
      <c r="A320" s="20" t="str">
        <f>IF(COUNTIF('Icon Lookup'!C:C,B320)&gt;0,LOOKUP(B320,'Icon Lookup'!C:C,'Icon Lookup'!B:B),"")</f>
        <v/>
      </c>
      <c r="B320" s="21" t="s">
        <v>311</v>
      </c>
      <c r="C320" s="20"/>
      <c r="D320" s="20">
        <v>34.0</v>
      </c>
      <c r="E320" s="20" t="s">
        <v>137</v>
      </c>
      <c r="G320" s="22"/>
      <c r="H320" s="23" t="s">
        <v>508</v>
      </c>
      <c r="I320" s="20" t="s">
        <v>52</v>
      </c>
      <c r="J320" s="20">
        <v>0.0</v>
      </c>
      <c r="K320" s="20">
        <v>0.0</v>
      </c>
      <c r="L320" s="20">
        <v>0.0</v>
      </c>
      <c r="M320" s="20">
        <v>0.0</v>
      </c>
      <c r="N320" s="20">
        <v>0.0</v>
      </c>
      <c r="O320" s="20">
        <v>0.0</v>
      </c>
      <c r="P320" s="20">
        <v>0.0</v>
      </c>
      <c r="Q320" s="20">
        <v>0.0</v>
      </c>
      <c r="R320" s="20">
        <v>0.0</v>
      </c>
      <c r="S320" s="20">
        <v>0.0</v>
      </c>
      <c r="T320" s="20">
        <v>0.0</v>
      </c>
      <c r="U320" s="20">
        <v>0.0</v>
      </c>
    </row>
    <row r="321" ht="23.25" customHeight="1">
      <c r="A321" s="17" t="str">
        <f>IF(COUNTIF('Icon Lookup'!C:C,B321)&gt;0,LOOKUP(B321,'Icon Lookup'!C:C,'Icon Lookup'!B:B),"")</f>
        <v/>
      </c>
      <c r="B321" s="18" t="s">
        <v>410</v>
      </c>
      <c r="C321" s="17"/>
      <c r="D321" s="17">
        <v>36.0</v>
      </c>
      <c r="E321" s="17" t="s">
        <v>20</v>
      </c>
      <c r="G321" s="19"/>
      <c r="H321" s="20" t="s">
        <v>509</v>
      </c>
      <c r="I321" s="17" t="s">
        <v>52</v>
      </c>
      <c r="J321" s="17">
        <v>0.0</v>
      </c>
      <c r="K321" s="17">
        <v>0.0</v>
      </c>
      <c r="L321" s="17">
        <v>0.0</v>
      </c>
      <c r="M321" s="17">
        <v>0.0</v>
      </c>
      <c r="N321" s="17">
        <v>0.0</v>
      </c>
      <c r="O321" s="17">
        <v>0.0</v>
      </c>
      <c r="P321" s="17">
        <v>0.0</v>
      </c>
      <c r="Q321" s="17">
        <v>0.0</v>
      </c>
      <c r="R321" s="17">
        <v>0.0</v>
      </c>
      <c r="S321" s="17">
        <v>0.0</v>
      </c>
      <c r="T321" s="17">
        <v>0.0</v>
      </c>
      <c r="U321" s="17">
        <v>0.0</v>
      </c>
    </row>
    <row r="322" ht="23.25" customHeight="1">
      <c r="A322" s="20" t="str">
        <f>IF(COUNTIF('Icon Lookup'!C:C,B322)&gt;0,LOOKUP(B322,'Icon Lookup'!C:C,'Icon Lookup'!B:B),"")</f>
        <v/>
      </c>
      <c r="B322" s="21" t="s">
        <v>510</v>
      </c>
      <c r="C322" s="20"/>
      <c r="D322" s="20">
        <v>38.0</v>
      </c>
      <c r="E322" s="20" t="s">
        <v>511</v>
      </c>
      <c r="G322" s="22"/>
      <c r="H322" s="23" t="s">
        <v>512</v>
      </c>
      <c r="I322" s="20" t="s">
        <v>89</v>
      </c>
      <c r="J322" s="20">
        <v>0.0</v>
      </c>
      <c r="K322" s="20">
        <v>0.0</v>
      </c>
      <c r="L322" s="20">
        <v>0.0</v>
      </c>
      <c r="M322" s="20">
        <v>0.0</v>
      </c>
      <c r="N322" s="20">
        <v>0.0</v>
      </c>
      <c r="O322" s="20">
        <v>0.0</v>
      </c>
      <c r="P322" s="20">
        <v>0.0</v>
      </c>
      <c r="Q322" s="20">
        <v>0.0</v>
      </c>
      <c r="R322" s="20">
        <v>0.0</v>
      </c>
      <c r="S322" s="20">
        <v>0.0</v>
      </c>
      <c r="T322" s="20">
        <v>0.0</v>
      </c>
      <c r="U322" s="20">
        <v>0.0</v>
      </c>
    </row>
    <row r="323" ht="23.25" customHeight="1">
      <c r="A323" s="1"/>
      <c r="B323" s="15" t="s">
        <v>513</v>
      </c>
      <c r="C323" s="1" t="s">
        <v>17</v>
      </c>
      <c r="D323" s="1" t="s">
        <v>514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ht="23.25" customHeight="1">
      <c r="A324" s="17" t="str">
        <f>IF(COUNTIF('Icon Lookup'!C:C,B324)&gt;0,LOOKUP(B324,'Icon Lookup'!C:C,'Icon Lookup'!B:B),"")</f>
        <v/>
      </c>
      <c r="B324" s="18" t="s">
        <v>198</v>
      </c>
      <c r="C324" s="17"/>
      <c r="D324" s="17">
        <v>37.0</v>
      </c>
      <c r="E324" s="17" t="s">
        <v>50</v>
      </c>
      <c r="G324" s="19"/>
      <c r="H324" s="20" t="s">
        <v>502</v>
      </c>
      <c r="I324" s="17" t="s">
        <v>105</v>
      </c>
      <c r="J324" s="17">
        <v>0.0</v>
      </c>
      <c r="K324" s="17">
        <v>0.0</v>
      </c>
      <c r="L324" s="17">
        <v>0.0</v>
      </c>
      <c r="M324" s="17">
        <v>0.0</v>
      </c>
      <c r="N324" s="17">
        <v>0.0</v>
      </c>
      <c r="O324" s="17">
        <v>0.0</v>
      </c>
      <c r="P324" s="17">
        <v>0.0</v>
      </c>
      <c r="Q324" s="17">
        <v>0.0</v>
      </c>
      <c r="R324" s="17">
        <v>0.0</v>
      </c>
      <c r="S324" s="17">
        <v>0.0</v>
      </c>
      <c r="T324" s="17">
        <v>0.0</v>
      </c>
      <c r="U324" s="17">
        <v>0.0</v>
      </c>
    </row>
    <row r="325" ht="23.25" customHeight="1">
      <c r="A325" s="20" t="str">
        <f>IF(COUNTIF('Icon Lookup'!C:C,B325)&gt;0,LOOKUP(B325,'Icon Lookup'!C:C,'Icon Lookup'!B:B),"")</f>
        <v/>
      </c>
      <c r="B325" s="21" t="s">
        <v>515</v>
      </c>
      <c r="C325" s="20"/>
      <c r="D325" s="20">
        <v>37.0</v>
      </c>
      <c r="E325" s="20" t="s">
        <v>111</v>
      </c>
      <c r="G325" s="22"/>
      <c r="H325" s="23" t="s">
        <v>516</v>
      </c>
      <c r="I325" s="20" t="s">
        <v>22</v>
      </c>
      <c r="J325" s="20">
        <v>0.0</v>
      </c>
      <c r="K325" s="20">
        <v>0.0</v>
      </c>
      <c r="L325" s="20">
        <v>0.0</v>
      </c>
      <c r="M325" s="20">
        <v>0.0</v>
      </c>
      <c r="N325" s="20">
        <v>0.0</v>
      </c>
      <c r="O325" s="20">
        <v>0.0</v>
      </c>
      <c r="P325" s="20">
        <v>0.0</v>
      </c>
      <c r="Q325" s="20">
        <v>0.0</v>
      </c>
      <c r="R325" s="20">
        <v>0.0</v>
      </c>
      <c r="S325" s="20">
        <v>0.0</v>
      </c>
      <c r="T325" s="20">
        <v>0.0</v>
      </c>
      <c r="U325" s="20">
        <v>0.0</v>
      </c>
    </row>
    <row r="326" ht="23.25" customHeight="1">
      <c r="A326" s="1"/>
      <c r="B326" s="15" t="s">
        <v>517</v>
      </c>
      <c r="C326" s="1" t="s">
        <v>17</v>
      </c>
      <c r="D326" s="1" t="s">
        <v>518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ht="23.25" customHeight="1">
      <c r="A327" s="17" t="str">
        <f>IF(COUNTIF('Icon Lookup'!C:C,B327)&gt;0,LOOKUP(B327,'Icon Lookup'!C:C,'Icon Lookup'!B:B),"")</f>
        <v/>
      </c>
      <c r="B327" s="18" t="s">
        <v>494</v>
      </c>
      <c r="C327" s="17"/>
      <c r="D327" s="17">
        <v>34.0</v>
      </c>
      <c r="E327" s="17" t="s">
        <v>495</v>
      </c>
      <c r="G327" s="19"/>
      <c r="H327" s="20" t="s">
        <v>519</v>
      </c>
      <c r="I327" s="17" t="s">
        <v>40</v>
      </c>
      <c r="J327" s="17">
        <v>0.0</v>
      </c>
      <c r="K327" s="17">
        <v>0.0</v>
      </c>
      <c r="L327" s="17">
        <v>0.0</v>
      </c>
      <c r="M327" s="17">
        <v>0.0</v>
      </c>
      <c r="N327" s="17">
        <v>0.0</v>
      </c>
      <c r="O327" s="17">
        <v>0.0</v>
      </c>
      <c r="P327" s="17">
        <v>0.0</v>
      </c>
      <c r="Q327" s="17">
        <v>0.0</v>
      </c>
      <c r="R327" s="17">
        <v>0.0</v>
      </c>
      <c r="S327" s="17">
        <v>0.0</v>
      </c>
      <c r="T327" s="17">
        <v>0.0</v>
      </c>
      <c r="U327" s="17">
        <v>0.0</v>
      </c>
    </row>
    <row r="328" ht="23.25" customHeight="1">
      <c r="A328" s="20" t="str">
        <f>IF(COUNTIF('Icon Lookup'!C:C,B328)&gt;0,LOOKUP(B328,'Icon Lookup'!C:C,'Icon Lookup'!B:B),"")</f>
        <v/>
      </c>
      <c r="B328" s="21" t="s">
        <v>494</v>
      </c>
      <c r="C328" s="20"/>
      <c r="D328" s="20">
        <v>33.0</v>
      </c>
      <c r="E328" s="20" t="s">
        <v>495</v>
      </c>
      <c r="G328" s="22"/>
      <c r="H328" s="23" t="s">
        <v>520</v>
      </c>
      <c r="I328" s="20" t="s">
        <v>40</v>
      </c>
      <c r="J328" s="20">
        <v>0.0</v>
      </c>
      <c r="K328" s="20">
        <v>0.0</v>
      </c>
      <c r="L328" s="20">
        <v>0.0</v>
      </c>
      <c r="M328" s="20">
        <v>0.0</v>
      </c>
      <c r="N328" s="20">
        <v>0.0</v>
      </c>
      <c r="O328" s="20">
        <v>0.0</v>
      </c>
      <c r="P328" s="20">
        <v>0.0</v>
      </c>
      <c r="Q328" s="20">
        <v>0.0</v>
      </c>
      <c r="R328" s="20">
        <v>0.0</v>
      </c>
      <c r="S328" s="20">
        <v>0.0</v>
      </c>
      <c r="T328" s="20">
        <v>0.0</v>
      </c>
      <c r="U328" s="20">
        <v>0.0</v>
      </c>
    </row>
    <row r="329" ht="23.25" customHeight="1">
      <c r="A329" s="17" t="str">
        <f>IF(COUNTIF('Icon Lookup'!C:C,B329)&gt;0,LOOKUP(B329,'Icon Lookup'!C:C,'Icon Lookup'!B:B),"")</f>
        <v/>
      </c>
      <c r="B329" s="18" t="s">
        <v>398</v>
      </c>
      <c r="C329" s="17"/>
      <c r="D329" s="17">
        <v>34.0</v>
      </c>
      <c r="E329" s="17" t="s">
        <v>399</v>
      </c>
      <c r="G329" s="19"/>
      <c r="H329" s="20" t="s">
        <v>521</v>
      </c>
      <c r="I329" s="17" t="s">
        <v>40</v>
      </c>
      <c r="J329" s="17">
        <v>0.0</v>
      </c>
      <c r="K329" s="17">
        <v>0.0</v>
      </c>
      <c r="L329" s="17">
        <v>0.0</v>
      </c>
      <c r="M329" s="17">
        <v>0.0</v>
      </c>
      <c r="N329" s="17">
        <v>0.0</v>
      </c>
      <c r="O329" s="17">
        <v>0.0</v>
      </c>
      <c r="P329" s="17">
        <v>0.0</v>
      </c>
      <c r="Q329" s="17">
        <v>0.0</v>
      </c>
      <c r="R329" s="17">
        <v>0.0</v>
      </c>
      <c r="S329" s="17">
        <v>0.0</v>
      </c>
      <c r="T329" s="17">
        <v>0.0</v>
      </c>
      <c r="U329" s="17">
        <v>0.0</v>
      </c>
    </row>
    <row r="330" ht="23.25" customHeight="1">
      <c r="A330" s="20" t="str">
        <f>IF(COUNTIF('Icon Lookup'!C:C,B330)&gt;0,LOOKUP(B330,'Icon Lookup'!C:C,'Icon Lookup'!B:B),"")</f>
        <v/>
      </c>
      <c r="B330" s="21" t="s">
        <v>494</v>
      </c>
      <c r="C330" s="20"/>
      <c r="D330" s="20">
        <v>35.0</v>
      </c>
      <c r="E330" s="20" t="s">
        <v>495</v>
      </c>
      <c r="G330" s="22"/>
      <c r="H330" s="23" t="s">
        <v>496</v>
      </c>
      <c r="I330" s="20" t="s">
        <v>40</v>
      </c>
      <c r="J330" s="20">
        <v>0.0</v>
      </c>
      <c r="K330" s="20">
        <v>0.0</v>
      </c>
      <c r="L330" s="20">
        <v>0.0</v>
      </c>
      <c r="M330" s="20">
        <v>0.0</v>
      </c>
      <c r="N330" s="20">
        <v>0.0</v>
      </c>
      <c r="O330" s="20">
        <v>0.0</v>
      </c>
      <c r="P330" s="20">
        <v>0.0</v>
      </c>
      <c r="Q330" s="20">
        <v>0.0</v>
      </c>
      <c r="R330" s="20">
        <v>0.0</v>
      </c>
      <c r="S330" s="20">
        <v>0.0</v>
      </c>
      <c r="T330" s="20">
        <v>0.0</v>
      </c>
      <c r="U330" s="20">
        <v>0.0</v>
      </c>
    </row>
    <row r="331" ht="23.25" customHeight="1">
      <c r="A331" s="1"/>
      <c r="B331" s="15" t="s">
        <v>522</v>
      </c>
      <c r="C331" s="1" t="s">
        <v>17</v>
      </c>
      <c r="D331" s="1" t="s">
        <v>523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ht="23.25" customHeight="1">
      <c r="A332" s="17" t="str">
        <f>IF(COUNTIF('Icon Lookup'!C:C,B332)&gt;0,LOOKUP(B332,'Icon Lookup'!C:C,'Icon Lookup'!B:B),"")</f>
        <v/>
      </c>
      <c r="B332" s="18" t="s">
        <v>524</v>
      </c>
      <c r="C332" s="17"/>
      <c r="D332" s="17">
        <v>36.0</v>
      </c>
      <c r="E332" s="17" t="s">
        <v>525</v>
      </c>
      <c r="G332" s="19"/>
      <c r="H332" s="20" t="s">
        <v>526</v>
      </c>
      <c r="I332" s="17" t="s">
        <v>52</v>
      </c>
      <c r="J332" s="17">
        <v>0.0</v>
      </c>
      <c r="K332" s="17">
        <v>0.0</v>
      </c>
      <c r="L332" s="17">
        <v>0.0</v>
      </c>
      <c r="M332" s="17">
        <v>0.0</v>
      </c>
      <c r="N332" s="17">
        <v>0.0</v>
      </c>
      <c r="O332" s="17">
        <v>0.0</v>
      </c>
      <c r="P332" s="17">
        <v>0.0</v>
      </c>
      <c r="Q332" s="17">
        <v>0.0</v>
      </c>
      <c r="R332" s="17">
        <v>0.0</v>
      </c>
      <c r="S332" s="17">
        <v>0.0</v>
      </c>
      <c r="T332" s="17">
        <v>0.0</v>
      </c>
      <c r="U332" s="17">
        <v>0.0</v>
      </c>
    </row>
    <row r="333" ht="23.25" customHeight="1">
      <c r="A333" s="20" t="str">
        <f>IF(COUNTIF('Icon Lookup'!C:C,B333)&gt;0,LOOKUP(B333,'Icon Lookup'!C:C,'Icon Lookup'!B:B),"")</f>
        <v/>
      </c>
      <c r="B333" s="21" t="s">
        <v>478</v>
      </c>
      <c r="C333" s="20"/>
      <c r="D333" s="20">
        <v>38.0</v>
      </c>
      <c r="E333" s="20" t="s">
        <v>38</v>
      </c>
      <c r="G333" s="22"/>
      <c r="H333" s="23" t="s">
        <v>527</v>
      </c>
      <c r="I333" s="20" t="s">
        <v>22</v>
      </c>
      <c r="J333" s="20">
        <v>0.0</v>
      </c>
      <c r="K333" s="20">
        <v>0.0</v>
      </c>
      <c r="L333" s="20">
        <v>0.0</v>
      </c>
      <c r="M333" s="20">
        <v>0.0</v>
      </c>
      <c r="N333" s="20">
        <v>0.0</v>
      </c>
      <c r="O333" s="20">
        <v>0.0</v>
      </c>
      <c r="P333" s="20">
        <v>0.0</v>
      </c>
      <c r="Q333" s="20">
        <v>0.0</v>
      </c>
      <c r="R333" s="20">
        <v>0.0</v>
      </c>
      <c r="S333" s="20">
        <v>0.0</v>
      </c>
      <c r="T333" s="20">
        <v>0.0</v>
      </c>
      <c r="U333" s="20">
        <v>0.0</v>
      </c>
    </row>
    <row r="334" ht="23.25" customHeight="1">
      <c r="A334" s="1"/>
      <c r="B334" s="15" t="s">
        <v>528</v>
      </c>
      <c r="C334" s="1" t="s">
        <v>17</v>
      </c>
      <c r="D334" s="1" t="s">
        <v>529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ht="23.25" customHeight="1">
      <c r="A335" s="17" t="str">
        <f>IF(COUNTIF('Icon Lookup'!C:C,B335)&gt;0,LOOKUP(B335,'Icon Lookup'!C:C,'Icon Lookup'!B:B),"")</f>
        <v/>
      </c>
      <c r="B335" s="18" t="s">
        <v>381</v>
      </c>
      <c r="C335" s="17"/>
      <c r="D335" s="17">
        <v>35.0</v>
      </c>
      <c r="E335" s="17" t="s">
        <v>382</v>
      </c>
      <c r="G335" s="19"/>
      <c r="H335" s="20" t="s">
        <v>530</v>
      </c>
      <c r="I335" s="17" t="s">
        <v>73</v>
      </c>
      <c r="J335" s="17">
        <v>0.0</v>
      </c>
      <c r="K335" s="17">
        <v>0.0</v>
      </c>
      <c r="L335" s="17">
        <v>0.0</v>
      </c>
      <c r="M335" s="17">
        <v>0.0</v>
      </c>
      <c r="N335" s="17">
        <v>0.0</v>
      </c>
      <c r="O335" s="17">
        <v>0.0</v>
      </c>
      <c r="P335" s="17">
        <v>0.0</v>
      </c>
      <c r="Q335" s="17">
        <v>0.0</v>
      </c>
      <c r="R335" s="17">
        <v>0.0</v>
      </c>
      <c r="S335" s="17">
        <v>0.0</v>
      </c>
      <c r="T335" s="17">
        <v>0.0</v>
      </c>
      <c r="U335" s="17">
        <v>0.0</v>
      </c>
    </row>
    <row r="336" ht="23.25" customHeight="1">
      <c r="A336" s="20" t="str">
        <f>IF(COUNTIF('Icon Lookup'!C:C,B336)&gt;0,LOOKUP(B336,'Icon Lookup'!C:C,'Icon Lookup'!B:B),"")</f>
        <v/>
      </c>
      <c r="B336" s="21" t="s">
        <v>245</v>
      </c>
      <c r="C336" s="20"/>
      <c r="D336" s="20">
        <v>35.0</v>
      </c>
      <c r="E336" s="20" t="s">
        <v>218</v>
      </c>
      <c r="G336" s="22"/>
      <c r="H336" s="23" t="s">
        <v>531</v>
      </c>
      <c r="I336" s="20" t="s">
        <v>52</v>
      </c>
      <c r="J336" s="20">
        <v>0.0</v>
      </c>
      <c r="K336" s="20">
        <v>0.0</v>
      </c>
      <c r="L336" s="20">
        <v>0.0</v>
      </c>
      <c r="M336" s="20">
        <v>0.0</v>
      </c>
      <c r="N336" s="20">
        <v>0.0</v>
      </c>
      <c r="O336" s="20">
        <v>0.0</v>
      </c>
      <c r="P336" s="20">
        <v>0.0</v>
      </c>
      <c r="Q336" s="20">
        <v>0.0</v>
      </c>
      <c r="R336" s="20">
        <v>0.0</v>
      </c>
      <c r="S336" s="20">
        <v>0.0</v>
      </c>
      <c r="T336" s="20">
        <v>0.0</v>
      </c>
      <c r="U336" s="20">
        <v>0.0</v>
      </c>
    </row>
    <row r="337" ht="23.25" customHeight="1">
      <c r="A337" s="1"/>
      <c r="B337" s="15" t="s">
        <v>532</v>
      </c>
      <c r="C337" s="1" t="s">
        <v>17</v>
      </c>
      <c r="D337" s="1" t="s">
        <v>533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ht="23.25" customHeight="1">
      <c r="A338" s="17" t="str">
        <f>IF(COUNTIF('Icon Lookup'!C:C,B338)&gt;0,LOOKUP(B338,'Icon Lookup'!C:C,'Icon Lookup'!B:B),"")</f>
        <v/>
      </c>
      <c r="B338" s="18" t="s">
        <v>494</v>
      </c>
      <c r="C338" s="17"/>
      <c r="D338" s="17">
        <v>37.0</v>
      </c>
      <c r="E338" s="17" t="s">
        <v>495</v>
      </c>
      <c r="G338" s="19"/>
      <c r="H338" s="20" t="s">
        <v>496</v>
      </c>
      <c r="I338" s="17" t="s">
        <v>156</v>
      </c>
      <c r="J338" s="17">
        <v>0.0</v>
      </c>
      <c r="K338" s="17">
        <v>0.0</v>
      </c>
      <c r="L338" s="17">
        <v>0.0</v>
      </c>
      <c r="M338" s="17">
        <v>0.0</v>
      </c>
      <c r="N338" s="17">
        <v>0.0</v>
      </c>
      <c r="O338" s="17">
        <v>0.0</v>
      </c>
      <c r="P338" s="17">
        <v>0.0</v>
      </c>
      <c r="Q338" s="17">
        <v>0.0</v>
      </c>
      <c r="R338" s="17">
        <v>0.0</v>
      </c>
      <c r="S338" s="17">
        <v>0.0</v>
      </c>
      <c r="T338" s="17">
        <v>0.0</v>
      </c>
      <c r="U338" s="17">
        <v>0.0</v>
      </c>
    </row>
    <row r="339" ht="23.25" customHeight="1">
      <c r="A339" s="1"/>
      <c r="B339" s="15" t="s">
        <v>534</v>
      </c>
      <c r="C339" s="1" t="s">
        <v>17</v>
      </c>
      <c r="D339" s="1" t="s">
        <v>535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ht="23.25" customHeight="1">
      <c r="A340" s="20" t="str">
        <f>IF(COUNTIF('Icon Lookup'!C:C,B340)&gt;0,LOOKUP(B340,'Icon Lookup'!C:C,'Icon Lookup'!B:B),"")</f>
        <v/>
      </c>
      <c r="B340" s="21" t="s">
        <v>37</v>
      </c>
      <c r="C340" s="20"/>
      <c r="D340" s="20">
        <v>33.0</v>
      </c>
      <c r="E340" s="20" t="s">
        <v>38</v>
      </c>
      <c r="G340" s="22"/>
      <c r="H340" s="23" t="s">
        <v>536</v>
      </c>
      <c r="I340" s="20" t="s">
        <v>40</v>
      </c>
      <c r="J340" s="20">
        <v>0.0</v>
      </c>
      <c r="K340" s="20">
        <v>0.0</v>
      </c>
      <c r="L340" s="20">
        <v>0.0</v>
      </c>
      <c r="M340" s="20">
        <v>0.0</v>
      </c>
      <c r="N340" s="20">
        <v>0.0</v>
      </c>
      <c r="O340" s="20">
        <v>0.0</v>
      </c>
      <c r="P340" s="20">
        <v>0.0</v>
      </c>
      <c r="Q340" s="20">
        <v>0.0</v>
      </c>
      <c r="R340" s="20">
        <v>0.0</v>
      </c>
      <c r="S340" s="20">
        <v>0.0</v>
      </c>
      <c r="T340" s="20">
        <v>0.0</v>
      </c>
      <c r="U340" s="20">
        <v>0.0</v>
      </c>
    </row>
    <row r="341" ht="23.25" customHeight="1">
      <c r="A341" s="17" t="str">
        <f>IF(COUNTIF('Icon Lookup'!C:C,B341)&gt;0,LOOKUP(B341,'Icon Lookup'!C:C,'Icon Lookup'!B:B),"")</f>
        <v/>
      </c>
      <c r="B341" s="18" t="s">
        <v>174</v>
      </c>
      <c r="C341" s="17"/>
      <c r="D341" s="17">
        <v>33.0</v>
      </c>
      <c r="E341" s="17" t="s">
        <v>38</v>
      </c>
      <c r="G341" s="19"/>
      <c r="H341" s="20" t="s">
        <v>537</v>
      </c>
      <c r="I341" s="17" t="s">
        <v>40</v>
      </c>
      <c r="J341" s="17">
        <v>0.0</v>
      </c>
      <c r="K341" s="17">
        <v>0.0</v>
      </c>
      <c r="L341" s="17">
        <v>0.0</v>
      </c>
      <c r="M341" s="17">
        <v>0.0</v>
      </c>
      <c r="N341" s="17">
        <v>0.0</v>
      </c>
      <c r="O341" s="17">
        <v>0.0</v>
      </c>
      <c r="P341" s="17">
        <v>0.0</v>
      </c>
      <c r="Q341" s="17">
        <v>0.0</v>
      </c>
      <c r="R341" s="17">
        <v>0.0</v>
      </c>
      <c r="S341" s="17">
        <v>0.0</v>
      </c>
      <c r="T341" s="17">
        <v>0.0</v>
      </c>
      <c r="U341" s="17">
        <v>0.0</v>
      </c>
    </row>
    <row r="342" ht="23.25" customHeight="1">
      <c r="A342" s="20" t="str">
        <f>IF(COUNTIF('Icon Lookup'!C:C,B342)&gt;0,LOOKUP(B342,'Icon Lookup'!C:C,'Icon Lookup'!B:B),"")</f>
        <v/>
      </c>
      <c r="B342" s="21" t="s">
        <v>37</v>
      </c>
      <c r="C342" s="20"/>
      <c r="D342" s="20">
        <v>34.0</v>
      </c>
      <c r="E342" s="20" t="s">
        <v>38</v>
      </c>
      <c r="G342" s="22"/>
      <c r="H342" s="23" t="s">
        <v>536</v>
      </c>
      <c r="I342" s="20" t="s">
        <v>40</v>
      </c>
      <c r="J342" s="20">
        <v>0.0</v>
      </c>
      <c r="K342" s="20">
        <v>0.0</v>
      </c>
      <c r="L342" s="20">
        <v>0.0</v>
      </c>
      <c r="M342" s="20">
        <v>0.0</v>
      </c>
      <c r="N342" s="20">
        <v>0.0</v>
      </c>
      <c r="O342" s="20">
        <v>0.0</v>
      </c>
      <c r="P342" s="20">
        <v>0.0</v>
      </c>
      <c r="Q342" s="20">
        <v>0.0</v>
      </c>
      <c r="R342" s="20">
        <v>0.0</v>
      </c>
      <c r="S342" s="20">
        <v>0.0</v>
      </c>
      <c r="T342" s="20">
        <v>0.0</v>
      </c>
      <c r="U342" s="20">
        <v>0.0</v>
      </c>
    </row>
    <row r="343" ht="23.25" customHeight="1">
      <c r="A343" s="17" t="str">
        <f>IF(COUNTIF('Icon Lookup'!C:C,B343)&gt;0,LOOKUP(B343,'Icon Lookup'!C:C,'Icon Lookup'!B:B),"")</f>
        <v/>
      </c>
      <c r="B343" s="18" t="s">
        <v>288</v>
      </c>
      <c r="C343" s="17"/>
      <c r="D343" s="17">
        <v>36.0</v>
      </c>
      <c r="E343" s="17" t="s">
        <v>289</v>
      </c>
      <c r="G343" s="19"/>
      <c r="H343" s="20" t="s">
        <v>538</v>
      </c>
      <c r="I343" s="17" t="s">
        <v>36</v>
      </c>
      <c r="J343" s="17">
        <v>0.0</v>
      </c>
      <c r="K343" s="17">
        <v>0.0</v>
      </c>
      <c r="L343" s="17">
        <v>0.0</v>
      </c>
      <c r="M343" s="17">
        <v>0.0</v>
      </c>
      <c r="N343" s="17">
        <v>0.0</v>
      </c>
      <c r="O343" s="17">
        <v>0.0</v>
      </c>
      <c r="P343" s="17">
        <v>0.0</v>
      </c>
      <c r="Q343" s="17">
        <v>0.0</v>
      </c>
      <c r="R343" s="17">
        <v>0.0</v>
      </c>
      <c r="S343" s="17">
        <v>0.0</v>
      </c>
      <c r="T343" s="17">
        <v>0.0</v>
      </c>
      <c r="U343" s="17">
        <v>0.0</v>
      </c>
    </row>
    <row r="344" ht="23.25" customHeight="1">
      <c r="A344" s="1"/>
      <c r="B344" s="15" t="s">
        <v>539</v>
      </c>
      <c r="C344" s="1" t="s">
        <v>17</v>
      </c>
      <c r="D344" s="1" t="s">
        <v>540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ht="23.25" customHeight="1">
      <c r="A345" s="20" t="str">
        <f>IF(COUNTIF('Icon Lookup'!C:C,B345)&gt;0,LOOKUP(B345,'Icon Lookup'!C:C,'Icon Lookup'!B:B),"")</f>
        <v/>
      </c>
      <c r="B345" s="21" t="s">
        <v>282</v>
      </c>
      <c r="C345" s="20"/>
      <c r="D345" s="20">
        <v>35.0</v>
      </c>
      <c r="E345" s="20" t="s">
        <v>283</v>
      </c>
      <c r="G345" s="22"/>
      <c r="H345" s="23" t="s">
        <v>541</v>
      </c>
      <c r="I345" s="20" t="s">
        <v>46</v>
      </c>
      <c r="J345" s="20">
        <v>0.0</v>
      </c>
      <c r="K345" s="20">
        <v>0.0</v>
      </c>
      <c r="L345" s="20">
        <v>0.0</v>
      </c>
      <c r="M345" s="20">
        <v>0.0</v>
      </c>
      <c r="N345" s="20">
        <v>0.0</v>
      </c>
      <c r="O345" s="20">
        <v>0.0</v>
      </c>
      <c r="P345" s="20">
        <v>0.0</v>
      </c>
      <c r="Q345" s="20">
        <v>0.0</v>
      </c>
      <c r="R345" s="20">
        <v>0.0</v>
      </c>
      <c r="S345" s="20">
        <v>0.0</v>
      </c>
      <c r="T345" s="20">
        <v>0.0</v>
      </c>
      <c r="U345" s="20">
        <v>0.0</v>
      </c>
    </row>
    <row r="346" ht="23.25" customHeight="1">
      <c r="A346" s="17" t="str">
        <f>IF(COUNTIF('Icon Lookup'!C:C,B346)&gt;0,LOOKUP(B346,'Icon Lookup'!C:C,'Icon Lookup'!B:B),"")</f>
        <v/>
      </c>
      <c r="B346" s="18" t="s">
        <v>174</v>
      </c>
      <c r="C346" s="17"/>
      <c r="D346" s="17">
        <v>35.0</v>
      </c>
      <c r="E346" s="17" t="s">
        <v>38</v>
      </c>
      <c r="G346" s="19"/>
      <c r="H346" s="20" t="s">
        <v>542</v>
      </c>
      <c r="I346" s="17" t="s">
        <v>40</v>
      </c>
      <c r="J346" s="17">
        <v>0.0</v>
      </c>
      <c r="K346" s="17">
        <v>0.0</v>
      </c>
      <c r="L346" s="17">
        <v>0.0</v>
      </c>
      <c r="M346" s="17">
        <v>0.0</v>
      </c>
      <c r="N346" s="17">
        <v>0.0</v>
      </c>
      <c r="O346" s="17">
        <v>0.0</v>
      </c>
      <c r="P346" s="17">
        <v>0.0</v>
      </c>
      <c r="Q346" s="17">
        <v>0.0</v>
      </c>
      <c r="R346" s="17">
        <v>0.0</v>
      </c>
      <c r="S346" s="17">
        <v>0.0</v>
      </c>
      <c r="T346" s="17">
        <v>0.0</v>
      </c>
      <c r="U346" s="17">
        <v>0.0</v>
      </c>
    </row>
    <row r="347" ht="23.25" customHeight="1">
      <c r="A347" s="1"/>
      <c r="B347" s="15" t="s">
        <v>543</v>
      </c>
      <c r="C347" s="1" t="s">
        <v>17</v>
      </c>
      <c r="D347" s="1" t="s">
        <v>544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ht="23.25" customHeight="1">
      <c r="A348" s="20" t="str">
        <f>IF(COUNTIF('Icon Lookup'!C:C,B348)&gt;0,LOOKUP(B348,'Icon Lookup'!C:C,'Icon Lookup'!B:B),"")</f>
        <v/>
      </c>
      <c r="B348" s="21" t="s">
        <v>288</v>
      </c>
      <c r="C348" s="20"/>
      <c r="D348" s="20">
        <v>36.0</v>
      </c>
      <c r="E348" s="20" t="s">
        <v>289</v>
      </c>
      <c r="G348" s="22"/>
      <c r="H348" s="23" t="s">
        <v>538</v>
      </c>
      <c r="I348" s="20" t="s">
        <v>94</v>
      </c>
      <c r="J348" s="20">
        <v>0.0</v>
      </c>
      <c r="K348" s="20">
        <v>0.0</v>
      </c>
      <c r="L348" s="20">
        <v>0.0</v>
      </c>
      <c r="M348" s="20">
        <v>0.0</v>
      </c>
      <c r="N348" s="20">
        <v>0.0</v>
      </c>
      <c r="O348" s="20">
        <v>0.0</v>
      </c>
      <c r="P348" s="20">
        <v>0.0</v>
      </c>
      <c r="Q348" s="20">
        <v>0.0</v>
      </c>
      <c r="R348" s="20">
        <v>0.0</v>
      </c>
      <c r="S348" s="20">
        <v>0.0</v>
      </c>
      <c r="T348" s="20">
        <v>0.0</v>
      </c>
      <c r="U348" s="20">
        <v>0.0</v>
      </c>
    </row>
    <row r="349" ht="23.25" customHeight="1">
      <c r="A349" s="17" t="str">
        <f>IF(COUNTIF('Icon Lookup'!C:C,B349)&gt;0,LOOKUP(B349,'Icon Lookup'!C:C,'Icon Lookup'!B:B),"")</f>
        <v/>
      </c>
      <c r="B349" s="18" t="s">
        <v>97</v>
      </c>
      <c r="C349" s="17"/>
      <c r="D349" s="17">
        <v>35.0</v>
      </c>
      <c r="E349" s="17" t="s">
        <v>98</v>
      </c>
      <c r="G349" s="19"/>
      <c r="H349" s="20" t="s">
        <v>545</v>
      </c>
      <c r="I349" s="17" t="s">
        <v>89</v>
      </c>
      <c r="J349" s="17">
        <v>0.0</v>
      </c>
      <c r="K349" s="17">
        <v>0.0</v>
      </c>
      <c r="L349" s="17">
        <v>0.0</v>
      </c>
      <c r="M349" s="17">
        <v>0.0</v>
      </c>
      <c r="N349" s="17">
        <v>0.0</v>
      </c>
      <c r="O349" s="17">
        <v>0.0</v>
      </c>
      <c r="P349" s="17">
        <v>0.0</v>
      </c>
      <c r="Q349" s="17">
        <v>0.0</v>
      </c>
      <c r="R349" s="17">
        <v>0.0</v>
      </c>
      <c r="S349" s="17">
        <v>0.0</v>
      </c>
      <c r="T349" s="17">
        <v>0.0</v>
      </c>
      <c r="U349" s="17">
        <v>0.0</v>
      </c>
    </row>
    <row r="350" ht="23.25" customHeight="1">
      <c r="A350" s="20" t="str">
        <f>IF(COUNTIF('Icon Lookup'!C:C,B350)&gt;0,LOOKUP(B350,'Icon Lookup'!C:C,'Icon Lookup'!B:B),"")</f>
        <v/>
      </c>
      <c r="B350" s="21" t="s">
        <v>275</v>
      </c>
      <c r="C350" s="20"/>
      <c r="D350" s="20">
        <v>37.0</v>
      </c>
      <c r="E350" s="20" t="s">
        <v>91</v>
      </c>
      <c r="G350" s="22"/>
      <c r="H350" s="23" t="s">
        <v>546</v>
      </c>
      <c r="I350" s="20" t="s">
        <v>89</v>
      </c>
      <c r="J350" s="20">
        <v>0.0</v>
      </c>
      <c r="K350" s="20">
        <v>0.0</v>
      </c>
      <c r="L350" s="20">
        <v>0.0</v>
      </c>
      <c r="M350" s="20">
        <v>0.0</v>
      </c>
      <c r="N350" s="20">
        <v>0.0</v>
      </c>
      <c r="O350" s="20">
        <v>0.0</v>
      </c>
      <c r="P350" s="20">
        <v>0.0</v>
      </c>
      <c r="Q350" s="20">
        <v>0.0</v>
      </c>
      <c r="R350" s="20">
        <v>0.0</v>
      </c>
      <c r="S350" s="20">
        <v>0.0</v>
      </c>
      <c r="T350" s="20">
        <v>0.0</v>
      </c>
      <c r="U350" s="20">
        <v>0.0</v>
      </c>
    </row>
    <row r="351" ht="23.25" customHeight="1">
      <c r="A351" s="1"/>
      <c r="B351" s="15" t="s">
        <v>547</v>
      </c>
      <c r="C351" s="1" t="s">
        <v>17</v>
      </c>
      <c r="D351" s="1" t="s">
        <v>548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ht="23.25" customHeight="1">
      <c r="A352" s="17" t="str">
        <f>IF(COUNTIF('Icon Lookup'!C:C,B352)&gt;0,LOOKUP(B352,'Icon Lookup'!C:C,'Icon Lookup'!B:B),"")</f>
        <v/>
      </c>
      <c r="B352" s="18" t="s">
        <v>190</v>
      </c>
      <c r="C352" s="17"/>
      <c r="D352" s="17">
        <v>29.0</v>
      </c>
      <c r="E352" s="17" t="s">
        <v>26</v>
      </c>
      <c r="G352" s="19"/>
      <c r="H352" s="20" t="s">
        <v>394</v>
      </c>
      <c r="I352" s="17" t="s">
        <v>52</v>
      </c>
      <c r="J352" s="17">
        <v>0.0</v>
      </c>
      <c r="K352" s="17">
        <v>0.0</v>
      </c>
      <c r="L352" s="17">
        <v>0.0</v>
      </c>
      <c r="M352" s="17">
        <v>0.0</v>
      </c>
      <c r="N352" s="17">
        <v>0.0</v>
      </c>
      <c r="O352" s="17">
        <v>0.0</v>
      </c>
      <c r="P352" s="17">
        <v>0.0</v>
      </c>
      <c r="Q352" s="17">
        <v>0.0</v>
      </c>
      <c r="R352" s="17">
        <v>0.0</v>
      </c>
      <c r="S352" s="17">
        <v>0.0</v>
      </c>
      <c r="T352" s="17">
        <v>0.0</v>
      </c>
      <c r="U352" s="17">
        <v>0.0</v>
      </c>
    </row>
    <row r="353" ht="23.25" customHeight="1">
      <c r="A353" s="20" t="str">
        <f>IF(COUNTIF('Icon Lookup'!C:C,B353)&gt;0,LOOKUP(B353,'Icon Lookup'!C:C,'Icon Lookup'!B:B),"")</f>
        <v/>
      </c>
      <c r="B353" s="21" t="s">
        <v>190</v>
      </c>
      <c r="C353" s="20"/>
      <c r="D353" s="20">
        <v>29.0</v>
      </c>
      <c r="E353" s="20" t="s">
        <v>26</v>
      </c>
      <c r="G353" s="22"/>
      <c r="H353" s="23" t="s">
        <v>549</v>
      </c>
      <c r="I353" s="20" t="s">
        <v>550</v>
      </c>
      <c r="J353" s="20">
        <v>0.0</v>
      </c>
      <c r="K353" s="20">
        <v>0.0</v>
      </c>
      <c r="L353" s="20">
        <v>0.0</v>
      </c>
      <c r="M353" s="20">
        <v>0.0</v>
      </c>
      <c r="N353" s="20">
        <v>0.0</v>
      </c>
      <c r="O353" s="20">
        <v>0.0</v>
      </c>
      <c r="P353" s="20">
        <v>0.0</v>
      </c>
      <c r="Q353" s="20">
        <v>0.0</v>
      </c>
      <c r="R353" s="20">
        <v>0.0</v>
      </c>
      <c r="S353" s="20">
        <v>0.0</v>
      </c>
      <c r="T353" s="20">
        <v>0.0</v>
      </c>
      <c r="U353" s="20">
        <v>0.0</v>
      </c>
    </row>
    <row r="354" ht="23.25" customHeight="1">
      <c r="A354" s="1"/>
      <c r="B354" s="15" t="s">
        <v>551</v>
      </c>
      <c r="C354" s="1" t="s">
        <v>17</v>
      </c>
      <c r="D354" s="1" t="s">
        <v>552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ht="23.25" customHeight="1">
      <c r="A355" s="17" t="str">
        <f>IF(COUNTIF('Icon Lookup'!C:C,B355)&gt;0,LOOKUP(B355,'Icon Lookup'!C:C,'Icon Lookup'!B:B),"")</f>
        <v/>
      </c>
      <c r="B355" s="18" t="s">
        <v>43</v>
      </c>
      <c r="C355" s="17"/>
      <c r="D355" s="17">
        <v>26.0</v>
      </c>
      <c r="E355" s="17" t="s">
        <v>44</v>
      </c>
      <c r="G355" s="19"/>
      <c r="H355" s="20" t="s">
        <v>553</v>
      </c>
      <c r="I355" s="17" t="s">
        <v>89</v>
      </c>
      <c r="J355" s="17">
        <v>0.0</v>
      </c>
      <c r="K355" s="17">
        <v>0.0</v>
      </c>
      <c r="L355" s="17">
        <v>0.0</v>
      </c>
      <c r="M355" s="17">
        <v>0.0</v>
      </c>
      <c r="N355" s="17">
        <v>0.0</v>
      </c>
      <c r="O355" s="17">
        <v>0.0</v>
      </c>
      <c r="P355" s="17">
        <v>0.0</v>
      </c>
      <c r="Q355" s="17">
        <v>0.0</v>
      </c>
      <c r="R355" s="17">
        <v>0.0</v>
      </c>
      <c r="S355" s="17">
        <v>0.0</v>
      </c>
      <c r="T355" s="17">
        <v>0.0</v>
      </c>
      <c r="U355" s="17">
        <v>0.0</v>
      </c>
    </row>
    <row r="356" ht="23.25" customHeight="1">
      <c r="A356" s="20" t="str">
        <f>IF(COUNTIF('Icon Lookup'!C:C,B356)&gt;0,LOOKUP(B356,'Icon Lookup'!C:C,'Icon Lookup'!B:B),"")</f>
        <v/>
      </c>
      <c r="B356" s="21" t="s">
        <v>43</v>
      </c>
      <c r="C356" s="20"/>
      <c r="D356" s="20">
        <v>26.0</v>
      </c>
      <c r="E356" s="20" t="s">
        <v>44</v>
      </c>
      <c r="G356" s="22"/>
      <c r="H356" s="23" t="s">
        <v>553</v>
      </c>
      <c r="I356" s="20" t="s">
        <v>89</v>
      </c>
      <c r="J356" s="20">
        <v>0.0</v>
      </c>
      <c r="K356" s="20">
        <v>0.0</v>
      </c>
      <c r="L356" s="20">
        <v>0.0</v>
      </c>
      <c r="M356" s="20">
        <v>0.0</v>
      </c>
      <c r="N356" s="20">
        <v>0.0</v>
      </c>
      <c r="O356" s="20">
        <v>0.0</v>
      </c>
      <c r="P356" s="20">
        <v>0.0</v>
      </c>
      <c r="Q356" s="20">
        <v>0.0</v>
      </c>
      <c r="R356" s="20">
        <v>0.0</v>
      </c>
      <c r="S356" s="20">
        <v>0.0</v>
      </c>
      <c r="T356" s="20">
        <v>0.0</v>
      </c>
      <c r="U356" s="20">
        <v>0.0</v>
      </c>
    </row>
    <row r="357" ht="23.25" customHeight="1">
      <c r="A357" s="17" t="str">
        <f>IF(COUNTIF('Icon Lookup'!C:C,B357)&gt;0,LOOKUP(B357,'Icon Lookup'!C:C,'Icon Lookup'!B:B),"")</f>
        <v/>
      </c>
      <c r="B357" s="18" t="s">
        <v>43</v>
      </c>
      <c r="C357" s="17"/>
      <c r="D357" s="17">
        <v>26.0</v>
      </c>
      <c r="E357" s="17" t="s">
        <v>44</v>
      </c>
      <c r="G357" s="19"/>
      <c r="H357" s="20" t="s">
        <v>553</v>
      </c>
      <c r="I357" s="17" t="s">
        <v>89</v>
      </c>
      <c r="J357" s="17">
        <v>0.0</v>
      </c>
      <c r="K357" s="17">
        <v>0.0</v>
      </c>
      <c r="L357" s="17">
        <v>0.0</v>
      </c>
      <c r="M357" s="17">
        <v>0.0</v>
      </c>
      <c r="N357" s="17">
        <v>0.0</v>
      </c>
      <c r="O357" s="17">
        <v>0.0</v>
      </c>
      <c r="P357" s="17">
        <v>0.0</v>
      </c>
      <c r="Q357" s="17">
        <v>0.0</v>
      </c>
      <c r="R357" s="17">
        <v>0.0</v>
      </c>
      <c r="S357" s="17">
        <v>0.0</v>
      </c>
      <c r="T357" s="17">
        <v>0.0</v>
      </c>
      <c r="U357" s="17">
        <v>0.0</v>
      </c>
    </row>
    <row r="358" ht="23.25" customHeight="1">
      <c r="A358" s="20" t="str">
        <f>IF(COUNTIF('Icon Lookup'!C:C,B358)&gt;0,LOOKUP(B358,'Icon Lookup'!C:C,'Icon Lookup'!B:B),"")</f>
        <v/>
      </c>
      <c r="B358" s="21" t="s">
        <v>190</v>
      </c>
      <c r="C358" s="20"/>
      <c r="D358" s="20">
        <v>31.0</v>
      </c>
      <c r="E358" s="20" t="s">
        <v>26</v>
      </c>
      <c r="G358" s="22"/>
      <c r="H358" s="23" t="s">
        <v>191</v>
      </c>
      <c r="I358" s="20" t="s">
        <v>156</v>
      </c>
      <c r="J358" s="20">
        <v>0.0</v>
      </c>
      <c r="K358" s="20">
        <v>0.0</v>
      </c>
      <c r="L358" s="20">
        <v>0.0</v>
      </c>
      <c r="M358" s="20">
        <v>0.0</v>
      </c>
      <c r="N358" s="20">
        <v>0.0</v>
      </c>
      <c r="O358" s="20">
        <v>0.0</v>
      </c>
      <c r="P358" s="20">
        <v>0.0</v>
      </c>
      <c r="Q358" s="20">
        <v>0.0</v>
      </c>
      <c r="R358" s="20">
        <v>0.0</v>
      </c>
      <c r="S358" s="20">
        <v>0.0</v>
      </c>
      <c r="T358" s="20">
        <v>0.0</v>
      </c>
      <c r="U358" s="20">
        <v>0.0</v>
      </c>
    </row>
    <row r="359" ht="23.25" customHeight="1">
      <c r="A359" s="17" t="str">
        <f>IF(COUNTIF('Icon Lookup'!C:C,B359)&gt;0,LOOKUP(B359,'Icon Lookup'!C:C,'Icon Lookup'!B:B),"")</f>
        <v/>
      </c>
      <c r="B359" s="18" t="s">
        <v>43</v>
      </c>
      <c r="C359" s="17"/>
      <c r="D359" s="17">
        <v>26.0</v>
      </c>
      <c r="E359" s="17" t="s">
        <v>44</v>
      </c>
      <c r="G359" s="19"/>
      <c r="H359" s="20" t="s">
        <v>553</v>
      </c>
      <c r="I359" s="17" t="s">
        <v>89</v>
      </c>
      <c r="J359" s="17">
        <v>0.0</v>
      </c>
      <c r="K359" s="17">
        <v>0.0</v>
      </c>
      <c r="L359" s="17">
        <v>0.0</v>
      </c>
      <c r="M359" s="17">
        <v>0.0</v>
      </c>
      <c r="N359" s="17">
        <v>0.0</v>
      </c>
      <c r="O359" s="17">
        <v>0.0</v>
      </c>
      <c r="P359" s="17">
        <v>0.0</v>
      </c>
      <c r="Q359" s="17">
        <v>0.0</v>
      </c>
      <c r="R359" s="17">
        <v>0.0</v>
      </c>
      <c r="S359" s="17">
        <v>0.0</v>
      </c>
      <c r="T359" s="17">
        <v>0.0</v>
      </c>
      <c r="U359" s="17">
        <v>0.0</v>
      </c>
    </row>
    <row r="360" ht="23.25" customHeight="1">
      <c r="A360" s="1"/>
      <c r="B360" s="15" t="s">
        <v>554</v>
      </c>
      <c r="C360" s="1" t="s">
        <v>17</v>
      </c>
      <c r="D360" s="1" t="s">
        <v>555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ht="23.25" customHeight="1">
      <c r="A361" s="20" t="str">
        <f>IF(COUNTIF('Icon Lookup'!C:C,B361)&gt;0,LOOKUP(B361,'Icon Lookup'!C:C,'Icon Lookup'!B:B),"")</f>
        <v/>
      </c>
      <c r="B361" s="21" t="s">
        <v>524</v>
      </c>
      <c r="C361" s="20"/>
      <c r="D361" s="20">
        <v>26.0</v>
      </c>
      <c r="E361" s="20" t="s">
        <v>525</v>
      </c>
      <c r="G361" s="22"/>
      <c r="H361" s="23" t="s">
        <v>556</v>
      </c>
      <c r="I361" s="20" t="s">
        <v>156</v>
      </c>
      <c r="J361" s="20">
        <v>0.0</v>
      </c>
      <c r="K361" s="20">
        <v>0.0</v>
      </c>
      <c r="L361" s="20">
        <v>0.0</v>
      </c>
      <c r="M361" s="20">
        <v>0.0</v>
      </c>
      <c r="N361" s="20">
        <v>0.0</v>
      </c>
      <c r="O361" s="20">
        <v>0.0</v>
      </c>
      <c r="P361" s="20">
        <v>0.0</v>
      </c>
      <c r="Q361" s="20">
        <v>0.0</v>
      </c>
      <c r="R361" s="20">
        <v>0.0</v>
      </c>
      <c r="S361" s="20">
        <v>0.0</v>
      </c>
      <c r="T361" s="20">
        <v>0.0</v>
      </c>
      <c r="U361" s="20">
        <v>0.0</v>
      </c>
    </row>
    <row r="362" ht="23.25" customHeight="1">
      <c r="A362" s="17" t="str">
        <f>IF(COUNTIF('Icon Lookup'!C:C,B362)&gt;0,LOOKUP(B362,'Icon Lookup'!C:C,'Icon Lookup'!B:B),"")</f>
        <v/>
      </c>
      <c r="B362" s="18" t="s">
        <v>427</v>
      </c>
      <c r="C362" s="17"/>
      <c r="D362" s="17">
        <v>29.0</v>
      </c>
      <c r="E362" s="17" t="s">
        <v>557</v>
      </c>
      <c r="G362" s="19"/>
      <c r="H362" s="20" t="s">
        <v>558</v>
      </c>
      <c r="I362" s="17" t="s">
        <v>94</v>
      </c>
      <c r="J362" s="17">
        <v>0.0</v>
      </c>
      <c r="K362" s="17">
        <v>0.0</v>
      </c>
      <c r="L362" s="17">
        <v>0.0</v>
      </c>
      <c r="M362" s="17">
        <v>0.0</v>
      </c>
      <c r="N362" s="17">
        <v>0.0</v>
      </c>
      <c r="O362" s="17">
        <v>0.0</v>
      </c>
      <c r="P362" s="17">
        <v>0.0</v>
      </c>
      <c r="Q362" s="17">
        <v>0.0</v>
      </c>
      <c r="R362" s="17">
        <v>0.0</v>
      </c>
      <c r="S362" s="17">
        <v>0.0</v>
      </c>
      <c r="T362" s="17">
        <v>0.0</v>
      </c>
      <c r="U362" s="17">
        <v>0.0</v>
      </c>
    </row>
    <row r="363" ht="23.25" customHeight="1">
      <c r="A363" s="20" t="str">
        <f>IF(COUNTIF('Icon Lookup'!C:C,B363)&gt;0,LOOKUP(B363,'Icon Lookup'!C:C,'Icon Lookup'!B:B),"")</f>
        <v/>
      </c>
      <c r="B363" s="21" t="s">
        <v>559</v>
      </c>
      <c r="C363" s="20"/>
      <c r="D363" s="20">
        <v>29.0</v>
      </c>
      <c r="E363" s="20" t="s">
        <v>560</v>
      </c>
      <c r="G363" s="22"/>
      <c r="H363" s="23" t="s">
        <v>561</v>
      </c>
      <c r="I363" s="20" t="s">
        <v>156</v>
      </c>
      <c r="J363" s="20">
        <v>0.0</v>
      </c>
      <c r="K363" s="20">
        <v>0.0</v>
      </c>
      <c r="L363" s="20">
        <v>0.0</v>
      </c>
      <c r="M363" s="20">
        <v>0.0</v>
      </c>
      <c r="N363" s="20">
        <v>0.0</v>
      </c>
      <c r="O363" s="20">
        <v>0.0</v>
      </c>
      <c r="P363" s="20">
        <v>0.0</v>
      </c>
      <c r="Q363" s="20">
        <v>0.0</v>
      </c>
      <c r="R363" s="20">
        <v>0.0</v>
      </c>
      <c r="S363" s="20">
        <v>0.0</v>
      </c>
      <c r="T363" s="20">
        <v>0.0</v>
      </c>
      <c r="U363" s="20">
        <v>0.0</v>
      </c>
    </row>
    <row r="364" ht="23.25" customHeight="1">
      <c r="A364" s="1"/>
      <c r="B364" s="15" t="s">
        <v>562</v>
      </c>
      <c r="C364" s="1" t="s">
        <v>17</v>
      </c>
      <c r="D364" s="1" t="s">
        <v>563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ht="23.25" customHeight="1">
      <c r="A365" s="17" t="str">
        <f>IF(COUNTIF('Icon Lookup'!C:C,B365)&gt;0,LOOKUP(B365,'Icon Lookup'!C:C,'Icon Lookup'!B:B),"")</f>
        <v/>
      </c>
      <c r="B365" s="18" t="s">
        <v>190</v>
      </c>
      <c r="C365" s="17"/>
      <c r="D365" s="17">
        <v>31.0</v>
      </c>
      <c r="E365" s="17" t="s">
        <v>26</v>
      </c>
      <c r="G365" s="19"/>
      <c r="H365" s="20" t="s">
        <v>564</v>
      </c>
      <c r="I365" s="17" t="s">
        <v>156</v>
      </c>
      <c r="J365" s="17">
        <v>0.0</v>
      </c>
      <c r="K365" s="17">
        <v>0.0</v>
      </c>
      <c r="L365" s="17">
        <v>0.0</v>
      </c>
      <c r="M365" s="17">
        <v>0.0</v>
      </c>
      <c r="N365" s="17">
        <v>0.0</v>
      </c>
      <c r="O365" s="17">
        <v>0.0</v>
      </c>
      <c r="P365" s="17">
        <v>0.0</v>
      </c>
      <c r="Q365" s="17">
        <v>0.0</v>
      </c>
      <c r="R365" s="17">
        <v>0.0</v>
      </c>
      <c r="S365" s="17">
        <v>0.0</v>
      </c>
      <c r="T365" s="17">
        <v>0.0</v>
      </c>
      <c r="U365" s="17">
        <v>0.0</v>
      </c>
    </row>
    <row r="366" ht="23.25" customHeight="1">
      <c r="A366" s="1"/>
      <c r="B366" s="15" t="s">
        <v>565</v>
      </c>
      <c r="C366" s="1" t="s">
        <v>17</v>
      </c>
      <c r="D366" s="1" t="s">
        <v>566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ht="23.25" customHeight="1">
      <c r="A367" s="20" t="str">
        <f>IF(COUNTIF('Icon Lookup'!C:C,B367)&gt;0,LOOKUP(B367,'Icon Lookup'!C:C,'Icon Lookup'!B:B),"")</f>
        <v/>
      </c>
      <c r="B367" s="21" t="s">
        <v>410</v>
      </c>
      <c r="C367" s="20"/>
      <c r="D367" s="20">
        <v>29.0</v>
      </c>
      <c r="E367" s="20" t="s">
        <v>411</v>
      </c>
      <c r="G367" s="22"/>
      <c r="H367" s="23" t="s">
        <v>567</v>
      </c>
      <c r="I367" s="20" t="s">
        <v>89</v>
      </c>
      <c r="J367" s="20">
        <v>0.0</v>
      </c>
      <c r="K367" s="20">
        <v>0.0</v>
      </c>
      <c r="L367" s="20">
        <v>0.0</v>
      </c>
      <c r="M367" s="20">
        <v>0.0</v>
      </c>
      <c r="N367" s="20">
        <v>0.0</v>
      </c>
      <c r="O367" s="20">
        <v>0.0</v>
      </c>
      <c r="P367" s="20">
        <v>0.0</v>
      </c>
      <c r="Q367" s="20">
        <v>0.0</v>
      </c>
      <c r="R367" s="20">
        <v>0.0</v>
      </c>
      <c r="S367" s="20">
        <v>0.0</v>
      </c>
      <c r="T367" s="20">
        <v>0.0</v>
      </c>
      <c r="U367" s="20">
        <v>0.0</v>
      </c>
    </row>
    <row r="368" ht="23.25" customHeight="1">
      <c r="A368" s="17" t="str">
        <f>IF(COUNTIF('Icon Lookup'!C:C,B368)&gt;0,LOOKUP(B368,'Icon Lookup'!C:C,'Icon Lookup'!B:B),"")</f>
        <v/>
      </c>
      <c r="B368" s="18" t="s">
        <v>568</v>
      </c>
      <c r="C368" s="17"/>
      <c r="D368" s="17">
        <v>29.0</v>
      </c>
      <c r="E368" s="17" t="s">
        <v>188</v>
      </c>
      <c r="G368" s="19"/>
      <c r="H368" s="20" t="s">
        <v>569</v>
      </c>
      <c r="I368" s="17" t="s">
        <v>89</v>
      </c>
      <c r="J368" s="17">
        <v>0.0</v>
      </c>
      <c r="K368" s="17">
        <v>0.0</v>
      </c>
      <c r="L368" s="17">
        <v>0.0</v>
      </c>
      <c r="M368" s="17">
        <v>0.0</v>
      </c>
      <c r="N368" s="17">
        <v>0.0</v>
      </c>
      <c r="O368" s="17">
        <v>0.0</v>
      </c>
      <c r="P368" s="17">
        <v>0.0</v>
      </c>
      <c r="Q368" s="17">
        <v>0.0</v>
      </c>
      <c r="R368" s="17">
        <v>0.0</v>
      </c>
      <c r="S368" s="17">
        <v>0.0</v>
      </c>
      <c r="T368" s="17">
        <v>0.0</v>
      </c>
      <c r="U368" s="17">
        <v>0.0</v>
      </c>
    </row>
    <row r="369" ht="23.25" customHeight="1">
      <c r="A369" s="1"/>
      <c r="B369" s="15" t="s">
        <v>570</v>
      </c>
      <c r="C369" s="1" t="s">
        <v>17</v>
      </c>
      <c r="D369" s="1" t="s">
        <v>571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ht="23.25" customHeight="1">
      <c r="A370" s="20" t="str">
        <f>IF(COUNTIF('Icon Lookup'!C:C,B370)&gt;0,LOOKUP(B370,'Icon Lookup'!C:C,'Icon Lookup'!B:B),"")</f>
        <v/>
      </c>
      <c r="B370" s="21" t="s">
        <v>110</v>
      </c>
      <c r="C370" s="20"/>
      <c r="D370" s="20">
        <v>28.0</v>
      </c>
      <c r="E370" s="20" t="s">
        <v>111</v>
      </c>
      <c r="G370" s="22"/>
      <c r="H370" s="23" t="s">
        <v>572</v>
      </c>
      <c r="I370" s="20" t="s">
        <v>211</v>
      </c>
      <c r="J370" s="20">
        <v>0.0</v>
      </c>
      <c r="K370" s="20">
        <v>0.0</v>
      </c>
      <c r="L370" s="20">
        <v>0.0</v>
      </c>
      <c r="M370" s="20">
        <v>0.0</v>
      </c>
      <c r="N370" s="20">
        <v>0.0</v>
      </c>
      <c r="O370" s="20">
        <v>0.0</v>
      </c>
      <c r="P370" s="20">
        <v>0.0</v>
      </c>
      <c r="Q370" s="20">
        <v>0.0</v>
      </c>
      <c r="R370" s="20">
        <v>0.0</v>
      </c>
      <c r="S370" s="20">
        <v>0.0</v>
      </c>
      <c r="T370" s="20">
        <v>0.0</v>
      </c>
      <c r="U370" s="20">
        <v>0.0</v>
      </c>
    </row>
    <row r="371" ht="23.25" customHeight="1">
      <c r="A371" s="17" t="str">
        <f>IF(COUNTIF('Icon Lookup'!C:C,B371)&gt;0,LOOKUP(B371,'Icon Lookup'!C:C,'Icon Lookup'!B:B),"")</f>
        <v/>
      </c>
      <c r="B371" s="18" t="s">
        <v>110</v>
      </c>
      <c r="C371" s="17"/>
      <c r="D371" s="17">
        <v>28.0</v>
      </c>
      <c r="E371" s="17" t="s">
        <v>111</v>
      </c>
      <c r="G371" s="19"/>
      <c r="H371" s="20" t="s">
        <v>453</v>
      </c>
      <c r="I371" s="17" t="s">
        <v>211</v>
      </c>
      <c r="J371" s="17">
        <v>0.0</v>
      </c>
      <c r="K371" s="17">
        <v>0.0</v>
      </c>
      <c r="L371" s="17">
        <v>0.0</v>
      </c>
      <c r="M371" s="17">
        <v>0.0</v>
      </c>
      <c r="N371" s="17">
        <v>0.0</v>
      </c>
      <c r="O371" s="17">
        <v>0.0</v>
      </c>
      <c r="P371" s="17">
        <v>0.0</v>
      </c>
      <c r="Q371" s="17">
        <v>0.0</v>
      </c>
      <c r="R371" s="17">
        <v>0.0</v>
      </c>
      <c r="S371" s="17">
        <v>0.0</v>
      </c>
      <c r="T371" s="17">
        <v>0.0</v>
      </c>
      <c r="U371" s="17">
        <v>0.0</v>
      </c>
    </row>
    <row r="372" ht="23.25" customHeight="1">
      <c r="A372" s="20" t="str">
        <f>IF(COUNTIF('Icon Lookup'!C:C,B372)&gt;0,LOOKUP(B372,'Icon Lookup'!C:C,'Icon Lookup'!B:B),"")</f>
        <v/>
      </c>
      <c r="B372" s="21" t="s">
        <v>110</v>
      </c>
      <c r="C372" s="20"/>
      <c r="D372" s="20">
        <v>28.0</v>
      </c>
      <c r="E372" s="20" t="s">
        <v>111</v>
      </c>
      <c r="G372" s="22"/>
      <c r="H372" s="23" t="s">
        <v>454</v>
      </c>
      <c r="I372" s="20" t="s">
        <v>211</v>
      </c>
      <c r="J372" s="20">
        <v>0.0</v>
      </c>
      <c r="K372" s="20">
        <v>0.0</v>
      </c>
      <c r="L372" s="20">
        <v>0.0</v>
      </c>
      <c r="M372" s="20">
        <v>0.0</v>
      </c>
      <c r="N372" s="20">
        <v>0.0</v>
      </c>
      <c r="O372" s="20">
        <v>0.0</v>
      </c>
      <c r="P372" s="20">
        <v>0.0</v>
      </c>
      <c r="Q372" s="20">
        <v>0.0</v>
      </c>
      <c r="R372" s="20">
        <v>0.0</v>
      </c>
      <c r="S372" s="20">
        <v>0.0</v>
      </c>
      <c r="T372" s="20">
        <v>0.0</v>
      </c>
      <c r="U372" s="20">
        <v>0.0</v>
      </c>
    </row>
    <row r="373" ht="23.25" customHeight="1">
      <c r="A373" s="17" t="str">
        <f>IF(COUNTIF('Icon Lookup'!C:C,B373)&gt;0,LOOKUP(B373,'Icon Lookup'!C:C,'Icon Lookup'!B:B),"")</f>
        <v/>
      </c>
      <c r="B373" s="18" t="s">
        <v>110</v>
      </c>
      <c r="C373" s="17"/>
      <c r="D373" s="17">
        <v>28.0</v>
      </c>
      <c r="E373" s="17" t="s">
        <v>111</v>
      </c>
      <c r="G373" s="19"/>
      <c r="H373" s="20" t="s">
        <v>573</v>
      </c>
      <c r="I373" s="17" t="s">
        <v>211</v>
      </c>
      <c r="J373" s="17">
        <v>0.0</v>
      </c>
      <c r="K373" s="17">
        <v>0.0</v>
      </c>
      <c r="L373" s="17">
        <v>0.0</v>
      </c>
      <c r="M373" s="17">
        <v>0.0</v>
      </c>
      <c r="N373" s="17">
        <v>0.0</v>
      </c>
      <c r="O373" s="17">
        <v>0.0</v>
      </c>
      <c r="P373" s="17">
        <v>0.0</v>
      </c>
      <c r="Q373" s="17">
        <v>0.0</v>
      </c>
      <c r="R373" s="17">
        <v>0.0</v>
      </c>
      <c r="S373" s="17">
        <v>0.0</v>
      </c>
      <c r="T373" s="17">
        <v>0.0</v>
      </c>
      <c r="U373" s="17">
        <v>0.0</v>
      </c>
    </row>
    <row r="374" ht="23.25" customHeight="1">
      <c r="A374" s="1"/>
      <c r="B374" s="15" t="s">
        <v>574</v>
      </c>
      <c r="C374" s="1" t="s">
        <v>17</v>
      </c>
      <c r="D374" s="1" t="s">
        <v>575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ht="23.25" customHeight="1">
      <c r="A375" s="20" t="str">
        <f>IF(COUNTIF('Icon Lookup'!C:C,B375)&gt;0,LOOKUP(B375,'Icon Lookup'!C:C,'Icon Lookup'!B:B),"")</f>
        <v/>
      </c>
      <c r="B375" s="21" t="s">
        <v>427</v>
      </c>
      <c r="C375" s="20"/>
      <c r="D375" s="20">
        <v>29.0</v>
      </c>
      <c r="E375" s="20" t="s">
        <v>428</v>
      </c>
      <c r="G375" s="22"/>
      <c r="H375" s="23" t="s">
        <v>576</v>
      </c>
      <c r="I375" s="20" t="s">
        <v>197</v>
      </c>
      <c r="J375" s="20">
        <v>0.0</v>
      </c>
      <c r="K375" s="20">
        <v>0.0</v>
      </c>
      <c r="L375" s="20">
        <v>0.0</v>
      </c>
      <c r="M375" s="20">
        <v>0.0</v>
      </c>
      <c r="N375" s="20">
        <v>0.0</v>
      </c>
      <c r="O375" s="20">
        <v>0.0</v>
      </c>
      <c r="P375" s="20">
        <v>0.0</v>
      </c>
      <c r="Q375" s="20">
        <v>0.0</v>
      </c>
      <c r="R375" s="20">
        <v>0.0</v>
      </c>
      <c r="S375" s="20">
        <v>0.0</v>
      </c>
      <c r="T375" s="20">
        <v>0.0</v>
      </c>
      <c r="U375" s="20">
        <v>0.0</v>
      </c>
    </row>
    <row r="376" ht="23.25" customHeight="1">
      <c r="A376" s="17" t="str">
        <f>IF(COUNTIF('Icon Lookup'!C:C,B376)&gt;0,LOOKUP(B376,'Icon Lookup'!C:C,'Icon Lookup'!B:B),"")</f>
        <v/>
      </c>
      <c r="B376" s="18" t="s">
        <v>577</v>
      </c>
      <c r="C376" s="17"/>
      <c r="D376" s="17">
        <v>29.0</v>
      </c>
      <c r="E376" s="17" t="s">
        <v>399</v>
      </c>
      <c r="G376" s="19"/>
      <c r="H376" s="20" t="s">
        <v>578</v>
      </c>
      <c r="I376" s="17" t="s">
        <v>105</v>
      </c>
      <c r="J376" s="17">
        <v>0.0</v>
      </c>
      <c r="K376" s="17">
        <v>0.0</v>
      </c>
      <c r="L376" s="17">
        <v>0.0</v>
      </c>
      <c r="M376" s="17">
        <v>0.0</v>
      </c>
      <c r="N376" s="17">
        <v>0.0</v>
      </c>
      <c r="O376" s="17">
        <v>0.0</v>
      </c>
      <c r="P376" s="17">
        <v>0.0</v>
      </c>
      <c r="Q376" s="17">
        <v>0.0</v>
      </c>
      <c r="R376" s="17">
        <v>0.0</v>
      </c>
      <c r="S376" s="17">
        <v>0.0</v>
      </c>
      <c r="T376" s="17">
        <v>0.0</v>
      </c>
      <c r="U376" s="17">
        <v>0.0</v>
      </c>
    </row>
    <row r="377" ht="23.25" customHeight="1">
      <c r="A377" s="1"/>
      <c r="B377" s="15" t="s">
        <v>579</v>
      </c>
      <c r="C377" s="1" t="s">
        <v>17</v>
      </c>
      <c r="D377" s="1" t="s">
        <v>580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ht="23.25" customHeight="1">
      <c r="A378" s="20" t="str">
        <f>IF(COUNTIF('Icon Lookup'!C:C,B378)&gt;0,LOOKUP(B378,'Icon Lookup'!C:C,'Icon Lookup'!B:B),"")</f>
        <v/>
      </c>
      <c r="B378" s="21" t="s">
        <v>271</v>
      </c>
      <c r="C378" s="20"/>
      <c r="D378" s="20">
        <v>28.0</v>
      </c>
      <c r="E378" s="20" t="s">
        <v>44</v>
      </c>
      <c r="G378" s="22"/>
      <c r="H378" s="23" t="s">
        <v>581</v>
      </c>
      <c r="I378" s="20" t="s">
        <v>211</v>
      </c>
      <c r="J378" s="20">
        <v>0.0</v>
      </c>
      <c r="K378" s="20">
        <v>0.0</v>
      </c>
      <c r="L378" s="20">
        <v>0.0</v>
      </c>
      <c r="M378" s="20">
        <v>0.0</v>
      </c>
      <c r="N378" s="20">
        <v>0.0</v>
      </c>
      <c r="O378" s="20">
        <v>0.0</v>
      </c>
      <c r="P378" s="20">
        <v>0.0</v>
      </c>
      <c r="Q378" s="20">
        <v>0.0</v>
      </c>
      <c r="R378" s="20">
        <v>0.0</v>
      </c>
      <c r="S378" s="20">
        <v>0.0</v>
      </c>
      <c r="T378" s="20">
        <v>0.0</v>
      </c>
      <c r="U378" s="20">
        <v>0.0</v>
      </c>
    </row>
    <row r="379" ht="23.25" customHeight="1">
      <c r="A379" s="17" t="str">
        <f>IF(COUNTIF('Icon Lookup'!C:C,B379)&gt;0,LOOKUP(B379,'Icon Lookup'!C:C,'Icon Lookup'!B:B),"")</f>
        <v/>
      </c>
      <c r="B379" s="18" t="s">
        <v>582</v>
      </c>
      <c r="C379" s="17"/>
      <c r="D379" s="17">
        <v>28.0</v>
      </c>
      <c r="E379" s="17" t="s">
        <v>166</v>
      </c>
      <c r="G379" s="19"/>
      <c r="H379" s="20" t="s">
        <v>583</v>
      </c>
      <c r="I379" s="17" t="s">
        <v>197</v>
      </c>
      <c r="J379" s="17">
        <v>0.0</v>
      </c>
      <c r="K379" s="17">
        <v>0.0</v>
      </c>
      <c r="L379" s="17">
        <v>0.0</v>
      </c>
      <c r="M379" s="17">
        <v>0.0</v>
      </c>
      <c r="N379" s="17">
        <v>0.0</v>
      </c>
      <c r="O379" s="17">
        <v>0.0</v>
      </c>
      <c r="P379" s="17">
        <v>0.0</v>
      </c>
      <c r="Q379" s="17">
        <v>0.0</v>
      </c>
      <c r="R379" s="17">
        <v>0.0</v>
      </c>
      <c r="S379" s="17">
        <v>0.0</v>
      </c>
      <c r="T379" s="17">
        <v>0.0</v>
      </c>
      <c r="U379" s="17">
        <v>0.0</v>
      </c>
    </row>
    <row r="380" ht="23.25" customHeight="1">
      <c r="A380" s="20" t="str">
        <f>IF(COUNTIF('Icon Lookup'!C:C,B380)&gt;0,LOOKUP(B380,'Icon Lookup'!C:C,'Icon Lookup'!B:B),"")</f>
        <v/>
      </c>
      <c r="B380" s="21" t="s">
        <v>515</v>
      </c>
      <c r="C380" s="20"/>
      <c r="D380" s="20">
        <v>28.0</v>
      </c>
      <c r="E380" s="20" t="s">
        <v>111</v>
      </c>
      <c r="G380" s="22"/>
      <c r="H380" s="23" t="s">
        <v>573</v>
      </c>
      <c r="I380" s="20" t="s">
        <v>265</v>
      </c>
      <c r="J380" s="20">
        <v>0.0</v>
      </c>
      <c r="K380" s="20">
        <v>0.0</v>
      </c>
      <c r="L380" s="20">
        <v>0.0</v>
      </c>
      <c r="M380" s="20">
        <v>0.0</v>
      </c>
      <c r="N380" s="20">
        <v>0.0</v>
      </c>
      <c r="O380" s="20">
        <v>0.0</v>
      </c>
      <c r="P380" s="20">
        <v>0.0</v>
      </c>
      <c r="Q380" s="20">
        <v>0.0</v>
      </c>
      <c r="R380" s="20">
        <v>0.0</v>
      </c>
      <c r="S380" s="20">
        <v>0.0</v>
      </c>
      <c r="T380" s="20">
        <v>0.0</v>
      </c>
      <c r="U380" s="20">
        <v>0.0</v>
      </c>
    </row>
    <row r="381" ht="23.25" customHeight="1">
      <c r="A381" s="1"/>
      <c r="B381" s="15" t="s">
        <v>584</v>
      </c>
      <c r="C381" s="1" t="s">
        <v>17</v>
      </c>
      <c r="D381" s="1" t="s">
        <v>585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ht="23.25" customHeight="1">
      <c r="A382" s="17" t="str">
        <f>IF(COUNTIF('Icon Lookup'!C:C,B382)&gt;0,LOOKUP(B382,'Icon Lookup'!C:C,'Icon Lookup'!B:B),"")</f>
        <v/>
      </c>
      <c r="B382" s="18" t="s">
        <v>365</v>
      </c>
      <c r="C382" s="17"/>
      <c r="D382" s="17">
        <v>30.0</v>
      </c>
      <c r="E382" s="17" t="s">
        <v>366</v>
      </c>
      <c r="G382" s="19"/>
      <c r="H382" s="20" t="s">
        <v>367</v>
      </c>
      <c r="I382" s="17" t="s">
        <v>156</v>
      </c>
      <c r="J382" s="17">
        <v>0.0</v>
      </c>
      <c r="K382" s="17">
        <v>0.0</v>
      </c>
      <c r="L382" s="17">
        <v>0.0</v>
      </c>
      <c r="M382" s="17">
        <v>0.0</v>
      </c>
      <c r="N382" s="17">
        <v>0.0</v>
      </c>
      <c r="O382" s="17">
        <v>0.0</v>
      </c>
      <c r="P382" s="17">
        <v>0.0</v>
      </c>
      <c r="Q382" s="17">
        <v>0.0</v>
      </c>
      <c r="R382" s="17">
        <v>0.0</v>
      </c>
      <c r="S382" s="17">
        <v>0.0</v>
      </c>
      <c r="T382" s="17">
        <v>0.0</v>
      </c>
      <c r="U382" s="17">
        <v>0.0</v>
      </c>
    </row>
    <row r="383" ht="23.25" customHeight="1">
      <c r="A383" s="20" t="str">
        <f>IF(COUNTIF('Icon Lookup'!C:C,B383)&gt;0,LOOKUP(B383,'Icon Lookup'!C:C,'Icon Lookup'!B:B),"")</f>
        <v/>
      </c>
      <c r="B383" s="21" t="s">
        <v>586</v>
      </c>
      <c r="C383" s="20"/>
      <c r="D383" s="20">
        <v>32.0</v>
      </c>
      <c r="E383" s="20" t="s">
        <v>366</v>
      </c>
      <c r="G383" s="22"/>
      <c r="H383" s="23" t="s">
        <v>587</v>
      </c>
      <c r="I383" s="20" t="s">
        <v>156</v>
      </c>
      <c r="J383" s="20">
        <v>0.0</v>
      </c>
      <c r="K383" s="20">
        <v>0.0</v>
      </c>
      <c r="L383" s="20">
        <v>0.0</v>
      </c>
      <c r="M383" s="20">
        <v>0.0</v>
      </c>
      <c r="N383" s="20">
        <v>0.0</v>
      </c>
      <c r="O383" s="20">
        <v>0.0</v>
      </c>
      <c r="P383" s="20">
        <v>0.0</v>
      </c>
      <c r="Q383" s="20">
        <v>0.0</v>
      </c>
      <c r="R383" s="20">
        <v>0.0</v>
      </c>
      <c r="S383" s="20">
        <v>0.0</v>
      </c>
      <c r="T383" s="20">
        <v>0.0</v>
      </c>
      <c r="U383" s="20">
        <v>0.0</v>
      </c>
    </row>
    <row r="384" ht="23.25" customHeight="1">
      <c r="A384" s="1"/>
      <c r="B384" s="15" t="s">
        <v>588</v>
      </c>
      <c r="C384" s="1" t="s">
        <v>17</v>
      </c>
      <c r="D384" s="1" t="s">
        <v>589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ht="23.25" customHeight="1">
      <c r="A385" s="17" t="str">
        <f>IF(COUNTIF('Icon Lookup'!C:C,B385)&gt;0,LOOKUP(B385,'Icon Lookup'!C:C,'Icon Lookup'!B:B),"")</f>
        <v/>
      </c>
      <c r="B385" s="18" t="s">
        <v>398</v>
      </c>
      <c r="C385" s="17"/>
      <c r="D385" s="17">
        <v>33.0</v>
      </c>
      <c r="E385" s="17" t="s">
        <v>399</v>
      </c>
      <c r="G385" s="19"/>
      <c r="H385" s="20" t="s">
        <v>400</v>
      </c>
      <c r="I385" s="17" t="s">
        <v>105</v>
      </c>
      <c r="J385" s="17">
        <v>0.0</v>
      </c>
      <c r="K385" s="17">
        <v>0.0</v>
      </c>
      <c r="L385" s="17">
        <v>0.0</v>
      </c>
      <c r="M385" s="17">
        <v>0.0</v>
      </c>
      <c r="N385" s="17">
        <v>0.0</v>
      </c>
      <c r="O385" s="17">
        <v>0.0</v>
      </c>
      <c r="P385" s="17">
        <v>0.0</v>
      </c>
      <c r="Q385" s="17">
        <v>0.0</v>
      </c>
      <c r="R385" s="17">
        <v>0.0</v>
      </c>
      <c r="S385" s="17">
        <v>0.0</v>
      </c>
      <c r="T385" s="17">
        <v>0.0</v>
      </c>
      <c r="U385" s="17">
        <v>0.0</v>
      </c>
    </row>
    <row r="386" ht="23.25" customHeight="1">
      <c r="A386" s="1"/>
      <c r="B386" s="15" t="s">
        <v>590</v>
      </c>
      <c r="C386" s="1" t="s">
        <v>17</v>
      </c>
      <c r="D386" s="1" t="s">
        <v>591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ht="23.25" customHeight="1">
      <c r="A387" s="20" t="str">
        <f>IF(COUNTIF('Icon Lookup'!C:C,B387)&gt;0,LOOKUP(B387,'Icon Lookup'!C:C,'Icon Lookup'!B:B),"")</f>
        <v/>
      </c>
      <c r="B387" s="21" t="s">
        <v>43</v>
      </c>
      <c r="C387" s="20"/>
      <c r="D387" s="20">
        <v>28.0</v>
      </c>
      <c r="E387" s="20" t="s">
        <v>44</v>
      </c>
      <c r="G387" s="22"/>
      <c r="H387" s="23" t="s">
        <v>553</v>
      </c>
      <c r="I387" s="20" t="s">
        <v>89</v>
      </c>
      <c r="J387" s="20">
        <v>0.0</v>
      </c>
      <c r="K387" s="20">
        <v>0.0</v>
      </c>
      <c r="L387" s="20">
        <v>0.0</v>
      </c>
      <c r="M387" s="20">
        <v>0.0</v>
      </c>
      <c r="N387" s="20">
        <v>0.0</v>
      </c>
      <c r="O387" s="20">
        <v>0.0</v>
      </c>
      <c r="P387" s="20">
        <v>0.0</v>
      </c>
      <c r="Q387" s="20">
        <v>0.0</v>
      </c>
      <c r="R387" s="20">
        <v>0.0</v>
      </c>
      <c r="S387" s="20">
        <v>0.0</v>
      </c>
      <c r="T387" s="20">
        <v>0.0</v>
      </c>
      <c r="U387" s="20">
        <v>0.0</v>
      </c>
    </row>
    <row r="388" ht="23.25" customHeight="1">
      <c r="A388" s="17" t="str">
        <f>IF(COUNTIF('Icon Lookup'!C:C,B388)&gt;0,LOOKUP(B388,'Icon Lookup'!C:C,'Icon Lookup'!B:B),"")</f>
        <v/>
      </c>
      <c r="B388" s="18" t="s">
        <v>592</v>
      </c>
      <c r="C388" s="17"/>
      <c r="D388" s="17">
        <v>30.0</v>
      </c>
      <c r="E388" s="17" t="s">
        <v>366</v>
      </c>
      <c r="G388" s="19"/>
      <c r="H388" s="20" t="s">
        <v>593</v>
      </c>
      <c r="I388" s="17" t="s">
        <v>156</v>
      </c>
      <c r="J388" s="17">
        <v>0.0</v>
      </c>
      <c r="K388" s="17">
        <v>0.0</v>
      </c>
      <c r="L388" s="17">
        <v>0.0</v>
      </c>
      <c r="M388" s="17">
        <v>0.0</v>
      </c>
      <c r="N388" s="17">
        <v>0.0</v>
      </c>
      <c r="O388" s="17">
        <v>0.0</v>
      </c>
      <c r="P388" s="17">
        <v>0.0</v>
      </c>
      <c r="Q388" s="17">
        <v>0.0</v>
      </c>
      <c r="R388" s="17">
        <v>0.0</v>
      </c>
      <c r="S388" s="17">
        <v>0.0</v>
      </c>
      <c r="T388" s="17">
        <v>0.0</v>
      </c>
      <c r="U388" s="17">
        <v>0.0</v>
      </c>
    </row>
    <row r="389" ht="23.25" customHeight="1">
      <c r="A389" s="20" t="str">
        <f>IF(COUNTIF('Icon Lookup'!C:C,B389)&gt;0,LOOKUP(B389,'Icon Lookup'!C:C,'Icon Lookup'!B:B),"")</f>
        <v/>
      </c>
      <c r="B389" s="21" t="s">
        <v>190</v>
      </c>
      <c r="C389" s="20"/>
      <c r="D389" s="20">
        <v>32.0</v>
      </c>
      <c r="E389" s="20" t="s">
        <v>26</v>
      </c>
      <c r="G389" s="22"/>
      <c r="H389" s="23" t="s">
        <v>564</v>
      </c>
      <c r="I389" s="20" t="s">
        <v>156</v>
      </c>
      <c r="J389" s="20">
        <v>0.0</v>
      </c>
      <c r="K389" s="20">
        <v>0.0</v>
      </c>
      <c r="L389" s="20">
        <v>0.0</v>
      </c>
      <c r="M389" s="20">
        <v>0.0</v>
      </c>
      <c r="N389" s="20">
        <v>0.0</v>
      </c>
      <c r="O389" s="20">
        <v>0.0</v>
      </c>
      <c r="P389" s="20">
        <v>0.0</v>
      </c>
      <c r="Q389" s="20">
        <v>0.0</v>
      </c>
      <c r="R389" s="20">
        <v>0.0</v>
      </c>
      <c r="S389" s="20">
        <v>0.0</v>
      </c>
      <c r="T389" s="20">
        <v>0.0</v>
      </c>
      <c r="U389" s="20">
        <v>0.0</v>
      </c>
    </row>
    <row r="390" ht="23.25" customHeight="1">
      <c r="A390" s="1"/>
      <c r="B390" s="15" t="s">
        <v>594</v>
      </c>
      <c r="C390" s="1" t="s">
        <v>17</v>
      </c>
      <c r="D390" s="1" t="s">
        <v>595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ht="23.25" customHeight="1">
      <c r="A391" s="17" t="str">
        <f>IF(COUNTIF('Icon Lookup'!C:C,B391)&gt;0,LOOKUP(B391,'Icon Lookup'!C:C,'Icon Lookup'!B:B),"")</f>
        <v/>
      </c>
      <c r="B391" s="18" t="s">
        <v>117</v>
      </c>
      <c r="C391" s="17"/>
      <c r="D391" s="17">
        <v>33.0</v>
      </c>
      <c r="E391" s="17" t="s">
        <v>26</v>
      </c>
      <c r="G391" s="19"/>
      <c r="H391" s="20" t="s">
        <v>596</v>
      </c>
      <c r="I391" s="17" t="s">
        <v>211</v>
      </c>
      <c r="J391" s="17">
        <v>0.0</v>
      </c>
      <c r="K391" s="17">
        <v>0.0</v>
      </c>
      <c r="L391" s="17">
        <v>0.0</v>
      </c>
      <c r="M391" s="17">
        <v>0.0</v>
      </c>
      <c r="N391" s="17">
        <v>0.0</v>
      </c>
      <c r="O391" s="17">
        <v>0.0</v>
      </c>
      <c r="P391" s="17">
        <v>0.0</v>
      </c>
      <c r="Q391" s="17">
        <v>0.0</v>
      </c>
      <c r="R391" s="17">
        <v>0.0</v>
      </c>
      <c r="S391" s="17">
        <v>0.0</v>
      </c>
      <c r="T391" s="17">
        <v>0.0</v>
      </c>
      <c r="U391" s="17">
        <v>0.0</v>
      </c>
    </row>
    <row r="392" ht="23.25" customHeight="1">
      <c r="A392" s="20" t="str">
        <f>IF(COUNTIF('Icon Lookup'!C:C,B392)&gt;0,LOOKUP(B392,'Icon Lookup'!C:C,'Icon Lookup'!B:B),"")</f>
        <v/>
      </c>
      <c r="B392" s="21" t="s">
        <v>273</v>
      </c>
      <c r="C392" s="20"/>
      <c r="D392" s="20">
        <v>33.0</v>
      </c>
      <c r="E392" s="20" t="s">
        <v>38</v>
      </c>
      <c r="G392" s="22"/>
      <c r="H392" s="23" t="s">
        <v>597</v>
      </c>
      <c r="I392" s="20" t="s">
        <v>52</v>
      </c>
      <c r="J392" s="20">
        <v>0.0</v>
      </c>
      <c r="K392" s="20">
        <v>0.0</v>
      </c>
      <c r="L392" s="20">
        <v>0.0</v>
      </c>
      <c r="M392" s="20">
        <v>0.0</v>
      </c>
      <c r="N392" s="20">
        <v>0.0</v>
      </c>
      <c r="O392" s="20">
        <v>0.0</v>
      </c>
      <c r="P392" s="20">
        <v>0.0</v>
      </c>
      <c r="Q392" s="20">
        <v>0.0</v>
      </c>
      <c r="R392" s="20">
        <v>0.0</v>
      </c>
      <c r="S392" s="20">
        <v>0.0</v>
      </c>
      <c r="T392" s="20">
        <v>0.0</v>
      </c>
      <c r="U392" s="20">
        <v>0.0</v>
      </c>
    </row>
    <row r="393" ht="23.25" customHeight="1">
      <c r="A393" s="1"/>
      <c r="B393" s="15" t="s">
        <v>598</v>
      </c>
      <c r="C393" s="1" t="s">
        <v>17</v>
      </c>
      <c r="D393" s="1" t="s">
        <v>599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ht="23.25" customHeight="1">
      <c r="A394" s="17" t="str">
        <f>IF(COUNTIF('Icon Lookup'!C:C,B394)&gt;0,LOOKUP(B394,'Icon Lookup'!C:C,'Icon Lookup'!B:B),"")</f>
        <v/>
      </c>
      <c r="B394" s="18" t="s">
        <v>600</v>
      </c>
      <c r="C394" s="17"/>
      <c r="D394" s="17">
        <v>30.0</v>
      </c>
      <c r="E394" s="17" t="s">
        <v>601</v>
      </c>
      <c r="G394" s="19"/>
      <c r="H394" s="20" t="s">
        <v>602</v>
      </c>
      <c r="I394" s="17" t="s">
        <v>52</v>
      </c>
      <c r="J394" s="17">
        <v>0.0</v>
      </c>
      <c r="K394" s="17">
        <v>0.0</v>
      </c>
      <c r="L394" s="17">
        <v>0.0</v>
      </c>
      <c r="M394" s="17">
        <v>0.0</v>
      </c>
      <c r="N394" s="17">
        <v>0.0</v>
      </c>
      <c r="O394" s="17">
        <v>0.0</v>
      </c>
      <c r="P394" s="17">
        <v>0.0</v>
      </c>
      <c r="Q394" s="17">
        <v>0.0</v>
      </c>
      <c r="R394" s="17">
        <v>0.0</v>
      </c>
      <c r="S394" s="17">
        <v>0.0</v>
      </c>
      <c r="T394" s="17">
        <v>0.0</v>
      </c>
      <c r="U394" s="17">
        <v>0.0</v>
      </c>
    </row>
    <row r="395" ht="23.25" customHeight="1">
      <c r="A395" s="20" t="str">
        <f>IF(COUNTIF('Icon Lookup'!C:C,B395)&gt;0,LOOKUP(B395,'Icon Lookup'!C:C,'Icon Lookup'!B:B),"")</f>
        <v/>
      </c>
      <c r="B395" s="21" t="s">
        <v>381</v>
      </c>
      <c r="C395" s="20"/>
      <c r="D395" s="20">
        <v>32.0</v>
      </c>
      <c r="E395" s="20" t="s">
        <v>603</v>
      </c>
      <c r="G395" s="22"/>
      <c r="H395" s="23" t="s">
        <v>604</v>
      </c>
      <c r="I395" s="20" t="s">
        <v>550</v>
      </c>
      <c r="J395" s="20">
        <v>0.0</v>
      </c>
      <c r="K395" s="20">
        <v>0.0</v>
      </c>
      <c r="L395" s="20">
        <v>0.0</v>
      </c>
      <c r="M395" s="20">
        <v>0.0</v>
      </c>
      <c r="N395" s="20">
        <v>0.0</v>
      </c>
      <c r="O395" s="20">
        <v>0.0</v>
      </c>
      <c r="P395" s="20">
        <v>0.0</v>
      </c>
      <c r="Q395" s="20">
        <v>0.0</v>
      </c>
      <c r="R395" s="20">
        <v>0.0</v>
      </c>
      <c r="S395" s="20">
        <v>0.0</v>
      </c>
      <c r="T395" s="20">
        <v>0.0</v>
      </c>
      <c r="U395" s="20">
        <v>0.0</v>
      </c>
    </row>
    <row r="396" ht="23.25" customHeight="1">
      <c r="A396" s="17" t="str">
        <f>IF(COUNTIF('Icon Lookup'!C:C,B396)&gt;0,LOOKUP(B396,'Icon Lookup'!C:C,'Icon Lookup'!B:B),"")</f>
        <v/>
      </c>
      <c r="B396" s="18" t="s">
        <v>482</v>
      </c>
      <c r="C396" s="17"/>
      <c r="D396" s="17">
        <v>34.0</v>
      </c>
      <c r="E396" s="17" t="s">
        <v>218</v>
      </c>
      <c r="G396" s="19"/>
      <c r="H396" s="20" t="s">
        <v>605</v>
      </c>
      <c r="I396" s="17" t="s">
        <v>22</v>
      </c>
      <c r="J396" s="17">
        <v>0.0</v>
      </c>
      <c r="K396" s="17">
        <v>0.0</v>
      </c>
      <c r="L396" s="17">
        <v>0.0</v>
      </c>
      <c r="M396" s="17">
        <v>0.0</v>
      </c>
      <c r="N396" s="17">
        <v>0.0</v>
      </c>
      <c r="O396" s="17">
        <v>0.0</v>
      </c>
      <c r="P396" s="17">
        <v>0.0</v>
      </c>
      <c r="Q396" s="17">
        <v>0.0</v>
      </c>
      <c r="R396" s="17">
        <v>0.0</v>
      </c>
      <c r="S396" s="17">
        <v>0.0</v>
      </c>
      <c r="T396" s="17">
        <v>0.0</v>
      </c>
      <c r="U396" s="17">
        <v>0.0</v>
      </c>
    </row>
    <row r="397" ht="23.25" customHeight="1">
      <c r="A397" s="1"/>
      <c r="B397" s="15" t="s">
        <v>606</v>
      </c>
      <c r="C397" s="1" t="s">
        <v>17</v>
      </c>
      <c r="D397" s="1" t="s">
        <v>607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ht="23.25" customHeight="1">
      <c r="A398" s="20" t="str">
        <f>IF(COUNTIF('Icon Lookup'!C:C,B398)&gt;0,LOOKUP(B398,'Icon Lookup'!C:C,'Icon Lookup'!B:B),"")</f>
        <v/>
      </c>
      <c r="B398" s="21" t="s">
        <v>43</v>
      </c>
      <c r="C398" s="20"/>
      <c r="D398" s="20">
        <v>39.0</v>
      </c>
      <c r="E398" s="20" t="s">
        <v>44</v>
      </c>
      <c r="G398" s="22"/>
      <c r="H398" s="23" t="s">
        <v>553</v>
      </c>
      <c r="I398" s="20" t="s">
        <v>89</v>
      </c>
      <c r="J398" s="20">
        <v>0.0</v>
      </c>
      <c r="K398" s="20">
        <v>0.0</v>
      </c>
      <c r="L398" s="20">
        <v>0.0</v>
      </c>
      <c r="M398" s="20">
        <v>0.0</v>
      </c>
      <c r="N398" s="20">
        <v>0.0</v>
      </c>
      <c r="O398" s="20">
        <v>0.0</v>
      </c>
      <c r="P398" s="20">
        <v>0.0</v>
      </c>
      <c r="Q398" s="20">
        <v>0.0</v>
      </c>
      <c r="R398" s="20">
        <v>0.0</v>
      </c>
      <c r="S398" s="20">
        <v>0.0</v>
      </c>
      <c r="T398" s="20">
        <v>0.0</v>
      </c>
      <c r="U398" s="20">
        <v>0.0</v>
      </c>
    </row>
    <row r="399" ht="23.25" customHeight="1">
      <c r="A399" s="17" t="str">
        <f>IF(COUNTIF('Icon Lookup'!C:C,B399)&gt;0,LOOKUP(B399,'Icon Lookup'!C:C,'Icon Lookup'!B:B),"")</f>
        <v/>
      </c>
      <c r="B399" s="18" t="s">
        <v>592</v>
      </c>
      <c r="C399" s="17"/>
      <c r="D399" s="17">
        <v>42.0</v>
      </c>
      <c r="E399" s="17" t="s">
        <v>366</v>
      </c>
      <c r="G399" s="19"/>
      <c r="H399" s="20" t="s">
        <v>608</v>
      </c>
      <c r="I399" s="17" t="s">
        <v>156</v>
      </c>
      <c r="J399" s="17">
        <v>0.0</v>
      </c>
      <c r="K399" s="17">
        <v>0.0</v>
      </c>
      <c r="L399" s="17">
        <v>0.0</v>
      </c>
      <c r="M399" s="17">
        <v>0.0</v>
      </c>
      <c r="N399" s="17">
        <v>0.0</v>
      </c>
      <c r="O399" s="17">
        <v>0.0</v>
      </c>
      <c r="P399" s="17">
        <v>0.0</v>
      </c>
      <c r="Q399" s="17">
        <v>0.0</v>
      </c>
      <c r="R399" s="17">
        <v>0.0</v>
      </c>
      <c r="S399" s="17">
        <v>0.0</v>
      </c>
      <c r="T399" s="17">
        <v>0.0</v>
      </c>
      <c r="U399" s="17">
        <v>0.0</v>
      </c>
    </row>
    <row r="400" ht="23.25" customHeight="1">
      <c r="A400" s="20" t="str">
        <f>IF(COUNTIF('Icon Lookup'!C:C,B400)&gt;0,LOOKUP(B400,'Icon Lookup'!C:C,'Icon Lookup'!B:B),"")</f>
        <v/>
      </c>
      <c r="B400" s="21" t="s">
        <v>609</v>
      </c>
      <c r="C400" s="20"/>
      <c r="D400" s="20">
        <v>39.0</v>
      </c>
      <c r="E400" s="20" t="s">
        <v>188</v>
      </c>
      <c r="G400" s="22"/>
      <c r="H400" s="23" t="s">
        <v>553</v>
      </c>
      <c r="I400" s="20" t="s">
        <v>156</v>
      </c>
      <c r="J400" s="20">
        <v>0.0</v>
      </c>
      <c r="K400" s="20">
        <v>0.0</v>
      </c>
      <c r="L400" s="20">
        <v>0.0</v>
      </c>
      <c r="M400" s="20">
        <v>0.0</v>
      </c>
      <c r="N400" s="20">
        <v>0.0</v>
      </c>
      <c r="O400" s="20">
        <v>0.0</v>
      </c>
      <c r="P400" s="20">
        <v>0.0</v>
      </c>
      <c r="Q400" s="20">
        <v>0.0</v>
      </c>
      <c r="R400" s="20">
        <v>0.0</v>
      </c>
      <c r="S400" s="20">
        <v>0.0</v>
      </c>
      <c r="T400" s="20">
        <v>0.0</v>
      </c>
      <c r="U400" s="20">
        <v>0.0</v>
      </c>
    </row>
    <row r="401" ht="23.25" customHeight="1">
      <c r="A401" s="1"/>
      <c r="B401" s="15" t="s">
        <v>610</v>
      </c>
      <c r="C401" s="1" t="s">
        <v>17</v>
      </c>
      <c r="D401" s="1" t="s">
        <v>611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ht="23.25" customHeight="1">
      <c r="A402" s="17" t="str">
        <f>IF(COUNTIF('Icon Lookup'!C:C,B402)&gt;0,LOOKUP(B402,'Icon Lookup'!C:C,'Icon Lookup'!B:B),"")</f>
        <v/>
      </c>
      <c r="B402" s="18" t="s">
        <v>43</v>
      </c>
      <c r="C402" s="17"/>
      <c r="D402" s="17">
        <v>40.0</v>
      </c>
      <c r="E402" s="17" t="s">
        <v>44</v>
      </c>
      <c r="G402" s="19"/>
      <c r="H402" s="20" t="s">
        <v>553</v>
      </c>
      <c r="I402" s="17" t="s">
        <v>612</v>
      </c>
      <c r="J402" s="17">
        <v>0.0</v>
      </c>
      <c r="K402" s="17">
        <v>0.0</v>
      </c>
      <c r="L402" s="17">
        <v>0.0</v>
      </c>
      <c r="M402" s="17">
        <v>0.0</v>
      </c>
      <c r="N402" s="17">
        <v>0.0</v>
      </c>
      <c r="O402" s="17">
        <v>0.0</v>
      </c>
      <c r="P402" s="17">
        <v>0.0</v>
      </c>
      <c r="Q402" s="17">
        <v>0.0</v>
      </c>
      <c r="R402" s="17">
        <v>0.0</v>
      </c>
      <c r="S402" s="17">
        <v>0.0</v>
      </c>
      <c r="T402" s="17">
        <v>0.0</v>
      </c>
      <c r="U402" s="17">
        <v>0.0</v>
      </c>
    </row>
    <row r="403" ht="23.25" customHeight="1">
      <c r="A403" s="20" t="str">
        <f>IF(COUNTIF('Icon Lookup'!C:C,B403)&gt;0,LOOKUP(B403,'Icon Lookup'!C:C,'Icon Lookup'!B:B),"")</f>
        <v/>
      </c>
      <c r="B403" s="21" t="s">
        <v>190</v>
      </c>
      <c r="C403" s="20"/>
      <c r="D403" s="20">
        <v>42.0</v>
      </c>
      <c r="E403" s="20" t="s">
        <v>26</v>
      </c>
      <c r="G403" s="22"/>
      <c r="H403" s="23" t="s">
        <v>613</v>
      </c>
      <c r="I403" s="20" t="s">
        <v>550</v>
      </c>
      <c r="J403" s="20">
        <v>0.0</v>
      </c>
      <c r="K403" s="20">
        <v>0.0</v>
      </c>
      <c r="L403" s="20">
        <v>0.0</v>
      </c>
      <c r="M403" s="20">
        <v>0.0</v>
      </c>
      <c r="N403" s="20">
        <v>0.0</v>
      </c>
      <c r="O403" s="20">
        <v>0.0</v>
      </c>
      <c r="P403" s="20">
        <v>0.0</v>
      </c>
      <c r="Q403" s="20">
        <v>0.0</v>
      </c>
      <c r="R403" s="20">
        <v>0.0</v>
      </c>
      <c r="S403" s="20">
        <v>0.0</v>
      </c>
      <c r="T403" s="20">
        <v>0.0</v>
      </c>
      <c r="U403" s="20">
        <v>0.0</v>
      </c>
    </row>
    <row r="404" ht="23.25" customHeight="1">
      <c r="A404" s="1"/>
      <c r="B404" s="15" t="s">
        <v>614</v>
      </c>
      <c r="C404" s="1" t="s">
        <v>17</v>
      </c>
      <c r="D404" s="1" t="s">
        <v>615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ht="23.25" customHeight="1">
      <c r="A405" s="17" t="str">
        <f>IF(COUNTIF('Icon Lookup'!C:C,B405)&gt;0,LOOKUP(B405,'Icon Lookup'!C:C,'Icon Lookup'!B:B),"")</f>
        <v/>
      </c>
      <c r="B405" s="18" t="s">
        <v>43</v>
      </c>
      <c r="C405" s="17"/>
      <c r="D405" s="17">
        <v>38.0</v>
      </c>
      <c r="E405" s="17" t="s">
        <v>44</v>
      </c>
      <c r="G405" s="19"/>
      <c r="H405" s="20" t="s">
        <v>553</v>
      </c>
      <c r="I405" s="17" t="s">
        <v>89</v>
      </c>
      <c r="J405" s="17">
        <v>0.0</v>
      </c>
      <c r="K405" s="17">
        <v>0.0</v>
      </c>
      <c r="L405" s="17">
        <v>0.0</v>
      </c>
      <c r="M405" s="17">
        <v>0.0</v>
      </c>
      <c r="N405" s="17">
        <v>0.0</v>
      </c>
      <c r="O405" s="17">
        <v>0.0</v>
      </c>
      <c r="P405" s="17">
        <v>0.0</v>
      </c>
      <c r="Q405" s="17">
        <v>0.0</v>
      </c>
      <c r="R405" s="17">
        <v>0.0</v>
      </c>
      <c r="S405" s="17">
        <v>0.0</v>
      </c>
      <c r="T405" s="17">
        <v>0.0</v>
      </c>
      <c r="U405" s="17">
        <v>0.0</v>
      </c>
    </row>
    <row r="406" ht="23.25" customHeight="1">
      <c r="A406" s="20" t="str">
        <f>IF(COUNTIF('Icon Lookup'!C:C,B406)&gt;0,LOOKUP(B406,'Icon Lookup'!C:C,'Icon Lookup'!B:B),"")</f>
        <v/>
      </c>
      <c r="B406" s="21" t="s">
        <v>592</v>
      </c>
      <c r="C406" s="20"/>
      <c r="D406" s="20">
        <v>40.0</v>
      </c>
      <c r="E406" s="20" t="s">
        <v>366</v>
      </c>
      <c r="G406" s="22"/>
      <c r="H406" s="23" t="s">
        <v>616</v>
      </c>
      <c r="I406" s="20" t="s">
        <v>156</v>
      </c>
      <c r="J406" s="20">
        <v>0.0</v>
      </c>
      <c r="K406" s="20">
        <v>0.0</v>
      </c>
      <c r="L406" s="20">
        <v>0.0</v>
      </c>
      <c r="M406" s="20">
        <v>0.0</v>
      </c>
      <c r="N406" s="20">
        <v>0.0</v>
      </c>
      <c r="O406" s="20">
        <v>0.0</v>
      </c>
      <c r="P406" s="20">
        <v>0.0</v>
      </c>
      <c r="Q406" s="20">
        <v>0.0</v>
      </c>
      <c r="R406" s="20">
        <v>0.0</v>
      </c>
      <c r="S406" s="20">
        <v>0.0</v>
      </c>
      <c r="T406" s="20">
        <v>0.0</v>
      </c>
      <c r="U406" s="20">
        <v>0.0</v>
      </c>
    </row>
    <row r="407" ht="23.25" customHeight="1">
      <c r="A407" s="17" t="str">
        <f>IF(COUNTIF('Icon Lookup'!C:C,B407)&gt;0,LOOKUP(B407,'Icon Lookup'!C:C,'Icon Lookup'!B:B),"")</f>
        <v/>
      </c>
      <c r="B407" s="18" t="s">
        <v>427</v>
      </c>
      <c r="C407" s="17"/>
      <c r="D407" s="17">
        <v>40.0</v>
      </c>
      <c r="E407" s="17" t="s">
        <v>557</v>
      </c>
      <c r="G407" s="19"/>
      <c r="H407" s="20" t="s">
        <v>617</v>
      </c>
      <c r="I407" s="17" t="s">
        <v>94</v>
      </c>
      <c r="J407" s="17">
        <v>0.0</v>
      </c>
      <c r="K407" s="17">
        <v>0.0</v>
      </c>
      <c r="L407" s="17">
        <v>0.0</v>
      </c>
      <c r="M407" s="17">
        <v>0.0</v>
      </c>
      <c r="N407" s="17">
        <v>0.0</v>
      </c>
      <c r="O407" s="17">
        <v>0.0</v>
      </c>
      <c r="P407" s="17">
        <v>0.0</v>
      </c>
      <c r="Q407" s="17">
        <v>0.0</v>
      </c>
      <c r="R407" s="17">
        <v>0.0</v>
      </c>
      <c r="S407" s="17">
        <v>0.0</v>
      </c>
      <c r="T407" s="17">
        <v>0.0</v>
      </c>
      <c r="U407" s="17">
        <v>0.0</v>
      </c>
    </row>
    <row r="408" ht="23.25" customHeight="1">
      <c r="A408" s="20" t="str">
        <f>IF(COUNTIF('Icon Lookup'!C:C,B408)&gt;0,LOOKUP(B408,'Icon Lookup'!C:C,'Icon Lookup'!B:B),"")</f>
        <v/>
      </c>
      <c r="B408" s="21" t="s">
        <v>190</v>
      </c>
      <c r="C408" s="20"/>
      <c r="D408" s="20">
        <v>42.0</v>
      </c>
      <c r="E408" s="20" t="s">
        <v>26</v>
      </c>
      <c r="G408" s="22"/>
      <c r="H408" s="23" t="s">
        <v>564</v>
      </c>
      <c r="I408" s="20" t="s">
        <v>156</v>
      </c>
      <c r="J408" s="20">
        <v>0.0</v>
      </c>
      <c r="K408" s="20">
        <v>0.0</v>
      </c>
      <c r="L408" s="20">
        <v>0.0</v>
      </c>
      <c r="M408" s="20">
        <v>0.0</v>
      </c>
      <c r="N408" s="20">
        <v>0.0</v>
      </c>
      <c r="O408" s="20">
        <v>0.0</v>
      </c>
      <c r="P408" s="20">
        <v>0.0</v>
      </c>
      <c r="Q408" s="20">
        <v>0.0</v>
      </c>
      <c r="R408" s="20">
        <v>0.0</v>
      </c>
      <c r="S408" s="20">
        <v>0.0</v>
      </c>
      <c r="T408" s="20">
        <v>0.0</v>
      </c>
      <c r="U408" s="20">
        <v>0.0</v>
      </c>
    </row>
    <row r="409" ht="23.25" customHeight="1">
      <c r="A409" s="1"/>
      <c r="B409" s="15" t="s">
        <v>618</v>
      </c>
      <c r="C409" s="1" t="s">
        <v>17</v>
      </c>
      <c r="D409" s="1" t="s">
        <v>619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ht="23.25" customHeight="1">
      <c r="A410" s="17" t="str">
        <f>IF(COUNTIF('Icon Lookup'!C:C,B410)&gt;0,LOOKUP(B410,'Icon Lookup'!C:C,'Icon Lookup'!B:B),"")</f>
        <v/>
      </c>
      <c r="B410" s="18" t="s">
        <v>190</v>
      </c>
      <c r="C410" s="17"/>
      <c r="D410" s="17">
        <v>41.0</v>
      </c>
      <c r="E410" s="17" t="s">
        <v>26</v>
      </c>
      <c r="G410" s="19"/>
      <c r="H410" s="20" t="s">
        <v>564</v>
      </c>
      <c r="I410" s="17" t="s">
        <v>156</v>
      </c>
      <c r="J410" s="17">
        <v>0.0</v>
      </c>
      <c r="K410" s="17">
        <v>0.0</v>
      </c>
      <c r="L410" s="17">
        <v>0.0</v>
      </c>
      <c r="M410" s="17">
        <v>0.0</v>
      </c>
      <c r="N410" s="17">
        <v>0.0</v>
      </c>
      <c r="O410" s="17">
        <v>0.0</v>
      </c>
      <c r="P410" s="17">
        <v>0.0</v>
      </c>
      <c r="Q410" s="17">
        <v>0.0</v>
      </c>
      <c r="R410" s="17">
        <v>0.0</v>
      </c>
      <c r="S410" s="17">
        <v>0.0</v>
      </c>
      <c r="T410" s="17">
        <v>0.0</v>
      </c>
      <c r="U410" s="17">
        <v>0.0</v>
      </c>
    </row>
    <row r="411" ht="23.25" customHeight="1">
      <c r="A411" s="20" t="str">
        <f>IF(COUNTIF('Icon Lookup'!C:C,B411)&gt;0,LOOKUP(B411,'Icon Lookup'!C:C,'Icon Lookup'!B:B),"")</f>
        <v/>
      </c>
      <c r="B411" s="21" t="s">
        <v>427</v>
      </c>
      <c r="C411" s="20"/>
      <c r="D411" s="20">
        <v>38.0</v>
      </c>
      <c r="E411" s="20" t="s">
        <v>557</v>
      </c>
      <c r="G411" s="22"/>
      <c r="H411" s="23" t="s">
        <v>620</v>
      </c>
      <c r="I411" s="20" t="s">
        <v>94</v>
      </c>
      <c r="J411" s="20">
        <v>0.0</v>
      </c>
      <c r="K411" s="20">
        <v>0.0</v>
      </c>
      <c r="L411" s="20">
        <v>0.0</v>
      </c>
      <c r="M411" s="20">
        <v>0.0</v>
      </c>
      <c r="N411" s="20">
        <v>0.0</v>
      </c>
      <c r="O411" s="20">
        <v>0.0</v>
      </c>
      <c r="P411" s="20">
        <v>0.0</v>
      </c>
      <c r="Q411" s="20">
        <v>0.0</v>
      </c>
      <c r="R411" s="20">
        <v>0.0</v>
      </c>
      <c r="S411" s="20">
        <v>0.0</v>
      </c>
      <c r="T411" s="20">
        <v>0.0</v>
      </c>
      <c r="U411" s="20">
        <v>0.0</v>
      </c>
    </row>
    <row r="412" ht="23.25" customHeight="1">
      <c r="A412" s="17" t="str">
        <f>IF(COUNTIF('Icon Lookup'!C:C,B412)&gt;0,LOOKUP(B412,'Icon Lookup'!C:C,'Icon Lookup'!B:B),"")</f>
        <v/>
      </c>
      <c r="B412" s="18" t="s">
        <v>190</v>
      </c>
      <c r="C412" s="17"/>
      <c r="D412" s="17">
        <v>41.0</v>
      </c>
      <c r="E412" s="17" t="s">
        <v>26</v>
      </c>
      <c r="G412" s="19"/>
      <c r="H412" s="20" t="s">
        <v>613</v>
      </c>
      <c r="I412" s="17" t="s">
        <v>156</v>
      </c>
      <c r="J412" s="17">
        <v>0.0</v>
      </c>
      <c r="K412" s="17">
        <v>0.0</v>
      </c>
      <c r="L412" s="17">
        <v>0.0</v>
      </c>
      <c r="M412" s="17">
        <v>0.0</v>
      </c>
      <c r="N412" s="17">
        <v>0.0</v>
      </c>
      <c r="O412" s="17">
        <v>0.0</v>
      </c>
      <c r="P412" s="17">
        <v>0.0</v>
      </c>
      <c r="Q412" s="17">
        <v>0.0</v>
      </c>
      <c r="R412" s="17">
        <v>0.0</v>
      </c>
      <c r="S412" s="17">
        <v>0.0</v>
      </c>
      <c r="T412" s="17">
        <v>0.0</v>
      </c>
      <c r="U412" s="17">
        <v>0.0</v>
      </c>
    </row>
    <row r="413" ht="23.25" customHeight="1">
      <c r="A413" s="1"/>
      <c r="B413" s="15" t="s">
        <v>621</v>
      </c>
      <c r="C413" s="1" t="s">
        <v>17</v>
      </c>
      <c r="D413" s="1" t="s">
        <v>622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ht="23.25" customHeight="1">
      <c r="A414" s="20" t="str">
        <f>IF(COUNTIF('Icon Lookup'!C:C,B414)&gt;0,LOOKUP(B414,'Icon Lookup'!C:C,'Icon Lookup'!B:B),"")</f>
        <v/>
      </c>
      <c r="B414" s="21" t="s">
        <v>609</v>
      </c>
      <c r="C414" s="20"/>
      <c r="D414" s="20">
        <v>37.0</v>
      </c>
      <c r="E414" s="20" t="s">
        <v>188</v>
      </c>
      <c r="G414" s="22"/>
      <c r="H414" s="23" t="s">
        <v>553</v>
      </c>
      <c r="I414" s="20" t="s">
        <v>156</v>
      </c>
      <c r="J414" s="20">
        <v>0.0</v>
      </c>
      <c r="K414" s="20">
        <v>0.0</v>
      </c>
      <c r="L414" s="20">
        <v>0.0</v>
      </c>
      <c r="M414" s="20">
        <v>0.0</v>
      </c>
      <c r="N414" s="20">
        <v>0.0</v>
      </c>
      <c r="O414" s="20">
        <v>0.0</v>
      </c>
      <c r="P414" s="20">
        <v>0.0</v>
      </c>
      <c r="Q414" s="20">
        <v>0.0</v>
      </c>
      <c r="R414" s="20">
        <v>0.0</v>
      </c>
      <c r="S414" s="20">
        <v>0.0</v>
      </c>
      <c r="T414" s="20">
        <v>0.0</v>
      </c>
      <c r="U414" s="20">
        <v>0.0</v>
      </c>
    </row>
    <row r="415" ht="23.25" customHeight="1">
      <c r="A415" s="17" t="str">
        <f>IF(COUNTIF('Icon Lookup'!C:C,B415)&gt;0,LOOKUP(B415,'Icon Lookup'!C:C,'Icon Lookup'!B:B),"")</f>
        <v/>
      </c>
      <c r="B415" s="18" t="s">
        <v>275</v>
      </c>
      <c r="C415" s="17"/>
      <c r="D415" s="17">
        <v>40.0</v>
      </c>
      <c r="E415" s="17" t="s">
        <v>91</v>
      </c>
      <c r="G415" s="19"/>
      <c r="H415" s="20" t="s">
        <v>623</v>
      </c>
      <c r="I415" s="17" t="s">
        <v>89</v>
      </c>
      <c r="J415" s="17">
        <v>0.0</v>
      </c>
      <c r="K415" s="17">
        <v>0.0</v>
      </c>
      <c r="L415" s="17">
        <v>0.0</v>
      </c>
      <c r="M415" s="17">
        <v>0.0</v>
      </c>
      <c r="N415" s="17">
        <v>0.0</v>
      </c>
      <c r="O415" s="17">
        <v>0.0</v>
      </c>
      <c r="P415" s="17">
        <v>0.0</v>
      </c>
      <c r="Q415" s="17">
        <v>0.0</v>
      </c>
      <c r="R415" s="17">
        <v>0.0</v>
      </c>
      <c r="S415" s="17">
        <v>0.0</v>
      </c>
      <c r="T415" s="17">
        <v>0.0</v>
      </c>
      <c r="U415" s="17">
        <v>0.0</v>
      </c>
    </row>
    <row r="416" ht="23.25" customHeight="1">
      <c r="A416" s="20" t="str">
        <f>IF(COUNTIF('Icon Lookup'!C:C,B416)&gt;0,LOOKUP(B416,'Icon Lookup'!C:C,'Icon Lookup'!B:B),"")</f>
        <v/>
      </c>
      <c r="B416" s="21" t="s">
        <v>586</v>
      </c>
      <c r="C416" s="20"/>
      <c r="D416" s="20">
        <v>43.0</v>
      </c>
      <c r="E416" s="20" t="s">
        <v>366</v>
      </c>
      <c r="G416" s="22"/>
      <c r="H416" s="23" t="s">
        <v>624</v>
      </c>
      <c r="I416" s="20" t="s">
        <v>156</v>
      </c>
      <c r="J416" s="20">
        <v>0.0</v>
      </c>
      <c r="K416" s="20">
        <v>0.0</v>
      </c>
      <c r="L416" s="20">
        <v>0.0</v>
      </c>
      <c r="M416" s="20">
        <v>0.0</v>
      </c>
      <c r="N416" s="20">
        <v>0.0</v>
      </c>
      <c r="O416" s="20">
        <v>0.0</v>
      </c>
      <c r="P416" s="20">
        <v>0.0</v>
      </c>
      <c r="Q416" s="20">
        <v>0.0</v>
      </c>
      <c r="R416" s="20">
        <v>0.0</v>
      </c>
      <c r="S416" s="20">
        <v>0.0</v>
      </c>
      <c r="T416" s="20">
        <v>0.0</v>
      </c>
      <c r="U416" s="20">
        <v>0.0</v>
      </c>
    </row>
    <row r="417" ht="23.25" customHeight="1">
      <c r="A417" s="1"/>
      <c r="B417" s="15" t="s">
        <v>625</v>
      </c>
      <c r="C417" s="1" t="s">
        <v>17</v>
      </c>
      <c r="D417" s="1" t="s">
        <v>626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ht="23.25" customHeight="1">
      <c r="A418" s="17" t="str">
        <f>IF(COUNTIF('Icon Lookup'!C:C,B418)&gt;0,LOOKUP(B418,'Icon Lookup'!C:C,'Icon Lookup'!B:B),"")</f>
        <v/>
      </c>
      <c r="B418" s="18" t="s">
        <v>271</v>
      </c>
      <c r="C418" s="17"/>
      <c r="D418" s="17">
        <v>41.0</v>
      </c>
      <c r="E418" s="17" t="s">
        <v>44</v>
      </c>
      <c r="G418" s="19"/>
      <c r="H418" s="20" t="s">
        <v>627</v>
      </c>
      <c r="I418" s="17" t="s">
        <v>22</v>
      </c>
      <c r="J418" s="17">
        <v>0.0</v>
      </c>
      <c r="K418" s="17">
        <v>0.0</v>
      </c>
      <c r="L418" s="17">
        <v>0.0</v>
      </c>
      <c r="M418" s="17">
        <v>0.0</v>
      </c>
      <c r="N418" s="17">
        <v>0.0</v>
      </c>
      <c r="O418" s="17">
        <v>0.0</v>
      </c>
      <c r="P418" s="17">
        <v>0.0</v>
      </c>
      <c r="Q418" s="17">
        <v>0.0</v>
      </c>
      <c r="R418" s="17">
        <v>0.0</v>
      </c>
      <c r="S418" s="17">
        <v>0.0</v>
      </c>
      <c r="T418" s="17">
        <v>0.0</v>
      </c>
      <c r="U418" s="17">
        <v>0.0</v>
      </c>
    </row>
    <row r="419" ht="23.25" customHeight="1">
      <c r="A419" s="20" t="str">
        <f>IF(COUNTIF('Icon Lookup'!C:C,B419)&gt;0,LOOKUP(B419,'Icon Lookup'!C:C,'Icon Lookup'!B:B),"")</f>
        <v/>
      </c>
      <c r="B419" s="21" t="s">
        <v>628</v>
      </c>
      <c r="C419" s="20"/>
      <c r="D419" s="20">
        <v>41.0</v>
      </c>
      <c r="E419" s="20" t="s">
        <v>629</v>
      </c>
      <c r="G419" s="22"/>
      <c r="H419" s="23" t="s">
        <v>630</v>
      </c>
      <c r="I419" s="20" t="s">
        <v>52</v>
      </c>
      <c r="J419" s="20">
        <v>0.0</v>
      </c>
      <c r="K419" s="20">
        <v>0.0</v>
      </c>
      <c r="L419" s="20">
        <v>0.0</v>
      </c>
      <c r="M419" s="20">
        <v>0.0</v>
      </c>
      <c r="N419" s="20">
        <v>0.0</v>
      </c>
      <c r="O419" s="20">
        <v>0.0</v>
      </c>
      <c r="P419" s="20">
        <v>0.0</v>
      </c>
      <c r="Q419" s="20">
        <v>0.0</v>
      </c>
      <c r="R419" s="20">
        <v>0.0</v>
      </c>
      <c r="S419" s="20">
        <v>0.0</v>
      </c>
      <c r="T419" s="20">
        <v>0.0</v>
      </c>
      <c r="U419" s="20">
        <v>0.0</v>
      </c>
    </row>
    <row r="420" ht="23.25" customHeight="1">
      <c r="A420" s="1"/>
      <c r="B420" s="15" t="s">
        <v>631</v>
      </c>
      <c r="C420" s="1" t="s">
        <v>17</v>
      </c>
      <c r="D420" s="1" t="s">
        <v>632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ht="23.25" customHeight="1">
      <c r="A421" s="17" t="str">
        <f>IF(COUNTIF('Icon Lookup'!C:C,B421)&gt;0,LOOKUP(B421,'Icon Lookup'!C:C,'Icon Lookup'!B:B),"")</f>
        <v/>
      </c>
      <c r="B421" s="18" t="s">
        <v>628</v>
      </c>
      <c r="C421" s="17"/>
      <c r="D421" s="17">
        <v>43.0</v>
      </c>
      <c r="E421" s="17" t="s">
        <v>560</v>
      </c>
      <c r="G421" s="19"/>
      <c r="H421" s="20" t="s">
        <v>633</v>
      </c>
      <c r="I421" s="17" t="s">
        <v>156</v>
      </c>
      <c r="J421" s="17">
        <v>0.0</v>
      </c>
      <c r="K421" s="17">
        <v>0.0</v>
      </c>
      <c r="L421" s="17">
        <v>0.0</v>
      </c>
      <c r="M421" s="17">
        <v>0.0</v>
      </c>
      <c r="N421" s="17">
        <v>0.0</v>
      </c>
      <c r="O421" s="17">
        <v>0.0</v>
      </c>
      <c r="P421" s="17">
        <v>0.0</v>
      </c>
      <c r="Q421" s="17">
        <v>0.0</v>
      </c>
      <c r="R421" s="17">
        <v>0.0</v>
      </c>
      <c r="S421" s="17">
        <v>0.0</v>
      </c>
      <c r="T421" s="17">
        <v>0.0</v>
      </c>
      <c r="U421" s="17">
        <v>0.0</v>
      </c>
    </row>
    <row r="422" ht="23.25" customHeight="1">
      <c r="A422" s="1"/>
      <c r="B422" s="15" t="s">
        <v>634</v>
      </c>
      <c r="C422" s="1" t="s">
        <v>17</v>
      </c>
      <c r="D422" s="1" t="s">
        <v>635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ht="23.25" customHeight="1">
      <c r="A423" s="20" t="str">
        <f>IF(COUNTIF('Icon Lookup'!C:C,B423)&gt;0,LOOKUP(B423,'Icon Lookup'!C:C,'Icon Lookup'!B:B),"")</f>
        <v/>
      </c>
      <c r="B423" s="21" t="s">
        <v>559</v>
      </c>
      <c r="C423" s="20"/>
      <c r="D423" s="20">
        <v>40.0</v>
      </c>
      <c r="E423" s="20" t="s">
        <v>560</v>
      </c>
      <c r="G423" s="22"/>
      <c r="H423" s="23" t="s">
        <v>636</v>
      </c>
      <c r="I423" s="20" t="s">
        <v>52</v>
      </c>
      <c r="J423" s="20">
        <v>0.0</v>
      </c>
      <c r="K423" s="20">
        <v>0.0</v>
      </c>
      <c r="L423" s="20">
        <v>0.0</v>
      </c>
      <c r="M423" s="20">
        <v>0.0</v>
      </c>
      <c r="N423" s="20">
        <v>0.0</v>
      </c>
      <c r="O423" s="20">
        <v>0.0</v>
      </c>
      <c r="P423" s="20">
        <v>0.0</v>
      </c>
      <c r="Q423" s="20">
        <v>0.0</v>
      </c>
      <c r="R423" s="20">
        <v>0.0</v>
      </c>
      <c r="S423" s="20">
        <v>0.0</v>
      </c>
      <c r="T423" s="20">
        <v>0.0</v>
      </c>
      <c r="U423" s="20">
        <v>0.0</v>
      </c>
    </row>
    <row r="424" ht="23.25" customHeight="1">
      <c r="A424" s="17" t="str">
        <f>IF(COUNTIF('Icon Lookup'!C:C,B424)&gt;0,LOOKUP(B424,'Icon Lookup'!C:C,'Icon Lookup'!B:B),"")</f>
        <v/>
      </c>
      <c r="B424" s="18" t="s">
        <v>398</v>
      </c>
      <c r="C424" s="17"/>
      <c r="D424" s="17">
        <v>42.0</v>
      </c>
      <c r="E424" s="17" t="s">
        <v>399</v>
      </c>
      <c r="G424" s="19"/>
      <c r="H424" s="20" t="s">
        <v>637</v>
      </c>
      <c r="I424" s="17" t="s">
        <v>22</v>
      </c>
      <c r="J424" s="17">
        <v>0.0</v>
      </c>
      <c r="K424" s="17">
        <v>0.0</v>
      </c>
      <c r="L424" s="17">
        <v>0.0</v>
      </c>
      <c r="M424" s="17">
        <v>0.0</v>
      </c>
      <c r="N424" s="17">
        <v>0.0</v>
      </c>
      <c r="O424" s="17">
        <v>0.0</v>
      </c>
      <c r="P424" s="17">
        <v>0.0</v>
      </c>
      <c r="Q424" s="17">
        <v>0.0</v>
      </c>
      <c r="R424" s="17">
        <v>0.0</v>
      </c>
      <c r="S424" s="17">
        <v>0.0</v>
      </c>
      <c r="T424" s="17">
        <v>0.0</v>
      </c>
      <c r="U424" s="17">
        <v>0.0</v>
      </c>
    </row>
    <row r="425" ht="23.25" customHeight="1">
      <c r="A425" s="1"/>
      <c r="B425" s="15" t="s">
        <v>638</v>
      </c>
      <c r="C425" s="1" t="s">
        <v>17</v>
      </c>
      <c r="D425" s="1" t="s">
        <v>639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ht="23.25" customHeight="1">
      <c r="A426" s="20" t="str">
        <f>IF(COUNTIF('Icon Lookup'!C:C,B426)&gt;0,LOOKUP(B426,'Icon Lookup'!C:C,'Icon Lookup'!B:B),"")</f>
        <v/>
      </c>
      <c r="B426" s="21" t="s">
        <v>640</v>
      </c>
      <c r="C426" s="20"/>
      <c r="D426" s="20">
        <v>37.0</v>
      </c>
      <c r="E426" s="20" t="s">
        <v>641</v>
      </c>
      <c r="G426" s="22"/>
      <c r="H426" s="23" t="s">
        <v>642</v>
      </c>
      <c r="I426" s="20" t="s">
        <v>94</v>
      </c>
      <c r="J426" s="20">
        <v>0.0</v>
      </c>
      <c r="K426" s="20">
        <v>0.0</v>
      </c>
      <c r="L426" s="20">
        <v>0.0</v>
      </c>
      <c r="M426" s="20">
        <v>0.0</v>
      </c>
      <c r="N426" s="20">
        <v>0.0</v>
      </c>
      <c r="O426" s="20">
        <v>0.0</v>
      </c>
      <c r="P426" s="20">
        <v>0.0</v>
      </c>
      <c r="Q426" s="20">
        <v>0.0</v>
      </c>
      <c r="R426" s="20">
        <v>0.0</v>
      </c>
      <c r="S426" s="20">
        <v>0.0</v>
      </c>
      <c r="T426" s="20">
        <v>0.0</v>
      </c>
      <c r="U426" s="20">
        <v>0.0</v>
      </c>
    </row>
    <row r="427" ht="23.25" customHeight="1">
      <c r="A427" s="17" t="str">
        <f>IF(COUNTIF('Icon Lookup'!C:C,B427)&gt;0,LOOKUP(B427,'Icon Lookup'!C:C,'Icon Lookup'!B:B),"")</f>
        <v/>
      </c>
      <c r="B427" s="18" t="s">
        <v>643</v>
      </c>
      <c r="C427" s="17"/>
      <c r="D427" s="17">
        <v>42.0</v>
      </c>
      <c r="E427" s="17" t="s">
        <v>525</v>
      </c>
      <c r="G427" s="19"/>
      <c r="H427" s="20" t="s">
        <v>644</v>
      </c>
      <c r="I427" s="17" t="s">
        <v>89</v>
      </c>
      <c r="J427" s="17">
        <v>0.0</v>
      </c>
      <c r="K427" s="17">
        <v>0.0</v>
      </c>
      <c r="L427" s="17">
        <v>0.0</v>
      </c>
      <c r="M427" s="17">
        <v>0.0</v>
      </c>
      <c r="N427" s="17">
        <v>0.0</v>
      </c>
      <c r="O427" s="17">
        <v>0.0</v>
      </c>
      <c r="P427" s="17">
        <v>0.0</v>
      </c>
      <c r="Q427" s="17">
        <v>0.0</v>
      </c>
      <c r="R427" s="17">
        <v>0.0</v>
      </c>
      <c r="S427" s="17">
        <v>0.0</v>
      </c>
      <c r="T427" s="17">
        <v>0.0</v>
      </c>
      <c r="U427" s="17">
        <v>0.0</v>
      </c>
    </row>
    <row r="428" ht="23.25" customHeight="1">
      <c r="A428" s="20" t="str">
        <f>IF(COUNTIF('Icon Lookup'!C:C,B428)&gt;0,LOOKUP(B428,'Icon Lookup'!C:C,'Icon Lookup'!B:B),"")</f>
        <v/>
      </c>
      <c r="B428" s="21" t="s">
        <v>410</v>
      </c>
      <c r="C428" s="20"/>
      <c r="D428" s="20">
        <v>41.0</v>
      </c>
      <c r="E428" s="20" t="s">
        <v>411</v>
      </c>
      <c r="G428" s="22"/>
      <c r="H428" s="23" t="s">
        <v>645</v>
      </c>
      <c r="I428" s="20" t="s">
        <v>89</v>
      </c>
      <c r="J428" s="20">
        <v>0.0</v>
      </c>
      <c r="K428" s="20">
        <v>0.0</v>
      </c>
      <c r="L428" s="20">
        <v>0.0</v>
      </c>
      <c r="M428" s="20">
        <v>0.0</v>
      </c>
      <c r="N428" s="20">
        <v>0.0</v>
      </c>
      <c r="O428" s="20">
        <v>0.0</v>
      </c>
      <c r="P428" s="20">
        <v>0.0</v>
      </c>
      <c r="Q428" s="20">
        <v>0.0</v>
      </c>
      <c r="R428" s="20">
        <v>0.0</v>
      </c>
      <c r="S428" s="20">
        <v>0.0</v>
      </c>
      <c r="T428" s="20">
        <v>0.0</v>
      </c>
      <c r="U428" s="20">
        <v>0.0</v>
      </c>
    </row>
    <row r="429" ht="23.25" customHeight="1">
      <c r="A429" s="1"/>
      <c r="B429" s="15" t="s">
        <v>646</v>
      </c>
      <c r="C429" s="1" t="s">
        <v>17</v>
      </c>
      <c r="D429" s="1" t="s">
        <v>647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ht="23.25" customHeight="1">
      <c r="A430" s="17" t="str">
        <f>IF(COUNTIF('Icon Lookup'!C:C,B430)&gt;0,LOOKUP(B430,'Icon Lookup'!C:C,'Icon Lookup'!B:B),"")</f>
        <v/>
      </c>
      <c r="B430" s="18" t="s">
        <v>190</v>
      </c>
      <c r="C430" s="17"/>
      <c r="D430" s="17">
        <v>43.0</v>
      </c>
      <c r="E430" s="17" t="s">
        <v>26</v>
      </c>
      <c r="G430" s="19"/>
      <c r="H430" s="20" t="s">
        <v>648</v>
      </c>
      <c r="I430" s="17" t="s">
        <v>156</v>
      </c>
      <c r="J430" s="17">
        <v>0.0</v>
      </c>
      <c r="K430" s="17">
        <v>0.0</v>
      </c>
      <c r="L430" s="17">
        <v>0.0</v>
      </c>
      <c r="M430" s="17">
        <v>0.0</v>
      </c>
      <c r="N430" s="17">
        <v>0.0</v>
      </c>
      <c r="O430" s="17">
        <v>0.0</v>
      </c>
      <c r="P430" s="17">
        <v>0.0</v>
      </c>
      <c r="Q430" s="17">
        <v>0.0</v>
      </c>
      <c r="R430" s="17">
        <v>0.0</v>
      </c>
      <c r="S430" s="17">
        <v>0.0</v>
      </c>
      <c r="T430" s="17">
        <v>0.0</v>
      </c>
      <c r="U430" s="17">
        <v>0.0</v>
      </c>
    </row>
    <row r="431" ht="23.25" customHeight="1">
      <c r="A431" s="1"/>
      <c r="B431" s="15" t="s">
        <v>649</v>
      </c>
      <c r="C431" s="1" t="s">
        <v>17</v>
      </c>
      <c r="D431" s="1" t="s">
        <v>650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ht="23.25" customHeight="1">
      <c r="A432" s="20" t="str">
        <f>IF(COUNTIF('Icon Lookup'!C:C,B432)&gt;0,LOOKUP(B432,'Icon Lookup'!C:C,'Icon Lookup'!B:B),"")</f>
        <v/>
      </c>
      <c r="B432" s="21" t="s">
        <v>524</v>
      </c>
      <c r="C432" s="20"/>
      <c r="D432" s="20">
        <v>38.0</v>
      </c>
      <c r="E432" s="20" t="s">
        <v>525</v>
      </c>
      <c r="G432" s="22"/>
      <c r="H432" s="23" t="s">
        <v>651</v>
      </c>
      <c r="I432" s="20" t="s">
        <v>156</v>
      </c>
      <c r="J432" s="20">
        <v>0.0</v>
      </c>
      <c r="K432" s="20">
        <v>0.0</v>
      </c>
      <c r="L432" s="20">
        <v>0.0</v>
      </c>
      <c r="M432" s="20">
        <v>0.0</v>
      </c>
      <c r="N432" s="20">
        <v>0.0</v>
      </c>
      <c r="O432" s="20">
        <v>0.0</v>
      </c>
      <c r="P432" s="20">
        <v>0.0</v>
      </c>
      <c r="Q432" s="20">
        <v>0.0</v>
      </c>
      <c r="R432" s="20">
        <v>0.0</v>
      </c>
      <c r="S432" s="20">
        <v>0.0</v>
      </c>
      <c r="T432" s="20">
        <v>0.0</v>
      </c>
      <c r="U432" s="20">
        <v>0.0</v>
      </c>
    </row>
    <row r="433" ht="23.25" customHeight="1">
      <c r="A433" s="17" t="str">
        <f>IF(COUNTIF('Icon Lookup'!C:C,B433)&gt;0,LOOKUP(B433,'Icon Lookup'!C:C,'Icon Lookup'!B:B),"")</f>
        <v/>
      </c>
      <c r="B433" s="18" t="s">
        <v>427</v>
      </c>
      <c r="C433" s="17"/>
      <c r="D433" s="17">
        <v>40.0</v>
      </c>
      <c r="E433" s="17" t="s">
        <v>428</v>
      </c>
      <c r="G433" s="19"/>
      <c r="H433" s="20" t="s">
        <v>652</v>
      </c>
      <c r="I433" s="17" t="s">
        <v>94</v>
      </c>
      <c r="J433" s="17">
        <v>0.0</v>
      </c>
      <c r="K433" s="17">
        <v>0.0</v>
      </c>
      <c r="L433" s="17">
        <v>0.0</v>
      </c>
      <c r="M433" s="17">
        <v>0.0</v>
      </c>
      <c r="N433" s="17">
        <v>0.0</v>
      </c>
      <c r="O433" s="17">
        <v>0.0</v>
      </c>
      <c r="P433" s="17">
        <v>0.0</v>
      </c>
      <c r="Q433" s="17">
        <v>0.0</v>
      </c>
      <c r="R433" s="17">
        <v>0.0</v>
      </c>
      <c r="S433" s="17">
        <v>0.0</v>
      </c>
      <c r="T433" s="17">
        <v>0.0</v>
      </c>
      <c r="U433" s="17">
        <v>0.0</v>
      </c>
    </row>
    <row r="434" ht="23.25" customHeight="1">
      <c r="A434" s="20" t="str">
        <f>IF(COUNTIF('Icon Lookup'!C:C,B434)&gt;0,LOOKUP(B434,'Icon Lookup'!C:C,'Icon Lookup'!B:B),"")</f>
        <v/>
      </c>
      <c r="B434" s="21" t="s">
        <v>653</v>
      </c>
      <c r="C434" s="20"/>
      <c r="D434" s="20">
        <v>42.0</v>
      </c>
      <c r="E434" s="20" t="s">
        <v>525</v>
      </c>
      <c r="G434" s="22"/>
      <c r="H434" s="23" t="s">
        <v>654</v>
      </c>
      <c r="I434" s="20" t="s">
        <v>156</v>
      </c>
      <c r="J434" s="20">
        <v>0.0</v>
      </c>
      <c r="K434" s="20">
        <v>0.0</v>
      </c>
      <c r="L434" s="20">
        <v>0.0</v>
      </c>
      <c r="M434" s="20">
        <v>0.0</v>
      </c>
      <c r="N434" s="20">
        <v>0.0</v>
      </c>
      <c r="O434" s="20">
        <v>0.0</v>
      </c>
      <c r="P434" s="20">
        <v>0.0</v>
      </c>
      <c r="Q434" s="20">
        <v>0.0</v>
      </c>
      <c r="R434" s="20">
        <v>0.0</v>
      </c>
      <c r="S434" s="20">
        <v>0.0</v>
      </c>
      <c r="T434" s="20">
        <v>0.0</v>
      </c>
      <c r="U434" s="20">
        <v>0.0</v>
      </c>
    </row>
    <row r="435" ht="23.25" customHeight="1">
      <c r="A435" s="1"/>
      <c r="B435" s="15" t="s">
        <v>655</v>
      </c>
      <c r="C435" s="1" t="s">
        <v>17</v>
      </c>
      <c r="D435" s="1" t="s">
        <v>656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ht="23.25" customHeight="1">
      <c r="A436" s="17" t="str">
        <f>IF(COUNTIF('Icon Lookup'!C:C,B436)&gt;0,LOOKUP(B436,'Icon Lookup'!C:C,'Icon Lookup'!B:B),"")</f>
        <v/>
      </c>
      <c r="B436" s="18" t="s">
        <v>657</v>
      </c>
      <c r="C436" s="17"/>
      <c r="D436" s="17">
        <v>43.0</v>
      </c>
      <c r="E436" s="17" t="s">
        <v>44</v>
      </c>
      <c r="G436" s="19"/>
      <c r="H436" s="20" t="s">
        <v>658</v>
      </c>
      <c r="I436" s="17" t="s">
        <v>52</v>
      </c>
      <c r="J436" s="17">
        <v>0.0</v>
      </c>
      <c r="K436" s="17">
        <v>0.0</v>
      </c>
      <c r="L436" s="17">
        <v>0.0</v>
      </c>
      <c r="M436" s="17">
        <v>0.0</v>
      </c>
      <c r="N436" s="17">
        <v>0.0</v>
      </c>
      <c r="O436" s="17">
        <v>0.0</v>
      </c>
      <c r="P436" s="17">
        <v>0.0</v>
      </c>
      <c r="Q436" s="17">
        <v>0.0</v>
      </c>
      <c r="R436" s="17">
        <v>0.0</v>
      </c>
      <c r="S436" s="17">
        <v>0.0</v>
      </c>
      <c r="T436" s="17">
        <v>0.0</v>
      </c>
      <c r="U436" s="17">
        <v>0.0</v>
      </c>
    </row>
    <row r="437" ht="23.25" customHeight="1">
      <c r="A437" s="1"/>
      <c r="B437" s="15" t="s">
        <v>659</v>
      </c>
      <c r="C437" s="1" t="s">
        <v>17</v>
      </c>
      <c r="D437" s="1" t="s">
        <v>660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ht="23.25" customHeight="1">
      <c r="A438" s="20" t="str">
        <f>IF(COUNTIF('Icon Lookup'!C:C,B438)&gt;0,LOOKUP(B438,'Icon Lookup'!C:C,'Icon Lookup'!B:B),"")</f>
        <v/>
      </c>
      <c r="B438" s="21" t="s">
        <v>661</v>
      </c>
      <c r="C438" s="20"/>
      <c r="D438" s="20">
        <v>41.0</v>
      </c>
      <c r="E438" s="20" t="s">
        <v>382</v>
      </c>
      <c r="G438" s="22"/>
      <c r="H438" s="23" t="s">
        <v>662</v>
      </c>
      <c r="I438" s="20" t="s">
        <v>197</v>
      </c>
      <c r="J438" s="20">
        <v>0.0</v>
      </c>
      <c r="K438" s="20">
        <v>0.0</v>
      </c>
      <c r="L438" s="20">
        <v>0.0</v>
      </c>
      <c r="M438" s="20">
        <v>0.0</v>
      </c>
      <c r="N438" s="20">
        <v>0.0</v>
      </c>
      <c r="O438" s="20">
        <v>0.0</v>
      </c>
      <c r="P438" s="20">
        <v>0.0</v>
      </c>
      <c r="Q438" s="20">
        <v>0.0</v>
      </c>
      <c r="R438" s="20">
        <v>0.0</v>
      </c>
      <c r="S438" s="20">
        <v>0.0</v>
      </c>
      <c r="T438" s="20">
        <v>0.0</v>
      </c>
      <c r="U438" s="20">
        <v>0.0</v>
      </c>
    </row>
    <row r="439" ht="23.25" customHeight="1">
      <c r="A439" s="17" t="str">
        <f>IF(COUNTIF('Icon Lookup'!C:C,B439)&gt;0,LOOKUP(B439,'Icon Lookup'!C:C,'Icon Lookup'!B:B),"")</f>
        <v/>
      </c>
      <c r="B439" s="18" t="s">
        <v>405</v>
      </c>
      <c r="C439" s="17"/>
      <c r="D439" s="17">
        <v>41.0</v>
      </c>
      <c r="E439" s="17" t="s">
        <v>382</v>
      </c>
      <c r="G439" s="19"/>
      <c r="H439" s="20" t="s">
        <v>663</v>
      </c>
      <c r="I439" s="17" t="s">
        <v>197</v>
      </c>
      <c r="J439" s="17">
        <v>0.0</v>
      </c>
      <c r="K439" s="17">
        <v>0.0</v>
      </c>
      <c r="L439" s="17">
        <v>0.0</v>
      </c>
      <c r="M439" s="17">
        <v>0.0</v>
      </c>
      <c r="N439" s="17">
        <v>0.0</v>
      </c>
      <c r="O439" s="17">
        <v>0.0</v>
      </c>
      <c r="P439" s="17">
        <v>0.0</v>
      </c>
      <c r="Q439" s="17">
        <v>0.0</v>
      </c>
      <c r="R439" s="17">
        <v>0.0</v>
      </c>
      <c r="S439" s="17">
        <v>0.0</v>
      </c>
      <c r="T439" s="17">
        <v>0.0</v>
      </c>
      <c r="U439" s="17">
        <v>0.0</v>
      </c>
    </row>
    <row r="440" ht="23.25" customHeight="1">
      <c r="A440" s="1"/>
      <c r="B440" s="15" t="s">
        <v>664</v>
      </c>
      <c r="C440" s="1" t="s">
        <v>17</v>
      </c>
      <c r="D440" s="1" t="s">
        <v>665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ht="23.25" customHeight="1">
      <c r="A441" s="20" t="str">
        <f>IF(COUNTIF('Icon Lookup'!C:C,B441)&gt;0,LOOKUP(B441,'Icon Lookup'!C:C,'Icon Lookup'!B:B),"")</f>
        <v/>
      </c>
      <c r="B441" s="21" t="s">
        <v>381</v>
      </c>
      <c r="C441" s="20"/>
      <c r="D441" s="20">
        <v>39.0</v>
      </c>
      <c r="E441" s="20" t="s">
        <v>382</v>
      </c>
      <c r="G441" s="22"/>
      <c r="H441" s="23" t="s">
        <v>666</v>
      </c>
      <c r="I441" s="20" t="s">
        <v>197</v>
      </c>
      <c r="J441" s="20">
        <v>0.0</v>
      </c>
      <c r="K441" s="20">
        <v>0.0</v>
      </c>
      <c r="L441" s="20">
        <v>0.0</v>
      </c>
      <c r="M441" s="20">
        <v>0.0</v>
      </c>
      <c r="N441" s="20">
        <v>0.0</v>
      </c>
      <c r="O441" s="20">
        <v>0.0</v>
      </c>
      <c r="P441" s="20">
        <v>0.0</v>
      </c>
      <c r="Q441" s="20">
        <v>0.0</v>
      </c>
      <c r="R441" s="20">
        <v>0.0</v>
      </c>
      <c r="S441" s="20">
        <v>0.0</v>
      </c>
      <c r="T441" s="20">
        <v>0.0</v>
      </c>
      <c r="U441" s="20">
        <v>0.0</v>
      </c>
    </row>
    <row r="442" ht="23.25" customHeight="1">
      <c r="A442" s="17" t="str">
        <f>IF(COUNTIF('Icon Lookup'!C:C,B442)&gt;0,LOOKUP(B442,'Icon Lookup'!C:C,'Icon Lookup'!B:B),"")</f>
        <v/>
      </c>
      <c r="B442" s="18" t="s">
        <v>640</v>
      </c>
      <c r="C442" s="17"/>
      <c r="D442" s="17">
        <v>40.0</v>
      </c>
      <c r="E442" s="17" t="s">
        <v>641</v>
      </c>
      <c r="G442" s="19"/>
      <c r="H442" s="20" t="s">
        <v>642</v>
      </c>
      <c r="I442" s="17" t="s">
        <v>197</v>
      </c>
      <c r="J442" s="17">
        <v>0.0</v>
      </c>
      <c r="K442" s="17">
        <v>0.0</v>
      </c>
      <c r="L442" s="17">
        <v>0.0</v>
      </c>
      <c r="M442" s="17">
        <v>0.0</v>
      </c>
      <c r="N442" s="17">
        <v>0.0</v>
      </c>
      <c r="O442" s="17">
        <v>0.0</v>
      </c>
      <c r="P442" s="17">
        <v>0.0</v>
      </c>
      <c r="Q442" s="17">
        <v>0.0</v>
      </c>
      <c r="R442" s="17">
        <v>0.0</v>
      </c>
      <c r="S442" s="17">
        <v>0.0</v>
      </c>
      <c r="T442" s="17">
        <v>0.0</v>
      </c>
      <c r="U442" s="17">
        <v>0.0</v>
      </c>
    </row>
    <row r="443" ht="23.25" customHeight="1">
      <c r="A443" s="20" t="str">
        <f>IF(COUNTIF('Icon Lookup'!C:C,B443)&gt;0,LOOKUP(B443,'Icon Lookup'!C:C,'Icon Lookup'!B:B),"")</f>
        <v/>
      </c>
      <c r="B443" s="21" t="s">
        <v>398</v>
      </c>
      <c r="C443" s="20"/>
      <c r="D443" s="20">
        <v>41.0</v>
      </c>
      <c r="E443" s="20" t="s">
        <v>399</v>
      </c>
      <c r="G443" s="22"/>
      <c r="H443" s="23" t="s">
        <v>667</v>
      </c>
      <c r="I443" s="20" t="s">
        <v>105</v>
      </c>
      <c r="J443" s="20">
        <v>0.0</v>
      </c>
      <c r="K443" s="20">
        <v>0.0</v>
      </c>
      <c r="L443" s="20">
        <v>0.0</v>
      </c>
      <c r="M443" s="20">
        <v>0.0</v>
      </c>
      <c r="N443" s="20">
        <v>0.0</v>
      </c>
      <c r="O443" s="20">
        <v>0.0</v>
      </c>
      <c r="P443" s="20">
        <v>0.0</v>
      </c>
      <c r="Q443" s="20">
        <v>0.0</v>
      </c>
      <c r="R443" s="20">
        <v>0.0</v>
      </c>
      <c r="S443" s="20">
        <v>0.0</v>
      </c>
      <c r="T443" s="20">
        <v>0.0</v>
      </c>
      <c r="U443" s="20">
        <v>0.0</v>
      </c>
    </row>
    <row r="444" ht="23.25" customHeight="1">
      <c r="A444" s="1"/>
      <c r="B444" s="15" t="s">
        <v>668</v>
      </c>
      <c r="C444" s="1" t="s">
        <v>17</v>
      </c>
      <c r="D444" s="1" t="s">
        <v>669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ht="23.25" customHeight="1">
      <c r="A445" s="17" t="str">
        <f>IF(COUNTIF('Icon Lookup'!C:C,B445)&gt;0,LOOKUP(B445,'Icon Lookup'!C:C,'Icon Lookup'!B:B),"")</f>
        <v/>
      </c>
      <c r="B445" s="18" t="s">
        <v>640</v>
      </c>
      <c r="C445" s="17"/>
      <c r="D445" s="17">
        <v>41.0</v>
      </c>
      <c r="E445" s="17" t="s">
        <v>641</v>
      </c>
      <c r="G445" s="19"/>
      <c r="H445" s="20" t="s">
        <v>670</v>
      </c>
      <c r="I445" s="17" t="s">
        <v>52</v>
      </c>
      <c r="J445" s="17">
        <v>0.0</v>
      </c>
      <c r="K445" s="17">
        <v>0.0</v>
      </c>
      <c r="L445" s="17">
        <v>0.0</v>
      </c>
      <c r="M445" s="17">
        <v>0.0</v>
      </c>
      <c r="N445" s="17">
        <v>0.0</v>
      </c>
      <c r="O445" s="17">
        <v>0.0</v>
      </c>
      <c r="P445" s="17">
        <v>0.0</v>
      </c>
      <c r="Q445" s="17">
        <v>0.0</v>
      </c>
      <c r="R445" s="17">
        <v>0.0</v>
      </c>
      <c r="S445" s="17">
        <v>0.0</v>
      </c>
      <c r="T445" s="17">
        <v>0.0</v>
      </c>
      <c r="U445" s="17">
        <v>0.0</v>
      </c>
    </row>
    <row r="446" ht="23.25" customHeight="1">
      <c r="A446" s="20" t="str">
        <f>IF(COUNTIF('Icon Lookup'!C:C,B446)&gt;0,LOOKUP(B446,'Icon Lookup'!C:C,'Icon Lookup'!B:B),"")</f>
        <v/>
      </c>
      <c r="B446" s="21" t="s">
        <v>515</v>
      </c>
      <c r="C446" s="20"/>
      <c r="D446" s="20">
        <v>41.0</v>
      </c>
      <c r="E446" s="20" t="s">
        <v>44</v>
      </c>
      <c r="G446" s="22"/>
      <c r="H446" s="23" t="s">
        <v>671</v>
      </c>
      <c r="I446" s="20" t="s">
        <v>550</v>
      </c>
      <c r="J446" s="20">
        <v>0.0</v>
      </c>
      <c r="K446" s="20">
        <v>0.0</v>
      </c>
      <c r="L446" s="20">
        <v>0.0</v>
      </c>
      <c r="M446" s="20">
        <v>0.0</v>
      </c>
      <c r="N446" s="20">
        <v>0.0</v>
      </c>
      <c r="O446" s="20">
        <v>0.0</v>
      </c>
      <c r="P446" s="20">
        <v>0.0</v>
      </c>
      <c r="Q446" s="20">
        <v>0.0</v>
      </c>
      <c r="R446" s="20">
        <v>0.0</v>
      </c>
      <c r="S446" s="20">
        <v>0.0</v>
      </c>
      <c r="T446" s="20">
        <v>0.0</v>
      </c>
      <c r="U446" s="20">
        <v>0.0</v>
      </c>
    </row>
    <row r="447" ht="23.25" customHeight="1">
      <c r="A447" s="1"/>
      <c r="B447" s="15" t="s">
        <v>672</v>
      </c>
      <c r="C447" s="1" t="s">
        <v>17</v>
      </c>
      <c r="D447" s="1" t="s">
        <v>673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ht="23.25" customHeight="1">
      <c r="A448" s="17" t="str">
        <f>IF(COUNTIF('Icon Lookup'!C:C,B448)&gt;0,LOOKUP(B448,'Icon Lookup'!C:C,'Icon Lookup'!B:B),"")</f>
        <v/>
      </c>
      <c r="B448" s="18" t="s">
        <v>592</v>
      </c>
      <c r="C448" s="17"/>
      <c r="D448" s="17">
        <v>41.0</v>
      </c>
      <c r="E448" s="17" t="s">
        <v>366</v>
      </c>
      <c r="G448" s="19"/>
      <c r="H448" s="20" t="s">
        <v>593</v>
      </c>
      <c r="I448" s="17" t="s">
        <v>197</v>
      </c>
      <c r="J448" s="17">
        <v>0.0</v>
      </c>
      <c r="K448" s="17">
        <v>0.0</v>
      </c>
      <c r="L448" s="17">
        <v>0.0</v>
      </c>
      <c r="M448" s="17">
        <v>0.0</v>
      </c>
      <c r="N448" s="17">
        <v>0.0</v>
      </c>
      <c r="O448" s="17">
        <v>0.0</v>
      </c>
      <c r="P448" s="17">
        <v>0.0</v>
      </c>
      <c r="Q448" s="17">
        <v>0.0</v>
      </c>
      <c r="R448" s="17">
        <v>0.0</v>
      </c>
      <c r="S448" s="17">
        <v>0.0</v>
      </c>
      <c r="T448" s="17">
        <v>0.0</v>
      </c>
      <c r="U448" s="17">
        <v>0.0</v>
      </c>
    </row>
    <row r="449" ht="23.25" customHeight="1">
      <c r="A449" s="20" t="str">
        <f>IF(COUNTIF('Icon Lookup'!C:C,B449)&gt;0,LOOKUP(B449,'Icon Lookup'!C:C,'Icon Lookup'!B:B),"")</f>
        <v/>
      </c>
      <c r="B449" s="21" t="s">
        <v>410</v>
      </c>
      <c r="C449" s="20"/>
      <c r="D449" s="20">
        <v>41.0</v>
      </c>
      <c r="E449" s="20" t="s">
        <v>411</v>
      </c>
      <c r="G449" s="22"/>
      <c r="H449" s="23" t="s">
        <v>674</v>
      </c>
      <c r="I449" s="20" t="s">
        <v>205</v>
      </c>
      <c r="J449" s="20">
        <v>0.0</v>
      </c>
      <c r="K449" s="20">
        <v>0.0</v>
      </c>
      <c r="L449" s="20">
        <v>0.0</v>
      </c>
      <c r="M449" s="20">
        <v>0.0</v>
      </c>
      <c r="N449" s="20">
        <v>0.0</v>
      </c>
      <c r="O449" s="20">
        <v>0.0</v>
      </c>
      <c r="P449" s="20">
        <v>0.0</v>
      </c>
      <c r="Q449" s="20">
        <v>0.0</v>
      </c>
      <c r="R449" s="20">
        <v>0.0</v>
      </c>
      <c r="S449" s="20">
        <v>0.0</v>
      </c>
      <c r="T449" s="20">
        <v>0.0</v>
      </c>
      <c r="U449" s="20">
        <v>0.0</v>
      </c>
    </row>
    <row r="450" ht="23.25" customHeight="1">
      <c r="A450" s="1"/>
      <c r="B450" s="15" t="s">
        <v>675</v>
      </c>
      <c r="C450" s="1" t="s">
        <v>17</v>
      </c>
      <c r="D450" s="1" t="s">
        <v>676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ht="23.25" customHeight="1">
      <c r="A451" s="17" t="str">
        <f>IF(COUNTIF('Icon Lookup'!C:C,B451)&gt;0,LOOKUP(B451,'Icon Lookup'!C:C,'Icon Lookup'!B:B),"")</f>
        <v/>
      </c>
      <c r="B451" s="18" t="s">
        <v>398</v>
      </c>
      <c r="C451" s="17"/>
      <c r="D451" s="17">
        <v>43.0</v>
      </c>
      <c r="E451" s="17" t="s">
        <v>677</v>
      </c>
      <c r="G451" s="19"/>
      <c r="H451" s="20" t="s">
        <v>667</v>
      </c>
      <c r="I451" s="17" t="s">
        <v>105</v>
      </c>
      <c r="J451" s="17">
        <v>0.0</v>
      </c>
      <c r="K451" s="17">
        <v>0.0</v>
      </c>
      <c r="L451" s="17">
        <v>0.0</v>
      </c>
      <c r="M451" s="17">
        <v>0.0</v>
      </c>
      <c r="N451" s="17">
        <v>0.0</v>
      </c>
      <c r="O451" s="17">
        <v>0.0</v>
      </c>
      <c r="P451" s="17">
        <v>0.0</v>
      </c>
      <c r="Q451" s="17">
        <v>0.0</v>
      </c>
      <c r="R451" s="17">
        <v>0.0</v>
      </c>
      <c r="S451" s="17">
        <v>0.0</v>
      </c>
      <c r="T451" s="17">
        <v>0.0</v>
      </c>
      <c r="U451" s="17">
        <v>0.0</v>
      </c>
    </row>
    <row r="452" ht="23.25" customHeight="1">
      <c r="A452" s="1"/>
      <c r="B452" s="15" t="s">
        <v>678</v>
      </c>
      <c r="C452" s="1" t="s">
        <v>17</v>
      </c>
      <c r="D452" s="1" t="s">
        <v>679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ht="23.25" customHeight="1">
      <c r="A453" s="20" t="str">
        <f>IF(COUNTIF('Icon Lookup'!C:C,B453)&gt;0,LOOKUP(B453,'Icon Lookup'!C:C,'Icon Lookup'!B:B),"")</f>
        <v/>
      </c>
      <c r="B453" s="21" t="s">
        <v>86</v>
      </c>
      <c r="C453" s="20"/>
      <c r="D453" s="20">
        <v>7.0</v>
      </c>
      <c r="E453" s="20" t="s">
        <v>87</v>
      </c>
      <c r="G453" s="22"/>
      <c r="H453" s="23" t="s">
        <v>680</v>
      </c>
      <c r="I453" s="20" t="s">
        <v>73</v>
      </c>
      <c r="J453" s="20">
        <v>0.0</v>
      </c>
      <c r="K453" s="20">
        <v>0.0</v>
      </c>
      <c r="L453" s="20">
        <v>0.0</v>
      </c>
      <c r="M453" s="20">
        <v>0.0</v>
      </c>
      <c r="N453" s="20">
        <v>0.0</v>
      </c>
      <c r="O453" s="20">
        <v>0.0</v>
      </c>
      <c r="P453" s="20">
        <v>0.0</v>
      </c>
      <c r="Q453" s="20">
        <v>0.0</v>
      </c>
      <c r="R453" s="20">
        <v>0.0</v>
      </c>
      <c r="S453" s="20">
        <v>0.0</v>
      </c>
      <c r="T453" s="20">
        <v>0.0</v>
      </c>
      <c r="U453" s="20">
        <v>0.0</v>
      </c>
    </row>
    <row r="454" ht="23.25" customHeight="1">
      <c r="A454" s="17" t="str">
        <f>IF(COUNTIF('Icon Lookup'!C:C,B454)&gt;0,LOOKUP(B454,'Icon Lookup'!C:C,'Icon Lookup'!B:B),"")</f>
        <v/>
      </c>
      <c r="B454" s="18" t="s">
        <v>97</v>
      </c>
      <c r="C454" s="17"/>
      <c r="D454" s="17">
        <v>7.0</v>
      </c>
      <c r="E454" s="17" t="s">
        <v>87</v>
      </c>
      <c r="G454" s="19"/>
      <c r="H454" s="20" t="s">
        <v>99</v>
      </c>
      <c r="I454" s="17" t="s">
        <v>205</v>
      </c>
      <c r="J454" s="17">
        <v>0.0</v>
      </c>
      <c r="K454" s="17">
        <v>0.0</v>
      </c>
      <c r="L454" s="17">
        <v>0.0</v>
      </c>
      <c r="M454" s="17">
        <v>0.0</v>
      </c>
      <c r="N454" s="17">
        <v>0.0</v>
      </c>
      <c r="O454" s="17">
        <v>0.0</v>
      </c>
      <c r="P454" s="17">
        <v>0.0</v>
      </c>
      <c r="Q454" s="17">
        <v>0.0</v>
      </c>
      <c r="R454" s="17">
        <v>0.0</v>
      </c>
      <c r="S454" s="17">
        <v>0.0</v>
      </c>
      <c r="T454" s="17">
        <v>0.0</v>
      </c>
      <c r="U454" s="17">
        <v>0.0</v>
      </c>
    </row>
    <row r="455" ht="23.25" customHeight="1">
      <c r="A455" s="1"/>
      <c r="B455" s="15" t="s">
        <v>681</v>
      </c>
      <c r="C455" s="1" t="s">
        <v>17</v>
      </c>
      <c r="D455" s="1" t="s">
        <v>682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ht="23.25" customHeight="1">
      <c r="A456" s="20" t="str">
        <f>IF(COUNTIF('Icon Lookup'!C:C,B456)&gt;0,LOOKUP(B456,'Icon Lookup'!C:C,'Icon Lookup'!B:B),"")</f>
        <v/>
      </c>
      <c r="B456" s="21" t="s">
        <v>90</v>
      </c>
      <c r="C456" s="20"/>
      <c r="D456" s="20">
        <v>9.0</v>
      </c>
      <c r="E456" s="20" t="s">
        <v>276</v>
      </c>
      <c r="G456" s="22"/>
      <c r="H456" s="23" t="s">
        <v>92</v>
      </c>
      <c r="I456" s="20" t="s">
        <v>46</v>
      </c>
      <c r="J456" s="20">
        <v>0.0</v>
      </c>
      <c r="K456" s="20">
        <v>0.0</v>
      </c>
      <c r="L456" s="20">
        <v>0.0</v>
      </c>
      <c r="M456" s="20">
        <v>0.0</v>
      </c>
      <c r="N456" s="20">
        <v>0.0</v>
      </c>
      <c r="O456" s="20">
        <v>0.0</v>
      </c>
      <c r="P456" s="20">
        <v>0.0</v>
      </c>
      <c r="Q456" s="20">
        <v>0.0</v>
      </c>
      <c r="R456" s="20">
        <v>0.0</v>
      </c>
      <c r="S456" s="20">
        <v>0.0</v>
      </c>
      <c r="T456" s="20">
        <v>0.0</v>
      </c>
      <c r="U456" s="20">
        <v>0.0</v>
      </c>
    </row>
    <row r="457" ht="23.25" customHeight="1">
      <c r="A457" s="1"/>
      <c r="B457" s="15" t="s">
        <v>683</v>
      </c>
      <c r="C457" s="1" t="s">
        <v>17</v>
      </c>
      <c r="D457" s="1" t="s">
        <v>684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ht="23.25" customHeight="1">
      <c r="A458" s="17" t="str">
        <f>IF(COUNTIF('Icon Lookup'!C:C,B458)&gt;0,LOOKUP(B458,'Icon Lookup'!C:C,'Icon Lookup'!B:B),"")</f>
        <v/>
      </c>
      <c r="B458" s="18" t="s">
        <v>60</v>
      </c>
      <c r="C458" s="17"/>
      <c r="D458" s="17">
        <v>9.0</v>
      </c>
      <c r="E458" s="17" t="s">
        <v>61</v>
      </c>
      <c r="G458" s="19"/>
      <c r="H458" s="20" t="s">
        <v>62</v>
      </c>
      <c r="I458" s="17" t="s">
        <v>46</v>
      </c>
      <c r="J458" s="17">
        <v>0.0</v>
      </c>
      <c r="K458" s="17">
        <v>0.0</v>
      </c>
      <c r="L458" s="17">
        <v>0.0</v>
      </c>
      <c r="M458" s="17">
        <v>0.0</v>
      </c>
      <c r="N458" s="17">
        <v>0.0</v>
      </c>
      <c r="O458" s="17">
        <v>0.0</v>
      </c>
      <c r="P458" s="17">
        <v>0.0</v>
      </c>
      <c r="Q458" s="17">
        <v>0.0</v>
      </c>
      <c r="R458" s="17">
        <v>0.0</v>
      </c>
      <c r="S458" s="17">
        <v>0.0</v>
      </c>
      <c r="T458" s="17">
        <v>0.0</v>
      </c>
      <c r="U458" s="17">
        <v>0.0</v>
      </c>
    </row>
    <row r="459" ht="23.25" customHeight="1">
      <c r="A459" s="20" t="str">
        <f>IF(COUNTIF('Icon Lookup'!C:C,B459)&gt;0,LOOKUP(B459,'Icon Lookup'!C:C,'Icon Lookup'!B:B),"")</f>
        <v/>
      </c>
      <c r="B459" s="21" t="s">
        <v>685</v>
      </c>
      <c r="C459" s="20"/>
      <c r="D459" s="20">
        <v>11.0</v>
      </c>
      <c r="E459" s="20" t="s">
        <v>58</v>
      </c>
      <c r="G459" s="22"/>
      <c r="H459" s="23" t="s">
        <v>686</v>
      </c>
      <c r="I459" s="20" t="s">
        <v>46</v>
      </c>
      <c r="J459" s="20">
        <v>0.0</v>
      </c>
      <c r="K459" s="20">
        <v>0.0</v>
      </c>
      <c r="L459" s="20">
        <v>0.0</v>
      </c>
      <c r="M459" s="20">
        <v>0.0</v>
      </c>
      <c r="N459" s="20">
        <v>0.0</v>
      </c>
      <c r="O459" s="20">
        <v>0.0</v>
      </c>
      <c r="P459" s="20">
        <v>0.0</v>
      </c>
      <c r="Q459" s="20">
        <v>0.0</v>
      </c>
      <c r="R459" s="20">
        <v>0.0</v>
      </c>
      <c r="S459" s="20">
        <v>0.0</v>
      </c>
      <c r="T459" s="20">
        <v>0.0</v>
      </c>
      <c r="U459" s="20">
        <v>0.0</v>
      </c>
    </row>
    <row r="460" ht="23.25" customHeight="1">
      <c r="A460" s="17" t="str">
        <f>IF(COUNTIF('Icon Lookup'!C:C,B460)&gt;0,LOOKUP(B460,'Icon Lookup'!C:C,'Icon Lookup'!B:B),"")</f>
        <v/>
      </c>
      <c r="B460" s="18" t="s">
        <v>687</v>
      </c>
      <c r="C460" s="17"/>
      <c r="D460" s="17">
        <v>13.0</v>
      </c>
      <c r="E460" s="17" t="s">
        <v>258</v>
      </c>
      <c r="G460" s="19"/>
      <c r="H460" s="20" t="s">
        <v>688</v>
      </c>
      <c r="I460" s="17" t="s">
        <v>36</v>
      </c>
      <c r="J460" s="17">
        <v>0.0</v>
      </c>
      <c r="K460" s="17">
        <v>0.0</v>
      </c>
      <c r="L460" s="17">
        <v>0.0</v>
      </c>
      <c r="M460" s="17">
        <v>0.0</v>
      </c>
      <c r="N460" s="17">
        <v>0.0</v>
      </c>
      <c r="O460" s="17">
        <v>0.0</v>
      </c>
      <c r="P460" s="17">
        <v>0.0</v>
      </c>
      <c r="Q460" s="17">
        <v>0.0</v>
      </c>
      <c r="R460" s="17">
        <v>0.0</v>
      </c>
      <c r="S460" s="17">
        <v>0.0</v>
      </c>
      <c r="T460" s="17">
        <v>0.0</v>
      </c>
      <c r="U460" s="17">
        <v>0.0</v>
      </c>
    </row>
    <row r="461" ht="23.25" customHeight="1">
      <c r="A461" s="1"/>
      <c r="B461" s="15" t="s">
        <v>689</v>
      </c>
      <c r="C461" s="1" t="s">
        <v>17</v>
      </c>
      <c r="D461" s="1" t="s">
        <v>690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ht="23.25" customHeight="1">
      <c r="A462" s="20" t="str">
        <f>IF(COUNTIF('Icon Lookup'!C:C,B462)&gt;0,LOOKUP(B462,'Icon Lookup'!C:C,'Icon Lookup'!B:B),"")</f>
        <v/>
      </c>
      <c r="B462" s="21" t="s">
        <v>60</v>
      </c>
      <c r="C462" s="20"/>
      <c r="D462" s="20">
        <v>9.0</v>
      </c>
      <c r="E462" s="20" t="s">
        <v>61</v>
      </c>
      <c r="G462" s="22"/>
      <c r="H462" s="23" t="s">
        <v>62</v>
      </c>
      <c r="I462" s="20" t="s">
        <v>46</v>
      </c>
      <c r="J462" s="20">
        <v>0.0</v>
      </c>
      <c r="K462" s="20">
        <v>0.0</v>
      </c>
      <c r="L462" s="20">
        <v>0.0</v>
      </c>
      <c r="M462" s="20">
        <v>0.0</v>
      </c>
      <c r="N462" s="20">
        <v>0.0</v>
      </c>
      <c r="O462" s="20">
        <v>0.0</v>
      </c>
      <c r="P462" s="20">
        <v>0.0</v>
      </c>
      <c r="Q462" s="20">
        <v>0.0</v>
      </c>
      <c r="R462" s="20">
        <v>0.0</v>
      </c>
      <c r="S462" s="20">
        <v>0.0</v>
      </c>
      <c r="T462" s="20">
        <v>0.0</v>
      </c>
      <c r="U462" s="20">
        <v>0.0</v>
      </c>
    </row>
    <row r="463" ht="23.25" customHeight="1">
      <c r="A463" s="17" t="str">
        <f>IF(COUNTIF('Icon Lookup'!C:C,B463)&gt;0,LOOKUP(B463,'Icon Lookup'!C:C,'Icon Lookup'!B:B),"")</f>
        <v/>
      </c>
      <c r="B463" s="18" t="s">
        <v>691</v>
      </c>
      <c r="C463" s="17"/>
      <c r="D463" s="17">
        <v>11.0</v>
      </c>
      <c r="E463" s="17" t="s">
        <v>58</v>
      </c>
      <c r="G463" s="19"/>
      <c r="H463" s="20" t="s">
        <v>686</v>
      </c>
      <c r="I463" s="17" t="s">
        <v>46</v>
      </c>
      <c r="J463" s="17">
        <v>0.0</v>
      </c>
      <c r="K463" s="17">
        <v>0.0</v>
      </c>
      <c r="L463" s="17">
        <v>0.0</v>
      </c>
      <c r="M463" s="17">
        <v>0.0</v>
      </c>
      <c r="N463" s="17">
        <v>0.0</v>
      </c>
      <c r="O463" s="17">
        <v>0.0</v>
      </c>
      <c r="P463" s="17">
        <v>0.0</v>
      </c>
      <c r="Q463" s="17">
        <v>0.0</v>
      </c>
      <c r="R463" s="17">
        <v>0.0</v>
      </c>
      <c r="S463" s="17">
        <v>0.0</v>
      </c>
      <c r="T463" s="17">
        <v>0.0</v>
      </c>
      <c r="U463" s="17">
        <v>0.0</v>
      </c>
    </row>
    <row r="464" ht="23.25" customHeight="1">
      <c r="A464" s="20" t="str">
        <f>IF(COUNTIF('Icon Lookup'!C:C,B464)&gt;0,LOOKUP(B464,'Icon Lookup'!C:C,'Icon Lookup'!B:B),"")</f>
        <v/>
      </c>
      <c r="B464" s="21" t="s">
        <v>293</v>
      </c>
      <c r="C464" s="20"/>
      <c r="D464" s="20">
        <v>13.0</v>
      </c>
      <c r="E464" s="20" t="s">
        <v>61</v>
      </c>
      <c r="G464" s="22"/>
      <c r="H464" s="23" t="s">
        <v>692</v>
      </c>
      <c r="I464" s="20" t="s">
        <v>40</v>
      </c>
      <c r="J464" s="20">
        <v>0.0</v>
      </c>
      <c r="K464" s="20">
        <v>0.0</v>
      </c>
      <c r="L464" s="20">
        <v>0.0</v>
      </c>
      <c r="M464" s="20">
        <v>0.0</v>
      </c>
      <c r="N464" s="20">
        <v>0.0</v>
      </c>
      <c r="O464" s="20">
        <v>0.0</v>
      </c>
      <c r="P464" s="20">
        <v>0.0</v>
      </c>
      <c r="Q464" s="20">
        <v>0.0</v>
      </c>
      <c r="R464" s="20">
        <v>0.0</v>
      </c>
      <c r="S464" s="20">
        <v>0.0</v>
      </c>
      <c r="T464" s="20">
        <v>0.0</v>
      </c>
      <c r="U464" s="20">
        <v>0.0</v>
      </c>
    </row>
    <row r="465" ht="23.25" customHeight="1">
      <c r="A465" s="1"/>
      <c r="B465" s="15" t="s">
        <v>693</v>
      </c>
      <c r="C465" s="1" t="s">
        <v>17</v>
      </c>
      <c r="D465" s="1" t="s">
        <v>694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ht="23.25" customHeight="1">
      <c r="A466" s="17" t="str">
        <f>IF(COUNTIF('Icon Lookup'!C:C,B466)&gt;0,LOOKUP(B466,'Icon Lookup'!C:C,'Icon Lookup'!B:B),"")</f>
        <v/>
      </c>
      <c r="B466" s="18" t="s">
        <v>695</v>
      </c>
      <c r="C466" s="17"/>
      <c r="D466" s="17">
        <v>12.0</v>
      </c>
      <c r="E466" s="17" t="s">
        <v>58</v>
      </c>
      <c r="G466" s="19"/>
      <c r="H466" s="20" t="s">
        <v>696</v>
      </c>
      <c r="I466" s="17" t="s">
        <v>36</v>
      </c>
      <c r="J466" s="17">
        <v>0.0</v>
      </c>
      <c r="K466" s="17">
        <v>0.0</v>
      </c>
      <c r="L466" s="17">
        <v>0.0</v>
      </c>
      <c r="M466" s="17">
        <v>0.0</v>
      </c>
      <c r="N466" s="17">
        <v>0.0</v>
      </c>
      <c r="O466" s="17">
        <v>0.0</v>
      </c>
      <c r="P466" s="17">
        <v>0.0</v>
      </c>
      <c r="Q466" s="17">
        <v>0.0</v>
      </c>
      <c r="R466" s="17">
        <v>0.0</v>
      </c>
      <c r="S466" s="17">
        <v>0.0</v>
      </c>
      <c r="T466" s="17">
        <v>0.0</v>
      </c>
      <c r="U466" s="17">
        <v>0.0</v>
      </c>
    </row>
    <row r="467" ht="23.25" customHeight="1">
      <c r="A467" s="20" t="str">
        <f>IF(COUNTIF('Icon Lookup'!C:C,B467)&gt;0,LOOKUP(B467,'Icon Lookup'!C:C,'Icon Lookup'!B:B),"")</f>
        <v/>
      </c>
      <c r="B467" s="21" t="s">
        <v>697</v>
      </c>
      <c r="C467" s="20"/>
      <c r="D467" s="20">
        <v>12.0</v>
      </c>
      <c r="E467" s="20" t="s">
        <v>258</v>
      </c>
      <c r="G467" s="22"/>
      <c r="H467" s="23" t="s">
        <v>698</v>
      </c>
      <c r="I467" s="20" t="s">
        <v>36</v>
      </c>
      <c r="J467" s="20">
        <v>0.0</v>
      </c>
      <c r="K467" s="20">
        <v>0.0</v>
      </c>
      <c r="L467" s="20">
        <v>0.0</v>
      </c>
      <c r="M467" s="20">
        <v>0.0</v>
      </c>
      <c r="N467" s="20">
        <v>0.0</v>
      </c>
      <c r="O467" s="20">
        <v>0.0</v>
      </c>
      <c r="P467" s="20">
        <v>0.0</v>
      </c>
      <c r="Q467" s="20">
        <v>0.0</v>
      </c>
      <c r="R467" s="20">
        <v>0.0</v>
      </c>
      <c r="S467" s="20">
        <v>0.0</v>
      </c>
      <c r="T467" s="20">
        <v>0.0</v>
      </c>
      <c r="U467" s="20">
        <v>0.0</v>
      </c>
    </row>
    <row r="468" ht="23.25" customHeight="1">
      <c r="A468" s="1"/>
      <c r="B468" s="15" t="s">
        <v>699</v>
      </c>
      <c r="C468" s="1" t="s">
        <v>17</v>
      </c>
      <c r="D468" s="1" t="s">
        <v>700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ht="23.25" customHeight="1">
      <c r="A469" s="17" t="str">
        <f>IF(COUNTIF('Icon Lookup'!C:C,B469)&gt;0,LOOKUP(B469,'Icon Lookup'!C:C,'Icon Lookup'!B:B),"")</f>
        <v/>
      </c>
      <c r="B469" s="18" t="s">
        <v>70</v>
      </c>
      <c r="C469" s="17"/>
      <c r="D469" s="17">
        <v>14.0</v>
      </c>
      <c r="E469" s="17" t="s">
        <v>71</v>
      </c>
      <c r="G469" s="19"/>
      <c r="H469" s="20" t="s">
        <v>701</v>
      </c>
      <c r="I469" s="17" t="s">
        <v>73</v>
      </c>
      <c r="J469" s="17">
        <v>0.0</v>
      </c>
      <c r="K469" s="17">
        <v>0.0</v>
      </c>
      <c r="L469" s="17">
        <v>0.0</v>
      </c>
      <c r="M469" s="17">
        <v>0.0</v>
      </c>
      <c r="N469" s="17">
        <v>0.0</v>
      </c>
      <c r="O469" s="17">
        <v>0.0</v>
      </c>
      <c r="P469" s="17">
        <v>0.0</v>
      </c>
      <c r="Q469" s="17">
        <v>0.0</v>
      </c>
      <c r="R469" s="17">
        <v>0.0</v>
      </c>
      <c r="S469" s="17">
        <v>0.0</v>
      </c>
      <c r="T469" s="17">
        <v>0.0</v>
      </c>
      <c r="U469" s="17">
        <v>0.0</v>
      </c>
    </row>
    <row r="470" ht="23.25" customHeight="1">
      <c r="A470" s="1"/>
      <c r="B470" s="15" t="s">
        <v>702</v>
      </c>
      <c r="C470" s="1" t="s">
        <v>17</v>
      </c>
      <c r="D470" s="1" t="s">
        <v>703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ht="23.25" customHeight="1">
      <c r="A471" s="20" t="str">
        <f>IF(COUNTIF('Icon Lookup'!C:C,B471)&gt;0,LOOKUP(B471,'Icon Lookup'!C:C,'Icon Lookup'!B:B),"")</f>
        <v/>
      </c>
      <c r="B471" s="21" t="s">
        <v>704</v>
      </c>
      <c r="C471" s="20"/>
      <c r="D471" s="20">
        <v>15.0</v>
      </c>
      <c r="E471" s="20" t="s">
        <v>387</v>
      </c>
      <c r="G471" s="22"/>
      <c r="H471" s="23" t="s">
        <v>705</v>
      </c>
      <c r="I471" s="20" t="s">
        <v>156</v>
      </c>
      <c r="J471" s="20">
        <v>0.0</v>
      </c>
      <c r="K471" s="20">
        <v>0.0</v>
      </c>
      <c r="L471" s="20">
        <v>0.0</v>
      </c>
      <c r="M471" s="20">
        <v>0.0</v>
      </c>
      <c r="N471" s="20">
        <v>0.0</v>
      </c>
      <c r="O471" s="20">
        <v>0.0</v>
      </c>
      <c r="P471" s="20">
        <v>0.0</v>
      </c>
      <c r="Q471" s="20">
        <v>0.0</v>
      </c>
      <c r="R471" s="20">
        <v>0.0</v>
      </c>
      <c r="S471" s="20">
        <v>0.0</v>
      </c>
      <c r="T471" s="20">
        <v>0.0</v>
      </c>
      <c r="U471" s="20">
        <v>0.0</v>
      </c>
    </row>
    <row r="472" ht="23.25" customHeight="1">
      <c r="A472" s="1"/>
      <c r="B472" s="15" t="s">
        <v>706</v>
      </c>
      <c r="C472" s="1" t="s">
        <v>17</v>
      </c>
      <c r="D472" s="1" t="s">
        <v>707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ht="23.25" customHeight="1">
      <c r="A473" s="17" t="str">
        <f>IF(COUNTIF('Icon Lookup'!C:C,B473)&gt;0,LOOKUP(B473,'Icon Lookup'!C:C,'Icon Lookup'!B:B),"")</f>
        <v/>
      </c>
      <c r="B473" s="18" t="s">
        <v>704</v>
      </c>
      <c r="C473" s="17"/>
      <c r="D473" s="17">
        <v>15.0</v>
      </c>
      <c r="E473" s="17" t="s">
        <v>387</v>
      </c>
      <c r="G473" s="19"/>
      <c r="H473" s="20" t="s">
        <v>705</v>
      </c>
      <c r="I473" s="17" t="s">
        <v>105</v>
      </c>
      <c r="J473" s="17">
        <v>0.0</v>
      </c>
      <c r="K473" s="17">
        <v>0.0</v>
      </c>
      <c r="L473" s="17">
        <v>0.0</v>
      </c>
      <c r="M473" s="17">
        <v>0.0</v>
      </c>
      <c r="N473" s="17">
        <v>0.0</v>
      </c>
      <c r="O473" s="17">
        <v>0.0</v>
      </c>
      <c r="P473" s="17">
        <v>0.0</v>
      </c>
      <c r="Q473" s="17">
        <v>0.0</v>
      </c>
      <c r="R473" s="17">
        <v>0.0</v>
      </c>
      <c r="S473" s="17">
        <v>0.0</v>
      </c>
      <c r="T473" s="17">
        <v>0.0</v>
      </c>
      <c r="U473" s="17">
        <v>0.0</v>
      </c>
    </row>
    <row r="474" ht="23.25" customHeight="1">
      <c r="A474" s="1"/>
      <c r="B474" s="15" t="s">
        <v>708</v>
      </c>
      <c r="C474" s="1" t="s">
        <v>17</v>
      </c>
      <c r="D474" s="1" t="s">
        <v>709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ht="23.25" customHeight="1">
      <c r="A475" s="20" t="str">
        <f>IF(COUNTIF('Icon Lookup'!C:C,B475)&gt;0,LOOKUP(B475,'Icon Lookup'!C:C,'Icon Lookup'!B:B),"")</f>
        <v/>
      </c>
      <c r="B475" s="21" t="s">
        <v>710</v>
      </c>
      <c r="C475" s="20"/>
      <c r="D475" s="20">
        <v>45.0</v>
      </c>
      <c r="E475" s="20" t="s">
        <v>121</v>
      </c>
      <c r="G475" s="22"/>
      <c r="H475" s="23" t="s">
        <v>711</v>
      </c>
      <c r="I475" s="20" t="s">
        <v>156</v>
      </c>
      <c r="J475" s="20">
        <v>0.0</v>
      </c>
      <c r="K475" s="20">
        <v>0.0</v>
      </c>
      <c r="L475" s="20">
        <v>0.0</v>
      </c>
      <c r="M475" s="20">
        <v>0.0</v>
      </c>
      <c r="N475" s="20">
        <v>0.0</v>
      </c>
      <c r="O475" s="20">
        <v>0.0</v>
      </c>
      <c r="P475" s="20">
        <v>0.0</v>
      </c>
      <c r="Q475" s="20">
        <v>0.0</v>
      </c>
      <c r="R475" s="20">
        <v>0.0</v>
      </c>
      <c r="S475" s="20">
        <v>0.0</v>
      </c>
      <c r="T475" s="20">
        <v>0.0</v>
      </c>
      <c r="U475" s="20">
        <v>0.0</v>
      </c>
    </row>
    <row r="476" ht="23.25" customHeight="1">
      <c r="A476" s="17" t="str">
        <f>IF(COUNTIF('Icon Lookup'!C:C,B476)&gt;0,LOOKUP(B476,'Icon Lookup'!C:C,'Icon Lookup'!B:B),"")</f>
        <v/>
      </c>
      <c r="B476" s="18" t="s">
        <v>712</v>
      </c>
      <c r="C476" s="17"/>
      <c r="D476" s="17">
        <v>45.0</v>
      </c>
      <c r="E476" s="17" t="s">
        <v>161</v>
      </c>
      <c r="G476" s="19"/>
      <c r="H476" s="20" t="s">
        <v>713</v>
      </c>
      <c r="I476" s="17" t="s">
        <v>94</v>
      </c>
      <c r="J476" s="17">
        <v>0.0</v>
      </c>
      <c r="K476" s="17">
        <v>0.0</v>
      </c>
      <c r="L476" s="17">
        <v>0.0</v>
      </c>
      <c r="M476" s="17">
        <v>0.0</v>
      </c>
      <c r="N476" s="17">
        <v>0.0</v>
      </c>
      <c r="O476" s="17">
        <v>0.0</v>
      </c>
      <c r="P476" s="17">
        <v>0.0</v>
      </c>
      <c r="Q476" s="17">
        <v>0.0</v>
      </c>
      <c r="R476" s="17">
        <v>0.0</v>
      </c>
      <c r="S476" s="17">
        <v>0.0</v>
      </c>
      <c r="T476" s="17">
        <v>0.0</v>
      </c>
      <c r="U476" s="17">
        <v>0.0</v>
      </c>
    </row>
    <row r="477" ht="23.25" customHeight="1">
      <c r="A477" s="20" t="str">
        <f>IF(COUNTIF('Icon Lookup'!C:C,B477)&gt;0,LOOKUP(B477,'Icon Lookup'!C:C,'Icon Lookup'!B:B),"")</f>
        <v/>
      </c>
      <c r="B477" s="21" t="s">
        <v>714</v>
      </c>
      <c r="C477" s="20"/>
      <c r="D477" s="20">
        <v>48.0</v>
      </c>
      <c r="E477" s="20" t="s">
        <v>434</v>
      </c>
      <c r="G477" s="22"/>
      <c r="H477" s="23" t="s">
        <v>715</v>
      </c>
      <c r="I477" s="20" t="s">
        <v>89</v>
      </c>
      <c r="J477" s="20">
        <v>0.0</v>
      </c>
      <c r="K477" s="20">
        <v>0.0</v>
      </c>
      <c r="L477" s="20">
        <v>0.0</v>
      </c>
      <c r="M477" s="20">
        <v>0.0</v>
      </c>
      <c r="N477" s="20">
        <v>0.0</v>
      </c>
      <c r="O477" s="20">
        <v>0.0</v>
      </c>
      <c r="P477" s="20">
        <v>0.0</v>
      </c>
      <c r="Q477" s="20">
        <v>0.0</v>
      </c>
      <c r="R477" s="20">
        <v>0.0</v>
      </c>
      <c r="S477" s="20">
        <v>0.0</v>
      </c>
      <c r="T477" s="20">
        <v>0.0</v>
      </c>
      <c r="U477" s="20">
        <v>0.0</v>
      </c>
    </row>
    <row r="478" ht="23.25" customHeight="1">
      <c r="A478" s="1"/>
      <c r="B478" s="15" t="s">
        <v>716</v>
      </c>
      <c r="C478" s="1" t="s">
        <v>17</v>
      </c>
      <c r="D478" s="1" t="s">
        <v>717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ht="23.25" customHeight="1">
      <c r="A479" s="17" t="str">
        <f>IF(COUNTIF('Icon Lookup'!C:C,B479)&gt;0,LOOKUP(B479,'Icon Lookup'!C:C,'Icon Lookup'!B:B),"")</f>
        <v/>
      </c>
      <c r="B479" s="18" t="s">
        <v>718</v>
      </c>
      <c r="C479" s="17"/>
      <c r="D479" s="17">
        <v>49.0</v>
      </c>
      <c r="E479" s="17" t="s">
        <v>719</v>
      </c>
      <c r="G479" s="19"/>
      <c r="H479" s="20" t="s">
        <v>720</v>
      </c>
      <c r="I479" s="17" t="s">
        <v>94</v>
      </c>
      <c r="J479" s="17">
        <v>0.0</v>
      </c>
      <c r="K479" s="17">
        <v>0.0</v>
      </c>
      <c r="L479" s="17">
        <v>0.0</v>
      </c>
      <c r="M479" s="17">
        <v>0.0</v>
      </c>
      <c r="N479" s="17">
        <v>0.0</v>
      </c>
      <c r="O479" s="17">
        <v>0.0</v>
      </c>
      <c r="P479" s="17">
        <v>0.0</v>
      </c>
      <c r="Q479" s="17">
        <v>0.0</v>
      </c>
      <c r="R479" s="17">
        <v>0.0</v>
      </c>
      <c r="S479" s="17">
        <v>0.0</v>
      </c>
      <c r="T479" s="17">
        <v>0.0</v>
      </c>
      <c r="U479" s="17">
        <v>0.0</v>
      </c>
    </row>
    <row r="480" ht="23.25" customHeight="1">
      <c r="A480" s="1"/>
      <c r="B480" s="15" t="s">
        <v>721</v>
      </c>
      <c r="C480" s="1" t="s">
        <v>17</v>
      </c>
      <c r="D480" s="1" t="s">
        <v>722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ht="23.25" customHeight="1">
      <c r="A481" s="20" t="str">
        <f>IF(COUNTIF('Icon Lookup'!C:C,B481)&gt;0,LOOKUP(B481,'Icon Lookup'!C:C,'Icon Lookup'!B:B),"")</f>
        <v/>
      </c>
      <c r="B481" s="21" t="s">
        <v>398</v>
      </c>
      <c r="C481" s="20"/>
      <c r="D481" s="20">
        <v>46.0</v>
      </c>
      <c r="E481" s="20" t="s">
        <v>677</v>
      </c>
      <c r="G481" s="22"/>
      <c r="H481" s="23" t="s">
        <v>723</v>
      </c>
      <c r="I481" s="20" t="s">
        <v>105</v>
      </c>
      <c r="J481" s="20">
        <v>0.0</v>
      </c>
      <c r="K481" s="20">
        <v>0.0</v>
      </c>
      <c r="L481" s="20">
        <v>0.0</v>
      </c>
      <c r="M481" s="20">
        <v>0.0</v>
      </c>
      <c r="N481" s="20">
        <v>0.0</v>
      </c>
      <c r="O481" s="20">
        <v>0.0</v>
      </c>
      <c r="P481" s="20">
        <v>0.0</v>
      </c>
      <c r="Q481" s="20">
        <v>0.0</v>
      </c>
      <c r="R481" s="20">
        <v>0.0</v>
      </c>
      <c r="S481" s="20">
        <v>0.0</v>
      </c>
      <c r="T481" s="20">
        <v>0.0</v>
      </c>
      <c r="U481" s="20">
        <v>0.0</v>
      </c>
    </row>
    <row r="482" ht="23.25" customHeight="1">
      <c r="A482" s="17" t="str">
        <f>IF(COUNTIF('Icon Lookup'!C:C,B482)&gt;0,LOOKUP(B482,'Icon Lookup'!C:C,'Icon Lookup'!B:B),"")</f>
        <v/>
      </c>
      <c r="B482" s="18" t="s">
        <v>724</v>
      </c>
      <c r="C482" s="17"/>
      <c r="D482" s="17">
        <v>48.0</v>
      </c>
      <c r="E482" s="17" t="s">
        <v>240</v>
      </c>
      <c r="G482" s="19"/>
      <c r="H482" s="20" t="s">
        <v>725</v>
      </c>
      <c r="I482" s="17" t="s">
        <v>105</v>
      </c>
      <c r="J482" s="17">
        <v>0.0</v>
      </c>
      <c r="K482" s="17">
        <v>0.0</v>
      </c>
      <c r="L482" s="17">
        <v>0.0</v>
      </c>
      <c r="M482" s="17">
        <v>0.0</v>
      </c>
      <c r="N482" s="17">
        <v>0.0</v>
      </c>
      <c r="O482" s="17">
        <v>0.0</v>
      </c>
      <c r="P482" s="17">
        <v>0.0</v>
      </c>
      <c r="Q482" s="17">
        <v>0.0</v>
      </c>
      <c r="R482" s="17">
        <v>0.0</v>
      </c>
      <c r="S482" s="17">
        <v>0.0</v>
      </c>
      <c r="T482" s="17">
        <v>0.0</v>
      </c>
      <c r="U482" s="17">
        <v>0.0</v>
      </c>
    </row>
    <row r="483" ht="23.25" customHeight="1">
      <c r="A483" s="1"/>
      <c r="B483" s="15" t="s">
        <v>726</v>
      </c>
      <c r="C483" s="1" t="s">
        <v>17</v>
      </c>
      <c r="D483" s="1" t="s">
        <v>727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ht="23.25" customHeight="1">
      <c r="A484" s="20" t="str">
        <f>IF(COUNTIF('Icon Lookup'!C:C,B484)&gt;0,LOOKUP(B484,'Icon Lookup'!C:C,'Icon Lookup'!B:B),"")</f>
        <v/>
      </c>
      <c r="B484" s="21" t="s">
        <v>728</v>
      </c>
      <c r="C484" s="20"/>
      <c r="D484" s="20">
        <v>46.0</v>
      </c>
      <c r="E484" s="20" t="s">
        <v>218</v>
      </c>
      <c r="G484" s="22"/>
      <c r="H484" s="23" t="s">
        <v>729</v>
      </c>
      <c r="I484" s="20" t="s">
        <v>105</v>
      </c>
      <c r="J484" s="20">
        <v>0.0</v>
      </c>
      <c r="K484" s="20">
        <v>0.0</v>
      </c>
      <c r="L484" s="20">
        <v>0.0</v>
      </c>
      <c r="M484" s="20">
        <v>0.0</v>
      </c>
      <c r="N484" s="20">
        <v>0.0</v>
      </c>
      <c r="O484" s="20">
        <v>0.0</v>
      </c>
      <c r="P484" s="20">
        <v>0.0</v>
      </c>
      <c r="Q484" s="20">
        <v>0.0</v>
      </c>
      <c r="R484" s="20">
        <v>0.0</v>
      </c>
      <c r="S484" s="20">
        <v>0.0</v>
      </c>
      <c r="T484" s="20">
        <v>0.0</v>
      </c>
      <c r="U484" s="20">
        <v>0.0</v>
      </c>
    </row>
    <row r="485" ht="23.25" customHeight="1">
      <c r="A485" s="17" t="str">
        <f>IF(COUNTIF('Icon Lookup'!C:C,B485)&gt;0,LOOKUP(B485,'Icon Lookup'!C:C,'Icon Lookup'!B:B),"")</f>
        <v/>
      </c>
      <c r="B485" s="18" t="s">
        <v>730</v>
      </c>
      <c r="C485" s="17"/>
      <c r="D485" s="17">
        <v>48.0</v>
      </c>
      <c r="E485" s="17" t="s">
        <v>267</v>
      </c>
      <c r="G485" s="19"/>
      <c r="H485" s="20" t="s">
        <v>731</v>
      </c>
      <c r="I485" s="17" t="s">
        <v>211</v>
      </c>
      <c r="J485" s="17">
        <v>0.0</v>
      </c>
      <c r="K485" s="17">
        <v>0.0</v>
      </c>
      <c r="L485" s="17">
        <v>0.0</v>
      </c>
      <c r="M485" s="17">
        <v>0.0</v>
      </c>
      <c r="N485" s="17">
        <v>0.0</v>
      </c>
      <c r="O485" s="17">
        <v>0.0</v>
      </c>
      <c r="P485" s="17">
        <v>0.0</v>
      </c>
      <c r="Q485" s="17">
        <v>0.0</v>
      </c>
      <c r="R485" s="17">
        <v>0.0</v>
      </c>
      <c r="S485" s="17">
        <v>0.0</v>
      </c>
      <c r="T485" s="17">
        <v>0.0</v>
      </c>
      <c r="U485" s="17">
        <v>0.0</v>
      </c>
    </row>
    <row r="486" ht="23.25" customHeight="1">
      <c r="A486" s="1"/>
      <c r="B486" s="15" t="s">
        <v>732</v>
      </c>
      <c r="C486" s="1" t="s">
        <v>17</v>
      </c>
      <c r="D486" s="1" t="s">
        <v>733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ht="23.25" customHeight="1">
      <c r="A487" s="20" t="str">
        <f>IF(COUNTIF('Icon Lookup'!C:C,B487)&gt;0,LOOKUP(B487,'Icon Lookup'!C:C,'Icon Lookup'!B:B),"")</f>
        <v/>
      </c>
      <c r="B487" s="21" t="s">
        <v>628</v>
      </c>
      <c r="C487" s="20"/>
      <c r="D487" s="20">
        <v>45.0</v>
      </c>
      <c r="E487" s="20" t="s">
        <v>560</v>
      </c>
      <c r="G487" s="22"/>
      <c r="H487" s="23" t="s">
        <v>734</v>
      </c>
      <c r="I487" s="20" t="s">
        <v>156</v>
      </c>
      <c r="J487" s="20">
        <v>0.0</v>
      </c>
      <c r="K487" s="20">
        <v>0.0</v>
      </c>
      <c r="L487" s="20">
        <v>0.0</v>
      </c>
      <c r="M487" s="20">
        <v>0.0</v>
      </c>
      <c r="N487" s="20">
        <v>0.0</v>
      </c>
      <c r="O487" s="20">
        <v>0.0</v>
      </c>
      <c r="P487" s="20">
        <v>0.0</v>
      </c>
      <c r="Q487" s="20">
        <v>0.0</v>
      </c>
      <c r="R487" s="20">
        <v>0.0</v>
      </c>
      <c r="S487" s="20">
        <v>0.0</v>
      </c>
      <c r="T487" s="20">
        <v>0.0</v>
      </c>
      <c r="U487" s="20">
        <v>0.0</v>
      </c>
    </row>
    <row r="488" ht="23.25" customHeight="1">
      <c r="A488" s="17" t="str">
        <f>IF(COUNTIF('Icon Lookup'!C:C,B488)&gt;0,LOOKUP(B488,'Icon Lookup'!C:C,'Icon Lookup'!B:B),"")</f>
        <v/>
      </c>
      <c r="B488" s="18" t="s">
        <v>735</v>
      </c>
      <c r="C488" s="17"/>
      <c r="D488" s="17">
        <v>45.0</v>
      </c>
      <c r="E488" s="17" t="s">
        <v>98</v>
      </c>
      <c r="G488" s="19"/>
      <c r="H488" s="20" t="s">
        <v>736</v>
      </c>
      <c r="I488" s="17" t="s">
        <v>89</v>
      </c>
      <c r="J488" s="17">
        <v>0.0</v>
      </c>
      <c r="K488" s="17">
        <v>0.0</v>
      </c>
      <c r="L488" s="17">
        <v>0.0</v>
      </c>
      <c r="M488" s="17">
        <v>0.0</v>
      </c>
      <c r="N488" s="17">
        <v>0.0</v>
      </c>
      <c r="O488" s="17">
        <v>0.0</v>
      </c>
      <c r="P488" s="17">
        <v>0.0</v>
      </c>
      <c r="Q488" s="17">
        <v>0.0</v>
      </c>
      <c r="R488" s="17">
        <v>0.0</v>
      </c>
      <c r="S488" s="17">
        <v>0.0</v>
      </c>
      <c r="T488" s="17">
        <v>0.0</v>
      </c>
      <c r="U488" s="17">
        <v>0.0</v>
      </c>
    </row>
    <row r="489" ht="23.25" customHeight="1">
      <c r="A489" s="20" t="str">
        <f>IF(COUNTIF('Icon Lookup'!C:C,B489)&gt;0,LOOKUP(B489,'Icon Lookup'!C:C,'Icon Lookup'!B:B),"")</f>
        <v/>
      </c>
      <c r="B489" s="21" t="s">
        <v>737</v>
      </c>
      <c r="C489" s="20"/>
      <c r="D489" s="20">
        <v>48.0</v>
      </c>
      <c r="E489" s="20" t="s">
        <v>374</v>
      </c>
      <c r="G489" s="22"/>
      <c r="H489" s="23" t="s">
        <v>738</v>
      </c>
      <c r="I489" s="20" t="s">
        <v>156</v>
      </c>
      <c r="J489" s="20">
        <v>0.0</v>
      </c>
      <c r="K489" s="20">
        <v>0.0</v>
      </c>
      <c r="L489" s="20">
        <v>0.0</v>
      </c>
      <c r="M489" s="20">
        <v>0.0</v>
      </c>
      <c r="N489" s="20">
        <v>0.0</v>
      </c>
      <c r="O489" s="20">
        <v>0.0</v>
      </c>
      <c r="P489" s="20">
        <v>0.0</v>
      </c>
      <c r="Q489" s="20">
        <v>0.0</v>
      </c>
      <c r="R489" s="20">
        <v>0.0</v>
      </c>
      <c r="S489" s="20">
        <v>0.0</v>
      </c>
      <c r="T489" s="20">
        <v>0.0</v>
      </c>
      <c r="U489" s="20">
        <v>0.0</v>
      </c>
    </row>
    <row r="490" ht="23.25" customHeight="1">
      <c r="A490" s="1"/>
      <c r="B490" s="15" t="s">
        <v>739</v>
      </c>
      <c r="C490" s="1" t="s">
        <v>17</v>
      </c>
      <c r="D490" s="1" t="s">
        <v>740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ht="23.25" customHeight="1">
      <c r="A491" s="17" t="str">
        <f>IF(COUNTIF('Icon Lookup'!C:C,B491)&gt;0,LOOKUP(B491,'Icon Lookup'!C:C,'Icon Lookup'!B:B),"")</f>
        <v/>
      </c>
      <c r="B491" s="18" t="s">
        <v>741</v>
      </c>
      <c r="C491" s="17"/>
      <c r="D491" s="17">
        <v>47.0</v>
      </c>
      <c r="E491" s="17" t="s">
        <v>26</v>
      </c>
      <c r="G491" s="19"/>
      <c r="H491" s="20" t="s">
        <v>742</v>
      </c>
      <c r="I491" s="17" t="s">
        <v>89</v>
      </c>
      <c r="J491" s="17">
        <v>0.0</v>
      </c>
      <c r="K491" s="17">
        <v>0.0</v>
      </c>
      <c r="L491" s="17">
        <v>0.0</v>
      </c>
      <c r="M491" s="17">
        <v>0.0</v>
      </c>
      <c r="N491" s="17">
        <v>0.0</v>
      </c>
      <c r="O491" s="17">
        <v>0.0</v>
      </c>
      <c r="P491" s="17">
        <v>0.0</v>
      </c>
      <c r="Q491" s="17">
        <v>0.0</v>
      </c>
      <c r="R491" s="17">
        <v>0.0</v>
      </c>
      <c r="S491" s="17">
        <v>0.0</v>
      </c>
      <c r="T491" s="17">
        <v>0.0</v>
      </c>
      <c r="U491" s="17">
        <v>0.0</v>
      </c>
    </row>
    <row r="492" ht="23.25" customHeight="1">
      <c r="A492" s="20" t="str">
        <f>IF(COUNTIF('Icon Lookup'!C:C,B492)&gt;0,LOOKUP(B492,'Icon Lookup'!C:C,'Icon Lookup'!B:B),"")</f>
        <v/>
      </c>
      <c r="B492" s="21" t="s">
        <v>743</v>
      </c>
      <c r="C492" s="20"/>
      <c r="D492" s="20">
        <v>47.0</v>
      </c>
      <c r="E492" s="20" t="s">
        <v>511</v>
      </c>
      <c r="G492" s="22"/>
      <c r="H492" s="23" t="s">
        <v>744</v>
      </c>
      <c r="I492" s="20" t="s">
        <v>89</v>
      </c>
      <c r="J492" s="20">
        <v>0.0</v>
      </c>
      <c r="K492" s="20">
        <v>0.0</v>
      </c>
      <c r="L492" s="20">
        <v>0.0</v>
      </c>
      <c r="M492" s="20">
        <v>0.0</v>
      </c>
      <c r="N492" s="20">
        <v>0.0</v>
      </c>
      <c r="O492" s="20">
        <v>0.0</v>
      </c>
      <c r="P492" s="20">
        <v>0.0</v>
      </c>
      <c r="Q492" s="20">
        <v>0.0</v>
      </c>
      <c r="R492" s="20">
        <v>0.0</v>
      </c>
      <c r="S492" s="20">
        <v>0.0</v>
      </c>
      <c r="T492" s="20">
        <v>0.0</v>
      </c>
      <c r="U492" s="20">
        <v>0.0</v>
      </c>
    </row>
    <row r="493" ht="23.25" customHeight="1">
      <c r="A493" s="1"/>
      <c r="B493" s="15" t="s">
        <v>745</v>
      </c>
      <c r="C493" s="1" t="s">
        <v>17</v>
      </c>
      <c r="D493" s="1" t="s">
        <v>746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ht="23.25" customHeight="1">
      <c r="A494" s="17" t="str">
        <f>IF(COUNTIF('Icon Lookup'!C:C,B494)&gt;0,LOOKUP(B494,'Icon Lookup'!C:C,'Icon Lookup'!B:B),"")</f>
        <v/>
      </c>
      <c r="B494" s="18" t="s">
        <v>747</v>
      </c>
      <c r="C494" s="17"/>
      <c r="D494" s="17">
        <v>49.0</v>
      </c>
      <c r="E494" s="17" t="s">
        <v>298</v>
      </c>
      <c r="G494" s="19"/>
      <c r="H494" s="20" t="s">
        <v>748</v>
      </c>
      <c r="I494" s="17" t="s">
        <v>89</v>
      </c>
      <c r="J494" s="17">
        <v>0.0</v>
      </c>
      <c r="K494" s="17">
        <v>0.0</v>
      </c>
      <c r="L494" s="17">
        <v>0.0</v>
      </c>
      <c r="M494" s="17">
        <v>0.0</v>
      </c>
      <c r="N494" s="17">
        <v>0.0</v>
      </c>
      <c r="O494" s="17">
        <v>0.0</v>
      </c>
      <c r="P494" s="17">
        <v>0.0</v>
      </c>
      <c r="Q494" s="17">
        <v>0.0</v>
      </c>
      <c r="R494" s="17">
        <v>0.0</v>
      </c>
      <c r="S494" s="17">
        <v>0.0</v>
      </c>
      <c r="T494" s="17">
        <v>0.0</v>
      </c>
      <c r="U494" s="17">
        <v>0.0</v>
      </c>
    </row>
    <row r="495" ht="23.25" customHeight="1">
      <c r="A495" s="1"/>
      <c r="B495" s="15" t="s">
        <v>749</v>
      </c>
      <c r="C495" s="1" t="s">
        <v>17</v>
      </c>
      <c r="D495" s="1" t="s">
        <v>750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ht="23.25" customHeight="1">
      <c r="A496" s="20" t="str">
        <f>IF(COUNTIF('Icon Lookup'!C:C,B496)&gt;0,LOOKUP(B496,'Icon Lookup'!C:C,'Icon Lookup'!B:B),"")</f>
        <v/>
      </c>
      <c r="B496" s="21" t="s">
        <v>297</v>
      </c>
      <c r="C496" s="20"/>
      <c r="D496" s="20">
        <v>46.0</v>
      </c>
      <c r="E496" s="20" t="s">
        <v>298</v>
      </c>
      <c r="G496" s="22"/>
      <c r="H496" s="23" t="s">
        <v>751</v>
      </c>
      <c r="I496" s="20" t="s">
        <v>94</v>
      </c>
      <c r="J496" s="20">
        <v>0.0</v>
      </c>
      <c r="K496" s="20">
        <v>0.0</v>
      </c>
      <c r="L496" s="20">
        <v>0.0</v>
      </c>
      <c r="M496" s="20">
        <v>0.0</v>
      </c>
      <c r="N496" s="20">
        <v>0.0</v>
      </c>
      <c r="O496" s="20">
        <v>0.0</v>
      </c>
      <c r="P496" s="20">
        <v>0.0</v>
      </c>
      <c r="Q496" s="20">
        <v>0.0</v>
      </c>
      <c r="R496" s="20">
        <v>0.0</v>
      </c>
      <c r="S496" s="20">
        <v>0.0</v>
      </c>
      <c r="T496" s="20">
        <v>0.0</v>
      </c>
      <c r="U496" s="20">
        <v>0.0</v>
      </c>
    </row>
    <row r="497" ht="23.25" customHeight="1">
      <c r="A497" s="17" t="str">
        <f>IF(COUNTIF('Icon Lookup'!C:C,B497)&gt;0,LOOKUP(B497,'Icon Lookup'!C:C,'Icon Lookup'!B:B),"")</f>
        <v/>
      </c>
      <c r="B497" s="18" t="s">
        <v>190</v>
      </c>
      <c r="C497" s="17"/>
      <c r="D497" s="17">
        <v>49.0</v>
      </c>
      <c r="E497" s="17" t="s">
        <v>26</v>
      </c>
      <c r="G497" s="19"/>
      <c r="H497" s="20" t="s">
        <v>613</v>
      </c>
      <c r="I497" s="17" t="s">
        <v>156</v>
      </c>
      <c r="J497" s="17">
        <v>0.0</v>
      </c>
      <c r="K497" s="17">
        <v>0.0</v>
      </c>
      <c r="L497" s="17">
        <v>0.0</v>
      </c>
      <c r="M497" s="17">
        <v>0.0</v>
      </c>
      <c r="N497" s="17">
        <v>0.0</v>
      </c>
      <c r="O497" s="17">
        <v>0.0</v>
      </c>
      <c r="P497" s="17">
        <v>0.0</v>
      </c>
      <c r="Q497" s="17">
        <v>0.0</v>
      </c>
      <c r="R497" s="17">
        <v>0.0</v>
      </c>
      <c r="S497" s="17">
        <v>0.0</v>
      </c>
      <c r="T497" s="17">
        <v>0.0</v>
      </c>
      <c r="U497" s="17">
        <v>0.0</v>
      </c>
    </row>
    <row r="498" ht="23.25" customHeight="1">
      <c r="A498" s="20" t="str">
        <f>IF(COUNTIF('Icon Lookup'!C:C,B498)&gt;0,LOOKUP(B498,'Icon Lookup'!C:C,'Icon Lookup'!B:B),"")</f>
        <v/>
      </c>
      <c r="B498" s="21" t="s">
        <v>297</v>
      </c>
      <c r="C498" s="20"/>
      <c r="D498" s="20">
        <v>46.0</v>
      </c>
      <c r="E498" s="20" t="s">
        <v>298</v>
      </c>
      <c r="G498" s="22"/>
      <c r="H498" s="23" t="s">
        <v>752</v>
      </c>
      <c r="I498" s="20" t="s">
        <v>94</v>
      </c>
      <c r="J498" s="20">
        <v>0.0</v>
      </c>
      <c r="K498" s="20">
        <v>0.0</v>
      </c>
      <c r="L498" s="20">
        <v>0.0</v>
      </c>
      <c r="M498" s="20">
        <v>0.0</v>
      </c>
      <c r="N498" s="20">
        <v>0.0</v>
      </c>
      <c r="O498" s="20">
        <v>0.0</v>
      </c>
      <c r="P498" s="20">
        <v>0.0</v>
      </c>
      <c r="Q498" s="20">
        <v>0.0</v>
      </c>
      <c r="R498" s="20">
        <v>0.0</v>
      </c>
      <c r="S498" s="20">
        <v>0.0</v>
      </c>
      <c r="T498" s="20">
        <v>0.0</v>
      </c>
      <c r="U498" s="20">
        <v>0.0</v>
      </c>
    </row>
    <row r="499" ht="23.25" customHeight="1">
      <c r="A499" s="1"/>
      <c r="B499" s="15" t="s">
        <v>753</v>
      </c>
      <c r="C499" s="1" t="s">
        <v>17</v>
      </c>
      <c r="D499" s="1" t="s">
        <v>754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ht="23.25" customHeight="1">
      <c r="A500" s="17" t="str">
        <f>IF(COUNTIF('Icon Lookup'!C:C,B500)&gt;0,LOOKUP(B500,'Icon Lookup'!C:C,'Icon Lookup'!B:B),"")</f>
        <v/>
      </c>
      <c r="B500" s="18" t="s">
        <v>97</v>
      </c>
      <c r="C500" s="17"/>
      <c r="D500" s="17">
        <v>30.0</v>
      </c>
      <c r="E500" s="17" t="s">
        <v>87</v>
      </c>
      <c r="G500" s="19"/>
      <c r="H500" s="20" t="s">
        <v>755</v>
      </c>
      <c r="I500" s="17" t="s">
        <v>89</v>
      </c>
      <c r="J500" s="17">
        <v>0.0</v>
      </c>
      <c r="K500" s="17">
        <v>0.0</v>
      </c>
      <c r="L500" s="17">
        <v>0.0</v>
      </c>
      <c r="M500" s="17">
        <v>0.0</v>
      </c>
      <c r="N500" s="17">
        <v>0.0</v>
      </c>
      <c r="O500" s="17">
        <v>0.0</v>
      </c>
      <c r="P500" s="17">
        <v>0.0</v>
      </c>
      <c r="Q500" s="17">
        <v>0.0</v>
      </c>
      <c r="R500" s="17">
        <v>0.0</v>
      </c>
      <c r="S500" s="17">
        <v>0.0</v>
      </c>
      <c r="T500" s="17">
        <v>0.0</v>
      </c>
      <c r="U500" s="17">
        <v>0.0</v>
      </c>
    </row>
    <row r="501" ht="23.25" customHeight="1">
      <c r="A501" s="20" t="str">
        <f>IF(COUNTIF('Icon Lookup'!C:C,B501)&gt;0,LOOKUP(B501,'Icon Lookup'!C:C,'Icon Lookup'!B:B),"")</f>
        <v/>
      </c>
      <c r="B501" s="21" t="s">
        <v>756</v>
      </c>
      <c r="C501" s="20"/>
      <c r="D501" s="20">
        <v>32.0</v>
      </c>
      <c r="E501" s="20" t="s">
        <v>87</v>
      </c>
      <c r="G501" s="22"/>
      <c r="H501" s="23" t="s">
        <v>757</v>
      </c>
      <c r="I501" s="20" t="s">
        <v>89</v>
      </c>
      <c r="J501" s="20">
        <v>0.0</v>
      </c>
      <c r="K501" s="20">
        <v>0.0</v>
      </c>
      <c r="L501" s="20">
        <v>0.0</v>
      </c>
      <c r="M501" s="20">
        <v>0.0</v>
      </c>
      <c r="N501" s="20">
        <v>0.0</v>
      </c>
      <c r="O501" s="20">
        <v>0.0</v>
      </c>
      <c r="P501" s="20">
        <v>0.0</v>
      </c>
      <c r="Q501" s="20">
        <v>0.0</v>
      </c>
      <c r="R501" s="20">
        <v>0.0</v>
      </c>
      <c r="S501" s="20">
        <v>0.0</v>
      </c>
      <c r="T501" s="20">
        <v>0.0</v>
      </c>
      <c r="U501" s="20">
        <v>0.0</v>
      </c>
    </row>
    <row r="502" ht="23.25" customHeight="1">
      <c r="A502" s="1"/>
      <c r="B502" s="15" t="s">
        <v>758</v>
      </c>
      <c r="C502" s="1" t="s">
        <v>17</v>
      </c>
      <c r="D502" s="1" t="s">
        <v>759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ht="23.25" customHeight="1">
      <c r="A503" s="17" t="str">
        <f>IF(COUNTIF('Icon Lookup'!C:C,B503)&gt;0,LOOKUP(B503,'Icon Lookup'!C:C,'Icon Lookup'!B:B),"")</f>
        <v/>
      </c>
      <c r="B503" s="18" t="s">
        <v>304</v>
      </c>
      <c r="C503" s="17"/>
      <c r="D503" s="17">
        <v>46.0</v>
      </c>
      <c r="E503" s="17" t="s">
        <v>20</v>
      </c>
      <c r="G503" s="19"/>
      <c r="H503" s="20" t="s">
        <v>760</v>
      </c>
      <c r="I503" s="17" t="s">
        <v>105</v>
      </c>
      <c r="J503" s="17">
        <v>0.0</v>
      </c>
      <c r="K503" s="17">
        <v>0.0</v>
      </c>
      <c r="L503" s="17">
        <v>0.0</v>
      </c>
      <c r="M503" s="17">
        <v>0.0</v>
      </c>
      <c r="N503" s="17">
        <v>0.0</v>
      </c>
      <c r="O503" s="17">
        <v>0.0</v>
      </c>
      <c r="P503" s="17">
        <v>0.0</v>
      </c>
      <c r="Q503" s="17">
        <v>0.0</v>
      </c>
      <c r="R503" s="17">
        <v>0.0</v>
      </c>
      <c r="S503" s="17">
        <v>0.0</v>
      </c>
      <c r="T503" s="17">
        <v>0.0</v>
      </c>
      <c r="U503" s="17">
        <v>0.0</v>
      </c>
    </row>
    <row r="504" ht="23.25" customHeight="1">
      <c r="A504" s="20" t="str">
        <f>IF(COUNTIF('Icon Lookup'!C:C,B504)&gt;0,LOOKUP(B504,'Icon Lookup'!C:C,'Icon Lookup'!B:B),"")</f>
        <v/>
      </c>
      <c r="B504" s="21" t="s">
        <v>741</v>
      </c>
      <c r="C504" s="20"/>
      <c r="D504" s="20">
        <v>48.0</v>
      </c>
      <c r="E504" s="20" t="s">
        <v>26</v>
      </c>
      <c r="G504" s="22"/>
      <c r="H504" s="23" t="s">
        <v>761</v>
      </c>
      <c r="I504" s="20" t="s">
        <v>211</v>
      </c>
      <c r="J504" s="20">
        <v>0.0</v>
      </c>
      <c r="K504" s="20">
        <v>0.0</v>
      </c>
      <c r="L504" s="20">
        <v>0.0</v>
      </c>
      <c r="M504" s="20">
        <v>0.0</v>
      </c>
      <c r="N504" s="20">
        <v>0.0</v>
      </c>
      <c r="O504" s="20">
        <v>0.0</v>
      </c>
      <c r="P504" s="20">
        <v>0.0</v>
      </c>
      <c r="Q504" s="20">
        <v>0.0</v>
      </c>
      <c r="R504" s="20">
        <v>0.0</v>
      </c>
      <c r="S504" s="20">
        <v>0.0</v>
      </c>
      <c r="T504" s="20">
        <v>0.0</v>
      </c>
      <c r="U504" s="20">
        <v>0.0</v>
      </c>
    </row>
    <row r="505" ht="23.25" customHeight="1">
      <c r="A505" s="1"/>
      <c r="B505" s="15" t="s">
        <v>762</v>
      </c>
      <c r="C505" s="1" t="s">
        <v>17</v>
      </c>
      <c r="D505" s="1" t="s">
        <v>763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ht="23.25" customHeight="1">
      <c r="A506" s="17" t="str">
        <f>IF(COUNTIF('Icon Lookup'!C:C,B506)&gt;0,LOOKUP(B506,'Icon Lookup'!C:C,'Icon Lookup'!B:B),"")</f>
        <v/>
      </c>
      <c r="B506" s="18" t="s">
        <v>442</v>
      </c>
      <c r="C506" s="17"/>
      <c r="D506" s="17">
        <v>43.0</v>
      </c>
      <c r="E506" s="17" t="s">
        <v>161</v>
      </c>
      <c r="G506" s="19"/>
      <c r="H506" s="20" t="s">
        <v>764</v>
      </c>
      <c r="I506" s="17" t="s">
        <v>156</v>
      </c>
      <c r="J506" s="17">
        <v>0.0</v>
      </c>
      <c r="K506" s="17">
        <v>0.0</v>
      </c>
      <c r="L506" s="17">
        <v>0.0</v>
      </c>
      <c r="M506" s="17">
        <v>0.0</v>
      </c>
      <c r="N506" s="17">
        <v>0.0</v>
      </c>
      <c r="O506" s="17">
        <v>0.0</v>
      </c>
      <c r="P506" s="17">
        <v>0.0</v>
      </c>
      <c r="Q506" s="17">
        <v>0.0</v>
      </c>
      <c r="R506" s="17">
        <v>0.0</v>
      </c>
      <c r="S506" s="17">
        <v>0.0</v>
      </c>
      <c r="T506" s="17">
        <v>0.0</v>
      </c>
      <c r="U506" s="17">
        <v>0.0</v>
      </c>
    </row>
    <row r="507" ht="23.25" customHeight="1">
      <c r="A507" s="20" t="str">
        <f>IF(COUNTIF('Icon Lookup'!C:C,B507)&gt;0,LOOKUP(B507,'Icon Lookup'!C:C,'Icon Lookup'!B:B),"")</f>
        <v/>
      </c>
      <c r="B507" s="21" t="s">
        <v>765</v>
      </c>
      <c r="C507" s="20"/>
      <c r="D507" s="20">
        <v>46.0</v>
      </c>
      <c r="E507" s="20" t="s">
        <v>38</v>
      </c>
      <c r="G507" s="22"/>
      <c r="H507" s="23" t="s">
        <v>766</v>
      </c>
      <c r="I507" s="20" t="s">
        <v>156</v>
      </c>
      <c r="J507" s="20">
        <v>0.0</v>
      </c>
      <c r="K507" s="20">
        <v>0.0</v>
      </c>
      <c r="L507" s="20">
        <v>0.0</v>
      </c>
      <c r="M507" s="20">
        <v>0.0</v>
      </c>
      <c r="N507" s="20">
        <v>0.0</v>
      </c>
      <c r="O507" s="20">
        <v>0.0</v>
      </c>
      <c r="P507" s="20">
        <v>0.0</v>
      </c>
      <c r="Q507" s="20">
        <v>0.0</v>
      </c>
      <c r="R507" s="20">
        <v>0.0</v>
      </c>
      <c r="S507" s="20">
        <v>0.0</v>
      </c>
      <c r="T507" s="20">
        <v>0.0</v>
      </c>
      <c r="U507" s="20">
        <v>0.0</v>
      </c>
    </row>
    <row r="508" ht="23.25" customHeight="1">
      <c r="A508" s="17" t="str">
        <f>IF(COUNTIF('Icon Lookup'!C:C,B508)&gt;0,LOOKUP(B508,'Icon Lookup'!C:C,'Icon Lookup'!B:B),"")</f>
        <v/>
      </c>
      <c r="B508" s="18" t="s">
        <v>767</v>
      </c>
      <c r="C508" s="17"/>
      <c r="D508" s="17">
        <v>46.0</v>
      </c>
      <c r="E508" s="17" t="s">
        <v>768</v>
      </c>
      <c r="G508" s="19"/>
      <c r="H508" s="20" t="s">
        <v>769</v>
      </c>
      <c r="I508" s="17" t="s">
        <v>156</v>
      </c>
      <c r="J508" s="17">
        <v>0.0</v>
      </c>
      <c r="K508" s="17">
        <v>0.0</v>
      </c>
      <c r="L508" s="17">
        <v>0.0</v>
      </c>
      <c r="M508" s="17">
        <v>0.0</v>
      </c>
      <c r="N508" s="17">
        <v>0.0</v>
      </c>
      <c r="O508" s="17">
        <v>0.0</v>
      </c>
      <c r="P508" s="17">
        <v>0.0</v>
      </c>
      <c r="Q508" s="17">
        <v>0.0</v>
      </c>
      <c r="R508" s="17">
        <v>0.0</v>
      </c>
      <c r="S508" s="17">
        <v>0.0</v>
      </c>
      <c r="T508" s="17">
        <v>0.0</v>
      </c>
      <c r="U508" s="17">
        <v>0.0</v>
      </c>
    </row>
    <row r="509" ht="23.25" customHeight="1">
      <c r="A509" s="1"/>
      <c r="B509" s="15" t="s">
        <v>770</v>
      </c>
      <c r="C509" s="1" t="s">
        <v>17</v>
      </c>
      <c r="D509" s="1" t="s">
        <v>771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ht="23.25" customHeight="1">
      <c r="A510" s="20" t="str">
        <f>IF(COUNTIF('Icon Lookup'!C:C,B510)&gt;0,LOOKUP(B510,'Icon Lookup'!C:C,'Icon Lookup'!B:B),"")</f>
        <v/>
      </c>
      <c r="B510" s="21" t="s">
        <v>772</v>
      </c>
      <c r="C510" s="20"/>
      <c r="D510" s="20">
        <v>44.0</v>
      </c>
      <c r="E510" s="20" t="s">
        <v>161</v>
      </c>
      <c r="G510" s="22"/>
      <c r="H510" s="23" t="s">
        <v>773</v>
      </c>
      <c r="I510" s="20" t="s">
        <v>197</v>
      </c>
      <c r="J510" s="20">
        <v>0.0</v>
      </c>
      <c r="K510" s="20">
        <v>0.0</v>
      </c>
      <c r="L510" s="20">
        <v>0.0</v>
      </c>
      <c r="M510" s="20">
        <v>0.0</v>
      </c>
      <c r="N510" s="20">
        <v>0.0</v>
      </c>
      <c r="O510" s="20">
        <v>0.0</v>
      </c>
      <c r="P510" s="20">
        <v>0.0</v>
      </c>
      <c r="Q510" s="20">
        <v>0.0</v>
      </c>
      <c r="R510" s="20">
        <v>0.0</v>
      </c>
      <c r="S510" s="20">
        <v>0.0</v>
      </c>
      <c r="T510" s="20">
        <v>0.0</v>
      </c>
      <c r="U510" s="20">
        <v>0.0</v>
      </c>
    </row>
    <row r="511" ht="23.25" customHeight="1">
      <c r="A511" s="17" t="str">
        <f>IF(COUNTIF('Icon Lookup'!C:C,B511)&gt;0,LOOKUP(B511,'Icon Lookup'!C:C,'Icon Lookup'!B:B),"")</f>
        <v/>
      </c>
      <c r="B511" s="18" t="s">
        <v>774</v>
      </c>
      <c r="C511" s="17"/>
      <c r="D511" s="17">
        <v>48.0</v>
      </c>
      <c r="E511" s="17" t="s">
        <v>161</v>
      </c>
      <c r="G511" s="19"/>
      <c r="H511" s="20" t="s">
        <v>775</v>
      </c>
      <c r="I511" s="17" t="s">
        <v>105</v>
      </c>
      <c r="J511" s="17">
        <v>0.0</v>
      </c>
      <c r="K511" s="17">
        <v>0.0</v>
      </c>
      <c r="L511" s="17">
        <v>0.0</v>
      </c>
      <c r="M511" s="17">
        <v>0.0</v>
      </c>
      <c r="N511" s="17">
        <v>0.0</v>
      </c>
      <c r="O511" s="17">
        <v>0.0</v>
      </c>
      <c r="P511" s="17">
        <v>0.0</v>
      </c>
      <c r="Q511" s="17">
        <v>0.0</v>
      </c>
      <c r="R511" s="17">
        <v>0.0</v>
      </c>
      <c r="S511" s="17">
        <v>0.0</v>
      </c>
      <c r="T511" s="17">
        <v>0.0</v>
      </c>
      <c r="U511" s="17">
        <v>0.0</v>
      </c>
    </row>
    <row r="512" ht="23.25" customHeight="1">
      <c r="A512" s="1"/>
      <c r="B512" s="15" t="s">
        <v>776</v>
      </c>
      <c r="C512" s="1" t="s">
        <v>17</v>
      </c>
      <c r="D512" s="1" t="s">
        <v>777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ht="23.25" customHeight="1">
      <c r="A513" s="20" t="str">
        <f>IF(COUNTIF('Icon Lookup'!C:C,B513)&gt;0,LOOKUP(B513,'Icon Lookup'!C:C,'Icon Lookup'!B:B),"")</f>
        <v/>
      </c>
      <c r="B513" s="21" t="s">
        <v>190</v>
      </c>
      <c r="C513" s="20"/>
      <c r="D513" s="20">
        <v>47.0</v>
      </c>
      <c r="E513" s="20" t="s">
        <v>26</v>
      </c>
      <c r="G513" s="22"/>
      <c r="H513" s="23" t="s">
        <v>613</v>
      </c>
      <c r="I513" s="20" t="s">
        <v>156</v>
      </c>
      <c r="J513" s="20">
        <v>0.0</v>
      </c>
      <c r="K513" s="20">
        <v>0.0</v>
      </c>
      <c r="L513" s="20">
        <v>0.0</v>
      </c>
      <c r="M513" s="20">
        <v>0.0</v>
      </c>
      <c r="N513" s="20">
        <v>0.0</v>
      </c>
      <c r="O513" s="20">
        <v>0.0</v>
      </c>
      <c r="P513" s="20">
        <v>0.0</v>
      </c>
      <c r="Q513" s="20">
        <v>0.0</v>
      </c>
      <c r="R513" s="20">
        <v>0.0</v>
      </c>
      <c r="S513" s="20">
        <v>0.0</v>
      </c>
      <c r="T513" s="20">
        <v>0.0</v>
      </c>
      <c r="U513" s="20">
        <v>0.0</v>
      </c>
    </row>
    <row r="514" ht="23.25" customHeight="1">
      <c r="A514" s="1"/>
      <c r="B514" s="15" t="s">
        <v>778</v>
      </c>
      <c r="C514" s="1" t="s">
        <v>17</v>
      </c>
      <c r="D514" s="1" t="s">
        <v>779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ht="23.25" customHeight="1">
      <c r="A515" s="17" t="str">
        <f>IF(COUNTIF('Icon Lookup'!C:C,B515)&gt;0,LOOKUP(B515,'Icon Lookup'!C:C,'Icon Lookup'!B:B),"")</f>
        <v/>
      </c>
      <c r="B515" s="18" t="s">
        <v>582</v>
      </c>
      <c r="C515" s="17"/>
      <c r="D515" s="17">
        <v>47.0</v>
      </c>
      <c r="E515" s="17" t="s">
        <v>166</v>
      </c>
      <c r="G515" s="19"/>
      <c r="H515" s="20" t="s">
        <v>780</v>
      </c>
      <c r="I515" s="17" t="s">
        <v>197</v>
      </c>
      <c r="J515" s="17">
        <v>0.0</v>
      </c>
      <c r="K515" s="17">
        <v>0.0</v>
      </c>
      <c r="L515" s="17">
        <v>0.0</v>
      </c>
      <c r="M515" s="17">
        <v>0.0</v>
      </c>
      <c r="N515" s="17">
        <v>0.0</v>
      </c>
      <c r="O515" s="17">
        <v>0.0</v>
      </c>
      <c r="P515" s="17">
        <v>0.0</v>
      </c>
      <c r="Q515" s="17">
        <v>0.0</v>
      </c>
      <c r="R515" s="17">
        <v>0.0</v>
      </c>
      <c r="S515" s="17">
        <v>0.0</v>
      </c>
      <c r="T515" s="17">
        <v>0.0</v>
      </c>
      <c r="U515" s="17">
        <v>0.0</v>
      </c>
    </row>
    <row r="516" ht="23.25" customHeight="1">
      <c r="A516" s="1"/>
      <c r="B516" s="15" t="s">
        <v>781</v>
      </c>
      <c r="C516" s="1" t="s">
        <v>17</v>
      </c>
      <c r="D516" s="1" t="s">
        <v>782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ht="23.25" customHeight="1">
      <c r="A517" s="20" t="str">
        <f>IF(COUNTIF('Icon Lookup'!C:C,B517)&gt;0,LOOKUP(B517,'Icon Lookup'!C:C,'Icon Lookup'!B:B),"")</f>
        <v/>
      </c>
      <c r="B517" s="21" t="s">
        <v>741</v>
      </c>
      <c r="C517" s="20"/>
      <c r="D517" s="20">
        <v>47.0</v>
      </c>
      <c r="E517" s="20" t="s">
        <v>26</v>
      </c>
      <c r="G517" s="22"/>
      <c r="H517" s="23" t="s">
        <v>783</v>
      </c>
      <c r="I517" s="20" t="s">
        <v>89</v>
      </c>
      <c r="J517" s="20">
        <v>0.0</v>
      </c>
      <c r="K517" s="20">
        <v>0.0</v>
      </c>
      <c r="L517" s="20">
        <v>0.0</v>
      </c>
      <c r="M517" s="20">
        <v>0.0</v>
      </c>
      <c r="N517" s="20">
        <v>0.0</v>
      </c>
      <c r="O517" s="20">
        <v>0.0</v>
      </c>
      <c r="P517" s="20">
        <v>0.0</v>
      </c>
      <c r="Q517" s="20">
        <v>0.0</v>
      </c>
      <c r="R517" s="20">
        <v>0.0</v>
      </c>
      <c r="S517" s="20">
        <v>0.0</v>
      </c>
      <c r="T517" s="20">
        <v>0.0</v>
      </c>
      <c r="U517" s="20">
        <v>0.0</v>
      </c>
    </row>
    <row r="518" ht="23.25" customHeight="1">
      <c r="A518" s="1"/>
      <c r="B518" s="15" t="s">
        <v>784</v>
      </c>
      <c r="C518" s="1" t="s">
        <v>17</v>
      </c>
      <c r="D518" s="1" t="s">
        <v>785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ht="23.25" customHeight="1">
      <c r="A519" s="17" t="str">
        <f>IF(COUNTIF('Icon Lookup'!C:C,B519)&gt;0,LOOKUP(B519,'Icon Lookup'!C:C,'Icon Lookup'!B:B),"")</f>
        <v/>
      </c>
      <c r="B519" s="18" t="s">
        <v>568</v>
      </c>
      <c r="C519" s="17"/>
      <c r="D519" s="17">
        <v>47.0</v>
      </c>
      <c r="E519" s="17" t="s">
        <v>188</v>
      </c>
      <c r="G519" s="19"/>
      <c r="H519" s="20" t="s">
        <v>786</v>
      </c>
      <c r="I519" s="17" t="s">
        <v>211</v>
      </c>
      <c r="J519" s="17">
        <v>0.0</v>
      </c>
      <c r="K519" s="17">
        <v>0.0</v>
      </c>
      <c r="L519" s="17">
        <v>0.0</v>
      </c>
      <c r="M519" s="17">
        <v>0.0</v>
      </c>
      <c r="N519" s="17">
        <v>0.0</v>
      </c>
      <c r="O519" s="17">
        <v>0.0</v>
      </c>
      <c r="P519" s="17">
        <v>0.0</v>
      </c>
      <c r="Q519" s="17">
        <v>0.0</v>
      </c>
      <c r="R519" s="17">
        <v>0.0</v>
      </c>
      <c r="S519" s="17">
        <v>0.0</v>
      </c>
      <c r="T519" s="17">
        <v>0.0</v>
      </c>
      <c r="U519" s="17">
        <v>0.0</v>
      </c>
    </row>
    <row r="520" ht="23.25" customHeight="1">
      <c r="A520" s="1"/>
      <c r="B520" s="15" t="s">
        <v>787</v>
      </c>
      <c r="C520" s="1" t="s">
        <v>17</v>
      </c>
      <c r="D520" s="1" t="s">
        <v>788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ht="23.25" customHeight="1">
      <c r="A521" s="20" t="str">
        <f>IF(COUNTIF('Icon Lookup'!C:C,B521)&gt;0,LOOKUP(B521,'Icon Lookup'!C:C,'Icon Lookup'!B:B),"")</f>
        <v/>
      </c>
      <c r="B521" s="21" t="s">
        <v>789</v>
      </c>
      <c r="C521" s="20"/>
      <c r="D521" s="20">
        <v>33.0</v>
      </c>
      <c r="E521" s="20" t="s">
        <v>38</v>
      </c>
      <c r="G521" s="22"/>
      <c r="H521" s="23" t="s">
        <v>790</v>
      </c>
      <c r="I521" s="20" t="s">
        <v>94</v>
      </c>
      <c r="J521" s="20">
        <v>0.0</v>
      </c>
      <c r="K521" s="20">
        <v>0.0</v>
      </c>
      <c r="L521" s="20">
        <v>0.0</v>
      </c>
      <c r="M521" s="20">
        <v>0.0</v>
      </c>
      <c r="N521" s="20">
        <v>0.0</v>
      </c>
      <c r="O521" s="20">
        <v>0.0</v>
      </c>
      <c r="P521" s="20">
        <v>0.0</v>
      </c>
      <c r="Q521" s="20">
        <v>0.0</v>
      </c>
      <c r="R521" s="20">
        <v>0.0</v>
      </c>
      <c r="S521" s="20">
        <v>0.0</v>
      </c>
      <c r="T521" s="20">
        <v>0.0</v>
      </c>
      <c r="U521" s="20">
        <v>0.0</v>
      </c>
    </row>
    <row r="522" ht="23.25" customHeight="1">
      <c r="A522" s="17" t="str">
        <f>IF(COUNTIF('Icon Lookup'!C:C,B522)&gt;0,LOOKUP(B522,'Icon Lookup'!C:C,'Icon Lookup'!B:B),"")</f>
        <v/>
      </c>
      <c r="B522" s="18" t="s">
        <v>741</v>
      </c>
      <c r="C522" s="17"/>
      <c r="D522" s="17">
        <v>34.0</v>
      </c>
      <c r="E522" s="17" t="s">
        <v>26</v>
      </c>
      <c r="G522" s="19"/>
      <c r="H522" s="20" t="s">
        <v>791</v>
      </c>
      <c r="I522" s="17" t="s">
        <v>89</v>
      </c>
      <c r="J522" s="17">
        <v>0.0</v>
      </c>
      <c r="K522" s="17">
        <v>0.0</v>
      </c>
      <c r="L522" s="17">
        <v>0.0</v>
      </c>
      <c r="M522" s="17">
        <v>0.0</v>
      </c>
      <c r="N522" s="17">
        <v>0.0</v>
      </c>
      <c r="O522" s="17">
        <v>0.0</v>
      </c>
      <c r="P522" s="17">
        <v>0.0</v>
      </c>
      <c r="Q522" s="17">
        <v>0.0</v>
      </c>
      <c r="R522" s="17">
        <v>0.0</v>
      </c>
      <c r="S522" s="17">
        <v>0.0</v>
      </c>
      <c r="T522" s="17">
        <v>0.0</v>
      </c>
      <c r="U522" s="17">
        <v>0.0</v>
      </c>
    </row>
    <row r="523" ht="23.25" customHeight="1">
      <c r="A523" s="20" t="str">
        <f>IF(COUNTIF('Icon Lookup'!C:C,B523)&gt;0,LOOKUP(B523,'Icon Lookup'!C:C,'Icon Lookup'!B:B),"")</f>
        <v/>
      </c>
      <c r="B523" s="21" t="s">
        <v>176</v>
      </c>
      <c r="C523" s="20"/>
      <c r="D523" s="20">
        <v>35.0</v>
      </c>
      <c r="E523" s="20" t="s">
        <v>98</v>
      </c>
      <c r="G523" s="22"/>
      <c r="H523" s="23" t="s">
        <v>792</v>
      </c>
      <c r="I523" s="20" t="s">
        <v>89</v>
      </c>
      <c r="J523" s="20">
        <v>0.0</v>
      </c>
      <c r="K523" s="20">
        <v>0.0</v>
      </c>
      <c r="L523" s="20">
        <v>0.0</v>
      </c>
      <c r="M523" s="20">
        <v>0.0</v>
      </c>
      <c r="N523" s="20">
        <v>0.0</v>
      </c>
      <c r="O523" s="20">
        <v>0.0</v>
      </c>
      <c r="P523" s="20">
        <v>0.0</v>
      </c>
      <c r="Q523" s="20">
        <v>0.0</v>
      </c>
      <c r="R523" s="20">
        <v>0.0</v>
      </c>
      <c r="S523" s="20">
        <v>0.0</v>
      </c>
      <c r="T523" s="20">
        <v>0.0</v>
      </c>
      <c r="U523" s="20">
        <v>0.0</v>
      </c>
    </row>
    <row r="524" ht="23.25" customHeight="1">
      <c r="A524" s="1"/>
      <c r="B524" s="15" t="s">
        <v>793</v>
      </c>
      <c r="C524" s="1" t="s">
        <v>17</v>
      </c>
      <c r="D524" s="1" t="s">
        <v>794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ht="23.25" customHeight="1">
      <c r="A525" s="17" t="str">
        <f>IF(COUNTIF('Icon Lookup'!C:C,B525)&gt;0,LOOKUP(B525,'Icon Lookup'!C:C,'Icon Lookup'!B:B),"")</f>
        <v/>
      </c>
      <c r="B525" s="18" t="s">
        <v>86</v>
      </c>
      <c r="C525" s="17"/>
      <c r="D525" s="17">
        <v>10.0</v>
      </c>
      <c r="E525" s="17" t="s">
        <v>87</v>
      </c>
      <c r="G525" s="19"/>
      <c r="H525" s="20" t="s">
        <v>795</v>
      </c>
      <c r="I525" s="17" t="s">
        <v>211</v>
      </c>
      <c r="J525" s="17">
        <v>0.0</v>
      </c>
      <c r="K525" s="17">
        <v>0.0</v>
      </c>
      <c r="L525" s="17">
        <v>0.0</v>
      </c>
      <c r="M525" s="17">
        <v>0.0</v>
      </c>
      <c r="N525" s="17">
        <v>0.0</v>
      </c>
      <c r="O525" s="17">
        <v>0.0</v>
      </c>
      <c r="P525" s="17">
        <v>0.0</v>
      </c>
      <c r="Q525" s="17">
        <v>0.0</v>
      </c>
      <c r="R525" s="17">
        <v>0.0</v>
      </c>
      <c r="S525" s="17">
        <v>0.0</v>
      </c>
      <c r="T525" s="17">
        <v>0.0</v>
      </c>
      <c r="U525" s="17">
        <v>0.0</v>
      </c>
    </row>
    <row r="526" ht="23.25" customHeight="1">
      <c r="A526" s="1"/>
      <c r="B526" s="15" t="s">
        <v>796</v>
      </c>
      <c r="C526" s="1" t="s">
        <v>17</v>
      </c>
      <c r="D526" s="1" t="s">
        <v>797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ht="23.25" customHeight="1">
      <c r="A527" s="20" t="str">
        <f>IF(COUNTIF('Icon Lookup'!C:C,B527)&gt;0,LOOKUP(B527,'Icon Lookup'!C:C,'Icon Lookup'!B:B),"")</f>
        <v/>
      </c>
      <c r="B527" s="21" t="s">
        <v>86</v>
      </c>
      <c r="C527" s="20"/>
      <c r="D527" s="20">
        <v>8.0</v>
      </c>
      <c r="E527" s="20" t="s">
        <v>87</v>
      </c>
      <c r="G527" s="22"/>
      <c r="H527" s="23" t="s">
        <v>798</v>
      </c>
      <c r="I527" s="20" t="s">
        <v>211</v>
      </c>
      <c r="J527" s="20">
        <v>0.0</v>
      </c>
      <c r="K527" s="20">
        <v>0.0</v>
      </c>
      <c r="L527" s="20">
        <v>0.0</v>
      </c>
      <c r="M527" s="20">
        <v>0.0</v>
      </c>
      <c r="N527" s="20">
        <v>0.0</v>
      </c>
      <c r="O527" s="20">
        <v>0.0</v>
      </c>
      <c r="P527" s="20">
        <v>0.0</v>
      </c>
      <c r="Q527" s="20">
        <v>0.0</v>
      </c>
      <c r="R527" s="20">
        <v>0.0</v>
      </c>
      <c r="S527" s="20">
        <v>0.0</v>
      </c>
      <c r="T527" s="20">
        <v>0.0</v>
      </c>
      <c r="U527" s="20">
        <v>0.0</v>
      </c>
    </row>
    <row r="528" ht="23.25" customHeight="1">
      <c r="A528" s="17" t="str">
        <f>IF(COUNTIF('Icon Lookup'!C:C,B528)&gt;0,LOOKUP(B528,'Icon Lookup'!C:C,'Icon Lookup'!B:B),"")</f>
        <v/>
      </c>
      <c r="B528" s="18" t="s">
        <v>97</v>
      </c>
      <c r="C528" s="17"/>
      <c r="D528" s="17">
        <v>8.0</v>
      </c>
      <c r="E528" s="17" t="s">
        <v>87</v>
      </c>
      <c r="G528" s="19"/>
      <c r="H528" s="20" t="s">
        <v>799</v>
      </c>
      <c r="I528" s="17" t="s">
        <v>211</v>
      </c>
      <c r="J528" s="17">
        <v>0.0</v>
      </c>
      <c r="K528" s="17">
        <v>0.0</v>
      </c>
      <c r="L528" s="17">
        <v>0.0</v>
      </c>
      <c r="M528" s="17">
        <v>0.0</v>
      </c>
      <c r="N528" s="17">
        <v>0.0</v>
      </c>
      <c r="O528" s="17">
        <v>0.0</v>
      </c>
      <c r="P528" s="17">
        <v>0.0</v>
      </c>
      <c r="Q528" s="17">
        <v>0.0</v>
      </c>
      <c r="R528" s="17">
        <v>0.0</v>
      </c>
      <c r="S528" s="17">
        <v>0.0</v>
      </c>
      <c r="T528" s="17">
        <v>0.0</v>
      </c>
      <c r="U528" s="17">
        <v>0.0</v>
      </c>
    </row>
    <row r="529" ht="23.25" customHeight="1">
      <c r="A529" s="1"/>
      <c r="B529" s="15" t="s">
        <v>800</v>
      </c>
      <c r="C529" s="1" t="s">
        <v>17</v>
      </c>
      <c r="D529" s="1" t="s">
        <v>801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ht="23.25" customHeight="1">
      <c r="A530" s="20" t="str">
        <f>IF(COUNTIF('Icon Lookup'!C:C,B530)&gt;0,LOOKUP(B530,'Icon Lookup'!C:C,'Icon Lookup'!B:B),"")</f>
        <v/>
      </c>
      <c r="B530" s="21" t="s">
        <v>86</v>
      </c>
      <c r="C530" s="20"/>
      <c r="D530" s="20">
        <v>12.0</v>
      </c>
      <c r="E530" s="20" t="s">
        <v>87</v>
      </c>
      <c r="G530" s="22"/>
      <c r="H530" s="23" t="s">
        <v>802</v>
      </c>
      <c r="I530" s="20" t="s">
        <v>211</v>
      </c>
      <c r="J530" s="20">
        <v>0.0</v>
      </c>
      <c r="K530" s="20">
        <v>0.0</v>
      </c>
      <c r="L530" s="20">
        <v>0.0</v>
      </c>
      <c r="M530" s="20">
        <v>0.0</v>
      </c>
      <c r="N530" s="20">
        <v>0.0</v>
      </c>
      <c r="O530" s="20">
        <v>0.0</v>
      </c>
      <c r="P530" s="20">
        <v>0.0</v>
      </c>
      <c r="Q530" s="20">
        <v>0.0</v>
      </c>
      <c r="R530" s="20">
        <v>0.0</v>
      </c>
      <c r="S530" s="20">
        <v>0.0</v>
      </c>
      <c r="T530" s="20">
        <v>0.0</v>
      </c>
      <c r="U530" s="20">
        <v>0.0</v>
      </c>
    </row>
    <row r="531" ht="23.25" customHeight="1">
      <c r="A531" s="17" t="str">
        <f>IF(COUNTIF('Icon Lookup'!C:C,B531)&gt;0,LOOKUP(B531,'Icon Lookup'!C:C,'Icon Lookup'!B:B),"")</f>
        <v/>
      </c>
      <c r="B531" s="18" t="s">
        <v>97</v>
      </c>
      <c r="C531" s="17"/>
      <c r="D531" s="17">
        <v>12.0</v>
      </c>
      <c r="E531" s="17" t="s">
        <v>98</v>
      </c>
      <c r="G531" s="19"/>
      <c r="H531" s="20" t="s">
        <v>803</v>
      </c>
      <c r="I531" s="17" t="s">
        <v>550</v>
      </c>
      <c r="J531" s="17">
        <v>0.0</v>
      </c>
      <c r="K531" s="17">
        <v>0.0</v>
      </c>
      <c r="L531" s="17">
        <v>0.0</v>
      </c>
      <c r="M531" s="17">
        <v>0.0</v>
      </c>
      <c r="N531" s="17">
        <v>0.0</v>
      </c>
      <c r="O531" s="17">
        <v>0.0</v>
      </c>
      <c r="P531" s="17">
        <v>0.0</v>
      </c>
      <c r="Q531" s="17">
        <v>0.0</v>
      </c>
      <c r="R531" s="17">
        <v>0.0</v>
      </c>
      <c r="S531" s="17">
        <v>0.0</v>
      </c>
      <c r="T531" s="17">
        <v>0.0</v>
      </c>
      <c r="U531" s="17">
        <v>0.0</v>
      </c>
    </row>
    <row r="532" ht="23.25" customHeight="1">
      <c r="A532" s="24" t="str">
        <f>IF(COUNTIF('Icon Lookup'!C:C,B532)&gt;0,LOOKUP(B532,'Icon Lookup'!C:C,'Icon Lookup'!B:B),"")</f>
        <v/>
      </c>
      <c r="B532" s="25" t="s">
        <v>433</v>
      </c>
      <c r="C532" s="24" t="s">
        <v>804</v>
      </c>
      <c r="D532" s="24">
        <v>14.0</v>
      </c>
      <c r="E532" s="24" t="s">
        <v>434</v>
      </c>
      <c r="G532" s="22"/>
      <c r="H532" s="23" t="s">
        <v>805</v>
      </c>
      <c r="I532" s="24" t="s">
        <v>22</v>
      </c>
      <c r="J532" s="24">
        <v>0.0</v>
      </c>
      <c r="K532" s="24">
        <v>0.0</v>
      </c>
      <c r="L532" s="24">
        <v>0.0</v>
      </c>
      <c r="M532" s="24">
        <v>0.0</v>
      </c>
      <c r="N532" s="24">
        <v>0.0</v>
      </c>
      <c r="O532" s="24">
        <v>0.0</v>
      </c>
      <c r="P532" s="24">
        <v>0.0</v>
      </c>
      <c r="Q532" s="24">
        <v>0.0</v>
      </c>
      <c r="R532" s="24">
        <v>0.0</v>
      </c>
      <c r="S532" s="24">
        <v>0.0</v>
      </c>
      <c r="T532" s="24">
        <v>0.0</v>
      </c>
      <c r="U532" s="24">
        <v>0.0</v>
      </c>
    </row>
    <row r="533" ht="23.25" customHeight="1">
      <c r="A533" s="1"/>
      <c r="B533" s="15" t="s">
        <v>806</v>
      </c>
      <c r="C533" s="1" t="s">
        <v>17</v>
      </c>
      <c r="D533" s="1" t="s">
        <v>807</v>
      </c>
      <c r="G533" s="16"/>
      <c r="H533" s="26" t="s">
        <v>808</v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ht="23.25" customHeight="1">
      <c r="A534" s="17" t="str">
        <f>IF(COUNTIF('Icon Lookup'!C:C,B534)&gt;0,LOOKUP(B534,'Icon Lookup'!C:C,'Icon Lookup'!B:B),"")</f>
        <v/>
      </c>
      <c r="B534" s="18" t="s">
        <v>19</v>
      </c>
      <c r="C534" s="17"/>
      <c r="D534" s="17">
        <v>7.0</v>
      </c>
      <c r="E534" s="17" t="s">
        <v>20</v>
      </c>
      <c r="G534" s="19"/>
      <c r="H534" s="20" t="s">
        <v>809</v>
      </c>
      <c r="I534" s="17" t="s">
        <v>22</v>
      </c>
      <c r="J534" s="17">
        <v>0.0</v>
      </c>
      <c r="K534" s="17">
        <v>0.0</v>
      </c>
      <c r="L534" s="17">
        <v>0.0</v>
      </c>
      <c r="M534" s="17">
        <v>0.0</v>
      </c>
      <c r="N534" s="17">
        <v>0.0</v>
      </c>
      <c r="O534" s="17">
        <v>0.0</v>
      </c>
      <c r="P534" s="17">
        <v>5.0</v>
      </c>
      <c r="Q534" s="17">
        <v>5.0</v>
      </c>
      <c r="R534" s="17">
        <v>5.0</v>
      </c>
      <c r="S534" s="17">
        <v>5.0</v>
      </c>
      <c r="T534" s="17">
        <v>5.0</v>
      </c>
      <c r="U534" s="17">
        <v>5.0</v>
      </c>
    </row>
    <row r="535" ht="23.25" customHeight="1">
      <c r="A535" s="20" t="str">
        <f>IF(COUNTIF('Icon Lookup'!C:C,B535)&gt;0,LOOKUP(B535,'Icon Lookup'!C:C,'Icon Lookup'!B:B),"")</f>
        <v/>
      </c>
      <c r="B535" s="21" t="s">
        <v>810</v>
      </c>
      <c r="C535" s="20"/>
      <c r="D535" s="20">
        <v>9.0</v>
      </c>
      <c r="E535" s="20" t="s">
        <v>267</v>
      </c>
      <c r="G535" s="22"/>
      <c r="H535" s="23" t="s">
        <v>811</v>
      </c>
      <c r="I535" s="20" t="s">
        <v>265</v>
      </c>
      <c r="J535" s="20">
        <v>0.0</v>
      </c>
      <c r="K535" s="20">
        <v>0.0</v>
      </c>
      <c r="L535" s="20">
        <v>0.0</v>
      </c>
      <c r="M535" s="20">
        <v>0.0</v>
      </c>
      <c r="N535" s="20">
        <v>0.0</v>
      </c>
      <c r="O535" s="20">
        <v>0.0</v>
      </c>
      <c r="P535" s="20">
        <v>11.0</v>
      </c>
      <c r="Q535" s="20">
        <v>11.0</v>
      </c>
      <c r="R535" s="20">
        <v>11.0</v>
      </c>
      <c r="S535" s="20">
        <v>11.0</v>
      </c>
      <c r="T535" s="20">
        <v>11.0</v>
      </c>
      <c r="U535" s="20">
        <v>11.0</v>
      </c>
    </row>
    <row r="536" ht="23.25" customHeight="1">
      <c r="A536" s="1"/>
      <c r="B536" s="15" t="s">
        <v>812</v>
      </c>
      <c r="C536" s="1" t="s">
        <v>17</v>
      </c>
      <c r="D536" s="1" t="s">
        <v>807</v>
      </c>
      <c r="G536" s="16"/>
      <c r="H536" s="26" t="s">
        <v>808</v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ht="23.25" customHeight="1">
      <c r="A537" s="17" t="str">
        <f>IF(COUNTIF('Icon Lookup'!C:C,B537)&gt;0,LOOKUP(B537,'Icon Lookup'!C:C,'Icon Lookup'!B:B),"")</f>
        <v/>
      </c>
      <c r="B537" s="18" t="s">
        <v>19</v>
      </c>
      <c r="C537" s="17"/>
      <c r="D537" s="17">
        <v>7.0</v>
      </c>
      <c r="E537" s="17" t="s">
        <v>20</v>
      </c>
      <c r="G537" s="19"/>
      <c r="H537" s="20" t="s">
        <v>809</v>
      </c>
      <c r="I537" s="17" t="s">
        <v>22</v>
      </c>
      <c r="J537" s="17">
        <v>0.0</v>
      </c>
      <c r="K537" s="17">
        <v>0.0</v>
      </c>
      <c r="L537" s="17">
        <v>0.0</v>
      </c>
      <c r="M537" s="17">
        <v>0.0</v>
      </c>
      <c r="N537" s="17">
        <v>0.0</v>
      </c>
      <c r="O537" s="17">
        <v>0.0</v>
      </c>
      <c r="P537" s="17">
        <v>5.0</v>
      </c>
      <c r="Q537" s="17">
        <v>5.0</v>
      </c>
      <c r="R537" s="17">
        <v>5.0</v>
      </c>
      <c r="S537" s="17">
        <v>5.0</v>
      </c>
      <c r="T537" s="17">
        <v>5.0</v>
      </c>
      <c r="U537" s="17">
        <v>5.0</v>
      </c>
    </row>
    <row r="538" ht="23.25" customHeight="1">
      <c r="A538" s="20" t="str">
        <f>IF(COUNTIF('Icon Lookup'!C:C,B538)&gt;0,LOOKUP(B538,'Icon Lookup'!C:C,'Icon Lookup'!B:B),"")</f>
        <v/>
      </c>
      <c r="B538" s="21" t="s">
        <v>144</v>
      </c>
      <c r="C538" s="20"/>
      <c r="D538" s="20">
        <v>9.0</v>
      </c>
      <c r="E538" s="20" t="s">
        <v>145</v>
      </c>
      <c r="G538" s="22"/>
      <c r="H538" s="23" t="s">
        <v>813</v>
      </c>
      <c r="I538" s="20" t="s">
        <v>22</v>
      </c>
      <c r="J538" s="20">
        <v>0.0</v>
      </c>
      <c r="K538" s="20">
        <v>0.0</v>
      </c>
      <c r="L538" s="20">
        <v>0.0</v>
      </c>
      <c r="M538" s="20">
        <v>0.0</v>
      </c>
      <c r="N538" s="20">
        <v>0.0</v>
      </c>
      <c r="O538" s="20">
        <v>0.0</v>
      </c>
      <c r="P538" s="20">
        <v>11.0</v>
      </c>
      <c r="Q538" s="20">
        <v>11.0</v>
      </c>
      <c r="R538" s="20">
        <v>11.0</v>
      </c>
      <c r="S538" s="20">
        <v>11.0</v>
      </c>
      <c r="T538" s="20">
        <v>11.0</v>
      </c>
      <c r="U538" s="20">
        <v>11.0</v>
      </c>
    </row>
    <row r="539" ht="23.25" customHeight="1">
      <c r="A539" s="1"/>
      <c r="B539" s="15" t="s">
        <v>814</v>
      </c>
      <c r="C539" s="1" t="s">
        <v>17</v>
      </c>
      <c r="D539" s="1" t="s">
        <v>807</v>
      </c>
      <c r="G539" s="16"/>
      <c r="H539" s="26" t="s">
        <v>808</v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ht="23.25" customHeight="1">
      <c r="A540" s="17" t="str">
        <f>IF(COUNTIF('Icon Lookup'!C:C,B540)&gt;0,LOOKUP(B540,'Icon Lookup'!C:C,'Icon Lookup'!B:B),"")</f>
        <v/>
      </c>
      <c r="B540" s="18" t="s">
        <v>19</v>
      </c>
      <c r="C540" s="17"/>
      <c r="D540" s="17">
        <v>7.0</v>
      </c>
      <c r="E540" s="17" t="s">
        <v>20</v>
      </c>
      <c r="G540" s="19"/>
      <c r="H540" s="20" t="s">
        <v>809</v>
      </c>
      <c r="I540" s="17" t="s">
        <v>22</v>
      </c>
      <c r="J540" s="17">
        <v>0.0</v>
      </c>
      <c r="K540" s="17">
        <v>0.0</v>
      </c>
      <c r="L540" s="17">
        <v>0.0</v>
      </c>
      <c r="M540" s="17">
        <v>0.0</v>
      </c>
      <c r="N540" s="17">
        <v>0.0</v>
      </c>
      <c r="O540" s="17">
        <v>0.0</v>
      </c>
      <c r="P540" s="17">
        <v>5.0</v>
      </c>
      <c r="Q540" s="17">
        <v>5.0</v>
      </c>
      <c r="R540" s="17">
        <v>5.0</v>
      </c>
      <c r="S540" s="17">
        <v>5.0</v>
      </c>
      <c r="T540" s="17">
        <v>5.0</v>
      </c>
      <c r="U540" s="17">
        <v>5.0</v>
      </c>
    </row>
    <row r="541" ht="23.25" customHeight="1">
      <c r="A541" s="20" t="str">
        <f>IF(COUNTIF('Icon Lookup'!C:C,B541)&gt;0,LOOKUP(B541,'Icon Lookup'!C:C,'Icon Lookup'!B:B),"")</f>
        <v/>
      </c>
      <c r="B541" s="21" t="s">
        <v>815</v>
      </c>
      <c r="C541" s="20"/>
      <c r="D541" s="20">
        <v>9.0</v>
      </c>
      <c r="E541" s="20" t="s">
        <v>374</v>
      </c>
      <c r="G541" s="22"/>
      <c r="H541" s="23" t="s">
        <v>816</v>
      </c>
      <c r="I541" s="20" t="s">
        <v>52</v>
      </c>
      <c r="J541" s="20">
        <v>0.0</v>
      </c>
      <c r="K541" s="20">
        <v>0.0</v>
      </c>
      <c r="L541" s="20">
        <v>0.0</v>
      </c>
      <c r="M541" s="20">
        <v>0.0</v>
      </c>
      <c r="N541" s="20">
        <v>0.0</v>
      </c>
      <c r="O541" s="20">
        <v>0.0</v>
      </c>
      <c r="P541" s="20">
        <v>11.0</v>
      </c>
      <c r="Q541" s="20">
        <v>11.0</v>
      </c>
      <c r="R541" s="20">
        <v>11.0</v>
      </c>
      <c r="S541" s="20">
        <v>11.0</v>
      </c>
      <c r="T541" s="20">
        <v>11.0</v>
      </c>
      <c r="U541" s="20">
        <v>11.0</v>
      </c>
    </row>
    <row r="542" ht="23.25" customHeight="1">
      <c r="A542" s="1"/>
      <c r="B542" s="15" t="s">
        <v>817</v>
      </c>
      <c r="C542" s="1" t="s">
        <v>17</v>
      </c>
      <c r="D542" s="1" t="s">
        <v>818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ht="23.25" customHeight="1">
      <c r="A543" s="17" t="str">
        <f>IF(COUNTIF('Icon Lookup'!C:C,B543)&gt;0,LOOKUP(B543,'Icon Lookup'!C:C,'Icon Lookup'!B:B),"")</f>
        <v/>
      </c>
      <c r="B543" s="18" t="s">
        <v>160</v>
      </c>
      <c r="C543" s="17"/>
      <c r="D543" s="17">
        <v>36.0</v>
      </c>
      <c r="E543" s="17" t="s">
        <v>161</v>
      </c>
      <c r="G543" s="19"/>
      <c r="H543" s="20" t="s">
        <v>819</v>
      </c>
      <c r="I543" s="17" t="s">
        <v>89</v>
      </c>
      <c r="J543" s="17">
        <v>68.0</v>
      </c>
      <c r="K543" s="17">
        <v>0.0</v>
      </c>
      <c r="L543" s="17">
        <v>68.0</v>
      </c>
      <c r="M543" s="17">
        <v>44.0</v>
      </c>
      <c r="N543" s="17">
        <v>68.0</v>
      </c>
      <c r="O543" s="17">
        <v>0.0</v>
      </c>
      <c r="P543" s="17">
        <v>17.0</v>
      </c>
      <c r="Q543" s="17">
        <v>0.0</v>
      </c>
      <c r="R543" s="17">
        <v>17.0</v>
      </c>
      <c r="S543" s="17">
        <v>17.0</v>
      </c>
      <c r="T543" s="17">
        <v>17.0</v>
      </c>
      <c r="U543" s="17">
        <v>0.0</v>
      </c>
    </row>
    <row r="544" ht="23.25" customHeight="1">
      <c r="A544" s="20" t="str">
        <f>IF(COUNTIF('Icon Lookup'!C:C,B544)&gt;0,LOOKUP(B544,'Icon Lookup'!C:C,'Icon Lookup'!B:B),"")</f>
        <v/>
      </c>
      <c r="B544" s="21" t="s">
        <v>756</v>
      </c>
      <c r="C544" s="20"/>
      <c r="D544" s="20">
        <v>36.0</v>
      </c>
      <c r="E544" s="20" t="str">
        <f>IMAGE("https://www.serebii.net/itemdex/sprites/softsand.png")</f>
        <v/>
      </c>
      <c r="F544" s="20" t="s">
        <v>98</v>
      </c>
      <c r="G544" s="20" t="s">
        <v>820</v>
      </c>
      <c r="H544" s="23" t="s">
        <v>821</v>
      </c>
      <c r="I544" s="20" t="s">
        <v>822</v>
      </c>
      <c r="J544" s="20">
        <v>0.0</v>
      </c>
      <c r="K544" s="20">
        <v>100.0</v>
      </c>
      <c r="L544" s="20">
        <v>68.0</v>
      </c>
      <c r="M544" s="20">
        <v>0.0</v>
      </c>
      <c r="N544" s="20">
        <v>68.0</v>
      </c>
      <c r="O544" s="20">
        <v>0.0</v>
      </c>
      <c r="P544" s="20">
        <v>0.0</v>
      </c>
      <c r="Q544" s="20">
        <v>23.0</v>
      </c>
      <c r="R544" s="20">
        <v>17.0</v>
      </c>
      <c r="S544" s="20">
        <v>0.0</v>
      </c>
      <c r="T544" s="20">
        <v>17.0</v>
      </c>
      <c r="U544" s="20">
        <v>0.0</v>
      </c>
    </row>
    <row r="545" ht="23.25" customHeight="1">
      <c r="A545" s="24" t="str">
        <f>IF(COUNTIF('Icon Lookup'!C:C,B545)&gt;0,LOOKUP(B545,'Icon Lookup'!C:C,'Icon Lookup'!B:B),"")</f>
        <v/>
      </c>
      <c r="B545" s="25" t="s">
        <v>823</v>
      </c>
      <c r="C545" s="24" t="s">
        <v>804</v>
      </c>
      <c r="D545" s="24">
        <v>39.0</v>
      </c>
      <c r="E545" s="24" t="str">
        <f>IMAGE("https://www.serebii.net/itemdex/sprites/sitrusberry.png")</f>
        <v/>
      </c>
      <c r="F545" s="24" t="s">
        <v>98</v>
      </c>
      <c r="G545" s="17" t="s">
        <v>824</v>
      </c>
      <c r="H545" s="20" t="s">
        <v>825</v>
      </c>
      <c r="I545" s="24" t="s">
        <v>89</v>
      </c>
      <c r="J545" s="24">
        <v>0.0</v>
      </c>
      <c r="K545" s="24">
        <v>0.0</v>
      </c>
      <c r="L545" s="24">
        <v>68.0</v>
      </c>
      <c r="M545" s="24">
        <v>100.0</v>
      </c>
      <c r="N545" s="24">
        <v>68.0</v>
      </c>
      <c r="O545" s="24">
        <v>0.0</v>
      </c>
      <c r="P545" s="24">
        <v>0.0</v>
      </c>
      <c r="Q545" s="24">
        <v>0.0</v>
      </c>
      <c r="R545" s="24">
        <v>17.0</v>
      </c>
      <c r="S545" s="24">
        <v>23.0</v>
      </c>
      <c r="T545" s="24">
        <v>17.0</v>
      </c>
      <c r="U545" s="24">
        <v>0.0</v>
      </c>
    </row>
    <row r="546" ht="23.25" customHeight="1">
      <c r="A546" s="1"/>
      <c r="B546" s="15" t="s">
        <v>826</v>
      </c>
      <c r="C546" s="1" t="s">
        <v>17</v>
      </c>
      <c r="D546" s="1" t="s">
        <v>827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ht="23.25" customHeight="1">
      <c r="A547" s="20" t="str">
        <f>IF(COUNTIF('Icon Lookup'!C:C,B547)&gt;0,LOOKUP(B547,'Icon Lookup'!C:C,'Icon Lookup'!B:B),"")</f>
        <v/>
      </c>
      <c r="B547" s="21" t="s">
        <v>97</v>
      </c>
      <c r="C547" s="20"/>
      <c r="D547" s="20">
        <v>28.0</v>
      </c>
      <c r="E547" s="20" t="s">
        <v>87</v>
      </c>
      <c r="G547" s="22"/>
      <c r="H547" s="23" t="s">
        <v>828</v>
      </c>
      <c r="I547" s="20" t="s">
        <v>89</v>
      </c>
      <c r="J547" s="20">
        <v>0.0</v>
      </c>
      <c r="K547" s="20">
        <v>0.0</v>
      </c>
      <c r="L547" s="20">
        <v>0.0</v>
      </c>
      <c r="M547" s="20">
        <v>0.0</v>
      </c>
      <c r="N547" s="20">
        <v>0.0</v>
      </c>
      <c r="O547" s="20">
        <v>0.0</v>
      </c>
      <c r="P547" s="20">
        <v>0.0</v>
      </c>
      <c r="Q547" s="20">
        <v>0.0</v>
      </c>
      <c r="R547" s="20">
        <v>0.0</v>
      </c>
      <c r="S547" s="20">
        <v>0.0</v>
      </c>
      <c r="T547" s="20">
        <v>0.0</v>
      </c>
      <c r="U547" s="20">
        <v>0.0</v>
      </c>
    </row>
    <row r="548" ht="23.25" customHeight="1">
      <c r="A548" s="17" t="str">
        <f>IF(COUNTIF('Icon Lookup'!C:C,B548)&gt;0,LOOKUP(B548,'Icon Lookup'!C:C,'Icon Lookup'!B:B),"")</f>
        <v/>
      </c>
      <c r="B548" s="18" t="s">
        <v>97</v>
      </c>
      <c r="C548" s="17"/>
      <c r="D548" s="17">
        <v>28.0</v>
      </c>
      <c r="E548" s="17" t="s">
        <v>87</v>
      </c>
      <c r="G548" s="19"/>
      <c r="H548" s="20" t="s">
        <v>829</v>
      </c>
      <c r="I548" s="17" t="s">
        <v>89</v>
      </c>
      <c r="J548" s="17">
        <v>0.0</v>
      </c>
      <c r="K548" s="17">
        <v>0.0</v>
      </c>
      <c r="L548" s="17">
        <v>0.0</v>
      </c>
      <c r="M548" s="17">
        <v>0.0</v>
      </c>
      <c r="N548" s="17">
        <v>0.0</v>
      </c>
      <c r="O548" s="17">
        <v>0.0</v>
      </c>
      <c r="P548" s="17">
        <v>0.0</v>
      </c>
      <c r="Q548" s="17">
        <v>0.0</v>
      </c>
      <c r="R548" s="17">
        <v>0.0</v>
      </c>
      <c r="S548" s="17">
        <v>0.0</v>
      </c>
      <c r="T548" s="17">
        <v>0.0</v>
      </c>
      <c r="U548" s="17">
        <v>0.0</v>
      </c>
    </row>
    <row r="549" ht="23.25" customHeight="1">
      <c r="A549" s="20" t="str">
        <f>IF(COUNTIF('Icon Lookup'!C:C,B549)&gt;0,LOOKUP(B549,'Icon Lookup'!C:C,'Icon Lookup'!B:B),"")</f>
        <v/>
      </c>
      <c r="B549" s="21" t="s">
        <v>97</v>
      </c>
      <c r="C549" s="20"/>
      <c r="D549" s="20">
        <v>28.0</v>
      </c>
      <c r="E549" s="20" t="s">
        <v>87</v>
      </c>
      <c r="G549" s="22"/>
      <c r="H549" s="23" t="s">
        <v>829</v>
      </c>
      <c r="I549" s="20" t="s">
        <v>89</v>
      </c>
      <c r="J549" s="20">
        <v>0.0</v>
      </c>
      <c r="K549" s="20">
        <v>0.0</v>
      </c>
      <c r="L549" s="20">
        <v>0.0</v>
      </c>
      <c r="M549" s="20">
        <v>0.0</v>
      </c>
      <c r="N549" s="20">
        <v>0.0</v>
      </c>
      <c r="O549" s="20">
        <v>0.0</v>
      </c>
      <c r="P549" s="20">
        <v>0.0</v>
      </c>
      <c r="Q549" s="20">
        <v>0.0</v>
      </c>
      <c r="R549" s="20">
        <v>0.0</v>
      </c>
      <c r="S549" s="20">
        <v>0.0</v>
      </c>
      <c r="T549" s="20">
        <v>0.0</v>
      </c>
      <c r="U549" s="20">
        <v>0.0</v>
      </c>
    </row>
    <row r="550" ht="23.25" customHeight="1">
      <c r="A550" s="1"/>
      <c r="B550" s="15" t="s">
        <v>830</v>
      </c>
      <c r="C550" s="1" t="s">
        <v>17</v>
      </c>
      <c r="D550" s="1" t="s">
        <v>831</v>
      </c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ht="23.25" customHeight="1">
      <c r="A551" s="17" t="str">
        <f>IF(COUNTIF('Icon Lookup'!C:C,B551)&gt;0,LOOKUP(B551,'Icon Lookup'!C:C,'Icon Lookup'!B:B),"")</f>
        <v/>
      </c>
      <c r="B551" s="18" t="s">
        <v>97</v>
      </c>
      <c r="C551" s="17"/>
      <c r="D551" s="17">
        <v>31.0</v>
      </c>
      <c r="E551" s="17" t="s">
        <v>87</v>
      </c>
      <c r="G551" s="19"/>
      <c r="H551" s="20" t="s">
        <v>832</v>
      </c>
      <c r="I551" s="17" t="s">
        <v>89</v>
      </c>
      <c r="J551" s="17">
        <v>0.0</v>
      </c>
      <c r="K551" s="17">
        <v>0.0</v>
      </c>
      <c r="L551" s="17">
        <v>0.0</v>
      </c>
      <c r="M551" s="17">
        <v>0.0</v>
      </c>
      <c r="N551" s="17">
        <v>0.0</v>
      </c>
      <c r="O551" s="17">
        <v>0.0</v>
      </c>
      <c r="P551" s="17">
        <v>0.0</v>
      </c>
      <c r="Q551" s="17">
        <v>0.0</v>
      </c>
      <c r="R551" s="17">
        <v>0.0</v>
      </c>
      <c r="S551" s="17">
        <v>0.0</v>
      </c>
      <c r="T551" s="17">
        <v>0.0</v>
      </c>
      <c r="U551" s="17">
        <v>0.0</v>
      </c>
    </row>
    <row r="552" ht="23.25" customHeight="1">
      <c r="A552" s="1"/>
      <c r="B552" s="15" t="s">
        <v>833</v>
      </c>
      <c r="C552" s="1" t="s">
        <v>17</v>
      </c>
      <c r="D552" s="1" t="s">
        <v>834</v>
      </c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ht="23.25" customHeight="1">
      <c r="A553" s="20" t="str">
        <f>IF(COUNTIF('Icon Lookup'!C:C,B553)&gt;0,LOOKUP(B553,'Icon Lookup'!C:C,'Icon Lookup'!B:B),"")</f>
        <v/>
      </c>
      <c r="B553" s="21" t="s">
        <v>275</v>
      </c>
      <c r="C553" s="20"/>
      <c r="D553" s="20">
        <v>40.0</v>
      </c>
      <c r="E553" s="20" t="s">
        <v>91</v>
      </c>
      <c r="G553" s="22"/>
      <c r="H553" s="23" t="s">
        <v>835</v>
      </c>
      <c r="I553" s="20" t="s">
        <v>22</v>
      </c>
      <c r="J553" s="20">
        <v>0.0</v>
      </c>
      <c r="K553" s="20">
        <v>0.0</v>
      </c>
      <c r="L553" s="20">
        <v>0.0</v>
      </c>
      <c r="M553" s="20">
        <v>0.0</v>
      </c>
      <c r="N553" s="20">
        <v>0.0</v>
      </c>
      <c r="O553" s="20">
        <v>0.0</v>
      </c>
      <c r="P553" s="20">
        <v>0.0</v>
      </c>
      <c r="Q553" s="20">
        <v>0.0</v>
      </c>
      <c r="R553" s="20">
        <v>0.0</v>
      </c>
      <c r="S553" s="20">
        <v>0.0</v>
      </c>
      <c r="T553" s="20">
        <v>0.0</v>
      </c>
      <c r="U553" s="20">
        <v>0.0</v>
      </c>
    </row>
    <row r="554" ht="23.25" customHeight="1">
      <c r="A554" s="1"/>
      <c r="B554" s="15" t="s">
        <v>836</v>
      </c>
      <c r="C554" s="1" t="s">
        <v>17</v>
      </c>
      <c r="D554" s="1" t="s">
        <v>837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ht="23.25" customHeight="1">
      <c r="A555" s="17" t="str">
        <f>IF(COUNTIF('Icon Lookup'!C:C,B555)&gt;0,LOOKUP(B555,'Icon Lookup'!C:C,'Icon Lookup'!B:B),"")</f>
        <v/>
      </c>
      <c r="B555" s="18" t="s">
        <v>49</v>
      </c>
      <c r="C555" s="17"/>
      <c r="D555" s="17">
        <v>14.0</v>
      </c>
      <c r="E555" s="17" t="s">
        <v>50</v>
      </c>
      <c r="G555" s="19"/>
      <c r="H555" s="20" t="s">
        <v>838</v>
      </c>
      <c r="I555" s="17" t="s">
        <v>205</v>
      </c>
      <c r="J555" s="17">
        <v>0.0</v>
      </c>
      <c r="K555" s="17">
        <v>0.0</v>
      </c>
      <c r="L555" s="17">
        <v>0.0</v>
      </c>
      <c r="M555" s="17">
        <v>0.0</v>
      </c>
      <c r="N555" s="17">
        <v>0.0</v>
      </c>
      <c r="O555" s="17">
        <v>0.0</v>
      </c>
      <c r="P555" s="17">
        <v>0.0</v>
      </c>
      <c r="Q555" s="17">
        <v>0.0</v>
      </c>
      <c r="R555" s="17">
        <v>0.0</v>
      </c>
      <c r="S555" s="17">
        <v>0.0</v>
      </c>
      <c r="T555" s="17">
        <v>0.0</v>
      </c>
      <c r="U555" s="17">
        <v>0.0</v>
      </c>
    </row>
    <row r="556" ht="23.25" customHeight="1">
      <c r="A556" s="20" t="str">
        <f>IF(COUNTIF('Icon Lookup'!C:C,B556)&gt;0,LOOKUP(B556,'Icon Lookup'!C:C,'Icon Lookup'!B:B),"")</f>
        <v/>
      </c>
      <c r="B556" s="21" t="s">
        <v>49</v>
      </c>
      <c r="C556" s="20"/>
      <c r="D556" s="20">
        <v>13.0</v>
      </c>
      <c r="E556" s="20" t="s">
        <v>50</v>
      </c>
      <c r="G556" s="22"/>
      <c r="H556" s="23" t="s">
        <v>838</v>
      </c>
      <c r="I556" s="20" t="s">
        <v>205</v>
      </c>
      <c r="J556" s="20">
        <v>0.0</v>
      </c>
      <c r="K556" s="20">
        <v>0.0</v>
      </c>
      <c r="L556" s="20">
        <v>0.0</v>
      </c>
      <c r="M556" s="20">
        <v>0.0</v>
      </c>
      <c r="N556" s="20">
        <v>0.0</v>
      </c>
      <c r="O556" s="20">
        <v>0.0</v>
      </c>
      <c r="P556" s="20">
        <v>0.0</v>
      </c>
      <c r="Q556" s="20">
        <v>0.0</v>
      </c>
      <c r="R556" s="20">
        <v>0.0</v>
      </c>
      <c r="S556" s="20">
        <v>0.0</v>
      </c>
      <c r="T556" s="20">
        <v>0.0</v>
      </c>
      <c r="U556" s="20">
        <v>0.0</v>
      </c>
    </row>
    <row r="557" ht="23.25" customHeight="1">
      <c r="A557" s="17" t="str">
        <f>IF(COUNTIF('Icon Lookup'!C:C,B557)&gt;0,LOOKUP(B557,'Icon Lookup'!C:C,'Icon Lookup'!B:B),"")</f>
        <v/>
      </c>
      <c r="B557" s="18" t="s">
        <v>49</v>
      </c>
      <c r="C557" s="17"/>
      <c r="D557" s="17">
        <v>15.0</v>
      </c>
      <c r="E557" s="17" t="s">
        <v>50</v>
      </c>
      <c r="G557" s="19"/>
      <c r="H557" s="20" t="s">
        <v>838</v>
      </c>
      <c r="I557" s="17" t="s">
        <v>205</v>
      </c>
      <c r="J557" s="17">
        <v>0.0</v>
      </c>
      <c r="K557" s="17">
        <v>0.0</v>
      </c>
      <c r="L557" s="17">
        <v>0.0</v>
      </c>
      <c r="M557" s="17">
        <v>0.0</v>
      </c>
      <c r="N557" s="17">
        <v>0.0</v>
      </c>
      <c r="O557" s="17">
        <v>0.0</v>
      </c>
      <c r="P557" s="17">
        <v>0.0</v>
      </c>
      <c r="Q557" s="17">
        <v>0.0</v>
      </c>
      <c r="R557" s="17">
        <v>0.0</v>
      </c>
      <c r="S557" s="17">
        <v>0.0</v>
      </c>
      <c r="T557" s="17">
        <v>0.0</v>
      </c>
      <c r="U557" s="17">
        <v>0.0</v>
      </c>
    </row>
    <row r="558" ht="23.25" customHeight="1">
      <c r="A558" s="1"/>
      <c r="B558" s="15" t="s">
        <v>839</v>
      </c>
      <c r="C558" s="1" t="s">
        <v>17</v>
      </c>
      <c r="D558" s="1" t="s">
        <v>840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ht="23.25" customHeight="1">
      <c r="A559" s="20" t="str">
        <f>IF(COUNTIF('Icon Lookup'!C:C,B559)&gt;0,LOOKUP(B559,'Icon Lookup'!C:C,'Icon Lookup'!B:B),"")</f>
        <v/>
      </c>
      <c r="B559" s="21" t="s">
        <v>810</v>
      </c>
      <c r="C559" s="20"/>
      <c r="D559" s="20">
        <v>17.0</v>
      </c>
      <c r="E559" s="20" t="s">
        <v>267</v>
      </c>
      <c r="G559" s="22"/>
      <c r="H559" s="23" t="s">
        <v>841</v>
      </c>
      <c r="I559" s="20" t="s">
        <v>550</v>
      </c>
      <c r="J559" s="20">
        <v>0.0</v>
      </c>
      <c r="K559" s="20">
        <v>0.0</v>
      </c>
      <c r="L559" s="20">
        <v>0.0</v>
      </c>
      <c r="M559" s="20">
        <v>0.0</v>
      </c>
      <c r="N559" s="20">
        <v>0.0</v>
      </c>
      <c r="O559" s="20">
        <v>0.0</v>
      </c>
      <c r="P559" s="20">
        <v>0.0</v>
      </c>
      <c r="Q559" s="20">
        <v>0.0</v>
      </c>
      <c r="R559" s="20">
        <v>0.0</v>
      </c>
      <c r="S559" s="20">
        <v>0.0</v>
      </c>
      <c r="T559" s="20">
        <v>0.0</v>
      </c>
      <c r="U559" s="20">
        <v>0.0</v>
      </c>
    </row>
    <row r="560" ht="23.25" customHeight="1">
      <c r="A560" s="1"/>
      <c r="B560" s="15" t="s">
        <v>842</v>
      </c>
      <c r="C560" s="1" t="s">
        <v>17</v>
      </c>
      <c r="D560" s="1" t="s">
        <v>843</v>
      </c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ht="23.25" customHeight="1">
      <c r="A561" s="17" t="str">
        <f>IF(COUNTIF('Icon Lookup'!C:C,B561)&gt;0,LOOKUP(B561,'Icon Lookup'!C:C,'Icon Lookup'!B:B),"")</f>
        <v/>
      </c>
      <c r="B561" s="18" t="s">
        <v>293</v>
      </c>
      <c r="C561" s="17"/>
      <c r="D561" s="17">
        <v>53.0</v>
      </c>
      <c r="E561" s="17" t="str">
        <f>IMAGE("https://www.serebii.net/itemdex/sprites/blacksludge.png")</f>
        <v/>
      </c>
      <c r="F561" s="17" t="s">
        <v>61</v>
      </c>
      <c r="G561" s="17" t="s">
        <v>844</v>
      </c>
      <c r="H561" s="20" t="s">
        <v>845</v>
      </c>
      <c r="I561" s="17" t="s">
        <v>205</v>
      </c>
      <c r="J561" s="17">
        <v>252.0</v>
      </c>
      <c r="K561" s="17">
        <v>0.0</v>
      </c>
      <c r="L561" s="17">
        <v>12.0</v>
      </c>
      <c r="M561" s="17">
        <v>12.0</v>
      </c>
      <c r="N561" s="17">
        <v>12.0</v>
      </c>
      <c r="O561" s="17">
        <v>12.0</v>
      </c>
      <c r="P561" s="17">
        <v>31.0</v>
      </c>
      <c r="Q561" s="17">
        <v>0.0</v>
      </c>
      <c r="R561" s="17">
        <v>21.0</v>
      </c>
      <c r="S561" s="17">
        <v>21.0</v>
      </c>
      <c r="T561" s="17">
        <v>21.0</v>
      </c>
      <c r="U561" s="17">
        <v>31.0</v>
      </c>
    </row>
    <row r="562" ht="23.25" customHeight="1">
      <c r="A562" s="20" t="str">
        <f>IF(COUNTIF('Icon Lookup'!C:C,B562)&gt;0,LOOKUP(B562,'Icon Lookup'!C:C,'Icon Lookup'!B:B),"")</f>
        <v/>
      </c>
      <c r="B562" s="21" t="s">
        <v>687</v>
      </c>
      <c r="C562" s="20"/>
      <c r="D562" s="20">
        <v>53.0</v>
      </c>
      <c r="E562" s="20" t="str">
        <f>IMAGE("https://www.serebii.net/itemdex/sprites/wiseglasses.png")</f>
        <v/>
      </c>
      <c r="F562" s="20" t="s">
        <v>258</v>
      </c>
      <c r="G562" s="20" t="s">
        <v>846</v>
      </c>
      <c r="H562" s="23" t="s">
        <v>847</v>
      </c>
      <c r="I562" s="20" t="s">
        <v>612</v>
      </c>
      <c r="J562" s="20">
        <v>12.0</v>
      </c>
      <c r="K562" s="20">
        <v>0.0</v>
      </c>
      <c r="L562" s="20">
        <v>12.0</v>
      </c>
      <c r="M562" s="20">
        <v>60.0</v>
      </c>
      <c r="N562" s="20">
        <v>12.0</v>
      </c>
      <c r="O562" s="20">
        <v>204.0</v>
      </c>
      <c r="P562" s="20">
        <v>21.0</v>
      </c>
      <c r="Q562" s="20">
        <v>0.0</v>
      </c>
      <c r="R562" s="20">
        <v>21.0</v>
      </c>
      <c r="S562" s="20">
        <v>31.0</v>
      </c>
      <c r="T562" s="20">
        <v>21.0</v>
      </c>
      <c r="U562" s="20">
        <v>31.0</v>
      </c>
    </row>
    <row r="563" ht="23.25" customHeight="1">
      <c r="A563" s="17" t="str">
        <f>IF(COUNTIF('Icon Lookup'!C:C,B563)&gt;0,LOOKUP(B563,'Icon Lookup'!C:C,'Icon Lookup'!B:B),"")</f>
        <v/>
      </c>
      <c r="B563" s="18" t="s">
        <v>848</v>
      </c>
      <c r="C563" s="17"/>
      <c r="D563" s="17">
        <v>54.0</v>
      </c>
      <c r="E563" s="17" t="str">
        <f>IMAGE("https://www.serebii.net/itemdex/sprites/sitrusberry.png")</f>
        <v/>
      </c>
      <c r="F563" s="17" t="s">
        <v>849</v>
      </c>
      <c r="G563" s="17" t="s">
        <v>824</v>
      </c>
      <c r="H563" s="20" t="s">
        <v>850</v>
      </c>
      <c r="I563" s="17" t="s">
        <v>550</v>
      </c>
      <c r="J563" s="17">
        <v>252.0</v>
      </c>
      <c r="K563" s="17">
        <v>0.0</v>
      </c>
      <c r="L563" s="17">
        <v>0.0</v>
      </c>
      <c r="M563" s="17">
        <v>0.0</v>
      </c>
      <c r="N563" s="17">
        <v>0.0</v>
      </c>
      <c r="O563" s="17">
        <v>0.0</v>
      </c>
      <c r="P563" s="17">
        <v>31.0</v>
      </c>
      <c r="Q563" s="17">
        <v>31.0</v>
      </c>
      <c r="R563" s="17">
        <v>31.0</v>
      </c>
      <c r="S563" s="17">
        <v>0.0</v>
      </c>
      <c r="T563" s="17">
        <v>31.0</v>
      </c>
      <c r="U563" s="17">
        <v>31.0</v>
      </c>
    </row>
    <row r="564" ht="23.25" customHeight="1">
      <c r="A564" s="20" t="str">
        <f>IF(COUNTIF('Icon Lookup'!C:C,B564)&gt;0,LOOKUP(B564,'Icon Lookup'!C:C,'Icon Lookup'!B:B),"")</f>
        <v/>
      </c>
      <c r="B564" s="21" t="s">
        <v>851</v>
      </c>
      <c r="C564" s="20"/>
      <c r="D564" s="20">
        <v>54.0</v>
      </c>
      <c r="E564" s="20" t="str">
        <f>IMAGE("https://www.serebii.net/itemdex/sprites/flameorb.png")</f>
        <v/>
      </c>
      <c r="F564" s="20" t="s">
        <v>276</v>
      </c>
      <c r="G564" s="20" t="s">
        <v>852</v>
      </c>
      <c r="H564" s="23" t="s">
        <v>853</v>
      </c>
      <c r="I564" s="20" t="s">
        <v>22</v>
      </c>
      <c r="J564" s="20">
        <v>12.0</v>
      </c>
      <c r="K564" s="20">
        <v>60.0</v>
      </c>
      <c r="L564" s="20">
        <v>12.0</v>
      </c>
      <c r="M564" s="20">
        <v>0.0</v>
      </c>
      <c r="N564" s="20">
        <v>12.0</v>
      </c>
      <c r="O564" s="20">
        <v>204.0</v>
      </c>
      <c r="P564" s="20">
        <v>21.0</v>
      </c>
      <c r="Q564" s="20">
        <v>31.0</v>
      </c>
      <c r="R564" s="20">
        <v>21.0</v>
      </c>
      <c r="S564" s="20">
        <v>0.0</v>
      </c>
      <c r="T564" s="20">
        <v>21.0</v>
      </c>
      <c r="U564" s="20">
        <v>31.0</v>
      </c>
    </row>
    <row r="565" ht="23.25" customHeight="1">
      <c r="A565" s="24" t="str">
        <f>IF(COUNTIF('Icon Lookup'!C:C,B565)&gt;0,LOOKUP(B565,'Icon Lookup'!C:C,'Icon Lookup'!B:B),"")</f>
        <v/>
      </c>
      <c r="B565" s="25" t="s">
        <v>854</v>
      </c>
      <c r="C565" s="24" t="s">
        <v>804</v>
      </c>
      <c r="D565" s="24">
        <v>57.0</v>
      </c>
      <c r="E565" s="24" t="str">
        <f>IMAGE("https://www.serebii.net/itemdex/sprites/scopelens.png")</f>
        <v/>
      </c>
      <c r="F565" s="24" t="s">
        <v>557</v>
      </c>
      <c r="G565" s="17" t="s">
        <v>855</v>
      </c>
      <c r="H565" s="20" t="s">
        <v>856</v>
      </c>
      <c r="I565" s="24" t="s">
        <v>22</v>
      </c>
      <c r="J565" s="24">
        <v>12.0</v>
      </c>
      <c r="K565" s="24">
        <v>60.0</v>
      </c>
      <c r="L565" s="24">
        <v>0.0</v>
      </c>
      <c r="M565" s="24">
        <v>0.0</v>
      </c>
      <c r="N565" s="24">
        <v>0.0</v>
      </c>
      <c r="O565" s="24">
        <v>204.0</v>
      </c>
      <c r="P565" s="24">
        <v>31.0</v>
      </c>
      <c r="Q565" s="24">
        <v>31.0</v>
      </c>
      <c r="R565" s="24">
        <v>31.0</v>
      </c>
      <c r="S565" s="24">
        <v>0.0</v>
      </c>
      <c r="T565" s="24">
        <v>31.0</v>
      </c>
      <c r="U565" s="24">
        <v>31.0</v>
      </c>
    </row>
    <row r="566" ht="23.25" customHeight="1">
      <c r="A566" s="1"/>
      <c r="B566" s="15" t="s">
        <v>857</v>
      </c>
      <c r="C566" s="1" t="s">
        <v>17</v>
      </c>
      <c r="D566" s="1" t="s">
        <v>858</v>
      </c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ht="23.25" customHeight="1">
      <c r="A567" s="20" t="str">
        <f>IF(COUNTIF('Icon Lookup'!C:C,B567)&gt;0,LOOKUP(B567,'Icon Lookup'!C:C,'Icon Lookup'!B:B),"")</f>
        <v/>
      </c>
      <c r="B567" s="21" t="s">
        <v>643</v>
      </c>
      <c r="C567" s="20"/>
      <c r="D567" s="20">
        <v>55.0</v>
      </c>
      <c r="E567" s="20" t="str">
        <f>IMAGE("https://www.serebii.net/itemdex/sprites/leftovers.png")</f>
        <v/>
      </c>
      <c r="F567" s="20" t="s">
        <v>525</v>
      </c>
      <c r="G567" s="20" t="s">
        <v>859</v>
      </c>
      <c r="H567" s="23" t="s">
        <v>860</v>
      </c>
      <c r="I567" s="20" t="s">
        <v>211</v>
      </c>
      <c r="J567" s="20">
        <v>12.0</v>
      </c>
      <c r="K567" s="20">
        <v>0.0</v>
      </c>
      <c r="L567" s="20">
        <v>252.0</v>
      </c>
      <c r="M567" s="20">
        <v>12.0</v>
      </c>
      <c r="N567" s="20">
        <v>12.0</v>
      </c>
      <c r="O567" s="20">
        <v>12.0</v>
      </c>
      <c r="P567" s="20">
        <v>23.0</v>
      </c>
      <c r="Q567" s="20">
        <v>31.0</v>
      </c>
      <c r="R567" s="20">
        <v>31.0</v>
      </c>
      <c r="S567" s="20">
        <v>0.0</v>
      </c>
      <c r="T567" s="20">
        <v>13.0</v>
      </c>
      <c r="U567" s="20">
        <v>31.0</v>
      </c>
    </row>
    <row r="568" ht="23.25" customHeight="1">
      <c r="A568" s="17" t="str">
        <f>IF(COUNTIF('Icon Lookup'!C:C,B568)&gt;0,LOOKUP(B568,'Icon Lookup'!C:C,'Icon Lookup'!B:B),"")</f>
        <v/>
      </c>
      <c r="B568" s="18" t="s">
        <v>488</v>
      </c>
      <c r="C568" s="17"/>
      <c r="D568" s="17">
        <v>56.0</v>
      </c>
      <c r="E568" s="17" t="str">
        <f>IMAGE("https://www.serebii.net/itemdex/sprites/sitrusberry.png")</f>
        <v/>
      </c>
      <c r="F568" s="17" t="s">
        <v>87</v>
      </c>
      <c r="G568" s="17" t="s">
        <v>824</v>
      </c>
      <c r="H568" s="20" t="s">
        <v>861</v>
      </c>
      <c r="I568" s="17" t="s">
        <v>550</v>
      </c>
      <c r="J568" s="17">
        <v>0.0</v>
      </c>
      <c r="K568" s="17">
        <v>252.0</v>
      </c>
      <c r="L568" s="17">
        <v>12.0</v>
      </c>
      <c r="M568" s="17">
        <v>0.0</v>
      </c>
      <c r="N568" s="17">
        <v>12.0</v>
      </c>
      <c r="O568" s="17">
        <v>12.0</v>
      </c>
      <c r="P568" s="17">
        <v>21.0</v>
      </c>
      <c r="Q568" s="17">
        <v>31.0</v>
      </c>
      <c r="R568" s="17">
        <v>31.0</v>
      </c>
      <c r="S568" s="17">
        <v>0.0</v>
      </c>
      <c r="T568" s="17">
        <v>11.0</v>
      </c>
      <c r="U568" s="17">
        <v>31.0</v>
      </c>
    </row>
    <row r="569" ht="23.25" customHeight="1">
      <c r="A569" s="20" t="str">
        <f>IF(COUNTIF('Icon Lookup'!C:C,B569)&gt;0,LOOKUP(B569,'Icon Lookup'!C:C,'Icon Lookup'!B:B),"")</f>
        <v/>
      </c>
      <c r="B569" s="21" t="s">
        <v>735</v>
      </c>
      <c r="C569" s="20"/>
      <c r="D569" s="20">
        <v>56.0</v>
      </c>
      <c r="E569" s="20" t="str">
        <f>IMAGE("https://www.serebii.net/itemdex/sprites/softsand.png")</f>
        <v/>
      </c>
      <c r="F569" s="20" t="s">
        <v>98</v>
      </c>
      <c r="G569" s="20" t="s">
        <v>820</v>
      </c>
      <c r="H569" s="23" t="s">
        <v>862</v>
      </c>
      <c r="I569" s="20" t="s">
        <v>22</v>
      </c>
      <c r="J569" s="20">
        <v>12.0</v>
      </c>
      <c r="K569" s="20">
        <v>60.0</v>
      </c>
      <c r="L569" s="20">
        <v>12.0</v>
      </c>
      <c r="M569" s="20">
        <v>0.0</v>
      </c>
      <c r="N569" s="20">
        <v>12.0</v>
      </c>
      <c r="O569" s="20">
        <v>204.0</v>
      </c>
      <c r="P569" s="20">
        <v>21.0</v>
      </c>
      <c r="Q569" s="20">
        <v>31.0</v>
      </c>
      <c r="R569" s="20">
        <v>21.0</v>
      </c>
      <c r="S569" s="20">
        <v>0.0</v>
      </c>
      <c r="T569" s="20">
        <v>21.0</v>
      </c>
      <c r="U569" s="20">
        <v>31.0</v>
      </c>
    </row>
    <row r="570" ht="23.25" customHeight="1">
      <c r="A570" s="17" t="str">
        <f>IF(COUNTIF('Icon Lookup'!C:C,B570)&gt;0,LOOKUP(B570,'Icon Lookup'!C:C,'Icon Lookup'!B:B),"")</f>
        <v/>
      </c>
      <c r="B570" s="18" t="s">
        <v>568</v>
      </c>
      <c r="C570" s="17"/>
      <c r="D570" s="17">
        <v>55.0</v>
      </c>
      <c r="E570" s="17" t="str">
        <f>IMAGE("https://www.serebii.net/itemdex/sprites/rindoberry.png")</f>
        <v/>
      </c>
      <c r="F570" s="17" t="s">
        <v>641</v>
      </c>
      <c r="G570" s="17" t="s">
        <v>863</v>
      </c>
      <c r="H570" s="20" t="s">
        <v>864</v>
      </c>
      <c r="I570" s="17" t="s">
        <v>612</v>
      </c>
      <c r="J570" s="17">
        <v>12.0</v>
      </c>
      <c r="K570" s="17">
        <v>12.0</v>
      </c>
      <c r="L570" s="17">
        <v>12.0</v>
      </c>
      <c r="M570" s="17">
        <v>252.0</v>
      </c>
      <c r="N570" s="17">
        <v>12.0</v>
      </c>
      <c r="O570" s="17">
        <v>0.0</v>
      </c>
      <c r="P570" s="17">
        <v>21.0</v>
      </c>
      <c r="Q570" s="17">
        <v>31.0</v>
      </c>
      <c r="R570" s="17">
        <v>21.0</v>
      </c>
      <c r="S570" s="17">
        <v>31.0</v>
      </c>
      <c r="T570" s="17">
        <v>21.0</v>
      </c>
      <c r="U570" s="17">
        <v>0.0</v>
      </c>
    </row>
    <row r="571" ht="23.25" customHeight="1">
      <c r="A571" s="24" t="str">
        <f>IF(COUNTIF('Icon Lookup'!C:C,B571)&gt;0,LOOKUP(B571,'Icon Lookup'!C:C,'Icon Lookup'!B:B),"")</f>
        <v/>
      </c>
      <c r="B571" s="25" t="s">
        <v>743</v>
      </c>
      <c r="C571" s="24" t="s">
        <v>804</v>
      </c>
      <c r="D571" s="24">
        <v>59.0</v>
      </c>
      <c r="E571" s="24" t="str">
        <f>IMAGE("https://www.serebii.net/itemdex/sprites/chestoberry.png")</f>
        <v/>
      </c>
      <c r="F571" s="24" t="s">
        <v>511</v>
      </c>
      <c r="G571" s="20" t="s">
        <v>865</v>
      </c>
      <c r="H571" s="23" t="s">
        <v>866</v>
      </c>
      <c r="I571" s="24" t="s">
        <v>550</v>
      </c>
      <c r="J571" s="24">
        <v>12.0</v>
      </c>
      <c r="K571" s="24">
        <v>252.0</v>
      </c>
      <c r="L571" s="24">
        <v>0.0</v>
      </c>
      <c r="M571" s="24">
        <v>0.0</v>
      </c>
      <c r="N571" s="24">
        <v>0.0</v>
      </c>
      <c r="O571" s="24">
        <v>0.0</v>
      </c>
      <c r="P571" s="24">
        <v>31.0</v>
      </c>
      <c r="Q571" s="24">
        <v>31.0</v>
      </c>
      <c r="R571" s="24">
        <v>31.0</v>
      </c>
      <c r="S571" s="24">
        <v>0.0</v>
      </c>
      <c r="T571" s="24">
        <v>31.0</v>
      </c>
      <c r="U571" s="24">
        <v>31.0</v>
      </c>
    </row>
    <row r="572" ht="23.25" customHeight="1">
      <c r="A572" s="1"/>
      <c r="B572" s="15" t="s">
        <v>867</v>
      </c>
      <c r="C572" s="1" t="s">
        <v>17</v>
      </c>
      <c r="D572" s="1" t="s">
        <v>868</v>
      </c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ht="23.25" customHeight="1">
      <c r="A573" s="17" t="str">
        <f>IF(COUNTIF('Icon Lookup'!C:C,B573)&gt;0,LOOKUP(B573,'Icon Lookup'!C:C,'Icon Lookup'!B:B),"")</f>
        <v/>
      </c>
      <c r="B573" s="18" t="s">
        <v>710</v>
      </c>
      <c r="C573" s="17"/>
      <c r="D573" s="17">
        <v>58.0</v>
      </c>
      <c r="E573" s="17" t="str">
        <f>IMAGE("https://www.serebii.net/itemdex/sprites/widelens.png")</f>
        <v/>
      </c>
      <c r="F573" s="17" t="s">
        <v>869</v>
      </c>
      <c r="G573" s="17" t="s">
        <v>870</v>
      </c>
      <c r="H573" s="20" t="s">
        <v>871</v>
      </c>
      <c r="I573" s="17" t="s">
        <v>22</v>
      </c>
      <c r="J573" s="17">
        <v>12.0</v>
      </c>
      <c r="K573" s="17">
        <v>60.0</v>
      </c>
      <c r="L573" s="17">
        <v>12.0</v>
      </c>
      <c r="M573" s="17">
        <v>0.0</v>
      </c>
      <c r="N573" s="17">
        <v>12.0</v>
      </c>
      <c r="O573" s="17">
        <v>204.0</v>
      </c>
      <c r="P573" s="17">
        <v>25.0</v>
      </c>
      <c r="Q573" s="17">
        <v>31.0</v>
      </c>
      <c r="R573" s="17">
        <v>25.0</v>
      </c>
      <c r="S573" s="17">
        <v>0.0</v>
      </c>
      <c r="T573" s="17">
        <v>25.0</v>
      </c>
      <c r="U573" s="17">
        <v>31.0</v>
      </c>
    </row>
    <row r="574" ht="23.25" customHeight="1">
      <c r="A574" s="20" t="str">
        <f>IF(COUNTIF('Icon Lookup'!C:C,B574)&gt;0,LOOKUP(B574,'Icon Lookup'!C:C,'Icon Lookup'!B:B),"")</f>
        <v/>
      </c>
      <c r="B574" s="21" t="s">
        <v>756</v>
      </c>
      <c r="C574" s="20"/>
      <c r="D574" s="20">
        <v>57.0</v>
      </c>
      <c r="E574" s="20" t="str">
        <f>IMAGE("https://www.serebii.net/itemdex/sprites/lifeorb.png")</f>
        <v/>
      </c>
      <c r="F574" s="20" t="s">
        <v>872</v>
      </c>
      <c r="G574" s="20" t="s">
        <v>873</v>
      </c>
      <c r="H574" s="23" t="s">
        <v>874</v>
      </c>
      <c r="I574" s="20" t="s">
        <v>550</v>
      </c>
      <c r="J574" s="20">
        <v>12.0</v>
      </c>
      <c r="K574" s="20">
        <v>252.0</v>
      </c>
      <c r="L574" s="20">
        <v>0.0</v>
      </c>
      <c r="M574" s="20">
        <v>12.0</v>
      </c>
      <c r="N574" s="20">
        <v>12.0</v>
      </c>
      <c r="O574" s="20">
        <v>0.0</v>
      </c>
      <c r="P574" s="20">
        <v>31.0</v>
      </c>
      <c r="Q574" s="20">
        <v>31.0</v>
      </c>
      <c r="R574" s="20">
        <v>31.0</v>
      </c>
      <c r="S574" s="20">
        <v>0.0</v>
      </c>
      <c r="T574" s="20">
        <v>31.0</v>
      </c>
      <c r="U574" s="20">
        <v>31.0</v>
      </c>
    </row>
    <row r="575" ht="23.25" customHeight="1">
      <c r="A575" s="17" t="str">
        <f>IF(COUNTIF('Icon Lookup'!C:C,B575)&gt;0,LOOKUP(B575,'Icon Lookup'!C:C,'Icon Lookup'!B:B),"")</f>
        <v/>
      </c>
      <c r="B575" s="18" t="s">
        <v>875</v>
      </c>
      <c r="C575" s="17"/>
      <c r="D575" s="17">
        <v>58.0</v>
      </c>
      <c r="E575" s="17" t="str">
        <f>IMAGE("https://www.serebii.net/itemdex/sprites/sitrusberry.png")</f>
        <v/>
      </c>
      <c r="F575" s="17" t="s">
        <v>876</v>
      </c>
      <c r="G575" s="17" t="s">
        <v>824</v>
      </c>
      <c r="H575" s="20" t="s">
        <v>877</v>
      </c>
      <c r="I575" s="17" t="s">
        <v>52</v>
      </c>
      <c r="J575" s="17">
        <v>12.0</v>
      </c>
      <c r="K575" s="17">
        <v>60.0</v>
      </c>
      <c r="L575" s="17">
        <v>12.0</v>
      </c>
      <c r="M575" s="17">
        <v>0.0</v>
      </c>
      <c r="N575" s="17">
        <v>12.0</v>
      </c>
      <c r="O575" s="17">
        <v>204.0</v>
      </c>
      <c r="P575" s="17">
        <v>31.0</v>
      </c>
      <c r="Q575" s="17">
        <v>0.0</v>
      </c>
      <c r="R575" s="17">
        <v>31.0</v>
      </c>
      <c r="S575" s="17">
        <v>0.0</v>
      </c>
      <c r="T575" s="17">
        <v>31.0</v>
      </c>
      <c r="U575" s="17">
        <v>31.0</v>
      </c>
    </row>
    <row r="576" ht="23.25" customHeight="1">
      <c r="A576" s="20" t="str">
        <f>IF(COUNTIF('Icon Lookup'!C:C,B576)&gt;0,LOOKUP(B576,'Icon Lookup'!C:C,'Icon Lookup'!B:B),"")</f>
        <v/>
      </c>
      <c r="B576" s="21" t="s">
        <v>482</v>
      </c>
      <c r="C576" s="20"/>
      <c r="D576" s="20">
        <v>57.0</v>
      </c>
      <c r="E576" s="20" t="str">
        <f>IMAGE("https://www.serebii.net/itemdex/sprites/leftovers.png")</f>
        <v/>
      </c>
      <c r="F576" s="20" t="s">
        <v>218</v>
      </c>
      <c r="G576" s="20" t="s">
        <v>859</v>
      </c>
      <c r="H576" s="23" t="s">
        <v>878</v>
      </c>
      <c r="I576" s="20" t="s">
        <v>22</v>
      </c>
      <c r="J576" s="20">
        <v>252.0</v>
      </c>
      <c r="K576" s="20">
        <v>0.0</v>
      </c>
      <c r="L576" s="20">
        <v>0.0</v>
      </c>
      <c r="M576" s="20">
        <v>0.0</v>
      </c>
      <c r="N576" s="20">
        <v>0.0</v>
      </c>
      <c r="O576" s="20">
        <v>0.0</v>
      </c>
      <c r="P576" s="20">
        <v>31.0</v>
      </c>
      <c r="Q576" s="20">
        <v>31.0</v>
      </c>
      <c r="R576" s="20">
        <v>31.0</v>
      </c>
      <c r="S576" s="20">
        <v>0.0</v>
      </c>
      <c r="T576" s="20">
        <v>31.0</v>
      </c>
      <c r="U576" s="20">
        <v>31.0</v>
      </c>
    </row>
    <row r="577" ht="23.25" customHeight="1">
      <c r="A577" s="24" t="str">
        <f>IF(COUNTIF('Icon Lookup'!C:C,B577)&gt;0,LOOKUP(B577,'Icon Lookup'!C:C,'Icon Lookup'!B:B),"")</f>
        <v/>
      </c>
      <c r="B577" s="25" t="s">
        <v>879</v>
      </c>
      <c r="C577" s="24" t="s">
        <v>804</v>
      </c>
      <c r="D577" s="24">
        <v>61.0</v>
      </c>
      <c r="E577" s="24" t="str">
        <f>IMAGE("https://www.serebii.net/itemdex/sprites/focussash.png")</f>
        <v/>
      </c>
      <c r="F577" s="24" t="s">
        <v>880</v>
      </c>
      <c r="G577" s="17" t="s">
        <v>881</v>
      </c>
      <c r="H577" s="20" t="s">
        <v>882</v>
      </c>
      <c r="I577" s="24" t="s">
        <v>22</v>
      </c>
      <c r="J577" s="24">
        <v>12.0</v>
      </c>
      <c r="K577" s="24">
        <v>60.0</v>
      </c>
      <c r="L577" s="24">
        <v>0.0</v>
      </c>
      <c r="M577" s="24">
        <v>0.0</v>
      </c>
      <c r="N577" s="24">
        <v>0.0</v>
      </c>
      <c r="O577" s="24">
        <v>204.0</v>
      </c>
      <c r="P577" s="24">
        <v>31.0</v>
      </c>
      <c r="Q577" s="24">
        <v>31.0</v>
      </c>
      <c r="R577" s="24">
        <v>31.0</v>
      </c>
      <c r="S577" s="24">
        <v>0.0</v>
      </c>
      <c r="T577" s="24">
        <v>31.0</v>
      </c>
      <c r="U577" s="24">
        <v>31.0</v>
      </c>
    </row>
    <row r="578" ht="23.25" customHeight="1">
      <c r="A578" s="1"/>
      <c r="B578" s="15" t="s">
        <v>883</v>
      </c>
      <c r="C578" s="1" t="s">
        <v>17</v>
      </c>
      <c r="D578" s="1" t="s">
        <v>884</v>
      </c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ht="23.25" customHeight="1">
      <c r="A579" s="20" t="str">
        <f>IF(COUNTIF('Icon Lookup'!C:C,B579)&gt;0,LOOKUP(B579,'Icon Lookup'!C:C,'Icon Lookup'!B:B),"")</f>
        <v/>
      </c>
      <c r="B579" s="21" t="s">
        <v>476</v>
      </c>
      <c r="C579" s="20"/>
      <c r="D579" s="20">
        <v>59.0</v>
      </c>
      <c r="E579" s="20" t="str">
        <f>IMAGE("https://www.serebii.net/itemdex/sprites/lightclay.png")</f>
        <v/>
      </c>
      <c r="F579" s="20" t="s">
        <v>203</v>
      </c>
      <c r="G579" s="20" t="s">
        <v>885</v>
      </c>
      <c r="H579" s="23" t="s">
        <v>886</v>
      </c>
      <c r="I579" s="20" t="s">
        <v>205</v>
      </c>
      <c r="J579" s="20">
        <v>252.0</v>
      </c>
      <c r="K579" s="20">
        <v>0.0</v>
      </c>
      <c r="L579" s="20">
        <v>12.0</v>
      </c>
      <c r="M579" s="20">
        <v>12.0</v>
      </c>
      <c r="N579" s="20">
        <v>12.0</v>
      </c>
      <c r="O579" s="20">
        <v>12.0</v>
      </c>
      <c r="P579" s="20">
        <v>31.0</v>
      </c>
      <c r="Q579" s="20">
        <v>0.0</v>
      </c>
      <c r="R579" s="20">
        <v>31.0</v>
      </c>
      <c r="S579" s="20">
        <v>31.0</v>
      </c>
      <c r="T579" s="20">
        <v>31.0</v>
      </c>
      <c r="U579" s="20">
        <v>31.0</v>
      </c>
    </row>
    <row r="580" ht="23.25" customHeight="1">
      <c r="A580" s="17" t="str">
        <f>IF(COUNTIF('Icon Lookup'!C:C,B580)&gt;0,LOOKUP(B580,'Icon Lookup'!C:C,'Icon Lookup'!B:B),"")</f>
        <v/>
      </c>
      <c r="B580" s="18" t="s">
        <v>273</v>
      </c>
      <c r="C580" s="17"/>
      <c r="D580" s="17">
        <v>59.0</v>
      </c>
      <c r="E580" s="17" t="str">
        <f>IMAGE("https://www.serebii.net/itemdex/sprites/mentalherb.png")</f>
        <v/>
      </c>
      <c r="F580" s="17" t="s">
        <v>887</v>
      </c>
      <c r="G580" s="17" t="s">
        <v>888</v>
      </c>
      <c r="H580" s="20" t="s">
        <v>889</v>
      </c>
      <c r="I580" s="17" t="s">
        <v>105</v>
      </c>
      <c r="J580" s="17">
        <v>252.0</v>
      </c>
      <c r="K580" s="17">
        <v>0.0</v>
      </c>
      <c r="L580" s="17">
        <v>12.0</v>
      </c>
      <c r="M580" s="17">
        <v>12.0</v>
      </c>
      <c r="N580" s="17">
        <v>12.0</v>
      </c>
      <c r="O580" s="17">
        <v>0.0</v>
      </c>
      <c r="P580" s="17">
        <v>31.0</v>
      </c>
      <c r="Q580" s="17">
        <v>0.0</v>
      </c>
      <c r="R580" s="17">
        <v>31.0</v>
      </c>
      <c r="S580" s="17">
        <v>31.0</v>
      </c>
      <c r="T580" s="17">
        <v>31.0</v>
      </c>
      <c r="U580" s="17">
        <v>0.0</v>
      </c>
    </row>
    <row r="581" ht="23.25" customHeight="1">
      <c r="A581" s="20" t="str">
        <f>IF(COUNTIF('Icon Lookup'!C:C,B581)&gt;0,LOOKUP(B581,'Icon Lookup'!C:C,'Icon Lookup'!B:B),"")</f>
        <v/>
      </c>
      <c r="B581" s="21" t="s">
        <v>582</v>
      </c>
      <c r="C581" s="20"/>
      <c r="D581" s="20">
        <v>60.0</v>
      </c>
      <c r="E581" s="20" t="str">
        <f>IMAGE("https://www.serebii.net/itemdex/sprites/muscleband.png")</f>
        <v/>
      </c>
      <c r="F581" s="20" t="s">
        <v>166</v>
      </c>
      <c r="G581" s="20" t="s">
        <v>890</v>
      </c>
      <c r="H581" s="23" t="s">
        <v>891</v>
      </c>
      <c r="I581" s="20" t="s">
        <v>822</v>
      </c>
      <c r="J581" s="20">
        <v>0.0</v>
      </c>
      <c r="K581" s="20">
        <v>252.0</v>
      </c>
      <c r="L581" s="20">
        <v>0.0</v>
      </c>
      <c r="M581" s="20">
        <v>0.0</v>
      </c>
      <c r="N581" s="20">
        <v>0.0</v>
      </c>
      <c r="O581" s="20">
        <v>0.0</v>
      </c>
      <c r="P581" s="20">
        <v>31.0</v>
      </c>
      <c r="Q581" s="20">
        <v>31.0</v>
      </c>
      <c r="R581" s="20">
        <v>31.0</v>
      </c>
      <c r="S581" s="20">
        <v>0.0</v>
      </c>
      <c r="T581" s="20">
        <v>31.0</v>
      </c>
      <c r="U581" s="20">
        <v>0.0</v>
      </c>
    </row>
    <row r="582" ht="23.25" customHeight="1">
      <c r="A582" s="17" t="str">
        <f>IF(COUNTIF('Icon Lookup'!C:C,B582)&gt;0,LOOKUP(B582,'Icon Lookup'!C:C,'Icon Lookup'!B:B),"")</f>
        <v/>
      </c>
      <c r="B582" s="18" t="s">
        <v>765</v>
      </c>
      <c r="C582" s="17"/>
      <c r="D582" s="17">
        <v>60.0</v>
      </c>
      <c r="E582" s="17" t="str">
        <f>IMAGE("https://www.serebii.net/itemdex/sprites/lifeorb.png")</f>
        <v/>
      </c>
      <c r="F582" s="17" t="s">
        <v>253</v>
      </c>
      <c r="G582" s="17" t="s">
        <v>873</v>
      </c>
      <c r="H582" s="20" t="s">
        <v>892</v>
      </c>
      <c r="I582" s="17" t="s">
        <v>52</v>
      </c>
      <c r="J582" s="17">
        <v>0.0</v>
      </c>
      <c r="K582" s="17">
        <v>0.0</v>
      </c>
      <c r="L582" s="17">
        <v>0.0</v>
      </c>
      <c r="M582" s="17">
        <v>0.0</v>
      </c>
      <c r="N582" s="17">
        <v>0.0</v>
      </c>
      <c r="O582" s="17">
        <v>252.0</v>
      </c>
      <c r="P582" s="17">
        <v>31.0</v>
      </c>
      <c r="Q582" s="17">
        <v>0.0</v>
      </c>
      <c r="R582" s="17">
        <v>31.0</v>
      </c>
      <c r="S582" s="17">
        <v>31.0</v>
      </c>
      <c r="T582" s="17">
        <v>31.0</v>
      </c>
      <c r="U582" s="17">
        <v>31.0</v>
      </c>
    </row>
    <row r="583" ht="23.25" customHeight="1">
      <c r="A583" s="24" t="str">
        <f>IF(COUNTIF('Icon Lookup'!C:C,B583)&gt;0,LOOKUP(B583,'Icon Lookup'!C:C,'Icon Lookup'!B:B),"")</f>
        <v/>
      </c>
      <c r="B583" s="25" t="s">
        <v>893</v>
      </c>
      <c r="C583" s="24" t="s">
        <v>804</v>
      </c>
      <c r="D583" s="24">
        <v>63.0</v>
      </c>
      <c r="E583" s="24" t="str">
        <f>IMAGE("https://www.serebii.net/itemdex/sprites/sitrusberry.png")</f>
        <v/>
      </c>
      <c r="F583" s="24" t="s">
        <v>161</v>
      </c>
      <c r="G583" s="20" t="s">
        <v>824</v>
      </c>
      <c r="H583" s="23" t="s">
        <v>894</v>
      </c>
      <c r="I583" s="24" t="s">
        <v>822</v>
      </c>
      <c r="J583" s="24">
        <v>12.0</v>
      </c>
      <c r="K583" s="24">
        <v>252.0</v>
      </c>
      <c r="L583" s="24">
        <v>0.0</v>
      </c>
      <c r="M583" s="24">
        <v>0.0</v>
      </c>
      <c r="N583" s="24">
        <v>0.0</v>
      </c>
      <c r="O583" s="24">
        <v>0.0</v>
      </c>
      <c r="P583" s="24">
        <v>31.0</v>
      </c>
      <c r="Q583" s="24">
        <v>31.0</v>
      </c>
      <c r="R583" s="24">
        <v>31.0</v>
      </c>
      <c r="S583" s="24">
        <v>0.0</v>
      </c>
      <c r="T583" s="24">
        <v>31.0</v>
      </c>
      <c r="U583" s="24">
        <v>0.0</v>
      </c>
    </row>
    <row r="584" ht="23.25" customHeight="1">
      <c r="A584" s="1"/>
      <c r="B584" s="15" t="s">
        <v>895</v>
      </c>
      <c r="C584" s="1" t="s">
        <v>17</v>
      </c>
      <c r="D584" s="1" t="s">
        <v>896</v>
      </c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ht="23.25" customHeight="1">
      <c r="A585" s="17" t="str">
        <f>IF(COUNTIF('Icon Lookup'!C:C,B585)&gt;0,LOOKUP(B585,'Icon Lookup'!C:C,'Icon Lookup'!B:B),"")</f>
        <v/>
      </c>
      <c r="B585" s="18" t="s">
        <v>25</v>
      </c>
      <c r="C585" s="17"/>
      <c r="D585" s="17">
        <v>7.0</v>
      </c>
      <c r="E585" s="17" t="s">
        <v>26</v>
      </c>
      <c r="G585" s="19"/>
      <c r="H585" s="20" t="s">
        <v>27</v>
      </c>
      <c r="I585" s="17" t="s">
        <v>36</v>
      </c>
      <c r="J585" s="17">
        <v>0.0</v>
      </c>
      <c r="K585" s="17">
        <v>0.0</v>
      </c>
      <c r="L585" s="17">
        <v>0.0</v>
      </c>
      <c r="M585" s="17">
        <v>0.0</v>
      </c>
      <c r="N585" s="17">
        <v>0.0</v>
      </c>
      <c r="O585" s="17">
        <v>0.0</v>
      </c>
      <c r="P585" s="17">
        <v>0.0</v>
      </c>
      <c r="Q585" s="17">
        <v>0.0</v>
      </c>
      <c r="R585" s="17">
        <v>0.0</v>
      </c>
      <c r="S585" s="17">
        <v>0.0</v>
      </c>
      <c r="T585" s="17">
        <v>0.0</v>
      </c>
      <c r="U585" s="17">
        <v>0.0</v>
      </c>
    </row>
    <row r="586" ht="23.25" customHeight="1">
      <c r="A586" s="1"/>
      <c r="B586" s="15" t="s">
        <v>897</v>
      </c>
      <c r="C586" s="1" t="s">
        <v>17</v>
      </c>
      <c r="D586" s="1" t="s">
        <v>898</v>
      </c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ht="23.25" customHeight="1">
      <c r="A587" s="20" t="str">
        <f>IF(COUNTIF('Icon Lookup'!C:C,B587)&gt;0,LOOKUP(B587,'Icon Lookup'!C:C,'Icon Lookup'!B:B),"")</f>
        <v/>
      </c>
      <c r="B587" s="21" t="s">
        <v>447</v>
      </c>
      <c r="C587" s="20"/>
      <c r="D587" s="20">
        <v>27.0</v>
      </c>
      <c r="E587" s="20" t="s">
        <v>161</v>
      </c>
      <c r="G587" s="22"/>
      <c r="H587" s="23" t="s">
        <v>899</v>
      </c>
      <c r="I587" s="20" t="s">
        <v>52</v>
      </c>
      <c r="J587" s="20">
        <v>0.0</v>
      </c>
      <c r="K587" s="20">
        <v>0.0</v>
      </c>
      <c r="L587" s="20">
        <v>0.0</v>
      </c>
      <c r="M587" s="20">
        <v>0.0</v>
      </c>
      <c r="N587" s="20">
        <v>0.0</v>
      </c>
      <c r="O587" s="20">
        <v>0.0</v>
      </c>
      <c r="P587" s="20">
        <v>0.0</v>
      </c>
      <c r="Q587" s="20">
        <v>0.0</v>
      </c>
      <c r="R587" s="20">
        <v>0.0</v>
      </c>
      <c r="S587" s="20">
        <v>0.0</v>
      </c>
      <c r="T587" s="20">
        <v>0.0</v>
      </c>
      <c r="U587" s="20">
        <v>0.0</v>
      </c>
    </row>
    <row r="588" ht="23.25" customHeight="1">
      <c r="A588" s="17" t="str">
        <f>IF(COUNTIF('Icon Lookup'!C:C,B588)&gt;0,LOOKUP(B588,'Icon Lookup'!C:C,'Icon Lookup'!B:B),"")</f>
        <v/>
      </c>
      <c r="B588" s="18" t="s">
        <v>447</v>
      </c>
      <c r="C588" s="17"/>
      <c r="D588" s="17">
        <v>27.0</v>
      </c>
      <c r="E588" s="17" t="s">
        <v>161</v>
      </c>
      <c r="G588" s="19"/>
      <c r="H588" s="20" t="s">
        <v>899</v>
      </c>
      <c r="I588" s="17" t="s">
        <v>52</v>
      </c>
      <c r="J588" s="17">
        <v>0.0</v>
      </c>
      <c r="K588" s="17">
        <v>0.0</v>
      </c>
      <c r="L588" s="17">
        <v>0.0</v>
      </c>
      <c r="M588" s="17">
        <v>0.0</v>
      </c>
      <c r="N588" s="17">
        <v>0.0</v>
      </c>
      <c r="O588" s="17">
        <v>0.0</v>
      </c>
      <c r="P588" s="17">
        <v>0.0</v>
      </c>
      <c r="Q588" s="17">
        <v>0.0</v>
      </c>
      <c r="R588" s="17">
        <v>0.0</v>
      </c>
      <c r="S588" s="17">
        <v>0.0</v>
      </c>
      <c r="T588" s="17">
        <v>0.0</v>
      </c>
      <c r="U588" s="17">
        <v>0.0</v>
      </c>
    </row>
    <row r="589" ht="23.25" customHeight="1">
      <c r="A589" s="20" t="str">
        <f>IF(COUNTIF('Icon Lookup'!C:C,B589)&gt;0,LOOKUP(B589,'Icon Lookup'!C:C,'Icon Lookup'!B:B),"")</f>
        <v/>
      </c>
      <c r="B589" s="21" t="s">
        <v>447</v>
      </c>
      <c r="C589" s="20"/>
      <c r="D589" s="20">
        <v>27.0</v>
      </c>
      <c r="E589" s="20" t="s">
        <v>161</v>
      </c>
      <c r="G589" s="22"/>
      <c r="H589" s="23" t="s">
        <v>899</v>
      </c>
      <c r="I589" s="20" t="s">
        <v>52</v>
      </c>
      <c r="J589" s="20">
        <v>0.0</v>
      </c>
      <c r="K589" s="20">
        <v>0.0</v>
      </c>
      <c r="L589" s="20">
        <v>0.0</v>
      </c>
      <c r="M589" s="20">
        <v>0.0</v>
      </c>
      <c r="N589" s="20">
        <v>0.0</v>
      </c>
      <c r="O589" s="20">
        <v>0.0</v>
      </c>
      <c r="P589" s="20">
        <v>0.0</v>
      </c>
      <c r="Q589" s="20">
        <v>0.0</v>
      </c>
      <c r="R589" s="20">
        <v>0.0</v>
      </c>
      <c r="S589" s="20">
        <v>0.0</v>
      </c>
      <c r="T589" s="20">
        <v>0.0</v>
      </c>
      <c r="U589" s="20">
        <v>0.0</v>
      </c>
    </row>
    <row r="590" ht="23.25" customHeight="1">
      <c r="A590" s="1"/>
      <c r="B590" s="15" t="s">
        <v>900</v>
      </c>
      <c r="C590" s="1" t="s">
        <v>17</v>
      </c>
      <c r="D590" s="1" t="s">
        <v>901</v>
      </c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ht="23.25" customHeight="1">
      <c r="A591" s="17" t="str">
        <f>IF(COUNTIF('Icon Lookup'!C:C,B591)&gt;0,LOOKUP(B591,'Icon Lookup'!C:C,'Icon Lookup'!B:B),"")</f>
        <v/>
      </c>
      <c r="B591" s="18" t="s">
        <v>902</v>
      </c>
      <c r="C591" s="17"/>
      <c r="D591" s="17">
        <v>61.0</v>
      </c>
      <c r="E591" s="17" t="str">
        <f>IMAGE("https://www.serebii.net/itemdex/sprites/sitrusberry.png")</f>
        <v/>
      </c>
      <c r="F591" s="17" t="s">
        <v>903</v>
      </c>
      <c r="G591" s="17" t="s">
        <v>824</v>
      </c>
      <c r="H591" s="20" t="s">
        <v>904</v>
      </c>
      <c r="I591" s="17" t="s">
        <v>905</v>
      </c>
      <c r="J591" s="17">
        <v>252.0</v>
      </c>
      <c r="K591" s="17">
        <v>6.0</v>
      </c>
      <c r="L591" s="17">
        <v>0.0</v>
      </c>
      <c r="M591" s="17">
        <v>252.0</v>
      </c>
      <c r="N591" s="17">
        <v>0.0</v>
      </c>
      <c r="O591" s="17">
        <v>0.0</v>
      </c>
      <c r="P591" s="17">
        <v>31.0</v>
      </c>
      <c r="Q591" s="17">
        <v>31.0</v>
      </c>
      <c r="R591" s="17">
        <v>31.0</v>
      </c>
      <c r="S591" s="17">
        <v>31.0</v>
      </c>
      <c r="T591" s="17">
        <v>31.0</v>
      </c>
      <c r="U591" s="17">
        <v>31.0</v>
      </c>
    </row>
    <row r="592" ht="23.25" customHeight="1">
      <c r="A592" s="20" t="str">
        <f>IF(COUNTIF('Icon Lookup'!C:C,B592)&gt;0,LOOKUP(B592,'Icon Lookup'!C:C,'Icon Lookup'!B:B),"")</f>
        <v/>
      </c>
      <c r="B592" s="21" t="s">
        <v>906</v>
      </c>
      <c r="C592" s="20"/>
      <c r="D592" s="20">
        <v>60.0</v>
      </c>
      <c r="E592" s="20" t="str">
        <f>IMAGE("https://www.serebii.net/itemdex/sprites/expertbelt.png")</f>
        <v/>
      </c>
      <c r="F592" s="20" t="s">
        <v>50</v>
      </c>
      <c r="G592" s="20" t="s">
        <v>907</v>
      </c>
      <c r="H592" s="23" t="s">
        <v>908</v>
      </c>
      <c r="I592" s="20" t="s">
        <v>52</v>
      </c>
      <c r="J592" s="20">
        <v>52.0</v>
      </c>
      <c r="K592" s="20">
        <v>0.0</v>
      </c>
      <c r="L592" s="20">
        <v>0.0</v>
      </c>
      <c r="M592" s="20">
        <v>252.0</v>
      </c>
      <c r="N592" s="20">
        <v>0.0</v>
      </c>
      <c r="O592" s="20">
        <v>204.0</v>
      </c>
      <c r="P592" s="20">
        <v>31.0</v>
      </c>
      <c r="Q592" s="20">
        <v>0.0</v>
      </c>
      <c r="R592" s="20">
        <v>31.0</v>
      </c>
      <c r="S592" s="20">
        <v>31.0</v>
      </c>
      <c r="T592" s="20">
        <v>31.0</v>
      </c>
      <c r="U592" s="20">
        <v>31.0</v>
      </c>
    </row>
    <row r="593" ht="23.25" customHeight="1">
      <c r="A593" s="17" t="str">
        <f>IF(COUNTIF('Icon Lookup'!C:C,B593)&gt;0,LOOKUP(B593,'Icon Lookup'!C:C,'Icon Lookup'!B:B),"")</f>
        <v/>
      </c>
      <c r="B593" s="18" t="s">
        <v>586</v>
      </c>
      <c r="C593" s="17"/>
      <c r="D593" s="17">
        <v>60.0</v>
      </c>
      <c r="E593" s="17" t="str">
        <f>IMAGE("https://www.serebii.net/itemdex/sprites/leftovers.png")</f>
        <v/>
      </c>
      <c r="F593" s="17" t="s">
        <v>366</v>
      </c>
      <c r="G593" s="17" t="s">
        <v>859</v>
      </c>
      <c r="H593" s="20" t="s">
        <v>909</v>
      </c>
      <c r="I593" s="17" t="s">
        <v>89</v>
      </c>
      <c r="J593" s="17">
        <v>252.0</v>
      </c>
      <c r="K593" s="17">
        <v>0.0</v>
      </c>
      <c r="L593" s="17">
        <v>252.0</v>
      </c>
      <c r="M593" s="17">
        <v>0.0</v>
      </c>
      <c r="N593" s="17">
        <v>6.0</v>
      </c>
      <c r="O593" s="17">
        <v>0.0</v>
      </c>
      <c r="P593" s="17">
        <v>31.0</v>
      </c>
      <c r="Q593" s="17">
        <v>31.0</v>
      </c>
      <c r="R593" s="17">
        <v>31.0</v>
      </c>
      <c r="S593" s="17">
        <v>31.0</v>
      </c>
      <c r="T593" s="17">
        <v>31.0</v>
      </c>
      <c r="U593" s="17">
        <v>0.0</v>
      </c>
    </row>
    <row r="594" ht="23.25" customHeight="1">
      <c r="A594" s="20" t="str">
        <f>IF(COUNTIF('Icon Lookup'!C:C,B594)&gt;0,LOOKUP(B594,'Icon Lookup'!C:C,'Icon Lookup'!B:B),"")</f>
        <v/>
      </c>
      <c r="B594" s="21" t="s">
        <v>910</v>
      </c>
      <c r="C594" s="20"/>
      <c r="D594" s="20">
        <v>63.0</v>
      </c>
      <c r="E594" s="20" t="str">
        <f>IMAGE("https://www.serebii.net/itemdex/sprites/wiseglasses.png")</f>
        <v/>
      </c>
      <c r="F594" s="20" t="s">
        <v>38</v>
      </c>
      <c r="G594" s="20" t="s">
        <v>846</v>
      </c>
      <c r="H594" s="23" t="s">
        <v>911</v>
      </c>
      <c r="I594" s="20" t="s">
        <v>52</v>
      </c>
      <c r="J594" s="20">
        <v>52.0</v>
      </c>
      <c r="K594" s="20">
        <v>0.0</v>
      </c>
      <c r="L594" s="20">
        <v>0.0</v>
      </c>
      <c r="M594" s="20">
        <v>252.0</v>
      </c>
      <c r="N594" s="20">
        <v>0.0</v>
      </c>
      <c r="O594" s="20">
        <v>204.0</v>
      </c>
      <c r="P594" s="20">
        <v>31.0</v>
      </c>
      <c r="Q594" s="20">
        <v>0.0</v>
      </c>
      <c r="R594" s="20">
        <v>31.0</v>
      </c>
      <c r="S594" s="20">
        <v>31.0</v>
      </c>
      <c r="T594" s="20">
        <v>31.0</v>
      </c>
      <c r="U594" s="20">
        <v>31.0</v>
      </c>
    </row>
    <row r="595" ht="23.25" customHeight="1">
      <c r="A595" s="17" t="str">
        <f>IF(COUNTIF('Icon Lookup'!C:C,B595)&gt;0,LOOKUP(B595,'Icon Lookup'!C:C,'Icon Lookup'!B:B),"")</f>
        <v/>
      </c>
      <c r="B595" s="18" t="s">
        <v>912</v>
      </c>
      <c r="C595" s="17"/>
      <c r="D595" s="17">
        <v>63.0</v>
      </c>
      <c r="E595" s="17" t="str">
        <f>IMAGE("https://www.serebii.net/itemdex/sprites/flameorb.png")</f>
        <v/>
      </c>
      <c r="F595" s="17" t="s">
        <v>913</v>
      </c>
      <c r="G595" s="17" t="s">
        <v>852</v>
      </c>
      <c r="H595" s="20" t="s">
        <v>914</v>
      </c>
      <c r="I595" s="17" t="s">
        <v>205</v>
      </c>
      <c r="J595" s="17">
        <v>252.0</v>
      </c>
      <c r="K595" s="17">
        <v>0.0</v>
      </c>
      <c r="L595" s="17">
        <v>252.0</v>
      </c>
      <c r="M595" s="17">
        <v>6.0</v>
      </c>
      <c r="N595" s="17">
        <v>0.0</v>
      </c>
      <c r="O595" s="17">
        <v>0.0</v>
      </c>
      <c r="P595" s="17">
        <v>31.0</v>
      </c>
      <c r="Q595" s="17">
        <v>0.0</v>
      </c>
      <c r="R595" s="17">
        <v>31.0</v>
      </c>
      <c r="S595" s="17">
        <v>31.0</v>
      </c>
      <c r="T595" s="17">
        <v>31.0</v>
      </c>
      <c r="U595" s="17">
        <v>31.0</v>
      </c>
    </row>
    <row r="596" ht="23.25" customHeight="1">
      <c r="A596" s="24" t="str">
        <f>IF(COUNTIF('Icon Lookup'!C:C,B596)&gt;0,LOOKUP(B596,'Icon Lookup'!C:C,'Icon Lookup'!B:B),"")</f>
        <v/>
      </c>
      <c r="B596" s="25" t="s">
        <v>915</v>
      </c>
      <c r="C596" s="24" t="s">
        <v>804</v>
      </c>
      <c r="D596" s="24">
        <v>66.0</v>
      </c>
      <c r="E596" s="24" t="str">
        <f>IMAGE("https://www.serebii.net/itemdex/sprites/yacheberry.png")</f>
        <v/>
      </c>
      <c r="F596" s="24" t="s">
        <v>916</v>
      </c>
      <c r="G596" s="20" t="s">
        <v>917</v>
      </c>
      <c r="H596" s="23" t="s">
        <v>918</v>
      </c>
      <c r="I596" s="24" t="s">
        <v>22</v>
      </c>
      <c r="J596" s="24">
        <v>52.0</v>
      </c>
      <c r="K596" s="24">
        <v>252.0</v>
      </c>
      <c r="L596" s="24">
        <v>0.0</v>
      </c>
      <c r="M596" s="24">
        <v>0.0</v>
      </c>
      <c r="N596" s="24">
        <v>0.0</v>
      </c>
      <c r="O596" s="24">
        <v>204.0</v>
      </c>
      <c r="P596" s="24">
        <v>31.0</v>
      </c>
      <c r="Q596" s="24">
        <v>31.0</v>
      </c>
      <c r="R596" s="24">
        <v>31.0</v>
      </c>
      <c r="S596" s="24">
        <v>0.0</v>
      </c>
      <c r="T596" s="24">
        <v>31.0</v>
      </c>
      <c r="U596" s="24">
        <v>31.0</v>
      </c>
    </row>
    <row r="597" ht="23.25" customHeight="1">
      <c r="A597" s="1"/>
      <c r="B597" s="15" t="s">
        <v>919</v>
      </c>
      <c r="C597" s="1" t="s">
        <v>17</v>
      </c>
      <c r="D597" s="1" t="s">
        <v>920</v>
      </c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ht="23.25" customHeight="1">
      <c r="A598" s="17" t="str">
        <f>IF(COUNTIF('Icon Lookup'!C:C,B598)&gt;0,LOOKUP(B598,'Icon Lookup'!C:C,'Icon Lookup'!B:B),"")</f>
        <v/>
      </c>
      <c r="B598" s="18" t="s">
        <v>921</v>
      </c>
      <c r="C598" s="17"/>
      <c r="D598" s="17">
        <v>37.0</v>
      </c>
      <c r="E598" s="17" t="s">
        <v>44</v>
      </c>
      <c r="G598" s="19"/>
      <c r="H598" s="20" t="s">
        <v>922</v>
      </c>
      <c r="I598" s="17" t="s">
        <v>22</v>
      </c>
      <c r="J598" s="17">
        <v>0.0</v>
      </c>
      <c r="K598" s="17">
        <v>0.0</v>
      </c>
      <c r="L598" s="17">
        <v>0.0</v>
      </c>
      <c r="M598" s="17">
        <v>0.0</v>
      </c>
      <c r="N598" s="17">
        <v>0.0</v>
      </c>
      <c r="O598" s="17">
        <v>0.0</v>
      </c>
      <c r="P598" s="17">
        <v>0.0</v>
      </c>
      <c r="Q598" s="17">
        <v>0.0</v>
      </c>
      <c r="R598" s="17">
        <v>0.0</v>
      </c>
      <c r="S598" s="17">
        <v>0.0</v>
      </c>
      <c r="T598" s="17">
        <v>0.0</v>
      </c>
      <c r="U598" s="17">
        <v>0.0</v>
      </c>
    </row>
    <row r="599" ht="23.25" customHeight="1">
      <c r="A599" s="20" t="str">
        <f>IF(COUNTIF('Icon Lookup'!C:C,B599)&gt;0,LOOKUP(B599,'Icon Lookup'!C:C,'Icon Lookup'!B:B),"")</f>
        <v/>
      </c>
      <c r="B599" s="21" t="s">
        <v>478</v>
      </c>
      <c r="C599" s="20"/>
      <c r="D599" s="20">
        <v>37.0</v>
      </c>
      <c r="E599" s="20" t="s">
        <v>38</v>
      </c>
      <c r="G599" s="22"/>
      <c r="H599" s="23" t="s">
        <v>923</v>
      </c>
      <c r="I599" s="20" t="s">
        <v>22</v>
      </c>
      <c r="J599" s="20">
        <v>0.0</v>
      </c>
      <c r="K599" s="20">
        <v>0.0</v>
      </c>
      <c r="L599" s="20">
        <v>0.0</v>
      </c>
      <c r="M599" s="20">
        <v>0.0</v>
      </c>
      <c r="N599" s="20">
        <v>0.0</v>
      </c>
      <c r="O599" s="20">
        <v>0.0</v>
      </c>
      <c r="P599" s="20">
        <v>0.0</v>
      </c>
      <c r="Q599" s="20">
        <v>0.0</v>
      </c>
      <c r="R599" s="20">
        <v>0.0</v>
      </c>
      <c r="S599" s="20">
        <v>0.0</v>
      </c>
      <c r="T599" s="20">
        <v>0.0</v>
      </c>
      <c r="U599" s="20">
        <v>0.0</v>
      </c>
    </row>
    <row r="600" ht="23.25" customHeight="1">
      <c r="A600" s="1"/>
      <c r="B600" s="15" t="s">
        <v>924</v>
      </c>
      <c r="C600" s="1" t="s">
        <v>17</v>
      </c>
      <c r="D600" s="1" t="s">
        <v>925</v>
      </c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ht="23.25" customHeight="1">
      <c r="A601" s="17" t="str">
        <f>IF(COUNTIF('Icon Lookup'!C:C,B601)&gt;0,LOOKUP(B601,'Icon Lookup'!C:C,'Icon Lookup'!B:B),"")</f>
        <v/>
      </c>
      <c r="B601" s="18" t="s">
        <v>643</v>
      </c>
      <c r="C601" s="17"/>
      <c r="D601" s="17">
        <v>39.0</v>
      </c>
      <c r="E601" s="17" t="s">
        <v>399</v>
      </c>
      <c r="G601" s="19"/>
      <c r="H601" s="20" t="s">
        <v>926</v>
      </c>
      <c r="I601" s="17" t="s">
        <v>22</v>
      </c>
      <c r="J601" s="17">
        <v>0.0</v>
      </c>
      <c r="K601" s="17">
        <v>0.0</v>
      </c>
      <c r="L601" s="17">
        <v>0.0</v>
      </c>
      <c r="M601" s="17">
        <v>0.0</v>
      </c>
      <c r="N601" s="17">
        <v>0.0</v>
      </c>
      <c r="O601" s="17">
        <v>0.0</v>
      </c>
      <c r="P601" s="17">
        <v>0.0</v>
      </c>
      <c r="Q601" s="17">
        <v>0.0</v>
      </c>
      <c r="R601" s="17">
        <v>0.0</v>
      </c>
      <c r="S601" s="17">
        <v>0.0</v>
      </c>
      <c r="T601" s="17">
        <v>0.0</v>
      </c>
      <c r="U601" s="17">
        <v>0.0</v>
      </c>
    </row>
    <row r="602" ht="23.25" customHeight="1">
      <c r="A602" s="1"/>
      <c r="B602" s="15" t="s">
        <v>927</v>
      </c>
      <c r="C602" s="1" t="s">
        <v>17</v>
      </c>
      <c r="D602" s="1" t="s">
        <v>928</v>
      </c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ht="23.25" customHeight="1">
      <c r="A603" s="20" t="str">
        <f>IF(COUNTIF('Icon Lookup'!C:C,B603)&gt;0,LOOKUP(B603,'Icon Lookup'!C:C,'Icon Lookup'!B:B),"")</f>
        <v/>
      </c>
      <c r="B603" s="21" t="s">
        <v>410</v>
      </c>
      <c r="C603" s="20"/>
      <c r="D603" s="20">
        <v>35.0</v>
      </c>
      <c r="E603" s="20" t="s">
        <v>411</v>
      </c>
      <c r="G603" s="22"/>
      <c r="H603" s="23" t="s">
        <v>929</v>
      </c>
      <c r="I603" s="20" t="s">
        <v>22</v>
      </c>
      <c r="J603" s="20">
        <v>0.0</v>
      </c>
      <c r="K603" s="20">
        <v>0.0</v>
      </c>
      <c r="L603" s="20">
        <v>0.0</v>
      </c>
      <c r="M603" s="20">
        <v>0.0</v>
      </c>
      <c r="N603" s="20">
        <v>0.0</v>
      </c>
      <c r="O603" s="20">
        <v>0.0</v>
      </c>
      <c r="P603" s="20">
        <v>0.0</v>
      </c>
      <c r="Q603" s="20">
        <v>0.0</v>
      </c>
      <c r="R603" s="20">
        <v>0.0</v>
      </c>
      <c r="S603" s="20">
        <v>0.0</v>
      </c>
      <c r="T603" s="20">
        <v>0.0</v>
      </c>
      <c r="U603" s="20">
        <v>0.0</v>
      </c>
    </row>
    <row r="604" ht="23.25" customHeight="1">
      <c r="A604" s="17" t="str">
        <f>IF(COUNTIF('Icon Lookup'!C:C,B604)&gt;0,LOOKUP(B604,'Icon Lookup'!C:C,'Icon Lookup'!B:B),"")</f>
        <v/>
      </c>
      <c r="B604" s="18" t="s">
        <v>398</v>
      </c>
      <c r="C604" s="17"/>
      <c r="D604" s="17">
        <v>36.0</v>
      </c>
      <c r="E604" s="17" t="s">
        <v>399</v>
      </c>
      <c r="G604" s="19"/>
      <c r="H604" s="20" t="s">
        <v>930</v>
      </c>
      <c r="I604" s="17" t="s">
        <v>22</v>
      </c>
      <c r="J604" s="17">
        <v>0.0</v>
      </c>
      <c r="K604" s="17">
        <v>0.0</v>
      </c>
      <c r="L604" s="17">
        <v>0.0</v>
      </c>
      <c r="M604" s="17">
        <v>0.0</v>
      </c>
      <c r="N604" s="17">
        <v>0.0</v>
      </c>
      <c r="O604" s="17">
        <v>0.0</v>
      </c>
      <c r="P604" s="17">
        <v>0.0</v>
      </c>
      <c r="Q604" s="17">
        <v>0.0</v>
      </c>
      <c r="R604" s="17">
        <v>0.0</v>
      </c>
      <c r="S604" s="17">
        <v>0.0</v>
      </c>
      <c r="T604" s="17">
        <v>0.0</v>
      </c>
      <c r="U604" s="17">
        <v>0.0</v>
      </c>
    </row>
    <row r="605" ht="23.25" customHeight="1">
      <c r="A605" s="20" t="str">
        <f>IF(COUNTIF('Icon Lookup'!C:C,B605)&gt;0,LOOKUP(B605,'Icon Lookup'!C:C,'Icon Lookup'!B:B),"")</f>
        <v/>
      </c>
      <c r="B605" s="21" t="s">
        <v>756</v>
      </c>
      <c r="C605" s="20"/>
      <c r="D605" s="20">
        <v>37.0</v>
      </c>
      <c r="E605" s="20" t="s">
        <v>98</v>
      </c>
      <c r="G605" s="22"/>
      <c r="H605" s="23" t="s">
        <v>931</v>
      </c>
      <c r="I605" s="20" t="s">
        <v>89</v>
      </c>
      <c r="J605" s="20">
        <v>0.0</v>
      </c>
      <c r="K605" s="20">
        <v>0.0</v>
      </c>
      <c r="L605" s="20">
        <v>0.0</v>
      </c>
      <c r="M605" s="20">
        <v>0.0</v>
      </c>
      <c r="N605" s="20">
        <v>0.0</v>
      </c>
      <c r="O605" s="20">
        <v>0.0</v>
      </c>
      <c r="P605" s="20">
        <v>0.0</v>
      </c>
      <c r="Q605" s="20">
        <v>0.0</v>
      </c>
      <c r="R605" s="20">
        <v>0.0</v>
      </c>
      <c r="S605" s="20">
        <v>0.0</v>
      </c>
      <c r="T605" s="20">
        <v>0.0</v>
      </c>
      <c r="U605" s="20">
        <v>0.0</v>
      </c>
    </row>
    <row r="606" ht="23.25" customHeight="1">
      <c r="A606" s="1"/>
      <c r="B606" s="15" t="s">
        <v>932</v>
      </c>
      <c r="C606" s="1" t="s">
        <v>17</v>
      </c>
      <c r="D606" s="1" t="s">
        <v>933</v>
      </c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ht="23.25" customHeight="1">
      <c r="A607" s="17" t="str">
        <f>IF(COUNTIF('Icon Lookup'!C:C,B607)&gt;0,LOOKUP(B607,'Icon Lookup'!C:C,'Icon Lookup'!B:B),"")</f>
        <v/>
      </c>
      <c r="B607" s="18" t="s">
        <v>478</v>
      </c>
      <c r="C607" s="17"/>
      <c r="D607" s="17">
        <v>37.0</v>
      </c>
      <c r="E607" s="17" t="s">
        <v>38</v>
      </c>
      <c r="G607" s="19"/>
      <c r="H607" s="20" t="s">
        <v>934</v>
      </c>
      <c r="I607" s="17" t="s">
        <v>22</v>
      </c>
      <c r="J607" s="17">
        <v>0.0</v>
      </c>
      <c r="K607" s="17">
        <v>0.0</v>
      </c>
      <c r="L607" s="17">
        <v>0.0</v>
      </c>
      <c r="M607" s="17">
        <v>0.0</v>
      </c>
      <c r="N607" s="17">
        <v>0.0</v>
      </c>
      <c r="O607" s="17">
        <v>0.0</v>
      </c>
      <c r="P607" s="17">
        <v>0.0</v>
      </c>
      <c r="Q607" s="17">
        <v>0.0</v>
      </c>
      <c r="R607" s="17">
        <v>0.0</v>
      </c>
      <c r="S607" s="17">
        <v>0.0</v>
      </c>
      <c r="T607" s="17">
        <v>0.0</v>
      </c>
      <c r="U607" s="17">
        <v>0.0</v>
      </c>
    </row>
    <row r="608" ht="23.25" customHeight="1">
      <c r="A608" s="20" t="str">
        <f>IF(COUNTIF('Icon Lookup'!C:C,B608)&gt;0,LOOKUP(B608,'Icon Lookup'!C:C,'Icon Lookup'!B:B),"")</f>
        <v/>
      </c>
      <c r="B608" s="21" t="s">
        <v>628</v>
      </c>
      <c r="C608" s="20"/>
      <c r="D608" s="20">
        <v>37.0</v>
      </c>
      <c r="E608" s="20" t="s">
        <v>560</v>
      </c>
      <c r="G608" s="22"/>
      <c r="H608" s="23" t="s">
        <v>935</v>
      </c>
      <c r="I608" s="20" t="s">
        <v>612</v>
      </c>
      <c r="J608" s="20">
        <v>0.0</v>
      </c>
      <c r="K608" s="20">
        <v>0.0</v>
      </c>
      <c r="L608" s="20">
        <v>0.0</v>
      </c>
      <c r="M608" s="20">
        <v>0.0</v>
      </c>
      <c r="N608" s="20">
        <v>0.0</v>
      </c>
      <c r="O608" s="20">
        <v>0.0</v>
      </c>
      <c r="P608" s="20">
        <v>0.0</v>
      </c>
      <c r="Q608" s="20">
        <v>0.0</v>
      </c>
      <c r="R608" s="20">
        <v>0.0</v>
      </c>
      <c r="S608" s="20">
        <v>0.0</v>
      </c>
      <c r="T608" s="20">
        <v>0.0</v>
      </c>
      <c r="U608" s="20">
        <v>0.0</v>
      </c>
    </row>
    <row r="609" ht="23.25" customHeight="1">
      <c r="A609" s="1"/>
      <c r="B609" s="15" t="s">
        <v>936</v>
      </c>
      <c r="C609" s="1" t="s">
        <v>17</v>
      </c>
      <c r="D609" s="1" t="s">
        <v>937</v>
      </c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ht="23.25" customHeight="1">
      <c r="A610" s="17" t="str">
        <f>IF(COUNTIF('Icon Lookup'!C:C,B610)&gt;0,LOOKUP(B610,'Icon Lookup'!C:C,'Icon Lookup'!B:B),"")</f>
        <v/>
      </c>
      <c r="B610" s="18" t="s">
        <v>198</v>
      </c>
      <c r="C610" s="17"/>
      <c r="D610" s="17">
        <v>20.0</v>
      </c>
      <c r="E610" s="17" t="s">
        <v>50</v>
      </c>
      <c r="G610" s="19"/>
      <c r="H610" s="20" t="s">
        <v>938</v>
      </c>
      <c r="I610" s="17" t="s">
        <v>105</v>
      </c>
      <c r="J610" s="17">
        <v>0.0</v>
      </c>
      <c r="K610" s="17">
        <v>0.0</v>
      </c>
      <c r="L610" s="17">
        <v>0.0</v>
      </c>
      <c r="M610" s="17">
        <v>0.0</v>
      </c>
      <c r="N610" s="17">
        <v>0.0</v>
      </c>
      <c r="O610" s="17">
        <v>0.0</v>
      </c>
      <c r="P610" s="17">
        <v>0.0</v>
      </c>
      <c r="Q610" s="17">
        <v>0.0</v>
      </c>
      <c r="R610" s="17">
        <v>0.0</v>
      </c>
      <c r="S610" s="17">
        <v>0.0</v>
      </c>
      <c r="T610" s="17">
        <v>0.0</v>
      </c>
      <c r="U610" s="17">
        <v>0.0</v>
      </c>
    </row>
    <row r="611" ht="23.25" customHeight="1">
      <c r="A611" s="20" t="str">
        <f>IF(COUNTIF('Icon Lookup'!C:C,B611)&gt;0,LOOKUP(B611,'Icon Lookup'!C:C,'Icon Lookup'!B:B),"")</f>
        <v/>
      </c>
      <c r="B611" s="21" t="s">
        <v>198</v>
      </c>
      <c r="C611" s="20"/>
      <c r="D611" s="20">
        <v>22.0</v>
      </c>
      <c r="E611" s="20" t="s">
        <v>50</v>
      </c>
      <c r="G611" s="22"/>
      <c r="H611" s="23" t="s">
        <v>199</v>
      </c>
      <c r="I611" s="20" t="s">
        <v>105</v>
      </c>
      <c r="J611" s="20">
        <v>0.0</v>
      </c>
      <c r="K611" s="20">
        <v>0.0</v>
      </c>
      <c r="L611" s="20">
        <v>0.0</v>
      </c>
      <c r="M611" s="20">
        <v>0.0</v>
      </c>
      <c r="N611" s="20">
        <v>0.0</v>
      </c>
      <c r="O611" s="20">
        <v>0.0</v>
      </c>
      <c r="P611" s="20">
        <v>0.0</v>
      </c>
      <c r="Q611" s="20">
        <v>0.0</v>
      </c>
      <c r="R611" s="20">
        <v>0.0</v>
      </c>
      <c r="S611" s="20">
        <v>0.0</v>
      </c>
      <c r="T611" s="20">
        <v>0.0</v>
      </c>
      <c r="U611" s="20">
        <v>0.0</v>
      </c>
    </row>
    <row r="612" ht="23.25" customHeight="1">
      <c r="A612" s="17" t="str">
        <f>IF(COUNTIF('Icon Lookup'!C:C,B612)&gt;0,LOOKUP(B612,'Icon Lookup'!C:C,'Icon Lookup'!B:B),"")</f>
        <v/>
      </c>
      <c r="B612" s="18" t="s">
        <v>198</v>
      </c>
      <c r="C612" s="17"/>
      <c r="D612" s="17">
        <v>24.0</v>
      </c>
      <c r="E612" s="17" t="s">
        <v>50</v>
      </c>
      <c r="G612" s="19"/>
      <c r="H612" s="20" t="s">
        <v>199</v>
      </c>
      <c r="I612" s="17" t="s">
        <v>105</v>
      </c>
      <c r="J612" s="17">
        <v>0.0</v>
      </c>
      <c r="K612" s="17">
        <v>0.0</v>
      </c>
      <c r="L612" s="17">
        <v>0.0</v>
      </c>
      <c r="M612" s="17">
        <v>0.0</v>
      </c>
      <c r="N612" s="17">
        <v>0.0</v>
      </c>
      <c r="O612" s="17">
        <v>0.0</v>
      </c>
      <c r="P612" s="17">
        <v>0.0</v>
      </c>
      <c r="Q612" s="17">
        <v>0.0</v>
      </c>
      <c r="R612" s="17">
        <v>0.0</v>
      </c>
      <c r="S612" s="17">
        <v>0.0</v>
      </c>
      <c r="T612" s="17">
        <v>0.0</v>
      </c>
      <c r="U612" s="17">
        <v>0.0</v>
      </c>
    </row>
    <row r="613" ht="23.25" customHeight="1">
      <c r="A613" s="1"/>
      <c r="B613" s="15" t="s">
        <v>939</v>
      </c>
      <c r="C613" s="1" t="s">
        <v>17</v>
      </c>
      <c r="D613" s="1" t="s">
        <v>940</v>
      </c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ht="23.25" customHeight="1">
      <c r="A614" s="20" t="str">
        <f>IF(COUNTIF('Icon Lookup'!C:C,B614)&gt;0,LOOKUP(B614,'Icon Lookup'!C:C,'Icon Lookup'!B:B),"")</f>
        <v/>
      </c>
      <c r="B614" s="21" t="s">
        <v>78</v>
      </c>
      <c r="C614" s="20"/>
      <c r="D614" s="20">
        <v>22.0</v>
      </c>
      <c r="E614" s="20" t="s">
        <v>121</v>
      </c>
      <c r="G614" s="22"/>
      <c r="H614" s="23" t="s">
        <v>941</v>
      </c>
      <c r="I614" s="20" t="s">
        <v>156</v>
      </c>
      <c r="J614" s="20">
        <v>0.0</v>
      </c>
      <c r="K614" s="20">
        <v>0.0</v>
      </c>
      <c r="L614" s="20">
        <v>0.0</v>
      </c>
      <c r="M614" s="20">
        <v>0.0</v>
      </c>
      <c r="N614" s="20">
        <v>0.0</v>
      </c>
      <c r="O614" s="20">
        <v>0.0</v>
      </c>
      <c r="P614" s="20">
        <v>0.0</v>
      </c>
      <c r="Q614" s="20">
        <v>0.0</v>
      </c>
      <c r="R614" s="20">
        <v>0.0</v>
      </c>
      <c r="S614" s="20">
        <v>0.0</v>
      </c>
      <c r="T614" s="20">
        <v>0.0</v>
      </c>
      <c r="U614" s="20">
        <v>0.0</v>
      </c>
    </row>
    <row r="615" ht="23.25" customHeight="1">
      <c r="A615" s="17" t="str">
        <f>IF(COUNTIF('Icon Lookup'!C:C,B615)&gt;0,LOOKUP(B615,'Icon Lookup'!C:C,'Icon Lookup'!B:B),"")</f>
        <v/>
      </c>
      <c r="B615" s="18" t="s">
        <v>78</v>
      </c>
      <c r="C615" s="17"/>
      <c r="D615" s="17">
        <v>20.0</v>
      </c>
      <c r="E615" s="17" t="s">
        <v>121</v>
      </c>
      <c r="G615" s="19"/>
      <c r="H615" s="20" t="s">
        <v>942</v>
      </c>
      <c r="I615" s="17" t="s">
        <v>156</v>
      </c>
      <c r="J615" s="17">
        <v>0.0</v>
      </c>
      <c r="K615" s="17">
        <v>0.0</v>
      </c>
      <c r="L615" s="17">
        <v>0.0</v>
      </c>
      <c r="M615" s="17">
        <v>0.0</v>
      </c>
      <c r="N615" s="17">
        <v>0.0</v>
      </c>
      <c r="O615" s="17">
        <v>0.0</v>
      </c>
      <c r="P615" s="17">
        <v>0.0</v>
      </c>
      <c r="Q615" s="17">
        <v>0.0</v>
      </c>
      <c r="R615" s="17">
        <v>0.0</v>
      </c>
      <c r="S615" s="17">
        <v>0.0</v>
      </c>
      <c r="T615" s="17">
        <v>0.0</v>
      </c>
      <c r="U615" s="17">
        <v>0.0</v>
      </c>
    </row>
    <row r="616" ht="23.25" customHeight="1">
      <c r="A616" s="20" t="str">
        <f>IF(COUNTIF('Icon Lookup'!C:C,B616)&gt;0,LOOKUP(B616,'Icon Lookup'!C:C,'Icon Lookup'!B:B),"")</f>
        <v/>
      </c>
      <c r="B616" s="21" t="s">
        <v>78</v>
      </c>
      <c r="C616" s="20"/>
      <c r="D616" s="20">
        <v>24.0</v>
      </c>
      <c r="E616" s="20" t="s">
        <v>121</v>
      </c>
      <c r="G616" s="22"/>
      <c r="H616" s="23" t="s">
        <v>943</v>
      </c>
      <c r="I616" s="20" t="s">
        <v>156</v>
      </c>
      <c r="J616" s="20">
        <v>0.0</v>
      </c>
      <c r="K616" s="20">
        <v>0.0</v>
      </c>
      <c r="L616" s="20">
        <v>0.0</v>
      </c>
      <c r="M616" s="20">
        <v>0.0</v>
      </c>
      <c r="N616" s="20">
        <v>0.0</v>
      </c>
      <c r="O616" s="20">
        <v>0.0</v>
      </c>
      <c r="P616" s="20">
        <v>0.0</v>
      </c>
      <c r="Q616" s="20">
        <v>0.0</v>
      </c>
      <c r="R616" s="20">
        <v>0.0</v>
      </c>
      <c r="S616" s="20">
        <v>0.0</v>
      </c>
      <c r="T616" s="20">
        <v>0.0</v>
      </c>
      <c r="U616" s="20">
        <v>0.0</v>
      </c>
    </row>
    <row r="617" ht="23.25" customHeight="1">
      <c r="A617" s="1"/>
      <c r="B617" s="15" t="s">
        <v>944</v>
      </c>
      <c r="C617" s="1" t="s">
        <v>17</v>
      </c>
      <c r="D617" s="1" t="s">
        <v>945</v>
      </c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ht="23.25" customHeight="1">
      <c r="A618" s="17" t="str">
        <f>IF(COUNTIF('Icon Lookup'!C:C,B618)&gt;0,LOOKUP(B618,'Icon Lookup'!C:C,'Icon Lookup'!B:B),"")</f>
        <v/>
      </c>
      <c r="B618" s="18" t="s">
        <v>510</v>
      </c>
      <c r="C618" s="17"/>
      <c r="D618" s="17">
        <v>28.0</v>
      </c>
      <c r="E618" s="17" t="s">
        <v>511</v>
      </c>
      <c r="G618" s="19"/>
      <c r="H618" s="20" t="s">
        <v>946</v>
      </c>
      <c r="I618" s="17" t="s">
        <v>211</v>
      </c>
      <c r="J618" s="17">
        <v>0.0</v>
      </c>
      <c r="K618" s="17">
        <v>0.0</v>
      </c>
      <c r="L618" s="17">
        <v>0.0</v>
      </c>
      <c r="M618" s="17">
        <v>0.0</v>
      </c>
      <c r="N618" s="17">
        <v>0.0</v>
      </c>
      <c r="O618" s="17">
        <v>0.0</v>
      </c>
      <c r="P618" s="17">
        <v>0.0</v>
      </c>
      <c r="Q618" s="17">
        <v>0.0</v>
      </c>
      <c r="R618" s="17">
        <v>0.0</v>
      </c>
      <c r="S618" s="17">
        <v>0.0</v>
      </c>
      <c r="T618" s="17">
        <v>0.0</v>
      </c>
      <c r="U618" s="17">
        <v>0.0</v>
      </c>
    </row>
    <row r="619" ht="23.25" customHeight="1">
      <c r="A619" s="20" t="str">
        <f>IF(COUNTIF('Icon Lookup'!C:C,B619)&gt;0,LOOKUP(B619,'Icon Lookup'!C:C,'Icon Lookup'!B:B),"")</f>
        <v/>
      </c>
      <c r="B619" s="21" t="s">
        <v>510</v>
      </c>
      <c r="C619" s="20"/>
      <c r="D619" s="20">
        <v>28.0</v>
      </c>
      <c r="E619" s="20" t="s">
        <v>511</v>
      </c>
      <c r="G619" s="22"/>
      <c r="H619" s="23" t="s">
        <v>946</v>
      </c>
      <c r="I619" s="20" t="s">
        <v>22</v>
      </c>
      <c r="J619" s="20">
        <v>0.0</v>
      </c>
      <c r="K619" s="20">
        <v>0.0</v>
      </c>
      <c r="L619" s="20">
        <v>0.0</v>
      </c>
      <c r="M619" s="20">
        <v>0.0</v>
      </c>
      <c r="N619" s="20">
        <v>0.0</v>
      </c>
      <c r="O619" s="20">
        <v>0.0</v>
      </c>
      <c r="P619" s="20">
        <v>0.0</v>
      </c>
      <c r="Q619" s="20">
        <v>0.0</v>
      </c>
      <c r="R619" s="20">
        <v>0.0</v>
      </c>
      <c r="S619" s="20">
        <v>0.0</v>
      </c>
      <c r="T619" s="20">
        <v>0.0</v>
      </c>
      <c r="U619" s="20">
        <v>0.0</v>
      </c>
    </row>
    <row r="620" ht="23.25" customHeight="1">
      <c r="A620" s="17" t="str">
        <f>IF(COUNTIF('Icon Lookup'!C:C,B620)&gt;0,LOOKUP(B620,'Icon Lookup'!C:C,'Icon Lookup'!B:B),"")</f>
        <v/>
      </c>
      <c r="B620" s="18" t="s">
        <v>510</v>
      </c>
      <c r="C620" s="17"/>
      <c r="D620" s="17">
        <v>34.0</v>
      </c>
      <c r="E620" s="17" t="s">
        <v>511</v>
      </c>
      <c r="G620" s="19"/>
      <c r="H620" s="20" t="s">
        <v>946</v>
      </c>
      <c r="I620" s="17" t="s">
        <v>22</v>
      </c>
      <c r="J620" s="17">
        <v>0.0</v>
      </c>
      <c r="K620" s="17">
        <v>0.0</v>
      </c>
      <c r="L620" s="17">
        <v>0.0</v>
      </c>
      <c r="M620" s="17">
        <v>0.0</v>
      </c>
      <c r="N620" s="17">
        <v>0.0</v>
      </c>
      <c r="O620" s="17">
        <v>0.0</v>
      </c>
      <c r="P620" s="17">
        <v>0.0</v>
      </c>
      <c r="Q620" s="17">
        <v>0.0</v>
      </c>
      <c r="R620" s="17">
        <v>0.0</v>
      </c>
      <c r="S620" s="17">
        <v>0.0</v>
      </c>
      <c r="T620" s="17">
        <v>0.0</v>
      </c>
      <c r="U620" s="17">
        <v>0.0</v>
      </c>
    </row>
    <row r="621" ht="23.25" customHeight="1">
      <c r="A621" s="1"/>
      <c r="B621" s="15" t="s">
        <v>947</v>
      </c>
      <c r="C621" s="1" t="s">
        <v>17</v>
      </c>
      <c r="D621" s="1" t="s">
        <v>948</v>
      </c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ht="23.25" customHeight="1">
      <c r="A622" s="20" t="str">
        <f>IF(COUNTIF('Icon Lookup'!C:C,B622)&gt;0,LOOKUP(B622,'Icon Lookup'!C:C,'Icon Lookup'!B:B),"")</f>
        <v/>
      </c>
      <c r="B622" s="21" t="s">
        <v>476</v>
      </c>
      <c r="C622" s="20"/>
      <c r="D622" s="20">
        <v>17.0</v>
      </c>
      <c r="E622" s="20" t="s">
        <v>203</v>
      </c>
      <c r="G622" s="22"/>
      <c r="H622" s="23" t="s">
        <v>949</v>
      </c>
      <c r="I622" s="20" t="s">
        <v>156</v>
      </c>
      <c r="J622" s="20">
        <v>0.0</v>
      </c>
      <c r="K622" s="20">
        <v>0.0</v>
      </c>
      <c r="L622" s="20">
        <v>0.0</v>
      </c>
      <c r="M622" s="20">
        <v>0.0</v>
      </c>
      <c r="N622" s="20">
        <v>0.0</v>
      </c>
      <c r="O622" s="20">
        <v>0.0</v>
      </c>
      <c r="P622" s="20">
        <v>0.0</v>
      </c>
      <c r="Q622" s="20">
        <v>0.0</v>
      </c>
      <c r="R622" s="20">
        <v>0.0</v>
      </c>
      <c r="S622" s="20">
        <v>0.0</v>
      </c>
      <c r="T622" s="20">
        <v>0.0</v>
      </c>
      <c r="U622" s="20">
        <v>0.0</v>
      </c>
    </row>
    <row r="623" ht="23.25" customHeight="1">
      <c r="A623" s="17" t="str">
        <f>IF(COUNTIF('Icon Lookup'!C:C,B623)&gt;0,LOOKUP(B623,'Icon Lookup'!C:C,'Icon Lookup'!B:B),"")</f>
        <v/>
      </c>
      <c r="B623" s="18" t="s">
        <v>476</v>
      </c>
      <c r="C623" s="17"/>
      <c r="D623" s="17">
        <v>20.0</v>
      </c>
      <c r="E623" s="17" t="s">
        <v>950</v>
      </c>
      <c r="G623" s="19"/>
      <c r="H623" s="20" t="s">
        <v>204</v>
      </c>
      <c r="I623" s="17" t="s">
        <v>156</v>
      </c>
      <c r="J623" s="17">
        <v>0.0</v>
      </c>
      <c r="K623" s="17">
        <v>0.0</v>
      </c>
      <c r="L623" s="17">
        <v>0.0</v>
      </c>
      <c r="M623" s="17">
        <v>0.0</v>
      </c>
      <c r="N623" s="17">
        <v>0.0</v>
      </c>
      <c r="O623" s="17">
        <v>0.0</v>
      </c>
      <c r="P623" s="17">
        <v>0.0</v>
      </c>
      <c r="Q623" s="17">
        <v>0.0</v>
      </c>
      <c r="R623" s="17">
        <v>0.0</v>
      </c>
      <c r="S623" s="17">
        <v>0.0</v>
      </c>
      <c r="T623" s="17">
        <v>0.0</v>
      </c>
      <c r="U623" s="17">
        <v>0.0</v>
      </c>
    </row>
    <row r="624" ht="23.25" customHeight="1">
      <c r="A624" s="20" t="str">
        <f>IF(COUNTIF('Icon Lookup'!C:C,B624)&gt;0,LOOKUP(B624,'Icon Lookup'!C:C,'Icon Lookup'!B:B),"")</f>
        <v/>
      </c>
      <c r="B624" s="21" t="s">
        <v>476</v>
      </c>
      <c r="C624" s="20"/>
      <c r="D624" s="20">
        <v>20.0</v>
      </c>
      <c r="E624" s="20" t="s">
        <v>950</v>
      </c>
      <c r="G624" s="22"/>
      <c r="H624" s="23" t="s">
        <v>204</v>
      </c>
      <c r="I624" s="20" t="s">
        <v>156</v>
      </c>
      <c r="J624" s="20">
        <v>0.0</v>
      </c>
      <c r="K624" s="20">
        <v>0.0</v>
      </c>
      <c r="L624" s="20">
        <v>0.0</v>
      </c>
      <c r="M624" s="20">
        <v>0.0</v>
      </c>
      <c r="N624" s="20">
        <v>0.0</v>
      </c>
      <c r="O624" s="20">
        <v>0.0</v>
      </c>
      <c r="P624" s="20">
        <v>0.0</v>
      </c>
      <c r="Q624" s="20">
        <v>0.0</v>
      </c>
      <c r="R624" s="20">
        <v>0.0</v>
      </c>
      <c r="S624" s="20">
        <v>0.0</v>
      </c>
      <c r="T624" s="20">
        <v>0.0</v>
      </c>
      <c r="U624" s="20">
        <v>0.0</v>
      </c>
    </row>
    <row r="625" ht="23.25" customHeight="1">
      <c r="A625" s="1"/>
      <c r="B625" s="15" t="s">
        <v>951</v>
      </c>
      <c r="C625" s="1" t="s">
        <v>17</v>
      </c>
      <c r="D625" s="1" t="s">
        <v>952</v>
      </c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ht="23.25" customHeight="1">
      <c r="A626" s="17" t="str">
        <f>IF(COUNTIF('Icon Lookup'!C:C,B626)&gt;0,LOOKUP(B626,'Icon Lookup'!C:C,'Icon Lookup'!B:B),"")</f>
        <v/>
      </c>
      <c r="B626" s="18" t="s">
        <v>488</v>
      </c>
      <c r="C626" s="17"/>
      <c r="D626" s="17">
        <v>19.0</v>
      </c>
      <c r="E626" s="17" t="s">
        <v>87</v>
      </c>
      <c r="G626" s="19"/>
      <c r="H626" s="20" t="s">
        <v>953</v>
      </c>
      <c r="I626" s="17" t="s">
        <v>89</v>
      </c>
      <c r="J626" s="17">
        <v>0.0</v>
      </c>
      <c r="K626" s="17">
        <v>0.0</v>
      </c>
      <c r="L626" s="17">
        <v>0.0</v>
      </c>
      <c r="M626" s="17">
        <v>0.0</v>
      </c>
      <c r="N626" s="17">
        <v>0.0</v>
      </c>
      <c r="O626" s="17">
        <v>0.0</v>
      </c>
      <c r="P626" s="17">
        <v>0.0</v>
      </c>
      <c r="Q626" s="17">
        <v>0.0</v>
      </c>
      <c r="R626" s="17">
        <v>0.0</v>
      </c>
      <c r="S626" s="17">
        <v>0.0</v>
      </c>
      <c r="T626" s="17">
        <v>0.0</v>
      </c>
      <c r="U626" s="17">
        <v>0.0</v>
      </c>
    </row>
    <row r="627" ht="23.25" customHeight="1">
      <c r="A627" s="20" t="str">
        <f>IF(COUNTIF('Icon Lookup'!C:C,B627)&gt;0,LOOKUP(B627,'Icon Lookup'!C:C,'Icon Lookup'!B:B),"")</f>
        <v/>
      </c>
      <c r="B627" s="21" t="s">
        <v>488</v>
      </c>
      <c r="C627" s="20"/>
      <c r="D627" s="20">
        <v>19.0</v>
      </c>
      <c r="E627" s="20" t="s">
        <v>87</v>
      </c>
      <c r="G627" s="22"/>
      <c r="H627" s="23" t="s">
        <v>954</v>
      </c>
      <c r="I627" s="20" t="s">
        <v>89</v>
      </c>
      <c r="J627" s="20">
        <v>0.0</v>
      </c>
      <c r="K627" s="20">
        <v>0.0</v>
      </c>
      <c r="L627" s="20">
        <v>0.0</v>
      </c>
      <c r="M627" s="20">
        <v>0.0</v>
      </c>
      <c r="N627" s="20">
        <v>0.0</v>
      </c>
      <c r="O627" s="20">
        <v>0.0</v>
      </c>
      <c r="P627" s="20">
        <v>0.0</v>
      </c>
      <c r="Q627" s="20">
        <v>0.0</v>
      </c>
      <c r="R627" s="20">
        <v>0.0</v>
      </c>
      <c r="S627" s="20">
        <v>0.0</v>
      </c>
      <c r="T627" s="20">
        <v>0.0</v>
      </c>
      <c r="U627" s="20">
        <v>0.0</v>
      </c>
    </row>
    <row r="628" ht="23.25" customHeight="1">
      <c r="A628" s="17" t="str">
        <f>IF(COUNTIF('Icon Lookup'!C:C,B628)&gt;0,LOOKUP(B628,'Icon Lookup'!C:C,'Icon Lookup'!B:B),"")</f>
        <v/>
      </c>
      <c r="B628" s="18" t="s">
        <v>488</v>
      </c>
      <c r="C628" s="17"/>
      <c r="D628" s="17">
        <v>19.0</v>
      </c>
      <c r="E628" s="17" t="s">
        <v>87</v>
      </c>
      <c r="G628" s="19"/>
      <c r="H628" s="20" t="s">
        <v>955</v>
      </c>
      <c r="I628" s="17" t="s">
        <v>89</v>
      </c>
      <c r="J628" s="17">
        <v>0.0</v>
      </c>
      <c r="K628" s="17">
        <v>0.0</v>
      </c>
      <c r="L628" s="17">
        <v>0.0</v>
      </c>
      <c r="M628" s="17">
        <v>0.0</v>
      </c>
      <c r="N628" s="17">
        <v>0.0</v>
      </c>
      <c r="O628" s="17">
        <v>0.0</v>
      </c>
      <c r="P628" s="17">
        <v>0.0</v>
      </c>
      <c r="Q628" s="17">
        <v>0.0</v>
      </c>
      <c r="R628" s="17">
        <v>0.0</v>
      </c>
      <c r="S628" s="17">
        <v>0.0</v>
      </c>
      <c r="T628" s="17">
        <v>0.0</v>
      </c>
      <c r="U628" s="17">
        <v>0.0</v>
      </c>
    </row>
    <row r="629" ht="23.25" customHeight="1">
      <c r="A629" s="1"/>
      <c r="B629" s="15" t="s">
        <v>956</v>
      </c>
      <c r="C629" s="1" t="s">
        <v>17</v>
      </c>
      <c r="D629" s="1" t="s">
        <v>957</v>
      </c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ht="23.25" customHeight="1">
      <c r="A630" s="20" t="str">
        <f>IF(COUNTIF('Icon Lookup'!C:C,B630)&gt;0,LOOKUP(B630,'Icon Lookup'!C:C,'Icon Lookup'!B:B),"")</f>
        <v/>
      </c>
      <c r="B630" s="21" t="s">
        <v>958</v>
      </c>
      <c r="C630" s="20"/>
      <c r="D630" s="20">
        <v>53.0</v>
      </c>
      <c r="E630" s="20" t="s">
        <v>959</v>
      </c>
      <c r="G630" s="22"/>
      <c r="H630" s="23" t="s">
        <v>960</v>
      </c>
      <c r="I630" s="20" t="s">
        <v>612</v>
      </c>
      <c r="J630" s="20">
        <v>0.0</v>
      </c>
      <c r="K630" s="20">
        <v>0.0</v>
      </c>
      <c r="L630" s="20">
        <v>0.0</v>
      </c>
      <c r="M630" s="20">
        <v>0.0</v>
      </c>
      <c r="N630" s="20">
        <v>0.0</v>
      </c>
      <c r="O630" s="20">
        <v>0.0</v>
      </c>
      <c r="P630" s="20">
        <v>0.0</v>
      </c>
      <c r="Q630" s="20">
        <v>0.0</v>
      </c>
      <c r="R630" s="20">
        <v>0.0</v>
      </c>
      <c r="S630" s="20">
        <v>0.0</v>
      </c>
      <c r="T630" s="20">
        <v>0.0</v>
      </c>
      <c r="U630" s="20">
        <v>0.0</v>
      </c>
    </row>
    <row r="631" ht="23.25" customHeight="1">
      <c r="A631" s="17" t="str">
        <f>IF(COUNTIF('Icon Lookup'!C:C,B631)&gt;0,LOOKUP(B631,'Icon Lookup'!C:C,'Icon Lookup'!B:B),"")</f>
        <v/>
      </c>
      <c r="B631" s="18" t="s">
        <v>961</v>
      </c>
      <c r="C631" s="17"/>
      <c r="D631" s="17">
        <v>57.0</v>
      </c>
      <c r="E631" s="17" t="s">
        <v>959</v>
      </c>
      <c r="G631" s="19"/>
      <c r="H631" s="20" t="s">
        <v>962</v>
      </c>
      <c r="I631" s="17" t="s">
        <v>550</v>
      </c>
      <c r="J631" s="17">
        <v>0.0</v>
      </c>
      <c r="K631" s="17">
        <v>0.0</v>
      </c>
      <c r="L631" s="17">
        <v>0.0</v>
      </c>
      <c r="M631" s="17">
        <v>0.0</v>
      </c>
      <c r="N631" s="17">
        <v>0.0</v>
      </c>
      <c r="O631" s="17">
        <v>0.0</v>
      </c>
      <c r="P631" s="17">
        <v>0.0</v>
      </c>
      <c r="Q631" s="17">
        <v>0.0</v>
      </c>
      <c r="R631" s="17">
        <v>0.0</v>
      </c>
      <c r="S631" s="17">
        <v>0.0</v>
      </c>
      <c r="T631" s="17">
        <v>0.0</v>
      </c>
      <c r="U631" s="17">
        <v>0.0</v>
      </c>
    </row>
    <row r="632" ht="23.25" customHeight="1">
      <c r="A632" s="1"/>
      <c r="B632" s="15" t="s">
        <v>963</v>
      </c>
      <c r="C632" s="1" t="s">
        <v>17</v>
      </c>
      <c r="D632" s="1" t="s">
        <v>964</v>
      </c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ht="23.25" customHeight="1">
      <c r="A633" s="20" t="str">
        <f>IF(COUNTIF('Icon Lookup'!C:C,B633)&gt;0,LOOKUP(B633,'Icon Lookup'!C:C,'Icon Lookup'!B:B),"")</f>
        <v/>
      </c>
      <c r="B633" s="21" t="s">
        <v>965</v>
      </c>
      <c r="C633" s="20"/>
      <c r="D633" s="20">
        <v>23.0</v>
      </c>
      <c r="E633" s="20" t="s">
        <v>145</v>
      </c>
      <c r="G633" s="22"/>
      <c r="H633" s="23" t="s">
        <v>146</v>
      </c>
      <c r="I633" s="20" t="s">
        <v>22</v>
      </c>
      <c r="J633" s="20">
        <v>0.0</v>
      </c>
      <c r="K633" s="20">
        <v>0.0</v>
      </c>
      <c r="L633" s="20">
        <v>0.0</v>
      </c>
      <c r="M633" s="20">
        <v>0.0</v>
      </c>
      <c r="N633" s="20">
        <v>0.0</v>
      </c>
      <c r="O633" s="20">
        <v>0.0</v>
      </c>
      <c r="P633" s="20">
        <v>0.0</v>
      </c>
      <c r="Q633" s="20">
        <v>0.0</v>
      </c>
      <c r="R633" s="20">
        <v>0.0</v>
      </c>
      <c r="S633" s="20">
        <v>0.0</v>
      </c>
      <c r="T633" s="20">
        <v>0.0</v>
      </c>
      <c r="U633" s="20">
        <v>0.0</v>
      </c>
    </row>
    <row r="634" ht="23.25" customHeight="1">
      <c r="A634" s="17" t="str">
        <f>IF(COUNTIF('Icon Lookup'!C:C,B634)&gt;0,LOOKUP(B634,'Icon Lookup'!C:C,'Icon Lookup'!B:B),"")</f>
        <v/>
      </c>
      <c r="B634" s="18" t="s">
        <v>190</v>
      </c>
      <c r="C634" s="17"/>
      <c r="D634" s="17">
        <v>23.0</v>
      </c>
      <c r="E634" s="17" t="s">
        <v>26</v>
      </c>
      <c r="G634" s="19"/>
      <c r="H634" s="20" t="s">
        <v>966</v>
      </c>
      <c r="I634" s="17" t="s">
        <v>40</v>
      </c>
      <c r="J634" s="17">
        <v>0.0</v>
      </c>
      <c r="K634" s="17">
        <v>0.0</v>
      </c>
      <c r="L634" s="17">
        <v>0.0</v>
      </c>
      <c r="M634" s="17">
        <v>0.0</v>
      </c>
      <c r="N634" s="17">
        <v>0.0</v>
      </c>
      <c r="O634" s="17">
        <v>0.0</v>
      </c>
      <c r="P634" s="17">
        <v>0.0</v>
      </c>
      <c r="Q634" s="17">
        <v>0.0</v>
      </c>
      <c r="R634" s="17">
        <v>0.0</v>
      </c>
      <c r="S634" s="17">
        <v>0.0</v>
      </c>
      <c r="T634" s="17">
        <v>0.0</v>
      </c>
      <c r="U634" s="17">
        <v>0.0</v>
      </c>
    </row>
    <row r="635" ht="23.25" customHeight="1">
      <c r="A635" s="1"/>
      <c r="B635" s="15" t="s">
        <v>967</v>
      </c>
      <c r="C635" s="1" t="s">
        <v>17</v>
      </c>
      <c r="D635" s="1" t="s">
        <v>968</v>
      </c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ht="23.25" customHeight="1">
      <c r="A636" s="20" t="str">
        <f>IF(COUNTIF('Icon Lookup'!C:C,B636)&gt;0,LOOKUP(B636,'Icon Lookup'!C:C,'Icon Lookup'!B:B),"")</f>
        <v/>
      </c>
      <c r="B636" s="21" t="s">
        <v>282</v>
      </c>
      <c r="C636" s="20"/>
      <c r="D636" s="20">
        <v>30.0</v>
      </c>
      <c r="E636" s="20" t="s">
        <v>283</v>
      </c>
      <c r="G636" s="22"/>
      <c r="H636" s="23" t="s">
        <v>969</v>
      </c>
      <c r="I636" s="20" t="s">
        <v>89</v>
      </c>
      <c r="J636" s="20">
        <v>0.0</v>
      </c>
      <c r="K636" s="20">
        <v>0.0</v>
      </c>
      <c r="L636" s="20">
        <v>0.0</v>
      </c>
      <c r="M636" s="20">
        <v>0.0</v>
      </c>
      <c r="N636" s="20">
        <v>0.0</v>
      </c>
      <c r="O636" s="20">
        <v>0.0</v>
      </c>
      <c r="P636" s="20">
        <v>0.0</v>
      </c>
      <c r="Q636" s="20">
        <v>0.0</v>
      </c>
      <c r="R636" s="20">
        <v>0.0</v>
      </c>
      <c r="S636" s="20">
        <v>0.0</v>
      </c>
      <c r="T636" s="20">
        <v>0.0</v>
      </c>
      <c r="U636" s="20">
        <v>0.0</v>
      </c>
    </row>
    <row r="637" ht="23.25" customHeight="1">
      <c r="A637" s="17" t="str">
        <f>IF(COUNTIF('Icon Lookup'!C:C,B637)&gt;0,LOOKUP(B637,'Icon Lookup'!C:C,'Icon Lookup'!B:B),"")</f>
        <v/>
      </c>
      <c r="B637" s="18" t="s">
        <v>756</v>
      </c>
      <c r="C637" s="17"/>
      <c r="D637" s="17">
        <v>32.0</v>
      </c>
      <c r="E637" s="17" t="s">
        <v>87</v>
      </c>
      <c r="G637" s="19"/>
      <c r="H637" s="20" t="s">
        <v>970</v>
      </c>
      <c r="I637" s="17" t="s">
        <v>89</v>
      </c>
      <c r="J637" s="17">
        <v>0.0</v>
      </c>
      <c r="K637" s="17">
        <v>0.0</v>
      </c>
      <c r="L637" s="17">
        <v>0.0</v>
      </c>
      <c r="M637" s="17">
        <v>0.0</v>
      </c>
      <c r="N637" s="17">
        <v>0.0</v>
      </c>
      <c r="O637" s="17">
        <v>0.0</v>
      </c>
      <c r="P637" s="17">
        <v>0.0</v>
      </c>
      <c r="Q637" s="17">
        <v>0.0</v>
      </c>
      <c r="R637" s="17">
        <v>0.0</v>
      </c>
      <c r="S637" s="17">
        <v>0.0</v>
      </c>
      <c r="T637" s="17">
        <v>0.0</v>
      </c>
      <c r="U637" s="17">
        <v>0.0</v>
      </c>
    </row>
    <row r="638" ht="23.25" customHeight="1">
      <c r="A638" s="1"/>
      <c r="B638" s="15" t="s">
        <v>971</v>
      </c>
      <c r="C638" s="1" t="s">
        <v>17</v>
      </c>
      <c r="D638" s="1" t="s">
        <v>972</v>
      </c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ht="23.25" customHeight="1">
      <c r="A639" s="20" t="str">
        <f>IF(COUNTIF('Icon Lookup'!C:C,B639)&gt;0,LOOKUP(B639,'Icon Lookup'!C:C,'Icon Lookup'!B:B),"")</f>
        <v/>
      </c>
      <c r="B639" s="21" t="s">
        <v>447</v>
      </c>
      <c r="C639" s="20"/>
      <c r="D639" s="20">
        <v>26.0</v>
      </c>
      <c r="E639" s="20" t="s">
        <v>161</v>
      </c>
      <c r="G639" s="22"/>
      <c r="H639" s="23" t="s">
        <v>973</v>
      </c>
      <c r="I639" s="20" t="s">
        <v>52</v>
      </c>
      <c r="J639" s="20">
        <v>0.0</v>
      </c>
      <c r="K639" s="20">
        <v>0.0</v>
      </c>
      <c r="L639" s="20">
        <v>0.0</v>
      </c>
      <c r="M639" s="20">
        <v>0.0</v>
      </c>
      <c r="N639" s="20">
        <v>0.0</v>
      </c>
      <c r="O639" s="20">
        <v>0.0</v>
      </c>
      <c r="P639" s="20">
        <v>0.0</v>
      </c>
      <c r="Q639" s="20">
        <v>0.0</v>
      </c>
      <c r="R639" s="20">
        <v>0.0</v>
      </c>
      <c r="S639" s="20">
        <v>0.0</v>
      </c>
      <c r="T639" s="20">
        <v>0.0</v>
      </c>
      <c r="U639" s="20">
        <v>0.0</v>
      </c>
    </row>
    <row r="640" ht="23.25" customHeight="1">
      <c r="A640" s="17" t="str">
        <f>IF(COUNTIF('Icon Lookup'!C:C,B640)&gt;0,LOOKUP(B640,'Icon Lookup'!C:C,'Icon Lookup'!B:B),"")</f>
        <v/>
      </c>
      <c r="B640" s="18" t="s">
        <v>442</v>
      </c>
      <c r="C640" s="17"/>
      <c r="D640" s="17">
        <v>28.0</v>
      </c>
      <c r="E640" s="17" t="s">
        <v>161</v>
      </c>
      <c r="G640" s="19"/>
      <c r="H640" s="20" t="s">
        <v>974</v>
      </c>
      <c r="I640" s="17" t="s">
        <v>52</v>
      </c>
      <c r="J640" s="17">
        <v>0.0</v>
      </c>
      <c r="K640" s="17">
        <v>0.0</v>
      </c>
      <c r="L640" s="17">
        <v>0.0</v>
      </c>
      <c r="M640" s="17">
        <v>0.0</v>
      </c>
      <c r="N640" s="17">
        <v>0.0</v>
      </c>
      <c r="O640" s="17">
        <v>0.0</v>
      </c>
      <c r="P640" s="17">
        <v>0.0</v>
      </c>
      <c r="Q640" s="17">
        <v>0.0</v>
      </c>
      <c r="R640" s="17">
        <v>0.0</v>
      </c>
      <c r="S640" s="17">
        <v>0.0</v>
      </c>
      <c r="T640" s="17">
        <v>0.0</v>
      </c>
      <c r="U640" s="17">
        <v>0.0</v>
      </c>
    </row>
    <row r="641" ht="23.25" customHeight="1">
      <c r="A641" s="20" t="str">
        <f>IF(COUNTIF('Icon Lookup'!C:C,B641)&gt;0,LOOKUP(B641,'Icon Lookup'!C:C,'Icon Lookup'!B:B),"")</f>
        <v/>
      </c>
      <c r="B641" s="21" t="s">
        <v>767</v>
      </c>
      <c r="C641" s="20"/>
      <c r="D641" s="20">
        <v>30.0</v>
      </c>
      <c r="E641" s="20" t="s">
        <v>768</v>
      </c>
      <c r="G641" s="22"/>
      <c r="H641" s="23" t="s">
        <v>975</v>
      </c>
      <c r="I641" s="20" t="s">
        <v>52</v>
      </c>
      <c r="J641" s="20">
        <v>0.0</v>
      </c>
      <c r="K641" s="20">
        <v>0.0</v>
      </c>
      <c r="L641" s="20">
        <v>0.0</v>
      </c>
      <c r="M641" s="20">
        <v>0.0</v>
      </c>
      <c r="N641" s="20">
        <v>0.0</v>
      </c>
      <c r="O641" s="20">
        <v>0.0</v>
      </c>
      <c r="P641" s="20">
        <v>0.0</v>
      </c>
      <c r="Q641" s="20">
        <v>0.0</v>
      </c>
      <c r="R641" s="20">
        <v>0.0</v>
      </c>
      <c r="S641" s="20">
        <v>0.0</v>
      </c>
      <c r="T641" s="20">
        <v>0.0</v>
      </c>
      <c r="U641" s="20">
        <v>0.0</v>
      </c>
    </row>
    <row r="642" ht="23.25" customHeight="1">
      <c r="A642" s="1"/>
      <c r="B642" s="15" t="s">
        <v>976</v>
      </c>
      <c r="C642" s="1" t="s">
        <v>17</v>
      </c>
      <c r="D642" s="1" t="s">
        <v>977</v>
      </c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ht="23.25" customHeight="1">
      <c r="A643" s="17" t="str">
        <f>IF(COUNTIF('Icon Lookup'!C:C,B643)&gt;0,LOOKUP(B643,'Icon Lookup'!C:C,'Icon Lookup'!B:B),"")</f>
        <v/>
      </c>
      <c r="B643" s="18" t="s">
        <v>756</v>
      </c>
      <c r="C643" s="17"/>
      <c r="D643" s="17">
        <v>44.0</v>
      </c>
      <c r="E643" s="17" t="s">
        <v>98</v>
      </c>
      <c r="G643" s="19"/>
      <c r="H643" s="20" t="s">
        <v>978</v>
      </c>
      <c r="I643" s="17" t="s">
        <v>89</v>
      </c>
      <c r="J643" s="17">
        <v>0.0</v>
      </c>
      <c r="K643" s="17">
        <v>0.0</v>
      </c>
      <c r="L643" s="17">
        <v>0.0</v>
      </c>
      <c r="M643" s="17">
        <v>0.0</v>
      </c>
      <c r="N643" s="17">
        <v>0.0</v>
      </c>
      <c r="O643" s="17">
        <v>0.0</v>
      </c>
      <c r="P643" s="17">
        <v>0.0</v>
      </c>
      <c r="Q643" s="17">
        <v>0.0</v>
      </c>
      <c r="R643" s="17">
        <v>0.0</v>
      </c>
      <c r="S643" s="17">
        <v>0.0</v>
      </c>
      <c r="T643" s="17">
        <v>0.0</v>
      </c>
      <c r="U643" s="17">
        <v>0.0</v>
      </c>
    </row>
    <row r="644" ht="23.25" customHeight="1">
      <c r="A644" s="20" t="str">
        <f>IF(COUNTIF('Icon Lookup'!C:C,B644)&gt;0,LOOKUP(B644,'Icon Lookup'!C:C,'Icon Lookup'!B:B),"")</f>
        <v/>
      </c>
      <c r="B644" s="21" t="s">
        <v>582</v>
      </c>
      <c r="C644" s="20"/>
      <c r="D644" s="20">
        <v>44.0</v>
      </c>
      <c r="E644" s="20" t="s">
        <v>166</v>
      </c>
      <c r="G644" s="22"/>
      <c r="H644" s="23" t="s">
        <v>979</v>
      </c>
      <c r="I644" s="20" t="s">
        <v>22</v>
      </c>
      <c r="J644" s="20">
        <v>0.0</v>
      </c>
      <c r="K644" s="20">
        <v>0.0</v>
      </c>
      <c r="L644" s="20">
        <v>0.0</v>
      </c>
      <c r="M644" s="20">
        <v>0.0</v>
      </c>
      <c r="N644" s="20">
        <v>0.0</v>
      </c>
      <c r="O644" s="20">
        <v>0.0</v>
      </c>
      <c r="P644" s="20">
        <v>0.0</v>
      </c>
      <c r="Q644" s="20">
        <v>0.0</v>
      </c>
      <c r="R644" s="20">
        <v>0.0</v>
      </c>
      <c r="S644" s="20">
        <v>0.0</v>
      </c>
      <c r="T644" s="20">
        <v>0.0</v>
      </c>
      <c r="U644" s="20">
        <v>0.0</v>
      </c>
    </row>
    <row r="645" ht="23.25" customHeight="1">
      <c r="A645" s="1"/>
      <c r="B645" s="15" t="s">
        <v>980</v>
      </c>
      <c r="C645" s="1" t="s">
        <v>17</v>
      </c>
      <c r="D645" s="1" t="s">
        <v>981</v>
      </c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ht="23.25" customHeight="1">
      <c r="A646" s="17" t="str">
        <f>IF(COUNTIF('Icon Lookup'!C:C,B646)&gt;0,LOOKUP(B646,'Icon Lookup'!C:C,'Icon Lookup'!B:B),"")</f>
        <v/>
      </c>
      <c r="B646" s="18" t="s">
        <v>982</v>
      </c>
      <c r="C646" s="17"/>
      <c r="D646" s="17">
        <v>54.0</v>
      </c>
      <c r="E646" s="17" t="s">
        <v>399</v>
      </c>
      <c r="G646" s="19"/>
      <c r="H646" s="20" t="s">
        <v>983</v>
      </c>
      <c r="I646" s="17" t="s">
        <v>89</v>
      </c>
      <c r="J646" s="17">
        <v>0.0</v>
      </c>
      <c r="K646" s="17">
        <v>0.0</v>
      </c>
      <c r="L646" s="17">
        <v>0.0</v>
      </c>
      <c r="M646" s="17">
        <v>0.0</v>
      </c>
      <c r="N646" s="17">
        <v>0.0</v>
      </c>
      <c r="O646" s="17">
        <v>0.0</v>
      </c>
      <c r="P646" s="17">
        <v>0.0</v>
      </c>
      <c r="Q646" s="17">
        <v>0.0</v>
      </c>
      <c r="R646" s="17">
        <v>0.0</v>
      </c>
      <c r="S646" s="17">
        <v>0.0</v>
      </c>
      <c r="T646" s="17">
        <v>0.0</v>
      </c>
      <c r="U646" s="17">
        <v>0.0</v>
      </c>
    </row>
    <row r="647" ht="23.25" customHeight="1">
      <c r="A647" s="20" t="str">
        <f>IF(COUNTIF('Icon Lookup'!C:C,B647)&gt;0,LOOKUP(B647,'Icon Lookup'!C:C,'Icon Lookup'!B:B),"")</f>
        <v/>
      </c>
      <c r="B647" s="21" t="s">
        <v>190</v>
      </c>
      <c r="C647" s="20"/>
      <c r="D647" s="20">
        <v>54.0</v>
      </c>
      <c r="E647" s="20" t="s">
        <v>26</v>
      </c>
      <c r="G647" s="22"/>
      <c r="H647" s="23" t="s">
        <v>984</v>
      </c>
      <c r="I647" s="20" t="s">
        <v>89</v>
      </c>
      <c r="J647" s="20">
        <v>0.0</v>
      </c>
      <c r="K647" s="20">
        <v>0.0</v>
      </c>
      <c r="L647" s="20">
        <v>0.0</v>
      </c>
      <c r="M647" s="20">
        <v>0.0</v>
      </c>
      <c r="N647" s="20">
        <v>0.0</v>
      </c>
      <c r="O647" s="20">
        <v>0.0</v>
      </c>
      <c r="P647" s="20">
        <v>0.0</v>
      </c>
      <c r="Q647" s="20">
        <v>0.0</v>
      </c>
      <c r="R647" s="20">
        <v>0.0</v>
      </c>
      <c r="S647" s="20">
        <v>0.0</v>
      </c>
      <c r="T647" s="20">
        <v>0.0</v>
      </c>
      <c r="U647" s="20">
        <v>0.0</v>
      </c>
    </row>
    <row r="648" ht="23.25" customHeight="1">
      <c r="A648" s="1"/>
      <c r="B648" s="15" t="s">
        <v>985</v>
      </c>
      <c r="C648" s="1" t="s">
        <v>17</v>
      </c>
      <c r="D648" s="1" t="s">
        <v>986</v>
      </c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ht="23.25" customHeight="1">
      <c r="A649" s="17" t="str">
        <f>IF(COUNTIF('Icon Lookup'!C:C,B649)&gt;0,LOOKUP(B649,'Icon Lookup'!C:C,'Icon Lookup'!B:B),"")</f>
        <v/>
      </c>
      <c r="B649" s="18" t="s">
        <v>405</v>
      </c>
      <c r="C649" s="17"/>
      <c r="D649" s="17">
        <v>33.0</v>
      </c>
      <c r="E649" s="17" t="s">
        <v>603</v>
      </c>
      <c r="G649" s="19"/>
      <c r="H649" s="20" t="s">
        <v>987</v>
      </c>
      <c r="I649" s="17" t="s">
        <v>22</v>
      </c>
      <c r="J649" s="17">
        <v>0.0</v>
      </c>
      <c r="K649" s="17">
        <v>0.0</v>
      </c>
      <c r="L649" s="17">
        <v>0.0</v>
      </c>
      <c r="M649" s="17">
        <v>0.0</v>
      </c>
      <c r="N649" s="17">
        <v>0.0</v>
      </c>
      <c r="O649" s="17">
        <v>0.0</v>
      </c>
      <c r="P649" s="17">
        <v>0.0</v>
      </c>
      <c r="Q649" s="17">
        <v>0.0</v>
      </c>
      <c r="R649" s="17">
        <v>0.0</v>
      </c>
      <c r="S649" s="17">
        <v>0.0</v>
      </c>
      <c r="T649" s="17">
        <v>0.0</v>
      </c>
      <c r="U649" s="17">
        <v>0.0</v>
      </c>
    </row>
    <row r="650" ht="23.25" customHeight="1">
      <c r="A650" s="1"/>
      <c r="B650" s="15" t="s">
        <v>988</v>
      </c>
      <c r="C650" s="1" t="s">
        <v>17</v>
      </c>
      <c r="D650" s="1" t="s">
        <v>989</v>
      </c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ht="23.25" customHeight="1">
      <c r="A651" s="20" t="str">
        <f>IF(COUNTIF('Icon Lookup'!C:C,B651)&gt;0,LOOKUP(B651,'Icon Lookup'!C:C,'Icon Lookup'!B:B),"")</f>
        <v/>
      </c>
      <c r="B651" s="21" t="s">
        <v>449</v>
      </c>
      <c r="C651" s="20"/>
      <c r="D651" s="20">
        <v>30.0</v>
      </c>
      <c r="E651" s="20" t="s">
        <v>161</v>
      </c>
      <c r="G651" s="22"/>
      <c r="H651" s="23" t="s">
        <v>990</v>
      </c>
      <c r="I651" s="20" t="s">
        <v>52</v>
      </c>
      <c r="J651" s="20">
        <v>0.0</v>
      </c>
      <c r="K651" s="20">
        <v>0.0</v>
      </c>
      <c r="L651" s="20">
        <v>0.0</v>
      </c>
      <c r="M651" s="20">
        <v>0.0</v>
      </c>
      <c r="N651" s="20">
        <v>0.0</v>
      </c>
      <c r="O651" s="20">
        <v>0.0</v>
      </c>
      <c r="P651" s="20">
        <v>0.0</v>
      </c>
      <c r="Q651" s="20">
        <v>0.0</v>
      </c>
      <c r="R651" s="20">
        <v>0.0</v>
      </c>
      <c r="S651" s="20">
        <v>0.0</v>
      </c>
      <c r="T651" s="20">
        <v>0.0</v>
      </c>
      <c r="U651" s="20">
        <v>0.0</v>
      </c>
    </row>
    <row r="652" ht="23.25" customHeight="1">
      <c r="A652" s="17" t="str">
        <f>IF(COUNTIF('Icon Lookup'!C:C,B652)&gt;0,LOOKUP(B652,'Icon Lookup'!C:C,'Icon Lookup'!B:B),"")</f>
        <v/>
      </c>
      <c r="B652" s="18" t="s">
        <v>875</v>
      </c>
      <c r="C652" s="17"/>
      <c r="D652" s="17">
        <v>30.0</v>
      </c>
      <c r="E652" s="17" t="s">
        <v>991</v>
      </c>
      <c r="G652" s="19"/>
      <c r="H652" s="20" t="s">
        <v>992</v>
      </c>
      <c r="I652" s="17" t="s">
        <v>22</v>
      </c>
      <c r="J652" s="17">
        <v>0.0</v>
      </c>
      <c r="K652" s="17">
        <v>0.0</v>
      </c>
      <c r="L652" s="17">
        <v>0.0</v>
      </c>
      <c r="M652" s="17">
        <v>0.0</v>
      </c>
      <c r="N652" s="17">
        <v>0.0</v>
      </c>
      <c r="O652" s="17">
        <v>0.0</v>
      </c>
      <c r="P652" s="17">
        <v>0.0</v>
      </c>
      <c r="Q652" s="17">
        <v>0.0</v>
      </c>
      <c r="R652" s="17">
        <v>0.0</v>
      </c>
      <c r="S652" s="17">
        <v>0.0</v>
      </c>
      <c r="T652" s="17">
        <v>0.0</v>
      </c>
      <c r="U652" s="17">
        <v>0.0</v>
      </c>
    </row>
    <row r="653" ht="23.25" customHeight="1">
      <c r="A653" s="1"/>
      <c r="B653" s="15" t="s">
        <v>993</v>
      </c>
      <c r="C653" s="1" t="s">
        <v>17</v>
      </c>
      <c r="D653" s="1" t="s">
        <v>994</v>
      </c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ht="23.25" customHeight="1">
      <c r="A654" s="20" t="str">
        <f>IF(COUNTIF('Icon Lookup'!C:C,B654)&gt;0,LOOKUP(B654,'Icon Lookup'!C:C,'Icon Lookup'!B:B),"")</f>
        <v/>
      </c>
      <c r="B654" s="21" t="s">
        <v>386</v>
      </c>
      <c r="C654" s="20"/>
      <c r="D654" s="20">
        <v>44.0</v>
      </c>
      <c r="E654" s="20" t="s">
        <v>38</v>
      </c>
      <c r="G654" s="22"/>
      <c r="H654" s="23" t="s">
        <v>995</v>
      </c>
      <c r="I654" s="20" t="s">
        <v>52</v>
      </c>
      <c r="J654" s="20">
        <v>0.0</v>
      </c>
      <c r="K654" s="20">
        <v>0.0</v>
      </c>
      <c r="L654" s="20">
        <v>0.0</v>
      </c>
      <c r="M654" s="20">
        <v>0.0</v>
      </c>
      <c r="N654" s="20">
        <v>0.0</v>
      </c>
      <c r="O654" s="20">
        <v>0.0</v>
      </c>
      <c r="P654" s="20">
        <v>0.0</v>
      </c>
      <c r="Q654" s="20">
        <v>0.0</v>
      </c>
      <c r="R654" s="20">
        <v>0.0</v>
      </c>
      <c r="S654" s="20">
        <v>0.0</v>
      </c>
      <c r="T654" s="20">
        <v>0.0</v>
      </c>
      <c r="U654" s="20">
        <v>0.0</v>
      </c>
    </row>
    <row r="655" ht="23.25" customHeight="1">
      <c r="A655" s="17" t="str">
        <f>IF(COUNTIF('Icon Lookup'!C:C,B655)&gt;0,LOOKUP(B655,'Icon Lookup'!C:C,'Icon Lookup'!B:B),"")</f>
        <v/>
      </c>
      <c r="B655" s="18" t="s">
        <v>311</v>
      </c>
      <c r="C655" s="17"/>
      <c r="D655" s="17">
        <v>44.0</v>
      </c>
      <c r="E655" s="17" t="s">
        <v>137</v>
      </c>
      <c r="G655" s="19"/>
      <c r="H655" s="20" t="s">
        <v>996</v>
      </c>
      <c r="I655" s="17" t="s">
        <v>22</v>
      </c>
      <c r="J655" s="17">
        <v>0.0</v>
      </c>
      <c r="K655" s="17">
        <v>0.0</v>
      </c>
      <c r="L655" s="17">
        <v>0.0</v>
      </c>
      <c r="M655" s="17">
        <v>0.0</v>
      </c>
      <c r="N655" s="17">
        <v>0.0</v>
      </c>
      <c r="O655" s="17">
        <v>0.0</v>
      </c>
      <c r="P655" s="17">
        <v>0.0</v>
      </c>
      <c r="Q655" s="17">
        <v>0.0</v>
      </c>
      <c r="R655" s="17">
        <v>0.0</v>
      </c>
      <c r="S655" s="17">
        <v>0.0</v>
      </c>
      <c r="T655" s="17">
        <v>0.0</v>
      </c>
      <c r="U655" s="17">
        <v>0.0</v>
      </c>
    </row>
    <row r="656" ht="23.25" customHeight="1">
      <c r="A656" s="1"/>
      <c r="B656" s="15" t="s">
        <v>997</v>
      </c>
      <c r="C656" s="1" t="s">
        <v>17</v>
      </c>
      <c r="D656" s="1" t="s">
        <v>998</v>
      </c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ht="23.25" customHeight="1">
      <c r="A657" s="20" t="str">
        <f>IF(COUNTIF('Icon Lookup'!C:C,B657)&gt;0,LOOKUP(B657,'Icon Lookup'!C:C,'Icon Lookup'!B:B),"")</f>
        <v/>
      </c>
      <c r="B657" s="21" t="s">
        <v>999</v>
      </c>
      <c r="C657" s="20"/>
      <c r="D657" s="20">
        <v>56.0</v>
      </c>
      <c r="E657" s="20" t="s">
        <v>560</v>
      </c>
      <c r="G657" s="22"/>
      <c r="H657" s="23" t="s">
        <v>1000</v>
      </c>
      <c r="I657" s="20" t="s">
        <v>22</v>
      </c>
      <c r="J657" s="20">
        <v>0.0</v>
      </c>
      <c r="K657" s="20">
        <v>0.0</v>
      </c>
      <c r="L657" s="20">
        <v>0.0</v>
      </c>
      <c r="M657" s="20">
        <v>0.0</v>
      </c>
      <c r="N657" s="20">
        <v>0.0</v>
      </c>
      <c r="O657" s="20">
        <v>0.0</v>
      </c>
      <c r="P657" s="20">
        <v>0.0</v>
      </c>
      <c r="Q657" s="20">
        <v>0.0</v>
      </c>
      <c r="R657" s="20">
        <v>0.0</v>
      </c>
      <c r="S657" s="20">
        <v>0.0</v>
      </c>
      <c r="T657" s="20">
        <v>0.0</v>
      </c>
      <c r="U657" s="20">
        <v>0.0</v>
      </c>
    </row>
    <row r="658" ht="23.25" customHeight="1">
      <c r="A658" s="1"/>
      <c r="B658" s="15" t="s">
        <v>1001</v>
      </c>
      <c r="C658" s="1" t="s">
        <v>17</v>
      </c>
      <c r="D658" s="1" t="s">
        <v>1002</v>
      </c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ht="23.25" customHeight="1">
      <c r="A659" s="17" t="str">
        <f>IF(COUNTIF('Icon Lookup'!C:C,B659)&gt;0,LOOKUP(B659,'Icon Lookup'!C:C,'Icon Lookup'!B:B),"")</f>
        <v/>
      </c>
      <c r="B659" s="18" t="s">
        <v>1003</v>
      </c>
      <c r="C659" s="17"/>
      <c r="D659" s="17">
        <v>23.0</v>
      </c>
      <c r="E659" s="17" t="s">
        <v>1004</v>
      </c>
      <c r="G659" s="19"/>
      <c r="H659" s="20" t="s">
        <v>1005</v>
      </c>
      <c r="I659" s="17" t="s">
        <v>22</v>
      </c>
      <c r="J659" s="17">
        <v>0.0</v>
      </c>
      <c r="K659" s="17">
        <v>0.0</v>
      </c>
      <c r="L659" s="17">
        <v>0.0</v>
      </c>
      <c r="M659" s="17">
        <v>0.0</v>
      </c>
      <c r="N659" s="17">
        <v>0.0</v>
      </c>
      <c r="O659" s="17">
        <v>0.0</v>
      </c>
      <c r="P659" s="17">
        <v>0.0</v>
      </c>
      <c r="Q659" s="17">
        <v>0.0</v>
      </c>
      <c r="R659" s="17">
        <v>0.0</v>
      </c>
      <c r="S659" s="17">
        <v>0.0</v>
      </c>
      <c r="T659" s="17">
        <v>0.0</v>
      </c>
      <c r="U659" s="17">
        <v>0.0</v>
      </c>
    </row>
    <row r="660" ht="23.25" customHeight="1">
      <c r="A660" s="20" t="str">
        <f>IF(COUNTIF('Icon Lookup'!C:C,B660)&gt;0,LOOKUP(B660,'Icon Lookup'!C:C,'Icon Lookup'!B:B),"")</f>
        <v/>
      </c>
      <c r="B660" s="21" t="s">
        <v>386</v>
      </c>
      <c r="C660" s="20"/>
      <c r="D660" s="20">
        <v>23.0</v>
      </c>
      <c r="E660" s="20" t="s">
        <v>387</v>
      </c>
      <c r="G660" s="22"/>
      <c r="H660" s="23" t="s">
        <v>1006</v>
      </c>
      <c r="I660" s="20" t="s">
        <v>52</v>
      </c>
      <c r="J660" s="20">
        <v>0.0</v>
      </c>
      <c r="K660" s="20">
        <v>0.0</v>
      </c>
      <c r="L660" s="20">
        <v>0.0</v>
      </c>
      <c r="M660" s="20">
        <v>0.0</v>
      </c>
      <c r="N660" s="20">
        <v>0.0</v>
      </c>
      <c r="O660" s="20">
        <v>0.0</v>
      </c>
      <c r="P660" s="20">
        <v>0.0</v>
      </c>
      <c r="Q660" s="20">
        <v>0.0</v>
      </c>
      <c r="R660" s="20">
        <v>0.0</v>
      </c>
      <c r="S660" s="20">
        <v>0.0</v>
      </c>
      <c r="T660" s="20">
        <v>0.0</v>
      </c>
      <c r="U660" s="20">
        <v>0.0</v>
      </c>
    </row>
    <row r="661" ht="23.25" customHeight="1">
      <c r="A661" s="1"/>
      <c r="B661" s="15" t="s">
        <v>1007</v>
      </c>
      <c r="C661" s="1" t="s">
        <v>17</v>
      </c>
      <c r="D661" s="1" t="s">
        <v>1008</v>
      </c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ht="23.25" customHeight="1">
      <c r="A662" s="17" t="str">
        <f>IF(COUNTIF('Icon Lookup'!C:C,B662)&gt;0,LOOKUP(B662,'Icon Lookup'!C:C,'Icon Lookup'!B:B),"")</f>
        <v/>
      </c>
      <c r="B662" s="18" t="s">
        <v>449</v>
      </c>
      <c r="C662" s="17"/>
      <c r="D662" s="17">
        <v>52.0</v>
      </c>
      <c r="E662" s="17" t="s">
        <v>161</v>
      </c>
      <c r="G662" s="19"/>
      <c r="H662" s="20" t="s">
        <v>1009</v>
      </c>
      <c r="I662" s="17" t="s">
        <v>105</v>
      </c>
      <c r="J662" s="17">
        <v>0.0</v>
      </c>
      <c r="K662" s="17">
        <v>0.0</v>
      </c>
      <c r="L662" s="17">
        <v>0.0</v>
      </c>
      <c r="M662" s="17">
        <v>0.0</v>
      </c>
      <c r="N662" s="17">
        <v>0.0</v>
      </c>
      <c r="O662" s="17">
        <v>0.0</v>
      </c>
      <c r="P662" s="17">
        <v>0.0</v>
      </c>
      <c r="Q662" s="17">
        <v>0.0</v>
      </c>
      <c r="R662" s="17">
        <v>0.0</v>
      </c>
      <c r="S662" s="17">
        <v>0.0</v>
      </c>
      <c r="T662" s="17">
        <v>0.0</v>
      </c>
      <c r="U662" s="17">
        <v>0.0</v>
      </c>
    </row>
    <row r="663" ht="23.25" customHeight="1">
      <c r="A663" s="20" t="str">
        <f>IF(COUNTIF('Icon Lookup'!C:C,B663)&gt;0,LOOKUP(B663,'Icon Lookup'!C:C,'Icon Lookup'!B:B),"")</f>
        <v/>
      </c>
      <c r="B663" s="21" t="s">
        <v>442</v>
      </c>
      <c r="C663" s="20"/>
      <c r="D663" s="20">
        <v>54.0</v>
      </c>
      <c r="E663" s="20" t="s">
        <v>161</v>
      </c>
      <c r="G663" s="22"/>
      <c r="H663" s="23" t="s">
        <v>1010</v>
      </c>
      <c r="I663" s="20" t="s">
        <v>52</v>
      </c>
      <c r="J663" s="20">
        <v>0.0</v>
      </c>
      <c r="K663" s="20">
        <v>0.0</v>
      </c>
      <c r="L663" s="20">
        <v>0.0</v>
      </c>
      <c r="M663" s="20">
        <v>0.0</v>
      </c>
      <c r="N663" s="20">
        <v>0.0</v>
      </c>
      <c r="O663" s="20">
        <v>0.0</v>
      </c>
      <c r="P663" s="20">
        <v>0.0</v>
      </c>
      <c r="Q663" s="20">
        <v>0.0</v>
      </c>
      <c r="R663" s="20">
        <v>0.0</v>
      </c>
      <c r="S663" s="20">
        <v>0.0</v>
      </c>
      <c r="T663" s="20">
        <v>0.0</v>
      </c>
      <c r="U663" s="20">
        <v>0.0</v>
      </c>
    </row>
    <row r="664" ht="23.25" customHeight="1">
      <c r="A664" s="1"/>
      <c r="B664" s="15" t="s">
        <v>1011</v>
      </c>
      <c r="C664" s="1" t="s">
        <v>17</v>
      </c>
      <c r="D664" s="1" t="s">
        <v>1012</v>
      </c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ht="23.25" customHeight="1">
      <c r="A665" s="17" t="str">
        <f>IF(COUNTIF('Icon Lookup'!C:C,B665)&gt;0,LOOKUP(B665,'Icon Lookup'!C:C,'Icon Lookup'!B:B),"")</f>
        <v/>
      </c>
      <c r="B665" s="18" t="s">
        <v>582</v>
      </c>
      <c r="C665" s="17"/>
      <c r="D665" s="17">
        <v>52.0</v>
      </c>
      <c r="E665" s="17" t="s">
        <v>166</v>
      </c>
      <c r="G665" s="19"/>
      <c r="H665" s="20" t="s">
        <v>1013</v>
      </c>
      <c r="I665" s="17" t="s">
        <v>22</v>
      </c>
      <c r="J665" s="17">
        <v>0.0</v>
      </c>
      <c r="K665" s="17">
        <v>0.0</v>
      </c>
      <c r="L665" s="17">
        <v>0.0</v>
      </c>
      <c r="M665" s="17">
        <v>0.0</v>
      </c>
      <c r="N665" s="17">
        <v>0.0</v>
      </c>
      <c r="O665" s="17">
        <v>0.0</v>
      </c>
      <c r="P665" s="17">
        <v>0.0</v>
      </c>
      <c r="Q665" s="17">
        <v>0.0</v>
      </c>
      <c r="R665" s="17">
        <v>0.0</v>
      </c>
      <c r="S665" s="17">
        <v>0.0</v>
      </c>
      <c r="T665" s="17">
        <v>0.0</v>
      </c>
      <c r="U665" s="17">
        <v>0.0</v>
      </c>
    </row>
    <row r="666" ht="23.25" customHeight="1">
      <c r="A666" s="20" t="str">
        <f>IF(COUNTIF('Icon Lookup'!C:C,B666)&gt;0,LOOKUP(B666,'Icon Lookup'!C:C,'Icon Lookup'!B:B),"")</f>
        <v/>
      </c>
      <c r="B666" s="21" t="s">
        <v>765</v>
      </c>
      <c r="C666" s="20"/>
      <c r="D666" s="20">
        <v>54.0</v>
      </c>
      <c r="E666" s="20" t="s">
        <v>38</v>
      </c>
      <c r="G666" s="22"/>
      <c r="H666" s="23" t="s">
        <v>1014</v>
      </c>
      <c r="I666" s="20" t="s">
        <v>52</v>
      </c>
      <c r="J666" s="20">
        <v>0.0</v>
      </c>
      <c r="K666" s="20">
        <v>0.0</v>
      </c>
      <c r="L666" s="20">
        <v>0.0</v>
      </c>
      <c r="M666" s="20">
        <v>0.0</v>
      </c>
      <c r="N666" s="20">
        <v>0.0</v>
      </c>
      <c r="O666" s="20">
        <v>0.0</v>
      </c>
      <c r="P666" s="20">
        <v>0.0</v>
      </c>
      <c r="Q666" s="20">
        <v>0.0</v>
      </c>
      <c r="R666" s="20">
        <v>0.0</v>
      </c>
      <c r="S666" s="20">
        <v>0.0</v>
      </c>
      <c r="T666" s="20">
        <v>0.0</v>
      </c>
      <c r="U666" s="20">
        <v>0.0</v>
      </c>
    </row>
    <row r="667" ht="23.25" customHeight="1">
      <c r="A667" s="1"/>
      <c r="B667" s="15" t="s">
        <v>1015</v>
      </c>
      <c r="C667" s="1" t="s">
        <v>17</v>
      </c>
      <c r="D667" s="1" t="s">
        <v>1016</v>
      </c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ht="23.25" customHeight="1">
      <c r="A668" s="17" t="str">
        <f>IF(COUNTIF('Icon Lookup'!C:C,B668)&gt;0,LOOKUP(B668,'Icon Lookup'!C:C,'Icon Lookup'!B:B),"")</f>
        <v/>
      </c>
      <c r="B668" s="18" t="s">
        <v>1017</v>
      </c>
      <c r="C668" s="17"/>
      <c r="D668" s="17">
        <v>21.0</v>
      </c>
      <c r="E668" s="17" t="s">
        <v>1018</v>
      </c>
      <c r="G668" s="19"/>
      <c r="H668" s="20" t="s">
        <v>1019</v>
      </c>
      <c r="I668" s="17" t="s">
        <v>89</v>
      </c>
      <c r="J668" s="17">
        <v>0.0</v>
      </c>
      <c r="K668" s="17">
        <v>0.0</v>
      </c>
      <c r="L668" s="17">
        <v>0.0</v>
      </c>
      <c r="M668" s="17">
        <v>0.0</v>
      </c>
      <c r="N668" s="17">
        <v>0.0</v>
      </c>
      <c r="O668" s="17">
        <v>0.0</v>
      </c>
      <c r="P668" s="17">
        <v>0.0</v>
      </c>
      <c r="Q668" s="17">
        <v>0.0</v>
      </c>
      <c r="R668" s="17">
        <v>0.0</v>
      </c>
      <c r="S668" s="17">
        <v>0.0</v>
      </c>
      <c r="T668" s="17">
        <v>0.0</v>
      </c>
      <c r="U668" s="17">
        <v>0.0</v>
      </c>
    </row>
    <row r="669" ht="23.25" customHeight="1">
      <c r="A669" s="1"/>
      <c r="B669" s="15" t="s">
        <v>1020</v>
      </c>
      <c r="C669" s="1" t="s">
        <v>17</v>
      </c>
      <c r="D669" s="1" t="s">
        <v>1021</v>
      </c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ht="23.25" customHeight="1">
      <c r="A670" s="20" t="str">
        <f>IF(COUNTIF('Icon Lookup'!C:C,B670)&gt;0,LOOKUP(B670,'Icon Lookup'!C:C,'Icon Lookup'!B:B),"")</f>
        <v/>
      </c>
      <c r="B670" s="21" t="s">
        <v>1003</v>
      </c>
      <c r="C670" s="20"/>
      <c r="D670" s="20">
        <v>21.0</v>
      </c>
      <c r="E670" s="20" t="s">
        <v>1022</v>
      </c>
      <c r="G670" s="22"/>
      <c r="H670" s="23" t="s">
        <v>1005</v>
      </c>
      <c r="I670" s="20" t="s">
        <v>89</v>
      </c>
      <c r="J670" s="20">
        <v>0.0</v>
      </c>
      <c r="K670" s="20">
        <v>0.0</v>
      </c>
      <c r="L670" s="20">
        <v>0.0</v>
      </c>
      <c r="M670" s="20">
        <v>0.0</v>
      </c>
      <c r="N670" s="20">
        <v>0.0</v>
      </c>
      <c r="O670" s="20">
        <v>0.0</v>
      </c>
      <c r="P670" s="20">
        <v>0.0</v>
      </c>
      <c r="Q670" s="20">
        <v>0.0</v>
      </c>
      <c r="R670" s="20">
        <v>0.0</v>
      </c>
      <c r="S670" s="20">
        <v>0.0</v>
      </c>
      <c r="T670" s="20">
        <v>0.0</v>
      </c>
      <c r="U670" s="20">
        <v>0.0</v>
      </c>
    </row>
    <row r="671" ht="23.25" customHeight="1">
      <c r="A671" s="1"/>
      <c r="B671" s="15" t="s">
        <v>1023</v>
      </c>
      <c r="C671" s="1" t="s">
        <v>17</v>
      </c>
      <c r="D671" s="1" t="s">
        <v>1024</v>
      </c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ht="23.25" customHeight="1">
      <c r="A672" s="17" t="str">
        <f>IF(COUNTIF('Icon Lookup'!C:C,B672)&gt;0,LOOKUP(B672,'Icon Lookup'!C:C,'Icon Lookup'!B:B),"")</f>
        <v/>
      </c>
      <c r="B672" s="18" t="s">
        <v>379</v>
      </c>
      <c r="C672" s="17"/>
      <c r="D672" s="17">
        <v>18.0</v>
      </c>
      <c r="E672" s="17" t="s">
        <v>71</v>
      </c>
      <c r="G672" s="19"/>
      <c r="H672" s="20" t="s">
        <v>380</v>
      </c>
      <c r="I672" s="17" t="s">
        <v>22</v>
      </c>
      <c r="J672" s="17">
        <v>0.0</v>
      </c>
      <c r="K672" s="17">
        <v>0.0</v>
      </c>
      <c r="L672" s="17">
        <v>0.0</v>
      </c>
      <c r="M672" s="17">
        <v>0.0</v>
      </c>
      <c r="N672" s="17">
        <v>0.0</v>
      </c>
      <c r="O672" s="17">
        <v>0.0</v>
      </c>
      <c r="P672" s="17">
        <v>0.0</v>
      </c>
      <c r="Q672" s="17">
        <v>0.0</v>
      </c>
      <c r="R672" s="17">
        <v>0.0</v>
      </c>
      <c r="S672" s="17">
        <v>0.0</v>
      </c>
      <c r="T672" s="17">
        <v>0.0</v>
      </c>
      <c r="U672" s="17">
        <v>0.0</v>
      </c>
    </row>
    <row r="673" ht="23.25" customHeight="1">
      <c r="A673" s="20" t="str">
        <f>IF(COUNTIF('Icon Lookup'!C:C,B673)&gt;0,LOOKUP(B673,'Icon Lookup'!C:C,'Icon Lookup'!B:B),"")</f>
        <v/>
      </c>
      <c r="B673" s="21" t="s">
        <v>577</v>
      </c>
      <c r="C673" s="20"/>
      <c r="D673" s="20">
        <v>19.0</v>
      </c>
      <c r="E673" s="20" t="s">
        <v>677</v>
      </c>
      <c r="G673" s="22"/>
      <c r="H673" s="23" t="s">
        <v>1025</v>
      </c>
      <c r="I673" s="20" t="s">
        <v>40</v>
      </c>
      <c r="J673" s="20">
        <v>0.0</v>
      </c>
      <c r="K673" s="20">
        <v>0.0</v>
      </c>
      <c r="L673" s="20">
        <v>0.0</v>
      </c>
      <c r="M673" s="20">
        <v>0.0</v>
      </c>
      <c r="N673" s="20">
        <v>0.0</v>
      </c>
      <c r="O673" s="20">
        <v>0.0</v>
      </c>
      <c r="P673" s="20">
        <v>0.0</v>
      </c>
      <c r="Q673" s="20">
        <v>0.0</v>
      </c>
      <c r="R673" s="20">
        <v>0.0</v>
      </c>
      <c r="S673" s="20">
        <v>0.0</v>
      </c>
      <c r="T673" s="20">
        <v>0.0</v>
      </c>
      <c r="U673" s="20">
        <v>0.0</v>
      </c>
    </row>
    <row r="674" ht="23.25" customHeight="1">
      <c r="A674" s="17" t="str">
        <f>IF(COUNTIF('Icon Lookup'!C:C,B674)&gt;0,LOOKUP(B674,'Icon Lookup'!C:C,'Icon Lookup'!B:B),"")</f>
        <v/>
      </c>
      <c r="B674" s="18" t="s">
        <v>273</v>
      </c>
      <c r="C674" s="17"/>
      <c r="D674" s="17">
        <v>17.0</v>
      </c>
      <c r="E674" s="17" t="s">
        <v>38</v>
      </c>
      <c r="G674" s="19"/>
      <c r="H674" s="20" t="s">
        <v>1026</v>
      </c>
      <c r="I674" s="17" t="s">
        <v>46</v>
      </c>
      <c r="J674" s="17">
        <v>0.0</v>
      </c>
      <c r="K674" s="17">
        <v>0.0</v>
      </c>
      <c r="L674" s="17">
        <v>0.0</v>
      </c>
      <c r="M674" s="17">
        <v>0.0</v>
      </c>
      <c r="N674" s="17">
        <v>0.0</v>
      </c>
      <c r="O674" s="17">
        <v>0.0</v>
      </c>
      <c r="P674" s="17">
        <v>0.0</v>
      </c>
      <c r="Q674" s="17">
        <v>0.0</v>
      </c>
      <c r="R674" s="17">
        <v>0.0</v>
      </c>
      <c r="S674" s="17">
        <v>0.0</v>
      </c>
      <c r="T674" s="17">
        <v>0.0</v>
      </c>
      <c r="U674" s="17">
        <v>0.0</v>
      </c>
    </row>
    <row r="675" ht="23.25" customHeight="1">
      <c r="A675" s="1"/>
      <c r="B675" s="15" t="s">
        <v>1027</v>
      </c>
      <c r="C675" s="1" t="s">
        <v>17</v>
      </c>
      <c r="D675" s="1" t="s">
        <v>1028</v>
      </c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ht="23.25" customHeight="1">
      <c r="A676" s="20" t="str">
        <f>IF(COUNTIF('Icon Lookup'!C:C,B676)&gt;0,LOOKUP(B676,'Icon Lookup'!C:C,'Icon Lookup'!B:B),"")</f>
        <v/>
      </c>
      <c r="B676" s="21" t="s">
        <v>110</v>
      </c>
      <c r="C676" s="20"/>
      <c r="D676" s="20">
        <v>22.0</v>
      </c>
      <c r="E676" s="20" t="s">
        <v>111</v>
      </c>
      <c r="G676" s="22"/>
      <c r="H676" s="23" t="s">
        <v>1029</v>
      </c>
      <c r="I676" s="20" t="s">
        <v>22</v>
      </c>
      <c r="J676" s="20">
        <v>0.0</v>
      </c>
      <c r="K676" s="20">
        <v>0.0</v>
      </c>
      <c r="L676" s="20">
        <v>0.0</v>
      </c>
      <c r="M676" s="20">
        <v>0.0</v>
      </c>
      <c r="N676" s="20">
        <v>0.0</v>
      </c>
      <c r="O676" s="20">
        <v>0.0</v>
      </c>
      <c r="P676" s="20">
        <v>0.0</v>
      </c>
      <c r="Q676" s="20">
        <v>0.0</v>
      </c>
      <c r="R676" s="20">
        <v>0.0</v>
      </c>
      <c r="S676" s="20">
        <v>0.0</v>
      </c>
      <c r="T676" s="20">
        <v>0.0</v>
      </c>
      <c r="U676" s="20">
        <v>0.0</v>
      </c>
    </row>
    <row r="677" ht="23.25" customHeight="1">
      <c r="A677" s="17" t="str">
        <f>IF(COUNTIF('Icon Lookup'!C:C,B677)&gt;0,LOOKUP(B677,'Icon Lookup'!C:C,'Icon Lookup'!B:B),"")</f>
        <v/>
      </c>
      <c r="B677" s="18" t="s">
        <v>187</v>
      </c>
      <c r="C677" s="17"/>
      <c r="D677" s="17">
        <v>23.0</v>
      </c>
      <c r="E677" s="17" t="s">
        <v>641</v>
      </c>
      <c r="G677" s="19"/>
      <c r="H677" s="20" t="s">
        <v>1030</v>
      </c>
      <c r="I677" s="17" t="s">
        <v>550</v>
      </c>
      <c r="J677" s="17">
        <v>0.0</v>
      </c>
      <c r="K677" s="17">
        <v>0.0</v>
      </c>
      <c r="L677" s="17">
        <v>0.0</v>
      </c>
      <c r="M677" s="17">
        <v>0.0</v>
      </c>
      <c r="N677" s="17">
        <v>0.0</v>
      </c>
      <c r="O677" s="17">
        <v>0.0</v>
      </c>
      <c r="P677" s="17">
        <v>0.0</v>
      </c>
      <c r="Q677" s="17">
        <v>0.0</v>
      </c>
      <c r="R677" s="17">
        <v>0.0</v>
      </c>
      <c r="S677" s="17">
        <v>0.0</v>
      </c>
      <c r="T677" s="17">
        <v>0.0</v>
      </c>
      <c r="U677" s="17">
        <v>0.0</v>
      </c>
    </row>
    <row r="678" ht="23.25" customHeight="1">
      <c r="A678" s="20" t="str">
        <f>IF(COUNTIF('Icon Lookup'!C:C,B678)&gt;0,LOOKUP(B678,'Icon Lookup'!C:C,'Icon Lookup'!B:B),"")</f>
        <v/>
      </c>
      <c r="B678" s="21" t="s">
        <v>190</v>
      </c>
      <c r="C678" s="20"/>
      <c r="D678" s="20">
        <v>24.0</v>
      </c>
      <c r="E678" s="20" t="s">
        <v>26</v>
      </c>
      <c r="G678" s="22"/>
      <c r="H678" s="23" t="s">
        <v>1031</v>
      </c>
      <c r="I678" s="20" t="s">
        <v>52</v>
      </c>
      <c r="J678" s="20">
        <v>0.0</v>
      </c>
      <c r="K678" s="20">
        <v>0.0</v>
      </c>
      <c r="L678" s="20">
        <v>0.0</v>
      </c>
      <c r="M678" s="20">
        <v>0.0</v>
      </c>
      <c r="N678" s="20">
        <v>0.0</v>
      </c>
      <c r="O678" s="20">
        <v>0.0</v>
      </c>
      <c r="P678" s="20">
        <v>0.0</v>
      </c>
      <c r="Q678" s="20">
        <v>0.0</v>
      </c>
      <c r="R678" s="20">
        <v>0.0</v>
      </c>
      <c r="S678" s="20">
        <v>0.0</v>
      </c>
      <c r="T678" s="20">
        <v>0.0</v>
      </c>
      <c r="U678" s="20">
        <v>0.0</v>
      </c>
    </row>
    <row r="679" ht="23.25" customHeight="1">
      <c r="A679" s="1"/>
      <c r="B679" s="15" t="s">
        <v>1032</v>
      </c>
      <c r="C679" s="1" t="s">
        <v>17</v>
      </c>
      <c r="D679" s="1" t="s">
        <v>1033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ht="23.25" customHeight="1">
      <c r="A680" s="17" t="str">
        <f>IF(COUNTIF('Icon Lookup'!C:C,B680)&gt;0,LOOKUP(B680,'Icon Lookup'!C:C,'Icon Lookup'!B:B),"")</f>
        <v/>
      </c>
      <c r="B680" s="18" t="s">
        <v>206</v>
      </c>
      <c r="C680" s="17"/>
      <c r="D680" s="17">
        <v>19.0</v>
      </c>
      <c r="E680" s="17" t="s">
        <v>87</v>
      </c>
      <c r="G680" s="19"/>
      <c r="H680" s="20" t="s">
        <v>1034</v>
      </c>
      <c r="I680" s="17" t="s">
        <v>22</v>
      </c>
      <c r="J680" s="17">
        <v>0.0</v>
      </c>
      <c r="K680" s="17">
        <v>0.0</v>
      </c>
      <c r="L680" s="17">
        <v>0.0</v>
      </c>
      <c r="M680" s="17">
        <v>0.0</v>
      </c>
      <c r="N680" s="17">
        <v>0.0</v>
      </c>
      <c r="O680" s="17">
        <v>0.0</v>
      </c>
      <c r="P680" s="17">
        <v>0.0</v>
      </c>
      <c r="Q680" s="17">
        <v>0.0</v>
      </c>
      <c r="R680" s="17">
        <v>0.0</v>
      </c>
      <c r="S680" s="17">
        <v>0.0</v>
      </c>
      <c r="T680" s="17">
        <v>0.0</v>
      </c>
      <c r="U680" s="17">
        <v>0.0</v>
      </c>
    </row>
    <row r="681" ht="23.25" customHeight="1">
      <c r="A681" s="1"/>
      <c r="B681" s="15" t="s">
        <v>1035</v>
      </c>
      <c r="C681" s="1" t="s">
        <v>17</v>
      </c>
      <c r="D681" s="1" t="s">
        <v>1036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ht="23.25" customHeight="1">
      <c r="A682" s="20" t="str">
        <f>IF(COUNTIF('Icon Lookup'!C:C,B682)&gt;0,LOOKUP(B682,'Icon Lookup'!C:C,'Icon Lookup'!B:B),"")</f>
        <v/>
      </c>
      <c r="B682" s="21" t="s">
        <v>202</v>
      </c>
      <c r="C682" s="20"/>
      <c r="D682" s="20">
        <v>19.0</v>
      </c>
      <c r="E682" s="20" t="s">
        <v>203</v>
      </c>
      <c r="G682" s="22"/>
      <c r="H682" s="23" t="s">
        <v>216</v>
      </c>
      <c r="I682" s="20" t="s">
        <v>52</v>
      </c>
      <c r="J682" s="20">
        <v>0.0</v>
      </c>
      <c r="K682" s="20">
        <v>0.0</v>
      </c>
      <c r="L682" s="20">
        <v>0.0</v>
      </c>
      <c r="M682" s="20">
        <v>0.0</v>
      </c>
      <c r="N682" s="20">
        <v>0.0</v>
      </c>
      <c r="O682" s="20">
        <v>0.0</v>
      </c>
      <c r="P682" s="20">
        <v>0.0</v>
      </c>
      <c r="Q682" s="20">
        <v>0.0</v>
      </c>
      <c r="R682" s="20">
        <v>0.0</v>
      </c>
      <c r="S682" s="20">
        <v>0.0</v>
      </c>
      <c r="T682" s="20">
        <v>0.0</v>
      </c>
      <c r="U682" s="20">
        <v>0.0</v>
      </c>
    </row>
    <row r="683" ht="23.25" customHeight="1">
      <c r="A683" s="1"/>
      <c r="B683" s="15" t="s">
        <v>1037</v>
      </c>
      <c r="C683" s="1" t="s">
        <v>17</v>
      </c>
      <c r="D683" s="1" t="s">
        <v>1038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ht="23.25" customHeight="1">
      <c r="A684" s="17" t="str">
        <f>IF(COUNTIF('Icon Lookup'!C:C,B684)&gt;0,LOOKUP(B684,'Icon Lookup'!C:C,'Icon Lookup'!B:B),"")</f>
        <v/>
      </c>
      <c r="B684" s="18" t="s">
        <v>37</v>
      </c>
      <c r="C684" s="17"/>
      <c r="D684" s="17">
        <v>14.0</v>
      </c>
      <c r="E684" s="17" t="s">
        <v>38</v>
      </c>
      <c r="G684" s="19"/>
      <c r="H684" s="20" t="s">
        <v>1039</v>
      </c>
      <c r="I684" s="17" t="s">
        <v>22</v>
      </c>
      <c r="J684" s="17">
        <v>0.0</v>
      </c>
      <c r="K684" s="17">
        <v>0.0</v>
      </c>
      <c r="L684" s="17">
        <v>0.0</v>
      </c>
      <c r="M684" s="17">
        <v>0.0</v>
      </c>
      <c r="N684" s="17">
        <v>0.0</v>
      </c>
      <c r="O684" s="17">
        <v>0.0</v>
      </c>
      <c r="P684" s="17">
        <v>15.0</v>
      </c>
      <c r="Q684" s="17">
        <v>0.0</v>
      </c>
      <c r="R684" s="17">
        <v>15.0</v>
      </c>
      <c r="S684" s="17">
        <v>0.0</v>
      </c>
      <c r="T684" s="17">
        <v>15.0</v>
      </c>
      <c r="U684" s="17">
        <v>0.0</v>
      </c>
    </row>
    <row r="685" ht="23.25" customHeight="1">
      <c r="A685" s="20" t="str">
        <f>IF(COUNTIF('Icon Lookup'!C:C,B685)&gt;0,LOOKUP(B685,'Icon Lookup'!C:C,'Icon Lookup'!B:B),"")</f>
        <v/>
      </c>
      <c r="B685" s="21" t="s">
        <v>1040</v>
      </c>
      <c r="C685" s="20"/>
      <c r="D685" s="20">
        <v>16.0</v>
      </c>
      <c r="E685" s="20" t="str">
        <f>IMAGE("https://www.serebii.net/itemdex/sprites/oranberry.png")</f>
        <v/>
      </c>
      <c r="F685" s="20" t="s">
        <v>382</v>
      </c>
      <c r="G685" s="20" t="s">
        <v>1041</v>
      </c>
      <c r="H685" s="23" t="s">
        <v>1042</v>
      </c>
      <c r="I685" s="20" t="s">
        <v>22</v>
      </c>
      <c r="J685" s="20">
        <v>0.0</v>
      </c>
      <c r="K685" s="20">
        <v>0.0</v>
      </c>
      <c r="L685" s="20">
        <v>0.0</v>
      </c>
      <c r="M685" s="20">
        <v>0.0</v>
      </c>
      <c r="N685" s="20">
        <v>0.0</v>
      </c>
      <c r="O685" s="20">
        <v>0.0</v>
      </c>
      <c r="P685" s="20">
        <v>15.0</v>
      </c>
      <c r="Q685" s="20">
        <v>0.0</v>
      </c>
      <c r="R685" s="20">
        <v>15.0</v>
      </c>
      <c r="S685" s="20">
        <v>0.0</v>
      </c>
      <c r="T685" s="20">
        <v>15.0</v>
      </c>
      <c r="U685" s="20">
        <v>0.0</v>
      </c>
    </row>
    <row r="686" ht="23.25" customHeight="1">
      <c r="A686" s="1"/>
      <c r="B686" s="15" t="s">
        <v>1043</v>
      </c>
      <c r="C686" s="1" t="s">
        <v>17</v>
      </c>
      <c r="D686" s="1" t="s">
        <v>1044</v>
      </c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ht="23.25" customHeight="1">
      <c r="A687" s="17" t="str">
        <f>IF(COUNTIF('Icon Lookup'!C:C,B687)&gt;0,LOOKUP(B687,'Icon Lookup'!C:C,'Icon Lookup'!B:B),"")</f>
        <v/>
      </c>
      <c r="B687" s="18" t="s">
        <v>60</v>
      </c>
      <c r="C687" s="17"/>
      <c r="D687" s="17">
        <v>9.0</v>
      </c>
      <c r="E687" s="17" t="s">
        <v>61</v>
      </c>
      <c r="G687" s="19"/>
      <c r="H687" s="20" t="s">
        <v>62</v>
      </c>
      <c r="I687" s="17" t="s">
        <v>1045</v>
      </c>
      <c r="J687" s="17">
        <v>0.0</v>
      </c>
      <c r="K687" s="17">
        <v>0.0</v>
      </c>
      <c r="L687" s="17">
        <v>0.0</v>
      </c>
      <c r="M687" s="17">
        <v>0.0</v>
      </c>
      <c r="N687" s="17">
        <v>0.0</v>
      </c>
      <c r="O687" s="17">
        <v>0.0</v>
      </c>
      <c r="P687" s="17">
        <v>0.0</v>
      </c>
      <c r="Q687" s="17">
        <v>0.0</v>
      </c>
      <c r="R687" s="17">
        <v>0.0</v>
      </c>
      <c r="S687" s="17">
        <v>0.0</v>
      </c>
      <c r="T687" s="17">
        <v>0.0</v>
      </c>
      <c r="U687" s="17">
        <v>0.0</v>
      </c>
    </row>
    <row r="688" ht="23.25" customHeight="1">
      <c r="A688" s="20" t="str">
        <f>IF(COUNTIF('Icon Lookup'!C:C,B688)&gt;0,LOOKUP(B688,'Icon Lookup'!C:C,'Icon Lookup'!B:B),"")</f>
        <v/>
      </c>
      <c r="B688" s="21" t="s">
        <v>685</v>
      </c>
      <c r="C688" s="20"/>
      <c r="D688" s="20">
        <v>9.0</v>
      </c>
      <c r="E688" s="20" t="s">
        <v>58</v>
      </c>
      <c r="G688" s="22"/>
      <c r="H688" s="23" t="s">
        <v>686</v>
      </c>
      <c r="I688" s="20" t="s">
        <v>197</v>
      </c>
      <c r="J688" s="20">
        <v>0.0</v>
      </c>
      <c r="K688" s="20">
        <v>0.0</v>
      </c>
      <c r="L688" s="20">
        <v>0.0</v>
      </c>
      <c r="M688" s="20">
        <v>0.0</v>
      </c>
      <c r="N688" s="20">
        <v>0.0</v>
      </c>
      <c r="O688" s="20">
        <v>0.0</v>
      </c>
      <c r="P688" s="20">
        <v>0.0</v>
      </c>
      <c r="Q688" s="20">
        <v>0.0</v>
      </c>
      <c r="R688" s="20">
        <v>0.0</v>
      </c>
      <c r="S688" s="20">
        <v>0.0</v>
      </c>
      <c r="T688" s="20">
        <v>0.0</v>
      </c>
      <c r="U688" s="20">
        <v>0.0</v>
      </c>
    </row>
    <row r="689" ht="23.25" customHeight="1">
      <c r="A689" s="1"/>
      <c r="B689" s="15" t="s">
        <v>1046</v>
      </c>
      <c r="C689" s="1" t="s">
        <v>17</v>
      </c>
      <c r="D689" s="1" t="s">
        <v>1044</v>
      </c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ht="23.25" customHeight="1">
      <c r="A690" s="17" t="str">
        <f>IF(COUNTIF('Icon Lookup'!C:C,B690)&gt;0,LOOKUP(B690,'Icon Lookup'!C:C,'Icon Lookup'!B:B),"")</f>
        <v/>
      </c>
      <c r="B690" s="18" t="s">
        <v>37</v>
      </c>
      <c r="C690" s="17"/>
      <c r="D690" s="17">
        <v>11.0</v>
      </c>
      <c r="E690" s="17" t="s">
        <v>38</v>
      </c>
      <c r="G690" s="19"/>
      <c r="H690" s="20" t="s">
        <v>318</v>
      </c>
      <c r="I690" s="17" t="s">
        <v>73</v>
      </c>
      <c r="J690" s="17">
        <v>0.0</v>
      </c>
      <c r="K690" s="17">
        <v>0.0</v>
      </c>
      <c r="L690" s="17">
        <v>0.0</v>
      </c>
      <c r="M690" s="17">
        <v>0.0</v>
      </c>
      <c r="N690" s="17">
        <v>0.0</v>
      </c>
      <c r="O690" s="17">
        <v>0.0</v>
      </c>
      <c r="P690" s="17">
        <v>0.0</v>
      </c>
      <c r="Q690" s="17">
        <v>0.0</v>
      </c>
      <c r="R690" s="17">
        <v>0.0</v>
      </c>
      <c r="S690" s="17">
        <v>0.0</v>
      </c>
      <c r="T690" s="17">
        <v>0.0</v>
      </c>
      <c r="U690" s="17">
        <v>0.0</v>
      </c>
    </row>
    <row r="691" ht="23.25" customHeight="1">
      <c r="A691" s="1"/>
      <c r="B691" s="15" t="s">
        <v>1047</v>
      </c>
      <c r="C691" s="1" t="s">
        <v>17</v>
      </c>
      <c r="D691" s="1" t="s">
        <v>1044</v>
      </c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ht="23.25" customHeight="1">
      <c r="A692" s="20" t="str">
        <f>IF(COUNTIF('Icon Lookup'!C:C,B692)&gt;0,LOOKUP(B692,'Icon Lookup'!C:C,'Icon Lookup'!B:B),"")</f>
        <v/>
      </c>
      <c r="B692" s="21" t="s">
        <v>691</v>
      </c>
      <c r="C692" s="20"/>
      <c r="D692" s="20">
        <v>11.0</v>
      </c>
      <c r="E692" s="20" t="s">
        <v>58</v>
      </c>
      <c r="G692" s="22"/>
      <c r="H692" s="23" t="s">
        <v>686</v>
      </c>
      <c r="I692" s="20" t="s">
        <v>94</v>
      </c>
      <c r="J692" s="20">
        <v>0.0</v>
      </c>
      <c r="K692" s="20">
        <v>0.0</v>
      </c>
      <c r="L692" s="20">
        <v>0.0</v>
      </c>
      <c r="M692" s="20">
        <v>0.0</v>
      </c>
      <c r="N692" s="20">
        <v>0.0</v>
      </c>
      <c r="O692" s="20">
        <v>0.0</v>
      </c>
      <c r="P692" s="20">
        <v>0.0</v>
      </c>
      <c r="Q692" s="20">
        <v>0.0</v>
      </c>
      <c r="R692" s="20">
        <v>0.0</v>
      </c>
      <c r="S692" s="20">
        <v>0.0</v>
      </c>
      <c r="T692" s="20">
        <v>0.0</v>
      </c>
      <c r="U692" s="20">
        <v>0.0</v>
      </c>
    </row>
    <row r="693" ht="23.25" customHeight="1">
      <c r="A693" s="1"/>
      <c r="B693" s="15" t="s">
        <v>1048</v>
      </c>
      <c r="C693" s="1" t="s">
        <v>17</v>
      </c>
      <c r="D693" s="1" t="s">
        <v>1044</v>
      </c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ht="23.25" customHeight="1">
      <c r="A694" s="17" t="str">
        <f>IF(COUNTIF('Icon Lookup'!C:C,B694)&gt;0,LOOKUP(B694,'Icon Lookup'!C:C,'Icon Lookup'!B:B),"")</f>
        <v/>
      </c>
      <c r="B694" s="18" t="s">
        <v>60</v>
      </c>
      <c r="C694" s="17"/>
      <c r="D694" s="17">
        <v>10.0</v>
      </c>
      <c r="E694" s="17" t="s">
        <v>61</v>
      </c>
      <c r="G694" s="19"/>
      <c r="H694" s="20" t="s">
        <v>62</v>
      </c>
      <c r="I694" s="17" t="s">
        <v>36</v>
      </c>
      <c r="J694" s="17">
        <v>0.0</v>
      </c>
      <c r="K694" s="17">
        <v>0.0</v>
      </c>
      <c r="L694" s="17">
        <v>0.0</v>
      </c>
      <c r="M694" s="17">
        <v>0.0</v>
      </c>
      <c r="N694" s="17">
        <v>0.0</v>
      </c>
      <c r="O694" s="17">
        <v>0.0</v>
      </c>
      <c r="P694" s="17">
        <v>0.0</v>
      </c>
      <c r="Q694" s="17">
        <v>0.0</v>
      </c>
      <c r="R694" s="17">
        <v>0.0</v>
      </c>
      <c r="S694" s="17">
        <v>0.0</v>
      </c>
      <c r="T694" s="17">
        <v>0.0</v>
      </c>
      <c r="U694" s="17">
        <v>0.0</v>
      </c>
    </row>
    <row r="695" ht="23.25" customHeight="1">
      <c r="A695" s="20" t="str">
        <f>IF(COUNTIF('Icon Lookup'!C:C,B695)&gt;0,LOOKUP(B695,'Icon Lookup'!C:C,'Icon Lookup'!B:B),"")</f>
        <v/>
      </c>
      <c r="B695" s="21" t="s">
        <v>1003</v>
      </c>
      <c r="C695" s="20"/>
      <c r="D695" s="20">
        <v>10.0</v>
      </c>
      <c r="E695" s="20" t="s">
        <v>1022</v>
      </c>
      <c r="G695" s="22"/>
      <c r="H695" s="23" t="s">
        <v>1049</v>
      </c>
      <c r="I695" s="20" t="s">
        <v>1045</v>
      </c>
      <c r="J695" s="20">
        <v>0.0</v>
      </c>
      <c r="K695" s="20">
        <v>0.0</v>
      </c>
      <c r="L695" s="20">
        <v>0.0</v>
      </c>
      <c r="M695" s="20">
        <v>0.0</v>
      </c>
      <c r="N695" s="20">
        <v>0.0</v>
      </c>
      <c r="O695" s="20">
        <v>0.0</v>
      </c>
      <c r="P695" s="20">
        <v>0.0</v>
      </c>
      <c r="Q695" s="20">
        <v>0.0</v>
      </c>
      <c r="R695" s="20">
        <v>0.0</v>
      </c>
      <c r="S695" s="20">
        <v>0.0</v>
      </c>
      <c r="T695" s="20">
        <v>0.0</v>
      </c>
      <c r="U695" s="20">
        <v>0.0</v>
      </c>
    </row>
    <row r="696" ht="23.25" customHeight="1">
      <c r="A696" s="1"/>
      <c r="B696" s="15" t="s">
        <v>1050</v>
      </c>
      <c r="C696" s="1" t="s">
        <v>17</v>
      </c>
      <c r="D696" s="1" t="s">
        <v>1051</v>
      </c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ht="23.25" customHeight="1">
      <c r="A697" s="17" t="str">
        <f>IF(COUNTIF('Icon Lookup'!C:C,B697)&gt;0,LOOKUP(B697,'Icon Lookup'!C:C,'Icon Lookup'!B:B),"")</f>
        <v/>
      </c>
      <c r="B697" s="18" t="s">
        <v>225</v>
      </c>
      <c r="C697" s="17"/>
      <c r="D697" s="17">
        <v>31.0</v>
      </c>
      <c r="E697" s="17" t="s">
        <v>26</v>
      </c>
      <c r="G697" s="19"/>
      <c r="H697" s="20" t="s">
        <v>261</v>
      </c>
      <c r="I697" s="17" t="s">
        <v>22</v>
      </c>
      <c r="J697" s="17">
        <v>0.0</v>
      </c>
      <c r="K697" s="17">
        <v>0.0</v>
      </c>
      <c r="L697" s="17">
        <v>0.0</v>
      </c>
      <c r="M697" s="17">
        <v>0.0</v>
      </c>
      <c r="N697" s="17">
        <v>0.0</v>
      </c>
      <c r="O697" s="17">
        <v>0.0</v>
      </c>
      <c r="P697" s="17">
        <v>0.0</v>
      </c>
      <c r="Q697" s="17">
        <v>0.0</v>
      </c>
      <c r="R697" s="17">
        <v>0.0</v>
      </c>
      <c r="S697" s="17">
        <v>0.0</v>
      </c>
      <c r="T697" s="17">
        <v>0.0</v>
      </c>
      <c r="U697" s="17">
        <v>0.0</v>
      </c>
    </row>
    <row r="698" ht="23.25" customHeight="1">
      <c r="A698" s="1"/>
      <c r="B698" s="15" t="s">
        <v>1052</v>
      </c>
      <c r="C698" s="1" t="s">
        <v>17</v>
      </c>
      <c r="D698" s="1" t="s">
        <v>1053</v>
      </c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ht="23.25" customHeight="1">
      <c r="A699" s="20" t="str">
        <f>IF(COUNTIF('Icon Lookup'!C:C,B699)&gt;0,LOOKUP(B699,'Icon Lookup'!C:C,'Icon Lookup'!B:B),"")</f>
        <v/>
      </c>
      <c r="B699" s="21" t="s">
        <v>225</v>
      </c>
      <c r="C699" s="20"/>
      <c r="D699" s="20">
        <v>44.0</v>
      </c>
      <c r="E699" s="20" t="s">
        <v>26</v>
      </c>
      <c r="G699" s="22"/>
      <c r="H699" s="23" t="s">
        <v>1054</v>
      </c>
      <c r="I699" s="20" t="s">
        <v>22</v>
      </c>
      <c r="J699" s="20">
        <v>0.0</v>
      </c>
      <c r="K699" s="20">
        <v>0.0</v>
      </c>
      <c r="L699" s="20">
        <v>0.0</v>
      </c>
      <c r="M699" s="20">
        <v>0.0</v>
      </c>
      <c r="N699" s="20">
        <v>0.0</v>
      </c>
      <c r="O699" s="20">
        <v>0.0</v>
      </c>
      <c r="P699" s="20">
        <v>0.0</v>
      </c>
      <c r="Q699" s="20">
        <v>0.0</v>
      </c>
      <c r="R699" s="20">
        <v>0.0</v>
      </c>
      <c r="S699" s="20">
        <v>0.0</v>
      </c>
      <c r="T699" s="20">
        <v>0.0</v>
      </c>
      <c r="U699" s="20">
        <v>0.0</v>
      </c>
    </row>
    <row r="700" ht="23.25" customHeight="1">
      <c r="A700" s="1"/>
      <c r="B700" s="15" t="s">
        <v>1055</v>
      </c>
      <c r="C700" s="1" t="s">
        <v>17</v>
      </c>
      <c r="D700" s="1" t="s">
        <v>1056</v>
      </c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ht="23.25" customHeight="1">
      <c r="A701" s="17" t="str">
        <f>IF(COUNTIF('Icon Lookup'!C:C,B701)&gt;0,LOOKUP(B701,'Icon Lookup'!C:C,'Icon Lookup'!B:B),"")</f>
        <v/>
      </c>
      <c r="B701" s="18" t="s">
        <v>225</v>
      </c>
      <c r="C701" s="17"/>
      <c r="D701" s="17">
        <v>42.0</v>
      </c>
      <c r="E701" s="17" t="s">
        <v>26</v>
      </c>
      <c r="G701" s="19"/>
      <c r="H701" s="20" t="s">
        <v>1057</v>
      </c>
      <c r="I701" s="17" t="s">
        <v>22</v>
      </c>
      <c r="J701" s="17">
        <v>0.0</v>
      </c>
      <c r="K701" s="17">
        <v>0.0</v>
      </c>
      <c r="L701" s="17">
        <v>0.0</v>
      </c>
      <c r="M701" s="17">
        <v>0.0</v>
      </c>
      <c r="N701" s="17">
        <v>0.0</v>
      </c>
      <c r="O701" s="17">
        <v>0.0</v>
      </c>
      <c r="P701" s="17">
        <v>0.0</v>
      </c>
      <c r="Q701" s="17">
        <v>0.0</v>
      </c>
      <c r="R701" s="17">
        <v>0.0</v>
      </c>
      <c r="S701" s="17">
        <v>0.0</v>
      </c>
      <c r="T701" s="17">
        <v>0.0</v>
      </c>
      <c r="U701" s="17">
        <v>0.0</v>
      </c>
    </row>
    <row r="702" ht="23.25" customHeight="1">
      <c r="A702" s="20" t="str">
        <f>IF(COUNTIF('Icon Lookup'!C:C,B702)&gt;0,LOOKUP(B702,'Icon Lookup'!C:C,'Icon Lookup'!B:B),"")</f>
        <v/>
      </c>
      <c r="B702" s="21" t="s">
        <v>419</v>
      </c>
      <c r="C702" s="20"/>
      <c r="D702" s="20">
        <v>42.0</v>
      </c>
      <c r="E702" s="20" t="s">
        <v>1058</v>
      </c>
      <c r="G702" s="22"/>
      <c r="H702" s="23" t="s">
        <v>1059</v>
      </c>
      <c r="I702" s="20" t="s">
        <v>22</v>
      </c>
      <c r="J702" s="20">
        <v>0.0</v>
      </c>
      <c r="K702" s="20">
        <v>0.0</v>
      </c>
      <c r="L702" s="20">
        <v>0.0</v>
      </c>
      <c r="M702" s="20">
        <v>0.0</v>
      </c>
      <c r="N702" s="20">
        <v>0.0</v>
      </c>
      <c r="O702" s="20">
        <v>0.0</v>
      </c>
      <c r="P702" s="20">
        <v>0.0</v>
      </c>
      <c r="Q702" s="20">
        <v>0.0</v>
      </c>
      <c r="R702" s="20">
        <v>0.0</v>
      </c>
      <c r="S702" s="20">
        <v>0.0</v>
      </c>
      <c r="T702" s="20">
        <v>0.0</v>
      </c>
      <c r="U702" s="20">
        <v>0.0</v>
      </c>
    </row>
    <row r="703" ht="23.25" customHeight="1">
      <c r="A703" s="1"/>
      <c r="B703" s="15" t="s">
        <v>1060</v>
      </c>
      <c r="C703" s="1" t="s">
        <v>17</v>
      </c>
      <c r="D703" s="1" t="s">
        <v>1061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ht="23.25" customHeight="1">
      <c r="A704" s="17" t="str">
        <f>IF(COUNTIF('Icon Lookup'!C:C,B704)&gt;0,LOOKUP(B704,'Icon Lookup'!C:C,'Icon Lookup'!B:B),"")</f>
        <v/>
      </c>
      <c r="B704" s="18" t="s">
        <v>311</v>
      </c>
      <c r="C704" s="17"/>
      <c r="D704" s="17">
        <v>44.0</v>
      </c>
      <c r="E704" s="17" t="s">
        <v>137</v>
      </c>
      <c r="G704" s="19"/>
      <c r="H704" s="20" t="s">
        <v>1062</v>
      </c>
      <c r="I704" s="17" t="s">
        <v>22</v>
      </c>
      <c r="J704" s="17">
        <v>0.0</v>
      </c>
      <c r="K704" s="17">
        <v>0.0</v>
      </c>
      <c r="L704" s="17">
        <v>0.0</v>
      </c>
      <c r="M704" s="17">
        <v>0.0</v>
      </c>
      <c r="N704" s="17">
        <v>0.0</v>
      </c>
      <c r="O704" s="17">
        <v>0.0</v>
      </c>
      <c r="P704" s="17">
        <v>0.0</v>
      </c>
      <c r="Q704" s="17">
        <v>0.0</v>
      </c>
      <c r="R704" s="17">
        <v>0.0</v>
      </c>
      <c r="S704" s="17">
        <v>0.0</v>
      </c>
      <c r="T704" s="17">
        <v>0.0</v>
      </c>
      <c r="U704" s="17">
        <v>0.0</v>
      </c>
    </row>
    <row r="705" ht="23.25" customHeight="1">
      <c r="A705" s="1"/>
      <c r="B705" s="15" t="s">
        <v>1063</v>
      </c>
      <c r="C705" s="1" t="s">
        <v>17</v>
      </c>
      <c r="D705" s="1" t="s">
        <v>1064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ht="23.25" customHeight="1">
      <c r="A706" s="20" t="str">
        <f>IF(COUNTIF('Icon Lookup'!C:C,B706)&gt;0,LOOKUP(B706,'Icon Lookup'!C:C,'Icon Lookup'!B:B),"")</f>
        <v/>
      </c>
      <c r="B706" s="21" t="s">
        <v>160</v>
      </c>
      <c r="C706" s="20"/>
      <c r="D706" s="20">
        <v>21.0</v>
      </c>
      <c r="E706" s="20" t="s">
        <v>161</v>
      </c>
      <c r="G706" s="22"/>
      <c r="H706" s="23" t="s">
        <v>162</v>
      </c>
      <c r="I706" s="20" t="s">
        <v>94</v>
      </c>
      <c r="J706" s="20">
        <v>0.0</v>
      </c>
      <c r="K706" s="20">
        <v>0.0</v>
      </c>
      <c r="L706" s="20">
        <v>0.0</v>
      </c>
      <c r="M706" s="20">
        <v>0.0</v>
      </c>
      <c r="N706" s="20">
        <v>0.0</v>
      </c>
      <c r="O706" s="20">
        <v>0.0</v>
      </c>
      <c r="P706" s="20">
        <v>0.0</v>
      </c>
      <c r="Q706" s="20">
        <v>0.0</v>
      </c>
      <c r="R706" s="20">
        <v>0.0</v>
      </c>
      <c r="S706" s="20">
        <v>0.0</v>
      </c>
      <c r="T706" s="20">
        <v>0.0</v>
      </c>
      <c r="U706" s="20">
        <v>0.0</v>
      </c>
    </row>
    <row r="707" ht="23.25" customHeight="1">
      <c r="A707" s="17" t="str">
        <f>IF(COUNTIF('Icon Lookup'!C:C,B707)&gt;0,LOOKUP(B707,'Icon Lookup'!C:C,'Icon Lookup'!B:B),"")</f>
        <v/>
      </c>
      <c r="B707" s="18" t="s">
        <v>438</v>
      </c>
      <c r="C707" s="17"/>
      <c r="D707" s="17">
        <v>23.0</v>
      </c>
      <c r="E707" s="17" t="s">
        <v>98</v>
      </c>
      <c r="G707" s="19"/>
      <c r="H707" s="20" t="s">
        <v>1065</v>
      </c>
      <c r="I707" s="17" t="s">
        <v>89</v>
      </c>
      <c r="J707" s="17">
        <v>0.0</v>
      </c>
      <c r="K707" s="17">
        <v>0.0</v>
      </c>
      <c r="L707" s="17">
        <v>0.0</v>
      </c>
      <c r="M707" s="17">
        <v>0.0</v>
      </c>
      <c r="N707" s="17">
        <v>0.0</v>
      </c>
      <c r="O707" s="17">
        <v>0.0</v>
      </c>
      <c r="P707" s="17">
        <v>0.0</v>
      </c>
      <c r="Q707" s="17">
        <v>0.0</v>
      </c>
      <c r="R707" s="17">
        <v>0.0</v>
      </c>
      <c r="S707" s="17">
        <v>0.0</v>
      </c>
      <c r="T707" s="17">
        <v>0.0</v>
      </c>
      <c r="U707" s="17">
        <v>0.0</v>
      </c>
    </row>
    <row r="708" ht="23.25" customHeight="1">
      <c r="A708" s="1"/>
      <c r="B708" s="15" t="s">
        <v>1066</v>
      </c>
      <c r="C708" s="1" t="s">
        <v>17</v>
      </c>
      <c r="D708" s="1" t="s">
        <v>1067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ht="23.25" customHeight="1">
      <c r="A709" s="20" t="str">
        <f>IF(COUNTIF('Icon Lookup'!C:C,B709)&gt;0,LOOKUP(B709,'Icon Lookup'!C:C,'Icon Lookup'!B:B),"")</f>
        <v/>
      </c>
      <c r="B709" s="21" t="s">
        <v>756</v>
      </c>
      <c r="C709" s="20"/>
      <c r="D709" s="20">
        <v>54.0</v>
      </c>
      <c r="E709" s="20" t="s">
        <v>87</v>
      </c>
      <c r="G709" s="22"/>
      <c r="H709" s="23" t="s">
        <v>1068</v>
      </c>
      <c r="I709" s="20" t="s">
        <v>89</v>
      </c>
      <c r="J709" s="20">
        <v>0.0</v>
      </c>
      <c r="K709" s="20">
        <v>0.0</v>
      </c>
      <c r="L709" s="20">
        <v>0.0</v>
      </c>
      <c r="M709" s="20">
        <v>0.0</v>
      </c>
      <c r="N709" s="20">
        <v>0.0</v>
      </c>
      <c r="O709" s="20">
        <v>0.0</v>
      </c>
      <c r="P709" s="20">
        <v>0.0</v>
      </c>
      <c r="Q709" s="20">
        <v>0.0</v>
      </c>
      <c r="R709" s="20">
        <v>0.0</v>
      </c>
      <c r="S709" s="20">
        <v>0.0</v>
      </c>
      <c r="T709" s="20">
        <v>0.0</v>
      </c>
      <c r="U709" s="20">
        <v>0.0</v>
      </c>
    </row>
    <row r="710" ht="23.25" customHeight="1">
      <c r="A710" s="1"/>
      <c r="B710" s="15" t="s">
        <v>1069</v>
      </c>
      <c r="C710" s="1" t="s">
        <v>17</v>
      </c>
      <c r="D710" s="1" t="s">
        <v>1070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ht="23.25" customHeight="1">
      <c r="A711" s="17" t="str">
        <f>IF(COUNTIF('Icon Lookup'!C:C,B711)&gt;0,LOOKUP(B711,'Icon Lookup'!C:C,'Icon Lookup'!B:B),"")</f>
        <v/>
      </c>
      <c r="B711" s="18" t="s">
        <v>78</v>
      </c>
      <c r="C711" s="17"/>
      <c r="D711" s="17">
        <v>21.0</v>
      </c>
      <c r="E711" s="17" t="s">
        <v>121</v>
      </c>
      <c r="G711" s="19"/>
      <c r="H711" s="20" t="s">
        <v>1071</v>
      </c>
      <c r="I711" s="17" t="s">
        <v>156</v>
      </c>
      <c r="J711" s="17">
        <v>0.0</v>
      </c>
      <c r="K711" s="17">
        <v>0.0</v>
      </c>
      <c r="L711" s="17">
        <v>0.0</v>
      </c>
      <c r="M711" s="17">
        <v>0.0</v>
      </c>
      <c r="N711" s="17">
        <v>0.0</v>
      </c>
      <c r="O711" s="17">
        <v>0.0</v>
      </c>
      <c r="P711" s="17">
        <v>0.0</v>
      </c>
      <c r="Q711" s="17">
        <v>0.0</v>
      </c>
      <c r="R711" s="17">
        <v>0.0</v>
      </c>
      <c r="S711" s="17">
        <v>0.0</v>
      </c>
      <c r="T711" s="17">
        <v>0.0</v>
      </c>
      <c r="U711" s="17">
        <v>0.0</v>
      </c>
    </row>
    <row r="712" ht="23.25" customHeight="1">
      <c r="A712" s="1"/>
      <c r="B712" s="15" t="s">
        <v>1072</v>
      </c>
      <c r="C712" s="1" t="s">
        <v>17</v>
      </c>
      <c r="D712" s="1" t="s">
        <v>1073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ht="23.25" customHeight="1">
      <c r="A713" s="20" t="str">
        <f>IF(COUNTIF('Icon Lookup'!C:C,B713)&gt;0,LOOKUP(B713,'Icon Lookup'!C:C,'Icon Lookup'!B:B),"")</f>
        <v/>
      </c>
      <c r="B713" s="21" t="s">
        <v>225</v>
      </c>
      <c r="C713" s="20"/>
      <c r="D713" s="20">
        <v>19.0</v>
      </c>
      <c r="E713" s="20" t="s">
        <v>26</v>
      </c>
      <c r="G713" s="22"/>
      <c r="H713" s="23" t="s">
        <v>226</v>
      </c>
      <c r="I713" s="20" t="s">
        <v>22</v>
      </c>
      <c r="J713" s="20">
        <v>0.0</v>
      </c>
      <c r="K713" s="20">
        <v>0.0</v>
      </c>
      <c r="L713" s="20">
        <v>0.0</v>
      </c>
      <c r="M713" s="20">
        <v>0.0</v>
      </c>
      <c r="N713" s="20">
        <v>0.0</v>
      </c>
      <c r="O713" s="20">
        <v>0.0</v>
      </c>
      <c r="P713" s="20">
        <v>0.0</v>
      </c>
      <c r="Q713" s="20">
        <v>0.0</v>
      </c>
      <c r="R713" s="20">
        <v>0.0</v>
      </c>
      <c r="S713" s="20">
        <v>0.0</v>
      </c>
      <c r="T713" s="20">
        <v>0.0</v>
      </c>
      <c r="U713" s="20">
        <v>0.0</v>
      </c>
    </row>
    <row r="714" ht="23.25" customHeight="1">
      <c r="A714" s="17" t="str">
        <f>IF(COUNTIF('Icon Lookup'!C:C,B714)&gt;0,LOOKUP(B714,'Icon Lookup'!C:C,'Icon Lookup'!B:B),"")</f>
        <v/>
      </c>
      <c r="B714" s="18" t="s">
        <v>117</v>
      </c>
      <c r="C714" s="17"/>
      <c r="D714" s="17">
        <v>21.0</v>
      </c>
      <c r="E714" s="17" t="s">
        <v>26</v>
      </c>
      <c r="G714" s="19"/>
      <c r="H714" s="20" t="s">
        <v>1074</v>
      </c>
      <c r="I714" s="17" t="s">
        <v>22</v>
      </c>
      <c r="J714" s="17">
        <v>0.0</v>
      </c>
      <c r="K714" s="17">
        <v>0.0</v>
      </c>
      <c r="L714" s="17">
        <v>0.0</v>
      </c>
      <c r="M714" s="17">
        <v>0.0</v>
      </c>
      <c r="N714" s="17">
        <v>0.0</v>
      </c>
      <c r="O714" s="17">
        <v>0.0</v>
      </c>
      <c r="P714" s="17">
        <v>0.0</v>
      </c>
      <c r="Q714" s="17">
        <v>0.0</v>
      </c>
      <c r="R714" s="17">
        <v>0.0</v>
      </c>
      <c r="S714" s="17">
        <v>0.0</v>
      </c>
      <c r="T714" s="17">
        <v>0.0</v>
      </c>
      <c r="U714" s="17">
        <v>0.0</v>
      </c>
    </row>
    <row r="715" ht="23.25" customHeight="1">
      <c r="A715" s="20" t="str">
        <f>IF(COUNTIF('Icon Lookup'!C:C,B715)&gt;0,LOOKUP(B715,'Icon Lookup'!C:C,'Icon Lookup'!B:B),"")</f>
        <v/>
      </c>
      <c r="B715" s="21" t="s">
        <v>78</v>
      </c>
      <c r="C715" s="20"/>
      <c r="D715" s="20">
        <v>20.0</v>
      </c>
      <c r="E715" s="20" t="s">
        <v>79</v>
      </c>
      <c r="G715" s="22"/>
      <c r="H715" s="23" t="s">
        <v>122</v>
      </c>
      <c r="I715" s="20" t="s">
        <v>22</v>
      </c>
      <c r="J715" s="20">
        <v>0.0</v>
      </c>
      <c r="K715" s="20">
        <v>0.0</v>
      </c>
      <c r="L715" s="20">
        <v>0.0</v>
      </c>
      <c r="M715" s="20">
        <v>0.0</v>
      </c>
      <c r="N715" s="20">
        <v>0.0</v>
      </c>
      <c r="O715" s="20">
        <v>0.0</v>
      </c>
      <c r="P715" s="20">
        <v>0.0</v>
      </c>
      <c r="Q715" s="20">
        <v>0.0</v>
      </c>
      <c r="R715" s="20">
        <v>0.0</v>
      </c>
      <c r="S715" s="20">
        <v>0.0</v>
      </c>
      <c r="T715" s="20">
        <v>0.0</v>
      </c>
      <c r="U715" s="20">
        <v>0.0</v>
      </c>
    </row>
    <row r="716" ht="23.25" customHeight="1">
      <c r="A716" s="1"/>
      <c r="B716" s="15" t="s">
        <v>1075</v>
      </c>
      <c r="C716" s="1" t="s">
        <v>17</v>
      </c>
      <c r="D716" s="1" t="s">
        <v>1076</v>
      </c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ht="23.25" customHeight="1">
      <c r="A717" s="17" t="str">
        <f>IF(COUNTIF('Icon Lookup'!C:C,B717)&gt;0,LOOKUP(B717,'Icon Lookup'!C:C,'Icon Lookup'!B:B),"")</f>
        <v/>
      </c>
      <c r="B717" s="18" t="s">
        <v>117</v>
      </c>
      <c r="C717" s="17"/>
      <c r="D717" s="17">
        <v>19.0</v>
      </c>
      <c r="E717" s="17" t="s">
        <v>26</v>
      </c>
      <c r="G717" s="19"/>
      <c r="H717" s="20" t="s">
        <v>1074</v>
      </c>
      <c r="I717" s="17" t="s">
        <v>89</v>
      </c>
      <c r="J717" s="17">
        <v>0.0</v>
      </c>
      <c r="K717" s="17">
        <v>0.0</v>
      </c>
      <c r="L717" s="17">
        <v>0.0</v>
      </c>
      <c r="M717" s="17">
        <v>0.0</v>
      </c>
      <c r="N717" s="17">
        <v>0.0</v>
      </c>
      <c r="O717" s="17">
        <v>0.0</v>
      </c>
      <c r="P717" s="17">
        <v>0.0</v>
      </c>
      <c r="Q717" s="17">
        <v>0.0</v>
      </c>
      <c r="R717" s="17">
        <v>0.0</v>
      </c>
      <c r="S717" s="17">
        <v>0.0</v>
      </c>
      <c r="T717" s="17">
        <v>0.0</v>
      </c>
      <c r="U717" s="17">
        <v>0.0</v>
      </c>
    </row>
    <row r="718" ht="23.25" customHeight="1">
      <c r="A718" s="1"/>
      <c r="B718" s="15" t="s">
        <v>1077</v>
      </c>
      <c r="C718" s="1" t="s">
        <v>17</v>
      </c>
      <c r="D718" s="1" t="s">
        <v>1078</v>
      </c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ht="23.25" customHeight="1">
      <c r="A719" s="20" t="str">
        <f>IF(COUNTIF('Icon Lookup'!C:C,B719)&gt;0,LOOKUP(B719,'Icon Lookup'!C:C,'Icon Lookup'!B:B),"")</f>
        <v/>
      </c>
      <c r="B719" s="21" t="s">
        <v>275</v>
      </c>
      <c r="C719" s="20"/>
      <c r="D719" s="20">
        <v>25.0</v>
      </c>
      <c r="E719" s="20" t="s">
        <v>276</v>
      </c>
      <c r="G719" s="22"/>
      <c r="H719" s="23" t="s">
        <v>1079</v>
      </c>
      <c r="I719" s="20" t="s">
        <v>22</v>
      </c>
      <c r="J719" s="20">
        <v>0.0</v>
      </c>
      <c r="K719" s="20">
        <v>0.0</v>
      </c>
      <c r="L719" s="20">
        <v>0.0</v>
      </c>
      <c r="M719" s="20">
        <v>0.0</v>
      </c>
      <c r="N719" s="20">
        <v>0.0</v>
      </c>
      <c r="O719" s="20">
        <v>0.0</v>
      </c>
      <c r="P719" s="20">
        <v>0.0</v>
      </c>
      <c r="Q719" s="20">
        <v>0.0</v>
      </c>
      <c r="R719" s="20">
        <v>0.0</v>
      </c>
      <c r="S719" s="20">
        <v>0.0</v>
      </c>
      <c r="T719" s="20">
        <v>0.0</v>
      </c>
      <c r="U719" s="20">
        <v>0.0</v>
      </c>
    </row>
    <row r="720" ht="23.25" customHeight="1">
      <c r="A720" s="17" t="str">
        <f>IF(COUNTIF('Icon Lookup'!C:C,B720)&gt;0,LOOKUP(B720,'Icon Lookup'!C:C,'Icon Lookup'!B:B),"")</f>
        <v/>
      </c>
      <c r="B720" s="18" t="s">
        <v>275</v>
      </c>
      <c r="C720" s="17"/>
      <c r="D720" s="17">
        <v>25.0</v>
      </c>
      <c r="E720" s="17" t="s">
        <v>276</v>
      </c>
      <c r="G720" s="19"/>
      <c r="H720" s="20" t="s">
        <v>1080</v>
      </c>
      <c r="I720" s="17" t="s">
        <v>211</v>
      </c>
      <c r="J720" s="17">
        <v>0.0</v>
      </c>
      <c r="K720" s="17">
        <v>0.0</v>
      </c>
      <c r="L720" s="17">
        <v>0.0</v>
      </c>
      <c r="M720" s="17">
        <v>0.0</v>
      </c>
      <c r="N720" s="17">
        <v>0.0</v>
      </c>
      <c r="O720" s="17">
        <v>0.0</v>
      </c>
      <c r="P720" s="17">
        <v>0.0</v>
      </c>
      <c r="Q720" s="17">
        <v>0.0</v>
      </c>
      <c r="R720" s="17">
        <v>0.0</v>
      </c>
      <c r="S720" s="17">
        <v>0.0</v>
      </c>
      <c r="T720" s="17">
        <v>0.0</v>
      </c>
      <c r="U720" s="17">
        <v>0.0</v>
      </c>
    </row>
    <row r="721" ht="23.25" customHeight="1">
      <c r="A721" s="20" t="str">
        <f>IF(COUNTIF('Icon Lookup'!C:C,B721)&gt;0,LOOKUP(B721,'Icon Lookup'!C:C,'Icon Lookup'!B:B),"")</f>
        <v/>
      </c>
      <c r="B721" s="21" t="s">
        <v>275</v>
      </c>
      <c r="C721" s="20"/>
      <c r="D721" s="20">
        <v>25.0</v>
      </c>
      <c r="E721" s="20" t="s">
        <v>276</v>
      </c>
      <c r="G721" s="22"/>
      <c r="H721" s="23" t="s">
        <v>1081</v>
      </c>
      <c r="I721" s="20" t="s">
        <v>211</v>
      </c>
      <c r="J721" s="20">
        <v>0.0</v>
      </c>
      <c r="K721" s="20">
        <v>0.0</v>
      </c>
      <c r="L721" s="20">
        <v>0.0</v>
      </c>
      <c r="M721" s="20">
        <v>0.0</v>
      </c>
      <c r="N721" s="20">
        <v>0.0</v>
      </c>
      <c r="O721" s="20">
        <v>0.0</v>
      </c>
      <c r="P721" s="20">
        <v>0.0</v>
      </c>
      <c r="Q721" s="20">
        <v>0.0</v>
      </c>
      <c r="R721" s="20">
        <v>0.0</v>
      </c>
      <c r="S721" s="20">
        <v>0.0</v>
      </c>
      <c r="T721" s="20">
        <v>0.0</v>
      </c>
      <c r="U721" s="20">
        <v>0.0</v>
      </c>
    </row>
    <row r="722" ht="23.25" customHeight="1">
      <c r="A722" s="1"/>
      <c r="B722" s="15" t="s">
        <v>1082</v>
      </c>
      <c r="C722" s="1" t="s">
        <v>17</v>
      </c>
      <c r="D722" s="1" t="s">
        <v>1083</v>
      </c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ht="23.25" customHeight="1">
      <c r="A723" s="17" t="str">
        <f>IF(COUNTIF('Icon Lookup'!C:C,B723)&gt;0,LOOKUP(B723,'Icon Lookup'!C:C,'Icon Lookup'!B:B),"")</f>
        <v/>
      </c>
      <c r="B723" s="18" t="s">
        <v>275</v>
      </c>
      <c r="C723" s="17"/>
      <c r="D723" s="17">
        <v>25.0</v>
      </c>
      <c r="E723" s="17" t="s">
        <v>276</v>
      </c>
      <c r="G723" s="19"/>
      <c r="H723" s="20" t="s">
        <v>1084</v>
      </c>
      <c r="I723" s="17" t="s">
        <v>22</v>
      </c>
      <c r="J723" s="17">
        <v>0.0</v>
      </c>
      <c r="K723" s="17">
        <v>0.0</v>
      </c>
      <c r="L723" s="17">
        <v>0.0</v>
      </c>
      <c r="M723" s="17">
        <v>0.0</v>
      </c>
      <c r="N723" s="17">
        <v>0.0</v>
      </c>
      <c r="O723" s="17">
        <v>0.0</v>
      </c>
      <c r="P723" s="17">
        <v>0.0</v>
      </c>
      <c r="Q723" s="17">
        <v>0.0</v>
      </c>
      <c r="R723" s="17">
        <v>0.0</v>
      </c>
      <c r="S723" s="17">
        <v>0.0</v>
      </c>
      <c r="T723" s="17">
        <v>0.0</v>
      </c>
      <c r="U723" s="17">
        <v>0.0</v>
      </c>
    </row>
    <row r="724" ht="23.25" customHeight="1">
      <c r="A724" s="20" t="str">
        <f>IF(COUNTIF('Icon Lookup'!C:C,B724)&gt;0,LOOKUP(B724,'Icon Lookup'!C:C,'Icon Lookup'!B:B),"")</f>
        <v/>
      </c>
      <c r="B724" s="21" t="s">
        <v>90</v>
      </c>
      <c r="C724" s="20"/>
      <c r="D724" s="20">
        <v>25.0</v>
      </c>
      <c r="E724" s="20" t="s">
        <v>276</v>
      </c>
      <c r="G724" s="22"/>
      <c r="H724" s="23" t="s">
        <v>1085</v>
      </c>
      <c r="I724" s="20" t="s">
        <v>550</v>
      </c>
      <c r="J724" s="20">
        <v>0.0</v>
      </c>
      <c r="K724" s="20">
        <v>0.0</v>
      </c>
      <c r="L724" s="20">
        <v>0.0</v>
      </c>
      <c r="M724" s="20">
        <v>0.0</v>
      </c>
      <c r="N724" s="20">
        <v>0.0</v>
      </c>
      <c r="O724" s="20">
        <v>0.0</v>
      </c>
      <c r="P724" s="20">
        <v>0.0</v>
      </c>
      <c r="Q724" s="20">
        <v>0.0</v>
      </c>
      <c r="R724" s="20">
        <v>0.0</v>
      </c>
      <c r="S724" s="20">
        <v>0.0</v>
      </c>
      <c r="T724" s="20">
        <v>0.0</v>
      </c>
      <c r="U724" s="20">
        <v>0.0</v>
      </c>
    </row>
    <row r="725" ht="23.25" customHeight="1">
      <c r="A725" s="17" t="str">
        <f>IF(COUNTIF('Icon Lookup'!C:C,B725)&gt;0,LOOKUP(B725,'Icon Lookup'!C:C,'Icon Lookup'!B:B),"")</f>
        <v/>
      </c>
      <c r="B725" s="18" t="s">
        <v>275</v>
      </c>
      <c r="C725" s="17"/>
      <c r="D725" s="17">
        <v>25.0</v>
      </c>
      <c r="E725" s="17" t="s">
        <v>276</v>
      </c>
      <c r="G725" s="19"/>
      <c r="H725" s="20" t="s">
        <v>1086</v>
      </c>
      <c r="I725" s="17" t="s">
        <v>550</v>
      </c>
      <c r="J725" s="17">
        <v>0.0</v>
      </c>
      <c r="K725" s="17">
        <v>0.0</v>
      </c>
      <c r="L725" s="17">
        <v>0.0</v>
      </c>
      <c r="M725" s="17">
        <v>0.0</v>
      </c>
      <c r="N725" s="17">
        <v>0.0</v>
      </c>
      <c r="O725" s="17">
        <v>0.0</v>
      </c>
      <c r="P725" s="17">
        <v>0.0</v>
      </c>
      <c r="Q725" s="17">
        <v>0.0</v>
      </c>
      <c r="R725" s="17">
        <v>0.0</v>
      </c>
      <c r="S725" s="17">
        <v>0.0</v>
      </c>
      <c r="T725" s="17">
        <v>0.0</v>
      </c>
      <c r="U725" s="17">
        <v>0.0</v>
      </c>
    </row>
    <row r="726" ht="23.25" customHeight="1">
      <c r="A726" s="1"/>
      <c r="B726" s="15" t="s">
        <v>1087</v>
      </c>
      <c r="C726" s="1" t="s">
        <v>17</v>
      </c>
      <c r="D726" s="1" t="s">
        <v>1088</v>
      </c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ht="23.25" customHeight="1">
      <c r="A727" s="20" t="str">
        <f>IF(COUNTIF('Icon Lookup'!C:C,B727)&gt;0,LOOKUP(B727,'Icon Lookup'!C:C,'Icon Lookup'!B:B),"")</f>
        <v/>
      </c>
      <c r="B727" s="21" t="s">
        <v>165</v>
      </c>
      <c r="C727" s="20"/>
      <c r="D727" s="20">
        <v>28.0</v>
      </c>
      <c r="E727" s="20" t="s">
        <v>166</v>
      </c>
      <c r="G727" s="22"/>
      <c r="H727" s="23" t="s">
        <v>1089</v>
      </c>
      <c r="I727" s="20" t="s">
        <v>22</v>
      </c>
      <c r="J727" s="20">
        <v>0.0</v>
      </c>
      <c r="K727" s="20">
        <v>0.0</v>
      </c>
      <c r="L727" s="20">
        <v>0.0</v>
      </c>
      <c r="M727" s="20">
        <v>0.0</v>
      </c>
      <c r="N727" s="20">
        <v>0.0</v>
      </c>
      <c r="O727" s="20">
        <v>0.0</v>
      </c>
      <c r="P727" s="20">
        <v>0.0</v>
      </c>
      <c r="Q727" s="20">
        <v>0.0</v>
      </c>
      <c r="R727" s="20">
        <v>0.0</v>
      </c>
      <c r="S727" s="20">
        <v>0.0</v>
      </c>
      <c r="T727" s="20">
        <v>0.0</v>
      </c>
      <c r="U727" s="20">
        <v>0.0</v>
      </c>
    </row>
    <row r="728" ht="23.25" customHeight="1">
      <c r="A728" s="1"/>
      <c r="B728" s="15" t="s">
        <v>1090</v>
      </c>
      <c r="C728" s="1" t="s">
        <v>17</v>
      </c>
      <c r="D728" s="1" t="s">
        <v>1091</v>
      </c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ht="23.25" customHeight="1">
      <c r="A729" s="17" t="str">
        <f>IF(COUNTIF('Icon Lookup'!C:C,B729)&gt;0,LOOKUP(B729,'Icon Lookup'!C:C,'Icon Lookup'!B:B),"")</f>
        <v/>
      </c>
      <c r="B729" s="18" t="s">
        <v>275</v>
      </c>
      <c r="C729" s="17"/>
      <c r="D729" s="17">
        <v>26.0</v>
      </c>
      <c r="E729" s="17" t="s">
        <v>276</v>
      </c>
      <c r="G729" s="19"/>
      <c r="H729" s="20" t="s">
        <v>1092</v>
      </c>
      <c r="I729" s="17" t="s">
        <v>22</v>
      </c>
      <c r="J729" s="17">
        <v>0.0</v>
      </c>
      <c r="K729" s="17">
        <v>0.0</v>
      </c>
      <c r="L729" s="17">
        <v>0.0</v>
      </c>
      <c r="M729" s="17">
        <v>0.0</v>
      </c>
      <c r="N729" s="17">
        <v>0.0</v>
      </c>
      <c r="O729" s="17">
        <v>0.0</v>
      </c>
      <c r="P729" s="17">
        <v>0.0</v>
      </c>
      <c r="Q729" s="17">
        <v>0.0</v>
      </c>
      <c r="R729" s="17">
        <v>0.0</v>
      </c>
      <c r="S729" s="17">
        <v>0.0</v>
      </c>
      <c r="T729" s="17">
        <v>0.0</v>
      </c>
      <c r="U729" s="17">
        <v>0.0</v>
      </c>
    </row>
    <row r="730" ht="23.25" customHeight="1">
      <c r="A730" s="20" t="str">
        <f>IF(COUNTIF('Icon Lookup'!C:C,B730)&gt;0,LOOKUP(B730,'Icon Lookup'!C:C,'Icon Lookup'!B:B),"")</f>
        <v/>
      </c>
      <c r="B730" s="21" t="s">
        <v>165</v>
      </c>
      <c r="C730" s="20"/>
      <c r="D730" s="20">
        <v>26.0</v>
      </c>
      <c r="E730" s="20" t="s">
        <v>166</v>
      </c>
      <c r="G730" s="22"/>
      <c r="H730" s="23" t="s">
        <v>1093</v>
      </c>
      <c r="I730" s="20" t="s">
        <v>550</v>
      </c>
      <c r="J730" s="20">
        <v>0.0</v>
      </c>
      <c r="K730" s="20">
        <v>0.0</v>
      </c>
      <c r="L730" s="20">
        <v>0.0</v>
      </c>
      <c r="M730" s="20">
        <v>0.0</v>
      </c>
      <c r="N730" s="20">
        <v>0.0</v>
      </c>
      <c r="O730" s="20">
        <v>0.0</v>
      </c>
      <c r="P730" s="20">
        <v>0.0</v>
      </c>
      <c r="Q730" s="20">
        <v>0.0</v>
      </c>
      <c r="R730" s="20">
        <v>0.0</v>
      </c>
      <c r="S730" s="20">
        <v>0.0</v>
      </c>
      <c r="T730" s="20">
        <v>0.0</v>
      </c>
      <c r="U730" s="20">
        <v>0.0</v>
      </c>
    </row>
    <row r="731" ht="23.25" customHeight="1">
      <c r="A731" s="1"/>
      <c r="B731" s="15" t="s">
        <v>1094</v>
      </c>
      <c r="C731" s="1" t="s">
        <v>17</v>
      </c>
      <c r="D731" s="1" t="s">
        <v>1095</v>
      </c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ht="23.25" customHeight="1">
      <c r="A732" s="17" t="str">
        <f>IF(COUNTIF('Icon Lookup'!C:C,B732)&gt;0,LOOKUP(B732,'Icon Lookup'!C:C,'Icon Lookup'!B:B),"")</f>
        <v/>
      </c>
      <c r="B732" s="18" t="s">
        <v>288</v>
      </c>
      <c r="C732" s="17"/>
      <c r="D732" s="17">
        <v>52.0</v>
      </c>
      <c r="E732" s="17" t="s">
        <v>1096</v>
      </c>
      <c r="G732" s="19"/>
      <c r="H732" s="20" t="s">
        <v>1097</v>
      </c>
      <c r="I732" s="17" t="s">
        <v>94</v>
      </c>
      <c r="J732" s="17">
        <v>0.0</v>
      </c>
      <c r="K732" s="17">
        <v>0.0</v>
      </c>
      <c r="L732" s="17">
        <v>0.0</v>
      </c>
      <c r="M732" s="17">
        <v>0.0</v>
      </c>
      <c r="N732" s="17">
        <v>0.0</v>
      </c>
      <c r="O732" s="17">
        <v>0.0</v>
      </c>
      <c r="P732" s="17">
        <v>0.0</v>
      </c>
      <c r="Q732" s="17">
        <v>0.0</v>
      </c>
      <c r="R732" s="17">
        <v>0.0</v>
      </c>
      <c r="S732" s="17">
        <v>0.0</v>
      </c>
      <c r="T732" s="17">
        <v>0.0</v>
      </c>
      <c r="U732" s="17">
        <v>0.0</v>
      </c>
    </row>
    <row r="733" ht="23.25" customHeight="1">
      <c r="A733" s="20" t="str">
        <f>IF(COUNTIF('Icon Lookup'!C:C,B733)&gt;0,LOOKUP(B733,'Icon Lookup'!C:C,'Icon Lookup'!B:B),"")</f>
        <v/>
      </c>
      <c r="B733" s="21" t="s">
        <v>1098</v>
      </c>
      <c r="C733" s="20"/>
      <c r="D733" s="20">
        <v>56.0</v>
      </c>
      <c r="E733" s="20" t="s">
        <v>91</v>
      </c>
      <c r="G733" s="22"/>
      <c r="H733" s="23" t="s">
        <v>1099</v>
      </c>
      <c r="I733" s="20" t="s">
        <v>156</v>
      </c>
      <c r="J733" s="20">
        <v>0.0</v>
      </c>
      <c r="K733" s="20">
        <v>0.0</v>
      </c>
      <c r="L733" s="20">
        <v>0.0</v>
      </c>
      <c r="M733" s="20">
        <v>0.0</v>
      </c>
      <c r="N733" s="20">
        <v>0.0</v>
      </c>
      <c r="O733" s="20">
        <v>0.0</v>
      </c>
      <c r="P733" s="20">
        <v>0.0</v>
      </c>
      <c r="Q733" s="20">
        <v>0.0</v>
      </c>
      <c r="R733" s="20">
        <v>0.0</v>
      </c>
      <c r="S733" s="20">
        <v>0.0</v>
      </c>
      <c r="T733" s="20">
        <v>0.0</v>
      </c>
      <c r="U733" s="20">
        <v>0.0</v>
      </c>
    </row>
    <row r="734" ht="23.25" customHeight="1">
      <c r="A734" s="1"/>
      <c r="B734" s="15" t="s">
        <v>1100</v>
      </c>
      <c r="C734" s="1" t="s">
        <v>17</v>
      </c>
      <c r="D734" s="1" t="s">
        <v>1101</v>
      </c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ht="23.25" customHeight="1">
      <c r="A735" s="17" t="str">
        <f>IF(COUNTIF('Icon Lookup'!C:C,B735)&gt;0,LOOKUP(B735,'Icon Lookup'!C:C,'Icon Lookup'!B:B),"")</f>
        <v/>
      </c>
      <c r="B735" s="18" t="s">
        <v>756</v>
      </c>
      <c r="C735" s="17"/>
      <c r="D735" s="17">
        <v>33.0</v>
      </c>
      <c r="E735" s="17" t="s">
        <v>98</v>
      </c>
      <c r="G735" s="19"/>
      <c r="H735" s="20" t="s">
        <v>1102</v>
      </c>
      <c r="I735" s="17" t="s">
        <v>89</v>
      </c>
      <c r="J735" s="17">
        <v>0.0</v>
      </c>
      <c r="K735" s="17">
        <v>0.0</v>
      </c>
      <c r="L735" s="17">
        <v>0.0</v>
      </c>
      <c r="M735" s="17">
        <v>0.0</v>
      </c>
      <c r="N735" s="17">
        <v>0.0</v>
      </c>
      <c r="O735" s="17">
        <v>0.0</v>
      </c>
      <c r="P735" s="17">
        <v>0.0</v>
      </c>
      <c r="Q735" s="17">
        <v>0.0</v>
      </c>
      <c r="R735" s="17">
        <v>0.0</v>
      </c>
      <c r="S735" s="17">
        <v>0.0</v>
      </c>
      <c r="T735" s="17">
        <v>0.0</v>
      </c>
      <c r="U735" s="17">
        <v>0.0</v>
      </c>
    </row>
    <row r="736" ht="23.25" customHeight="1">
      <c r="A736" s="1"/>
      <c r="B736" s="15" t="s">
        <v>1103</v>
      </c>
      <c r="C736" s="1" t="s">
        <v>17</v>
      </c>
      <c r="D736" s="1" t="s">
        <v>1104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ht="23.25" customHeight="1">
      <c r="A737" s="20" t="str">
        <f>IF(COUNTIF('Icon Lookup'!C:C,B737)&gt;0,LOOKUP(B737,'Icon Lookup'!C:C,'Icon Lookup'!B:B),"")</f>
        <v/>
      </c>
      <c r="B737" s="21" t="s">
        <v>65</v>
      </c>
      <c r="C737" s="20"/>
      <c r="D737" s="20">
        <v>19.0</v>
      </c>
      <c r="E737" s="20" t="s">
        <v>66</v>
      </c>
      <c r="G737" s="22"/>
      <c r="H737" s="23" t="s">
        <v>1105</v>
      </c>
      <c r="I737" s="20" t="s">
        <v>52</v>
      </c>
      <c r="J737" s="20">
        <v>0.0</v>
      </c>
      <c r="K737" s="20">
        <v>0.0</v>
      </c>
      <c r="L737" s="20">
        <v>0.0</v>
      </c>
      <c r="M737" s="20">
        <v>0.0</v>
      </c>
      <c r="N737" s="20">
        <v>0.0</v>
      </c>
      <c r="O737" s="20">
        <v>0.0</v>
      </c>
      <c r="P737" s="20">
        <v>0.0</v>
      </c>
      <c r="Q737" s="20">
        <v>0.0</v>
      </c>
      <c r="R737" s="20">
        <v>0.0</v>
      </c>
      <c r="S737" s="20">
        <v>0.0</v>
      </c>
      <c r="T737" s="20">
        <v>0.0</v>
      </c>
      <c r="U737" s="20">
        <v>0.0</v>
      </c>
    </row>
    <row r="738" ht="23.25" customHeight="1">
      <c r="A738" s="17" t="str">
        <f>IF(COUNTIF('Icon Lookup'!C:C,B738)&gt;0,LOOKUP(B738,'Icon Lookup'!C:C,'Icon Lookup'!B:B),"")</f>
        <v/>
      </c>
      <c r="B738" s="18" t="s">
        <v>810</v>
      </c>
      <c r="C738" s="17"/>
      <c r="D738" s="17">
        <v>19.0</v>
      </c>
      <c r="E738" s="17" t="str">
        <f>IMAGE("https://www.serebii.net/itemdex/sprites/miracleseed.png")</f>
        <v/>
      </c>
      <c r="F738" s="17" t="s">
        <v>1106</v>
      </c>
      <c r="G738" s="17" t="s">
        <v>1107</v>
      </c>
      <c r="H738" s="20" t="s">
        <v>1108</v>
      </c>
      <c r="I738" s="17" t="s">
        <v>89</v>
      </c>
      <c r="J738" s="17">
        <v>0.0</v>
      </c>
      <c r="K738" s="17">
        <v>0.0</v>
      </c>
      <c r="L738" s="17">
        <v>0.0</v>
      </c>
      <c r="M738" s="17">
        <v>0.0</v>
      </c>
      <c r="N738" s="17">
        <v>0.0</v>
      </c>
      <c r="O738" s="17">
        <v>0.0</v>
      </c>
      <c r="P738" s="17">
        <v>0.0</v>
      </c>
      <c r="Q738" s="17">
        <v>0.0</v>
      </c>
      <c r="R738" s="17">
        <v>0.0</v>
      </c>
      <c r="S738" s="17">
        <v>0.0</v>
      </c>
      <c r="T738" s="17">
        <v>0.0</v>
      </c>
      <c r="U738" s="17">
        <v>0.0</v>
      </c>
    </row>
    <row r="739" ht="23.25" customHeight="1">
      <c r="A739" s="24" t="str">
        <f>IF(COUNTIF('Icon Lookup'!C:C,B739)&gt;0,LOOKUP(B739,'Icon Lookup'!C:C,'Icon Lookup'!B:B),"")</f>
        <v/>
      </c>
      <c r="B739" s="25" t="s">
        <v>906</v>
      </c>
      <c r="C739" s="24" t="s">
        <v>804</v>
      </c>
      <c r="D739" s="24">
        <v>22.0</v>
      </c>
      <c r="E739" s="24" t="str">
        <f>IMAGE("https://www.serebii.net/itemdex/sprites/sitrusberry.png")</f>
        <v/>
      </c>
      <c r="F739" s="24" t="s">
        <v>1109</v>
      </c>
      <c r="G739" s="20" t="s">
        <v>824</v>
      </c>
      <c r="H739" s="23" t="s">
        <v>1110</v>
      </c>
      <c r="I739" s="24" t="s">
        <v>52</v>
      </c>
      <c r="J739" s="24">
        <v>0.0</v>
      </c>
      <c r="K739" s="24">
        <v>36.0</v>
      </c>
      <c r="L739" s="24">
        <v>0.0</v>
      </c>
      <c r="M739" s="24">
        <v>36.0</v>
      </c>
      <c r="N739" s="24">
        <v>0.0</v>
      </c>
      <c r="O739" s="24">
        <v>36.0</v>
      </c>
      <c r="P739" s="24">
        <v>0.0</v>
      </c>
      <c r="Q739" s="24">
        <v>15.0</v>
      </c>
      <c r="R739" s="24">
        <v>0.0</v>
      </c>
      <c r="S739" s="24">
        <v>15.0</v>
      </c>
      <c r="T739" s="24">
        <v>0.0</v>
      </c>
      <c r="U739" s="24">
        <v>15.0</v>
      </c>
    </row>
    <row r="740" ht="23.25" customHeight="1">
      <c r="A740" s="1"/>
      <c r="B740" s="15" t="s">
        <v>1111</v>
      </c>
      <c r="C740" s="1" t="s">
        <v>17</v>
      </c>
      <c r="D740" s="1" t="s">
        <v>1112</v>
      </c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ht="23.25" customHeight="1">
      <c r="A741" s="17" t="str">
        <f>IF(COUNTIF('Icon Lookup'!C:C,B741)&gt;0,LOOKUP(B741,'Icon Lookup'!C:C,'Icon Lookup'!B:B),"")</f>
        <v/>
      </c>
      <c r="B741" s="18" t="s">
        <v>190</v>
      </c>
      <c r="C741" s="17"/>
      <c r="D741" s="17">
        <v>27.0</v>
      </c>
      <c r="E741" s="17" t="str">
        <f>IMAGE("https://www.serebii.net/itemdex/sprites/widelens.png")</f>
        <v/>
      </c>
      <c r="F741" s="17" t="s">
        <v>26</v>
      </c>
      <c r="G741" s="17" t="s">
        <v>870</v>
      </c>
      <c r="H741" s="20" t="s">
        <v>1113</v>
      </c>
      <c r="I741" s="17" t="s">
        <v>22</v>
      </c>
      <c r="J741" s="17">
        <v>40.0</v>
      </c>
      <c r="K741" s="17">
        <v>56.0</v>
      </c>
      <c r="L741" s="17">
        <v>0.0</v>
      </c>
      <c r="M741" s="17">
        <v>0.0</v>
      </c>
      <c r="N741" s="17">
        <v>0.0</v>
      </c>
      <c r="O741" s="17">
        <v>40.0</v>
      </c>
      <c r="P741" s="17">
        <v>16.0</v>
      </c>
      <c r="Q741" s="17">
        <v>16.0</v>
      </c>
      <c r="R741" s="17">
        <v>0.0</v>
      </c>
      <c r="S741" s="17">
        <v>0.0</v>
      </c>
      <c r="T741" s="17">
        <v>0.0</v>
      </c>
      <c r="U741" s="17">
        <v>16.0</v>
      </c>
    </row>
    <row r="742" ht="23.25" customHeight="1">
      <c r="A742" s="20" t="str">
        <f>IF(COUNTIF('Icon Lookup'!C:C,B742)&gt;0,LOOKUP(B742,'Icon Lookup'!C:C,'Icon Lookup'!B:B),"")</f>
        <v/>
      </c>
      <c r="B742" s="21" t="s">
        <v>643</v>
      </c>
      <c r="C742" s="20"/>
      <c r="D742" s="20">
        <v>27.0</v>
      </c>
      <c r="E742" s="20" t="str">
        <f>IMAGE("https://www.serebii.net/itemdex/sprites/damprock.png")</f>
        <v/>
      </c>
      <c r="F742" s="20" t="s">
        <v>399</v>
      </c>
      <c r="G742" s="20" t="s">
        <v>1114</v>
      </c>
      <c r="H742" s="23" t="s">
        <v>1115</v>
      </c>
      <c r="I742" s="20" t="s">
        <v>905</v>
      </c>
      <c r="J742" s="20">
        <v>40.0</v>
      </c>
      <c r="K742" s="20">
        <v>40.0</v>
      </c>
      <c r="L742" s="20">
        <v>4.0</v>
      </c>
      <c r="M742" s="20">
        <v>56.0</v>
      </c>
      <c r="N742" s="20">
        <v>4.0</v>
      </c>
      <c r="O742" s="20">
        <v>0.0</v>
      </c>
      <c r="P742" s="20">
        <v>16.0</v>
      </c>
      <c r="Q742" s="20">
        <v>16.0</v>
      </c>
      <c r="R742" s="20">
        <v>5.0</v>
      </c>
      <c r="S742" s="20">
        <v>16.0</v>
      </c>
      <c r="T742" s="20">
        <v>5.0</v>
      </c>
      <c r="U742" s="20">
        <v>0.0</v>
      </c>
    </row>
    <row r="743" ht="23.25" customHeight="1">
      <c r="A743" s="24" t="str">
        <f>IF(COUNTIF('Icon Lookup'!C:C,B743)&gt;0,LOOKUP(B743,'Icon Lookup'!C:C,'Icon Lookup'!B:B),"")</f>
        <v/>
      </c>
      <c r="B743" s="25" t="s">
        <v>921</v>
      </c>
      <c r="C743" s="24" t="s">
        <v>804</v>
      </c>
      <c r="D743" s="24">
        <v>30.0</v>
      </c>
      <c r="E743" s="24" t="str">
        <f>IMAGE("https://www.serebii.net/itemdex/sprites/sitrusberry.png")</f>
        <v/>
      </c>
      <c r="F743" s="24" t="s">
        <v>44</v>
      </c>
      <c r="G743" s="17" t="s">
        <v>824</v>
      </c>
      <c r="H743" s="20" t="s">
        <v>1116</v>
      </c>
      <c r="I743" s="24" t="s">
        <v>550</v>
      </c>
      <c r="J743" s="24">
        <v>0.0</v>
      </c>
      <c r="K743" s="24">
        <v>84.0</v>
      </c>
      <c r="L743" s="24">
        <v>0.0</v>
      </c>
      <c r="M743" s="24">
        <v>20.0</v>
      </c>
      <c r="N743" s="24">
        <v>0.0</v>
      </c>
      <c r="O743" s="24">
        <v>84.0</v>
      </c>
      <c r="P743" s="24">
        <v>0.0</v>
      </c>
      <c r="Q743" s="24">
        <v>17.0</v>
      </c>
      <c r="R743" s="24">
        <v>0.0</v>
      </c>
      <c r="S743" s="24">
        <v>17.0</v>
      </c>
      <c r="T743" s="24">
        <v>0.0</v>
      </c>
      <c r="U743" s="24">
        <v>17.0</v>
      </c>
    </row>
    <row r="744" ht="23.25" customHeight="1">
      <c r="A744" s="1"/>
      <c r="B744" s="15" t="s">
        <v>1117</v>
      </c>
      <c r="C744" s="1" t="s">
        <v>17</v>
      </c>
      <c r="D744" s="1" t="s">
        <v>1118</v>
      </c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ht="23.25" customHeight="1">
      <c r="A745" s="20" t="str">
        <f>IF(COUNTIF('Icon Lookup'!C:C,B745)&gt;0,LOOKUP(B745,'Icon Lookup'!C:C,'Icon Lookup'!B:B),"")</f>
        <v/>
      </c>
      <c r="B745" s="21" t="s">
        <v>165</v>
      </c>
      <c r="C745" s="20"/>
      <c r="D745" s="20">
        <v>27.0</v>
      </c>
      <c r="E745" s="20" t="str">
        <f>IMAGE("https://www.serebii.net/itemdex/sprites/lightclay.png")</f>
        <v/>
      </c>
      <c r="F745" s="20" t="s">
        <v>166</v>
      </c>
      <c r="G745" s="20" t="s">
        <v>885</v>
      </c>
      <c r="H745" s="23" t="s">
        <v>1119</v>
      </c>
      <c r="I745" s="20" t="s">
        <v>46</v>
      </c>
      <c r="J745" s="20">
        <v>36.0</v>
      </c>
      <c r="K745" s="20">
        <v>52.0</v>
      </c>
      <c r="L745" s="20">
        <v>0.0</v>
      </c>
      <c r="M745" s="20">
        <v>0.0</v>
      </c>
      <c r="N745" s="20">
        <v>0.0</v>
      </c>
      <c r="O745" s="20">
        <v>36.0</v>
      </c>
      <c r="P745" s="20">
        <v>15.0</v>
      </c>
      <c r="Q745" s="20">
        <v>15.0</v>
      </c>
      <c r="R745" s="20">
        <v>0.0</v>
      </c>
      <c r="S745" s="20">
        <v>0.0</v>
      </c>
      <c r="T745" s="20">
        <v>0.0</v>
      </c>
      <c r="U745" s="20">
        <v>15.0</v>
      </c>
    </row>
    <row r="746" ht="23.25" customHeight="1">
      <c r="A746" s="17" t="str">
        <f>IF(COUNTIF('Icon Lookup'!C:C,B746)&gt;0,LOOKUP(B746,'Icon Lookup'!C:C,'Icon Lookup'!B:B),"")</f>
        <v/>
      </c>
      <c r="B746" s="18" t="s">
        <v>275</v>
      </c>
      <c r="C746" s="17"/>
      <c r="D746" s="17">
        <v>27.0</v>
      </c>
      <c r="E746" s="17" t="str">
        <f>IMAGE("https://www.serebii.net/itemdex/sprites/expertbelt.png")</f>
        <v/>
      </c>
      <c r="F746" s="17" t="s">
        <v>276</v>
      </c>
      <c r="G746" s="17" t="s">
        <v>907</v>
      </c>
      <c r="H746" s="20" t="s">
        <v>1120</v>
      </c>
      <c r="I746" s="17" t="s">
        <v>550</v>
      </c>
      <c r="J746" s="17">
        <v>36.0</v>
      </c>
      <c r="K746" s="17">
        <v>52.0</v>
      </c>
      <c r="L746" s="17">
        <v>0.0</v>
      </c>
      <c r="M746" s="17">
        <v>0.0</v>
      </c>
      <c r="N746" s="17">
        <v>0.0</v>
      </c>
      <c r="O746" s="17">
        <v>36.0</v>
      </c>
      <c r="P746" s="17">
        <v>15.0</v>
      </c>
      <c r="Q746" s="17">
        <v>15.0</v>
      </c>
      <c r="R746" s="17">
        <v>0.0</v>
      </c>
      <c r="S746" s="17">
        <v>0.0</v>
      </c>
      <c r="T746" s="17">
        <v>0.0</v>
      </c>
      <c r="U746" s="17">
        <v>15.0</v>
      </c>
    </row>
    <row r="747" ht="23.25" customHeight="1">
      <c r="A747" s="24" t="str">
        <f>IF(COUNTIF('Icon Lookup'!C:C,B747)&gt;0,LOOKUP(B747,'Icon Lookup'!C:C,'Icon Lookup'!B:B),"")</f>
        <v/>
      </c>
      <c r="B747" s="25" t="s">
        <v>910</v>
      </c>
      <c r="C747" s="24" t="s">
        <v>804</v>
      </c>
      <c r="D747" s="24">
        <v>30.0</v>
      </c>
      <c r="E747" s="24" t="str">
        <f>IMAGE("https://www.serebii.net/itemdex/sprites/bigroot.png")</f>
        <v/>
      </c>
      <c r="F747" s="24" t="s">
        <v>1121</v>
      </c>
      <c r="G747" s="20" t="s">
        <v>1122</v>
      </c>
      <c r="H747" s="23" t="s">
        <v>1123</v>
      </c>
      <c r="I747" s="24" t="s">
        <v>550</v>
      </c>
      <c r="J747" s="24">
        <v>0.0</v>
      </c>
      <c r="K747" s="24">
        <v>68.0</v>
      </c>
      <c r="L747" s="24">
        <v>68.0</v>
      </c>
      <c r="M747" s="24">
        <v>0.0</v>
      </c>
      <c r="N747" s="24">
        <v>0.0</v>
      </c>
      <c r="O747" s="24">
        <v>68.0</v>
      </c>
      <c r="P747" s="24">
        <v>0.0</v>
      </c>
      <c r="Q747" s="24">
        <v>15.0</v>
      </c>
      <c r="R747" s="24">
        <v>15.0</v>
      </c>
      <c r="S747" s="24">
        <v>0.0</v>
      </c>
      <c r="T747" s="24">
        <v>0.0</v>
      </c>
      <c r="U747" s="24">
        <v>15.0</v>
      </c>
    </row>
    <row r="748" ht="23.25" customHeight="1">
      <c r="A748" s="1"/>
      <c r="B748" s="15" t="s">
        <v>1124</v>
      </c>
      <c r="C748" s="1" t="s">
        <v>17</v>
      </c>
      <c r="D748" s="1" t="s">
        <v>1125</v>
      </c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ht="23.25" customHeight="1">
      <c r="A749" s="17" t="str">
        <f>IF(COUNTIF('Icon Lookup'!C:C,B749)&gt;0,LOOKUP(B749,'Icon Lookup'!C:C,'Icon Lookup'!B:B),"")</f>
        <v/>
      </c>
      <c r="B749" s="18" t="s">
        <v>875</v>
      </c>
      <c r="C749" s="17"/>
      <c r="D749" s="17">
        <v>32.0</v>
      </c>
      <c r="E749" s="17" t="str">
        <f>IMAGE("https://www.serebii.net/itemdex/sprites/zoomlens.png")</f>
        <v/>
      </c>
      <c r="F749" s="17" t="s">
        <v>1126</v>
      </c>
      <c r="G749" s="17" t="s">
        <v>1127</v>
      </c>
      <c r="H749" s="20" t="s">
        <v>1128</v>
      </c>
      <c r="I749" s="17" t="s">
        <v>52</v>
      </c>
      <c r="J749" s="17">
        <v>52.0</v>
      </c>
      <c r="K749" s="17">
        <v>0.0</v>
      </c>
      <c r="L749" s="17">
        <v>4.0</v>
      </c>
      <c r="M749" s="17">
        <v>68.0</v>
      </c>
      <c r="N749" s="17">
        <v>4.0</v>
      </c>
      <c r="O749" s="17">
        <v>52.0</v>
      </c>
      <c r="P749" s="17">
        <v>19.0</v>
      </c>
      <c r="Q749" s="17">
        <v>0.0</v>
      </c>
      <c r="R749" s="17">
        <v>5.0</v>
      </c>
      <c r="S749" s="17">
        <v>19.0</v>
      </c>
      <c r="T749" s="17">
        <v>5.0</v>
      </c>
      <c r="U749" s="17">
        <v>19.0</v>
      </c>
    </row>
    <row r="750" ht="23.25" customHeight="1">
      <c r="A750" s="20" t="str">
        <f>IF(COUNTIF('Icon Lookup'!C:C,B750)&gt;0,LOOKUP(B750,'Icon Lookup'!C:C,'Icon Lookup'!B:B),"")</f>
        <v/>
      </c>
      <c r="B750" s="21" t="s">
        <v>767</v>
      </c>
      <c r="C750" s="20"/>
      <c r="D750" s="20">
        <v>34.0</v>
      </c>
      <c r="E750" s="20" t="str">
        <f>IMAGE("https://www.serebii.net/itemdex/sprites/colburberry.png")</f>
        <v/>
      </c>
      <c r="F750" s="20" t="s">
        <v>768</v>
      </c>
      <c r="G750" s="20" t="s">
        <v>1129</v>
      </c>
      <c r="H750" s="23" t="s">
        <v>1130</v>
      </c>
      <c r="I750" s="20" t="s">
        <v>52</v>
      </c>
      <c r="J750" s="20">
        <v>52.0</v>
      </c>
      <c r="K750" s="20">
        <v>0.0</v>
      </c>
      <c r="L750" s="20">
        <v>4.0</v>
      </c>
      <c r="M750" s="20">
        <v>76.0</v>
      </c>
      <c r="N750" s="20">
        <v>4.0</v>
      </c>
      <c r="O750" s="20">
        <v>68.0</v>
      </c>
      <c r="P750" s="20">
        <v>19.0</v>
      </c>
      <c r="Q750" s="20">
        <v>0.0</v>
      </c>
      <c r="R750" s="20">
        <v>5.0</v>
      </c>
      <c r="S750" s="20">
        <v>19.0</v>
      </c>
      <c r="T750" s="20">
        <v>5.0</v>
      </c>
      <c r="U750" s="20">
        <v>19.0</v>
      </c>
    </row>
    <row r="751" ht="23.25" customHeight="1">
      <c r="A751" s="24" t="str">
        <f>IF(COUNTIF('Icon Lookup'!C:C,B751)&gt;0,LOOKUP(B751,'Icon Lookup'!C:C,'Icon Lookup'!B:B),"")</f>
        <v/>
      </c>
      <c r="B751" s="25" t="s">
        <v>1131</v>
      </c>
      <c r="C751" s="24" t="s">
        <v>804</v>
      </c>
      <c r="D751" s="24">
        <v>36.0</v>
      </c>
      <c r="E751" s="24" t="str">
        <f>IMAGE("https://www.serebii.net/itemdex/sprites/expertbelt.png")</f>
        <v/>
      </c>
      <c r="F751" s="24" t="s">
        <v>161</v>
      </c>
      <c r="G751" s="17" t="s">
        <v>907</v>
      </c>
      <c r="H751" s="20" t="s">
        <v>1132</v>
      </c>
      <c r="I751" s="24" t="s">
        <v>52</v>
      </c>
      <c r="J751" s="24">
        <v>44.0</v>
      </c>
      <c r="K751" s="24">
        <v>0.0</v>
      </c>
      <c r="L751" s="24">
        <v>4.0</v>
      </c>
      <c r="M751" s="24">
        <v>92.0</v>
      </c>
      <c r="N751" s="24">
        <v>4.0</v>
      </c>
      <c r="O751" s="24">
        <v>68.0</v>
      </c>
      <c r="P751" s="24">
        <v>19.0</v>
      </c>
      <c r="Q751" s="24">
        <v>0.0</v>
      </c>
      <c r="R751" s="24">
        <v>5.0</v>
      </c>
      <c r="S751" s="24">
        <v>19.0</v>
      </c>
      <c r="T751" s="24">
        <v>5.0</v>
      </c>
      <c r="U751" s="24">
        <v>19.0</v>
      </c>
    </row>
    <row r="752" ht="23.25" customHeight="1">
      <c r="A752" s="1"/>
      <c r="B752" s="15" t="s">
        <v>1133</v>
      </c>
      <c r="C752" s="1" t="s">
        <v>17</v>
      </c>
      <c r="D752" s="1" t="s">
        <v>1134</v>
      </c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ht="23.25" customHeight="1">
      <c r="A753" s="20" t="str">
        <f>IF(COUNTIF('Icon Lookup'!C:C,B753)&gt;0,LOOKUP(B753,'Icon Lookup'!C:C,'Icon Lookup'!B:B),"")</f>
        <v/>
      </c>
      <c r="B753" s="21" t="s">
        <v>494</v>
      </c>
      <c r="C753" s="20"/>
      <c r="D753" s="20">
        <v>38.0</v>
      </c>
      <c r="E753" s="20" t="str">
        <f>IMAGE("https://www.serebii.net/itemdex/sprites/icyrock.png")</f>
        <v/>
      </c>
      <c r="F753" s="20" t="s">
        <v>495</v>
      </c>
      <c r="G753" s="20" t="s">
        <v>1135</v>
      </c>
      <c r="H753" s="23" t="s">
        <v>1136</v>
      </c>
      <c r="I753" s="20" t="s">
        <v>89</v>
      </c>
      <c r="J753" s="20">
        <v>60.0</v>
      </c>
      <c r="K753" s="20">
        <v>124.0</v>
      </c>
      <c r="L753" s="20">
        <v>0.0</v>
      </c>
      <c r="M753" s="20">
        <v>124.0</v>
      </c>
      <c r="N753" s="20">
        <v>0.0</v>
      </c>
      <c r="O753" s="20">
        <v>0.0</v>
      </c>
      <c r="P753" s="20">
        <v>19.0</v>
      </c>
      <c r="Q753" s="20">
        <v>25.0</v>
      </c>
      <c r="R753" s="20">
        <v>0.0</v>
      </c>
      <c r="S753" s="20">
        <v>25.0</v>
      </c>
      <c r="T753" s="20">
        <v>0.0</v>
      </c>
      <c r="U753" s="20">
        <v>0.0</v>
      </c>
    </row>
    <row r="754" ht="23.25" customHeight="1">
      <c r="A754" s="17" t="str">
        <f>IF(COUNTIF('Icon Lookup'!C:C,B754)&gt;0,LOOKUP(B754,'Icon Lookup'!C:C,'Icon Lookup'!B:B),"")</f>
        <v/>
      </c>
      <c r="B754" s="18" t="s">
        <v>478</v>
      </c>
      <c r="C754" s="17"/>
      <c r="D754" s="17">
        <v>38.0</v>
      </c>
      <c r="E754" s="17" t="str">
        <f>IMAGE("https://www.serebii.net/itemdex/sprites/chopleberry.png")</f>
        <v/>
      </c>
      <c r="F754" s="17" t="s">
        <v>1137</v>
      </c>
      <c r="G754" s="17" t="s">
        <v>1138</v>
      </c>
      <c r="H754" s="20" t="s">
        <v>1139</v>
      </c>
      <c r="I754" s="17" t="s">
        <v>22</v>
      </c>
      <c r="J754" s="17">
        <v>64.0</v>
      </c>
      <c r="K754" s="17">
        <v>124.0</v>
      </c>
      <c r="L754" s="17">
        <v>0.0</v>
      </c>
      <c r="M754" s="17">
        <v>0.0</v>
      </c>
      <c r="N754" s="17">
        <v>0.0</v>
      </c>
      <c r="O754" s="17">
        <v>124.0</v>
      </c>
      <c r="P754" s="17">
        <v>10.0</v>
      </c>
      <c r="Q754" s="17">
        <v>25.0</v>
      </c>
      <c r="R754" s="17">
        <v>10.0</v>
      </c>
      <c r="S754" s="17">
        <v>0.0</v>
      </c>
      <c r="T754" s="17">
        <v>0.0</v>
      </c>
      <c r="U754" s="17">
        <v>25.0</v>
      </c>
    </row>
    <row r="755" ht="23.25" customHeight="1">
      <c r="A755" s="20" t="str">
        <f>IF(COUNTIF('Icon Lookup'!C:C,B755)&gt;0,LOOKUP(B755,'Icon Lookup'!C:C,'Icon Lookup'!B:B),"")</f>
        <v/>
      </c>
      <c r="B755" s="21" t="s">
        <v>582</v>
      </c>
      <c r="C755" s="20"/>
      <c r="D755" s="20">
        <v>40.0</v>
      </c>
      <c r="E755" s="20" t="str">
        <f>IMAGE("https://www.serebii.net/itemdex/sprites/expertbelt.png")</f>
        <v/>
      </c>
      <c r="F755" s="20" t="s">
        <v>166</v>
      </c>
      <c r="G755" s="20" t="s">
        <v>907</v>
      </c>
      <c r="H755" s="23" t="s">
        <v>1140</v>
      </c>
      <c r="I755" s="20" t="s">
        <v>22</v>
      </c>
      <c r="J755" s="20">
        <v>64.0</v>
      </c>
      <c r="K755" s="20">
        <v>124.0</v>
      </c>
      <c r="L755" s="20">
        <v>0.0</v>
      </c>
      <c r="M755" s="20">
        <v>0.0</v>
      </c>
      <c r="N755" s="20">
        <v>0.0</v>
      </c>
      <c r="O755" s="20">
        <v>124.0</v>
      </c>
      <c r="P755" s="20">
        <v>10.0</v>
      </c>
      <c r="Q755" s="20">
        <v>25.0</v>
      </c>
      <c r="R755" s="20">
        <v>0.0</v>
      </c>
      <c r="S755" s="20">
        <v>0.0</v>
      </c>
      <c r="T755" s="20">
        <v>0.0</v>
      </c>
      <c r="U755" s="20">
        <v>25.0</v>
      </c>
    </row>
    <row r="756" ht="23.25" customHeight="1">
      <c r="A756" s="24" t="str">
        <f>IF(COUNTIF('Icon Lookup'!C:C,B756)&gt;0,LOOKUP(B756,'Icon Lookup'!C:C,'Icon Lookup'!B:B),"")</f>
        <v/>
      </c>
      <c r="B756" s="25" t="s">
        <v>1141</v>
      </c>
      <c r="C756" s="24" t="s">
        <v>804</v>
      </c>
      <c r="D756" s="24">
        <v>42.0</v>
      </c>
      <c r="E756" s="24" t="str">
        <f>IMAGE("https://www.serebii.net/itemdex/sprites/sitrusberry.png")</f>
        <v/>
      </c>
      <c r="F756" s="24" t="s">
        <v>495</v>
      </c>
      <c r="G756" s="17" t="s">
        <v>824</v>
      </c>
      <c r="H756" s="20" t="s">
        <v>1142</v>
      </c>
      <c r="I756" s="24" t="s">
        <v>905</v>
      </c>
      <c r="J756" s="24">
        <v>124.0</v>
      </c>
      <c r="K756" s="24">
        <v>60.0</v>
      </c>
      <c r="L756" s="24">
        <v>0.0</v>
      </c>
      <c r="M756" s="24">
        <v>164.0</v>
      </c>
      <c r="N756" s="24">
        <v>0.0</v>
      </c>
      <c r="O756" s="24">
        <v>0.0</v>
      </c>
      <c r="P756" s="24">
        <v>13.0</v>
      </c>
      <c r="Q756" s="24">
        <v>25.0</v>
      </c>
      <c r="R756" s="24">
        <v>10.0</v>
      </c>
      <c r="S756" s="24">
        <v>27.0</v>
      </c>
      <c r="T756" s="24">
        <v>10.0</v>
      </c>
      <c r="U756" s="24">
        <v>0.0</v>
      </c>
    </row>
    <row r="757" ht="23.25" customHeight="1">
      <c r="A757" s="1"/>
      <c r="B757" s="15" t="s">
        <v>1143</v>
      </c>
      <c r="C757" s="1" t="s">
        <v>17</v>
      </c>
      <c r="D757" s="1" t="s">
        <v>1144</v>
      </c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ht="23.25" customHeight="1">
      <c r="A758" s="20" t="str">
        <f>IF(COUNTIF('Icon Lookup'!C:C,B758)&gt;0,LOOKUP(B758,'Icon Lookup'!C:C,'Icon Lookup'!B:B),"")</f>
        <v/>
      </c>
      <c r="B758" s="21" t="s">
        <v>311</v>
      </c>
      <c r="C758" s="20"/>
      <c r="D758" s="20">
        <v>46.0</v>
      </c>
      <c r="E758" s="20" t="str">
        <f>IMAGE("https://www.serebii.net/itemdex/sprites/shucaberry.png")</f>
        <v/>
      </c>
      <c r="F758" s="20" t="s">
        <v>137</v>
      </c>
      <c r="G758" s="20" t="s">
        <v>1145</v>
      </c>
      <c r="H758" s="23" t="s">
        <v>1146</v>
      </c>
      <c r="I758" s="20" t="s">
        <v>52</v>
      </c>
      <c r="J758" s="20">
        <v>12.0</v>
      </c>
      <c r="K758" s="20">
        <v>0.0</v>
      </c>
      <c r="L758" s="20">
        <v>12.0</v>
      </c>
      <c r="M758" s="20">
        <v>160.0</v>
      </c>
      <c r="N758" s="20">
        <v>12.0</v>
      </c>
      <c r="O758" s="20">
        <v>160.0</v>
      </c>
      <c r="P758" s="20">
        <v>11.0</v>
      </c>
      <c r="Q758" s="20">
        <v>0.0</v>
      </c>
      <c r="R758" s="20">
        <v>11.0</v>
      </c>
      <c r="S758" s="20">
        <v>28.0</v>
      </c>
      <c r="T758" s="20">
        <v>11.0</v>
      </c>
      <c r="U758" s="20">
        <v>28.0</v>
      </c>
    </row>
    <row r="759" ht="23.25" customHeight="1">
      <c r="A759" s="17" t="str">
        <f>IF(COUNTIF('Icon Lookup'!C:C,B759)&gt;0,LOOKUP(B759,'Icon Lookup'!C:C,'Icon Lookup'!B:B),"")</f>
        <v/>
      </c>
      <c r="B759" s="18" t="s">
        <v>471</v>
      </c>
      <c r="C759" s="17"/>
      <c r="D759" s="17">
        <v>47.0</v>
      </c>
      <c r="E759" s="17" t="str">
        <f>IMAGE("https://www.serebii.net/itemdex/sprites/chopleberry.png")</f>
        <v/>
      </c>
      <c r="F759" s="17" t="s">
        <v>1109</v>
      </c>
      <c r="G759" s="17" t="s">
        <v>1138</v>
      </c>
      <c r="H759" s="20" t="s">
        <v>1147</v>
      </c>
      <c r="I759" s="17" t="s">
        <v>46</v>
      </c>
      <c r="J759" s="17">
        <v>12.0</v>
      </c>
      <c r="K759" s="17">
        <v>80.0</v>
      </c>
      <c r="L759" s="17">
        <v>12.0</v>
      </c>
      <c r="M759" s="17">
        <v>80.0</v>
      </c>
      <c r="N759" s="17">
        <v>12.0</v>
      </c>
      <c r="O759" s="17">
        <v>160.0</v>
      </c>
      <c r="P759" s="17">
        <v>11.0</v>
      </c>
      <c r="Q759" s="17">
        <v>20.0</v>
      </c>
      <c r="R759" s="17">
        <v>11.0</v>
      </c>
      <c r="S759" s="17">
        <v>20.0</v>
      </c>
      <c r="T759" s="17">
        <v>11.0</v>
      </c>
      <c r="U759" s="17">
        <v>28.0</v>
      </c>
    </row>
    <row r="760" ht="23.25" customHeight="1">
      <c r="A760" s="20" t="str">
        <f>IF(COUNTIF('Icon Lookup'!C:C,B760)&gt;0,LOOKUP(B760,'Icon Lookup'!C:C,'Icon Lookup'!B:B),"")</f>
        <v/>
      </c>
      <c r="B760" s="21" t="s">
        <v>1148</v>
      </c>
      <c r="C760" s="20"/>
      <c r="D760" s="20">
        <v>47.0</v>
      </c>
      <c r="E760" s="20" t="str">
        <f>IMAGE("https://www.serebii.net/itemdex/sprites/expertbelt.png")</f>
        <v/>
      </c>
      <c r="F760" s="20" t="s">
        <v>557</v>
      </c>
      <c r="G760" s="20" t="s">
        <v>907</v>
      </c>
      <c r="H760" s="23" t="s">
        <v>1149</v>
      </c>
      <c r="I760" s="20" t="s">
        <v>612</v>
      </c>
      <c r="J760" s="20">
        <v>12.0</v>
      </c>
      <c r="K760" s="20">
        <v>0.0</v>
      </c>
      <c r="L760" s="20">
        <v>12.0</v>
      </c>
      <c r="M760" s="20">
        <v>160.0</v>
      </c>
      <c r="N760" s="20">
        <v>12.0</v>
      </c>
      <c r="O760" s="20">
        <v>160.0</v>
      </c>
      <c r="P760" s="20">
        <v>11.0</v>
      </c>
      <c r="Q760" s="20">
        <v>0.0</v>
      </c>
      <c r="R760" s="20">
        <v>11.0</v>
      </c>
      <c r="S760" s="20">
        <v>28.0</v>
      </c>
      <c r="T760" s="20">
        <v>11.0</v>
      </c>
      <c r="U760" s="20">
        <v>28.0</v>
      </c>
    </row>
    <row r="761" ht="23.25" customHeight="1">
      <c r="A761" s="24" t="str">
        <f>IF(COUNTIF('Icon Lookup'!C:C,B761)&gt;0,LOOKUP(B761,'Icon Lookup'!C:C,'Icon Lookup'!B:B),"")</f>
        <v/>
      </c>
      <c r="B761" s="25" t="s">
        <v>1150</v>
      </c>
      <c r="C761" s="24" t="s">
        <v>804</v>
      </c>
      <c r="D761" s="24">
        <v>49.0</v>
      </c>
      <c r="E761" s="24" t="str">
        <f>IMAGE("https://www.serebii.net/itemdex/sprites/sitrusberry.png")</f>
        <v/>
      </c>
      <c r="F761" s="24" t="s">
        <v>26</v>
      </c>
      <c r="G761" s="17" t="s">
        <v>824</v>
      </c>
      <c r="H761" s="20" t="s">
        <v>1151</v>
      </c>
      <c r="I761" s="24" t="s">
        <v>22</v>
      </c>
      <c r="J761" s="24">
        <v>28.0</v>
      </c>
      <c r="K761" s="24">
        <v>160.0</v>
      </c>
      <c r="L761" s="24">
        <v>28.0</v>
      </c>
      <c r="M761" s="24">
        <v>0.0</v>
      </c>
      <c r="N761" s="24">
        <v>0.0</v>
      </c>
      <c r="O761" s="24">
        <v>200.0</v>
      </c>
      <c r="P761" s="24">
        <v>15.0</v>
      </c>
      <c r="Q761" s="24">
        <v>28.0</v>
      </c>
      <c r="R761" s="24">
        <v>15.0</v>
      </c>
      <c r="S761" s="24">
        <v>0.0</v>
      </c>
      <c r="T761" s="24">
        <v>0.0</v>
      </c>
      <c r="U761" s="24">
        <v>30.0</v>
      </c>
    </row>
    <row r="762" ht="23.25" customHeight="1">
      <c r="A762" s="1"/>
      <c r="B762" s="15" t="s">
        <v>1152</v>
      </c>
      <c r="C762" s="1" t="s">
        <v>17</v>
      </c>
      <c r="D762" s="1" t="s">
        <v>1153</v>
      </c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ht="23.25" customHeight="1">
      <c r="A763" s="20" t="str">
        <f>IF(COUNTIF('Icon Lookup'!C:C,B763)&gt;0,LOOKUP(B763,'Icon Lookup'!C:C,'Icon Lookup'!B:B),"")</f>
        <v/>
      </c>
      <c r="B763" s="21" t="s">
        <v>19</v>
      </c>
      <c r="C763" s="20"/>
      <c r="D763" s="20">
        <v>5.0</v>
      </c>
      <c r="E763" s="20" t="s">
        <v>20</v>
      </c>
      <c r="G763" s="22"/>
      <c r="H763" s="23" t="s">
        <v>21</v>
      </c>
      <c r="I763" s="20" t="s">
        <v>22</v>
      </c>
      <c r="J763" s="20">
        <v>0.0</v>
      </c>
      <c r="K763" s="20">
        <v>0.0</v>
      </c>
      <c r="L763" s="20">
        <v>0.0</v>
      </c>
      <c r="M763" s="20">
        <v>0.0</v>
      </c>
      <c r="N763" s="20">
        <v>0.0</v>
      </c>
      <c r="O763" s="20">
        <v>0.0</v>
      </c>
      <c r="P763" s="20">
        <v>0.0</v>
      </c>
      <c r="Q763" s="20">
        <v>0.0</v>
      </c>
      <c r="R763" s="20">
        <v>0.0</v>
      </c>
      <c r="S763" s="20">
        <v>0.0</v>
      </c>
      <c r="T763" s="20">
        <v>0.0</v>
      </c>
      <c r="U763" s="20">
        <v>0.0</v>
      </c>
    </row>
    <row r="764" ht="23.25" customHeight="1">
      <c r="A764" s="17" t="str">
        <f>IF(COUNTIF('Icon Lookup'!C:C,B764)&gt;0,LOOKUP(B764,'Icon Lookup'!C:C,'Icon Lookup'!B:B),"")</f>
        <v/>
      </c>
      <c r="B764" s="18" t="s">
        <v>30</v>
      </c>
      <c r="C764" s="17"/>
      <c r="D764" s="17">
        <v>5.0</v>
      </c>
      <c r="E764" s="17" t="s">
        <v>31</v>
      </c>
      <c r="G764" s="19"/>
      <c r="H764" s="20" t="s">
        <v>35</v>
      </c>
      <c r="I764" s="17" t="s">
        <v>22</v>
      </c>
      <c r="J764" s="17">
        <v>0.0</v>
      </c>
      <c r="K764" s="17">
        <v>0.0</v>
      </c>
      <c r="L764" s="17">
        <v>0.0</v>
      </c>
      <c r="M764" s="17">
        <v>0.0</v>
      </c>
      <c r="N764" s="17">
        <v>0.0</v>
      </c>
      <c r="O764" s="17">
        <v>0.0</v>
      </c>
      <c r="P764" s="17">
        <v>0.0</v>
      </c>
      <c r="Q764" s="17">
        <v>0.0</v>
      </c>
      <c r="R764" s="17">
        <v>0.0</v>
      </c>
      <c r="S764" s="17">
        <v>0.0</v>
      </c>
      <c r="T764" s="17">
        <v>0.0</v>
      </c>
      <c r="U764" s="17">
        <v>0.0</v>
      </c>
    </row>
    <row r="765" ht="23.25" customHeight="1">
      <c r="A765" s="1"/>
      <c r="B765" s="15" t="s">
        <v>1154</v>
      </c>
      <c r="C765" s="1" t="s">
        <v>17</v>
      </c>
      <c r="D765" s="1" t="s">
        <v>1155</v>
      </c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ht="23.25" customHeight="1">
      <c r="A766" s="20" t="str">
        <f>IF(COUNTIF('Icon Lookup'!C:C,B766)&gt;0,LOOKUP(B766,'Icon Lookup'!C:C,'Icon Lookup'!B:B),"")</f>
        <v/>
      </c>
      <c r="B766" s="21" t="s">
        <v>30</v>
      </c>
      <c r="C766" s="20"/>
      <c r="D766" s="20">
        <v>4.0</v>
      </c>
      <c r="E766" s="20" t="s">
        <v>31</v>
      </c>
      <c r="G766" s="22"/>
      <c r="H766" s="23" t="s">
        <v>32</v>
      </c>
      <c r="I766" s="20" t="s">
        <v>22</v>
      </c>
      <c r="J766" s="20">
        <v>0.0</v>
      </c>
      <c r="K766" s="20">
        <v>0.0</v>
      </c>
      <c r="L766" s="20">
        <v>0.0</v>
      </c>
      <c r="M766" s="20">
        <v>0.0</v>
      </c>
      <c r="N766" s="20">
        <v>0.0</v>
      </c>
      <c r="O766" s="20">
        <v>0.0</v>
      </c>
      <c r="P766" s="20">
        <v>0.0</v>
      </c>
      <c r="Q766" s="20">
        <v>0.0</v>
      </c>
      <c r="R766" s="20">
        <v>0.0</v>
      </c>
      <c r="S766" s="20">
        <v>0.0</v>
      </c>
      <c r="T766" s="20">
        <v>0.0</v>
      </c>
      <c r="U766" s="20">
        <v>0.0</v>
      </c>
    </row>
    <row r="767" ht="23.25" customHeight="1">
      <c r="A767" s="17" t="str">
        <f>IF(COUNTIF('Icon Lookup'!C:C,B767)&gt;0,LOOKUP(B767,'Icon Lookup'!C:C,'Icon Lookup'!B:B),"")</f>
        <v/>
      </c>
      <c r="B767" s="18" t="s">
        <v>49</v>
      </c>
      <c r="C767" s="17"/>
      <c r="D767" s="17">
        <v>4.0</v>
      </c>
      <c r="E767" s="17" t="s">
        <v>959</v>
      </c>
      <c r="G767" s="19"/>
      <c r="H767" s="20" t="s">
        <v>51</v>
      </c>
      <c r="I767" s="17" t="s">
        <v>52</v>
      </c>
      <c r="J767" s="17">
        <v>0.0</v>
      </c>
      <c r="K767" s="17">
        <v>0.0</v>
      </c>
      <c r="L767" s="17">
        <v>0.0</v>
      </c>
      <c r="M767" s="17">
        <v>0.0</v>
      </c>
      <c r="N767" s="17">
        <v>0.0</v>
      </c>
      <c r="O767" s="17">
        <v>0.0</v>
      </c>
      <c r="P767" s="17">
        <v>0.0</v>
      </c>
      <c r="Q767" s="17">
        <v>0.0</v>
      </c>
      <c r="R767" s="17">
        <v>0.0</v>
      </c>
      <c r="S767" s="17">
        <v>0.0</v>
      </c>
      <c r="T767" s="17">
        <v>0.0</v>
      </c>
      <c r="U767" s="17">
        <v>0.0</v>
      </c>
    </row>
    <row r="768" ht="23.25" customHeight="1">
      <c r="A768" s="20" t="str">
        <f>IF(COUNTIF('Icon Lookup'!C:C,B768)&gt;0,LOOKUP(B768,'Icon Lookup'!C:C,'Icon Lookup'!B:B),"")</f>
        <v/>
      </c>
      <c r="B768" s="21" t="s">
        <v>19</v>
      </c>
      <c r="C768" s="20"/>
      <c r="D768" s="20">
        <v>4.0</v>
      </c>
      <c r="E768" s="20" t="s">
        <v>20</v>
      </c>
      <c r="G768" s="22"/>
      <c r="H768" s="23" t="s">
        <v>32</v>
      </c>
      <c r="I768" s="20" t="s">
        <v>22</v>
      </c>
      <c r="J768" s="20">
        <v>0.0</v>
      </c>
      <c r="K768" s="20">
        <v>0.0</v>
      </c>
      <c r="L768" s="20">
        <v>0.0</v>
      </c>
      <c r="M768" s="20">
        <v>0.0</v>
      </c>
      <c r="N768" s="20">
        <v>0.0</v>
      </c>
      <c r="O768" s="20">
        <v>0.0</v>
      </c>
      <c r="P768" s="20">
        <v>0.0</v>
      </c>
      <c r="Q768" s="20">
        <v>0.0</v>
      </c>
      <c r="R768" s="20">
        <v>0.0</v>
      </c>
      <c r="S768" s="20">
        <v>0.0</v>
      </c>
      <c r="T768" s="20">
        <v>0.0</v>
      </c>
      <c r="U768" s="20">
        <v>0.0</v>
      </c>
    </row>
    <row r="769" ht="23.25" customHeight="1">
      <c r="A769" s="1"/>
      <c r="B769" s="15" t="s">
        <v>1156</v>
      </c>
      <c r="C769" s="1" t="s">
        <v>17</v>
      </c>
      <c r="D769" s="1" t="s">
        <v>1157</v>
      </c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ht="23.25" customHeight="1">
      <c r="A770" s="17" t="str">
        <f>IF(COUNTIF('Icon Lookup'!C:C,B770)&gt;0,LOOKUP(B770,'Icon Lookup'!C:C,'Icon Lookup'!B:B),"")</f>
        <v/>
      </c>
      <c r="B770" s="18" t="s">
        <v>65</v>
      </c>
      <c r="C770" s="17"/>
      <c r="D770" s="17">
        <v>15.0</v>
      </c>
      <c r="E770" s="17" t="s">
        <v>66</v>
      </c>
      <c r="G770" s="19"/>
      <c r="H770" s="20" t="s">
        <v>1158</v>
      </c>
      <c r="I770" s="17" t="s">
        <v>211</v>
      </c>
      <c r="J770" s="17">
        <v>0.0</v>
      </c>
      <c r="K770" s="17">
        <v>0.0</v>
      </c>
      <c r="L770" s="17">
        <v>0.0</v>
      </c>
      <c r="M770" s="17">
        <v>0.0</v>
      </c>
      <c r="N770" s="17">
        <v>0.0</v>
      </c>
      <c r="O770" s="17">
        <v>0.0</v>
      </c>
      <c r="P770" s="17">
        <v>0.0</v>
      </c>
      <c r="Q770" s="17">
        <v>0.0</v>
      </c>
      <c r="R770" s="17">
        <v>0.0</v>
      </c>
      <c r="S770" s="17">
        <v>0.0</v>
      </c>
      <c r="T770" s="17">
        <v>0.0</v>
      </c>
      <c r="U770" s="17">
        <v>0.0</v>
      </c>
    </row>
    <row r="771" ht="23.25" customHeight="1">
      <c r="A771" s="20" t="str">
        <f>IF(COUNTIF('Icon Lookup'!C:C,B771)&gt;0,LOOKUP(B771,'Icon Lookup'!C:C,'Icon Lookup'!B:B),"")</f>
        <v/>
      </c>
      <c r="B771" s="21" t="s">
        <v>198</v>
      </c>
      <c r="C771" s="20"/>
      <c r="D771" s="20">
        <v>15.0</v>
      </c>
      <c r="E771" s="20" t="s">
        <v>1159</v>
      </c>
      <c r="G771" s="22"/>
      <c r="H771" s="23" t="s">
        <v>1160</v>
      </c>
      <c r="I771" s="20" t="s">
        <v>52</v>
      </c>
      <c r="J771" s="20">
        <v>0.0</v>
      </c>
      <c r="K771" s="20">
        <v>0.0</v>
      </c>
      <c r="L771" s="20">
        <v>0.0</v>
      </c>
      <c r="M771" s="20">
        <v>0.0</v>
      </c>
      <c r="N771" s="20">
        <v>0.0</v>
      </c>
      <c r="O771" s="20">
        <v>0.0</v>
      </c>
      <c r="P771" s="20">
        <v>0.0</v>
      </c>
      <c r="Q771" s="20">
        <v>0.0</v>
      </c>
      <c r="R771" s="20">
        <v>0.0</v>
      </c>
      <c r="S771" s="20">
        <v>0.0</v>
      </c>
      <c r="T771" s="20">
        <v>0.0</v>
      </c>
      <c r="U771" s="20">
        <v>0.0</v>
      </c>
    </row>
    <row r="772" ht="23.25" customHeight="1">
      <c r="A772" s="1"/>
      <c r="B772" s="15" t="s">
        <v>1161</v>
      </c>
      <c r="C772" s="1" t="s">
        <v>17</v>
      </c>
      <c r="D772" s="1" t="s">
        <v>1162</v>
      </c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ht="23.25" customHeight="1">
      <c r="A773" s="17" t="str">
        <f>IF(COUNTIF('Icon Lookup'!C:C,B773)&gt;0,LOOKUP(B773,'Icon Lookup'!C:C,'Icon Lookup'!B:B),"")</f>
        <v/>
      </c>
      <c r="B773" s="18" t="s">
        <v>449</v>
      </c>
      <c r="C773" s="17"/>
      <c r="D773" s="17">
        <v>30.0</v>
      </c>
      <c r="E773" s="17" t="s">
        <v>161</v>
      </c>
      <c r="G773" s="19"/>
      <c r="H773" s="20" t="s">
        <v>1163</v>
      </c>
      <c r="I773" s="17" t="s">
        <v>52</v>
      </c>
      <c r="J773" s="17">
        <v>0.0</v>
      </c>
      <c r="K773" s="17">
        <v>0.0</v>
      </c>
      <c r="L773" s="17">
        <v>0.0</v>
      </c>
      <c r="M773" s="17">
        <v>0.0</v>
      </c>
      <c r="N773" s="17">
        <v>0.0</v>
      </c>
      <c r="O773" s="17">
        <v>0.0</v>
      </c>
      <c r="P773" s="17">
        <v>0.0</v>
      </c>
      <c r="Q773" s="17">
        <v>0.0</v>
      </c>
      <c r="R773" s="17">
        <v>0.0</v>
      </c>
      <c r="S773" s="17">
        <v>0.0</v>
      </c>
      <c r="T773" s="17">
        <v>0.0</v>
      </c>
      <c r="U773" s="17">
        <v>0.0</v>
      </c>
    </row>
    <row r="774" ht="23.25" customHeight="1">
      <c r="A774" s="1"/>
      <c r="B774" s="15" t="s">
        <v>1164</v>
      </c>
      <c r="C774" s="1" t="s">
        <v>17</v>
      </c>
      <c r="D774" s="1" t="s">
        <v>1165</v>
      </c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ht="23.25" customHeight="1">
      <c r="A775" s="20" t="str">
        <f>IF(COUNTIF('Icon Lookup'!C:C,B775)&gt;0,LOOKUP(B775,'Icon Lookup'!C:C,'Icon Lookup'!B:B),"")</f>
        <v/>
      </c>
      <c r="B775" s="21" t="s">
        <v>86</v>
      </c>
      <c r="C775" s="20"/>
      <c r="D775" s="20">
        <v>15.0</v>
      </c>
      <c r="E775" s="20" t="s">
        <v>87</v>
      </c>
      <c r="G775" s="22"/>
      <c r="H775" s="23" t="s">
        <v>88</v>
      </c>
      <c r="I775" s="20" t="s">
        <v>89</v>
      </c>
      <c r="J775" s="20">
        <v>0.0</v>
      </c>
      <c r="K775" s="20">
        <v>0.0</v>
      </c>
      <c r="L775" s="20">
        <v>0.0</v>
      </c>
      <c r="M775" s="20">
        <v>0.0</v>
      </c>
      <c r="N775" s="20">
        <v>0.0</v>
      </c>
      <c r="O775" s="20">
        <v>0.0</v>
      </c>
      <c r="P775" s="20">
        <v>0.0</v>
      </c>
      <c r="Q775" s="20">
        <v>0.0</v>
      </c>
      <c r="R775" s="20">
        <v>0.0</v>
      </c>
      <c r="S775" s="20">
        <v>0.0</v>
      </c>
      <c r="T775" s="20">
        <v>0.0</v>
      </c>
      <c r="U775" s="20">
        <v>0.0</v>
      </c>
    </row>
    <row r="776" ht="23.25" customHeight="1">
      <c r="A776" s="17" t="str">
        <f>IF(COUNTIF('Icon Lookup'!C:C,B776)&gt;0,LOOKUP(B776,'Icon Lookup'!C:C,'Icon Lookup'!B:B),"")</f>
        <v/>
      </c>
      <c r="B776" s="18" t="s">
        <v>97</v>
      </c>
      <c r="C776" s="17"/>
      <c r="D776" s="17">
        <v>15.0</v>
      </c>
      <c r="E776" s="17" t="s">
        <v>87</v>
      </c>
      <c r="G776" s="19"/>
      <c r="H776" s="20" t="s">
        <v>1166</v>
      </c>
      <c r="I776" s="17" t="s">
        <v>89</v>
      </c>
      <c r="J776" s="17">
        <v>0.0</v>
      </c>
      <c r="K776" s="17">
        <v>0.0</v>
      </c>
      <c r="L776" s="17">
        <v>0.0</v>
      </c>
      <c r="M776" s="17">
        <v>0.0</v>
      </c>
      <c r="N776" s="17">
        <v>0.0</v>
      </c>
      <c r="O776" s="17">
        <v>0.0</v>
      </c>
      <c r="P776" s="17">
        <v>0.0</v>
      </c>
      <c r="Q776" s="17">
        <v>0.0</v>
      </c>
      <c r="R776" s="17">
        <v>0.0</v>
      </c>
      <c r="S776" s="17">
        <v>0.0</v>
      </c>
      <c r="T776" s="17">
        <v>0.0</v>
      </c>
      <c r="U776" s="17">
        <v>0.0</v>
      </c>
    </row>
    <row r="777" ht="23.25" customHeight="1">
      <c r="A777" s="1"/>
      <c r="B777" s="15" t="s">
        <v>1167</v>
      </c>
      <c r="C777" s="1" t="s">
        <v>17</v>
      </c>
      <c r="D777" s="1" t="s">
        <v>1168</v>
      </c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ht="23.25" customHeight="1">
      <c r="A778" s="20" t="str">
        <f>IF(COUNTIF('Icon Lookup'!C:C,B778)&gt;0,LOOKUP(B778,'Icon Lookup'!C:C,'Icon Lookup'!B:B),"")</f>
        <v/>
      </c>
      <c r="B778" s="21" t="s">
        <v>110</v>
      </c>
      <c r="C778" s="20"/>
      <c r="D778" s="20">
        <v>19.0</v>
      </c>
      <c r="E778" s="20" t="s">
        <v>111</v>
      </c>
      <c r="G778" s="22"/>
      <c r="H778" s="23" t="s">
        <v>453</v>
      </c>
      <c r="I778" s="20" t="s">
        <v>22</v>
      </c>
      <c r="J778" s="20">
        <v>0.0</v>
      </c>
      <c r="K778" s="20">
        <v>0.0</v>
      </c>
      <c r="L778" s="20">
        <v>0.0</v>
      </c>
      <c r="M778" s="20">
        <v>0.0</v>
      </c>
      <c r="N778" s="20">
        <v>0.0</v>
      </c>
      <c r="O778" s="20">
        <v>0.0</v>
      </c>
      <c r="P778" s="20">
        <v>0.0</v>
      </c>
      <c r="Q778" s="20">
        <v>0.0</v>
      </c>
      <c r="R778" s="20">
        <v>0.0</v>
      </c>
      <c r="S778" s="20">
        <v>0.0</v>
      </c>
      <c r="T778" s="20">
        <v>0.0</v>
      </c>
      <c r="U778" s="20">
        <v>0.0</v>
      </c>
    </row>
    <row r="779" ht="23.25" customHeight="1">
      <c r="A779" s="17" t="str">
        <f>IF(COUNTIF('Icon Lookup'!C:C,B779)&gt;0,LOOKUP(B779,'Icon Lookup'!C:C,'Icon Lookup'!B:B),"")</f>
        <v/>
      </c>
      <c r="B779" s="18" t="s">
        <v>271</v>
      </c>
      <c r="C779" s="17"/>
      <c r="D779" s="17">
        <v>19.0</v>
      </c>
      <c r="E779" s="17" t="s">
        <v>44</v>
      </c>
      <c r="G779" s="19"/>
      <c r="H779" s="20" t="s">
        <v>1169</v>
      </c>
      <c r="I779" s="17" t="s">
        <v>22</v>
      </c>
      <c r="J779" s="17">
        <v>0.0</v>
      </c>
      <c r="K779" s="17">
        <v>0.0</v>
      </c>
      <c r="L779" s="17">
        <v>0.0</v>
      </c>
      <c r="M779" s="17">
        <v>0.0</v>
      </c>
      <c r="N779" s="17">
        <v>0.0</v>
      </c>
      <c r="O779" s="17">
        <v>0.0</v>
      </c>
      <c r="P779" s="17">
        <v>0.0</v>
      </c>
      <c r="Q779" s="17">
        <v>0.0</v>
      </c>
      <c r="R779" s="17">
        <v>0.0</v>
      </c>
      <c r="S779" s="17">
        <v>0.0</v>
      </c>
      <c r="T779" s="17">
        <v>0.0</v>
      </c>
      <c r="U779" s="17">
        <v>0.0</v>
      </c>
    </row>
    <row r="780" ht="23.25" customHeight="1">
      <c r="A780" s="1"/>
      <c r="B780" s="15" t="s">
        <v>1170</v>
      </c>
      <c r="C780" s="1" t="s">
        <v>17</v>
      </c>
      <c r="D780" s="1" t="s">
        <v>1171</v>
      </c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ht="23.25" customHeight="1">
      <c r="A781" s="20" t="str">
        <f>IF(COUNTIF('Icon Lookup'!C:C,B781)&gt;0,LOOKUP(B781,'Icon Lookup'!C:C,'Icon Lookup'!B:B),"")</f>
        <v/>
      </c>
      <c r="B781" s="21" t="s">
        <v>577</v>
      </c>
      <c r="C781" s="20"/>
      <c r="D781" s="20">
        <v>21.0</v>
      </c>
      <c r="E781" s="20" t="s">
        <v>399</v>
      </c>
      <c r="G781" s="22"/>
      <c r="H781" s="23" t="s">
        <v>1172</v>
      </c>
      <c r="I781" s="20" t="s">
        <v>105</v>
      </c>
      <c r="J781" s="20">
        <v>0.0</v>
      </c>
      <c r="K781" s="20">
        <v>0.0</v>
      </c>
      <c r="L781" s="20">
        <v>0.0</v>
      </c>
      <c r="M781" s="20">
        <v>0.0</v>
      </c>
      <c r="N781" s="20">
        <v>0.0</v>
      </c>
      <c r="O781" s="20">
        <v>0.0</v>
      </c>
      <c r="P781" s="20">
        <v>0.0</v>
      </c>
      <c r="Q781" s="20">
        <v>0.0</v>
      </c>
      <c r="R781" s="20">
        <v>0.0</v>
      </c>
      <c r="S781" s="20">
        <v>0.0</v>
      </c>
      <c r="T781" s="20">
        <v>0.0</v>
      </c>
      <c r="U781" s="20">
        <v>0.0</v>
      </c>
    </row>
    <row r="782" ht="23.25" customHeight="1">
      <c r="A782" s="1"/>
      <c r="B782" s="15" t="s">
        <v>1173</v>
      </c>
      <c r="C782" s="1" t="s">
        <v>17</v>
      </c>
      <c r="D782" s="1" t="s">
        <v>1174</v>
      </c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ht="23.25" customHeight="1">
      <c r="A783" s="17" t="str">
        <f>IF(COUNTIF('Icon Lookup'!C:C,B783)&gt;0,LOOKUP(B783,'Icon Lookup'!C:C,'Icon Lookup'!B:B),"")</f>
        <v/>
      </c>
      <c r="B783" s="18" t="s">
        <v>49</v>
      </c>
      <c r="C783" s="17"/>
      <c r="D783" s="17">
        <v>5.0</v>
      </c>
      <c r="E783" s="17" t="s">
        <v>959</v>
      </c>
      <c r="G783" s="19"/>
      <c r="H783" s="20" t="s">
        <v>51</v>
      </c>
      <c r="I783" s="17" t="s">
        <v>52</v>
      </c>
      <c r="J783" s="17">
        <v>0.0</v>
      </c>
      <c r="K783" s="17">
        <v>0.0</v>
      </c>
      <c r="L783" s="17">
        <v>0.0</v>
      </c>
      <c r="M783" s="17">
        <v>0.0</v>
      </c>
      <c r="N783" s="17">
        <v>0.0</v>
      </c>
      <c r="O783" s="17">
        <v>0.0</v>
      </c>
      <c r="P783" s="17">
        <v>0.0</v>
      </c>
      <c r="Q783" s="17">
        <v>0.0</v>
      </c>
      <c r="R783" s="17">
        <v>0.0</v>
      </c>
      <c r="S783" s="17">
        <v>0.0</v>
      </c>
      <c r="T783" s="17">
        <v>0.0</v>
      </c>
      <c r="U783" s="17">
        <v>0.0</v>
      </c>
    </row>
    <row r="784" ht="23.25" customHeight="1">
      <c r="A784" s="20" t="str">
        <f>IF(COUNTIF('Icon Lookup'!C:C,B784)&gt;0,LOOKUP(B784,'Icon Lookup'!C:C,'Icon Lookup'!B:B),"")</f>
        <v/>
      </c>
      <c r="B784" s="21" t="s">
        <v>577</v>
      </c>
      <c r="C784" s="20"/>
      <c r="D784" s="20">
        <v>5.0</v>
      </c>
      <c r="E784" s="20" t="s">
        <v>677</v>
      </c>
      <c r="G784" s="22"/>
      <c r="H784" s="23" t="s">
        <v>1175</v>
      </c>
      <c r="I784" s="20" t="s">
        <v>52</v>
      </c>
      <c r="J784" s="20">
        <v>0.0</v>
      </c>
      <c r="K784" s="20">
        <v>0.0</v>
      </c>
      <c r="L784" s="20">
        <v>0.0</v>
      </c>
      <c r="M784" s="20">
        <v>0.0</v>
      </c>
      <c r="N784" s="20">
        <v>0.0</v>
      </c>
      <c r="O784" s="20">
        <v>0.0</v>
      </c>
      <c r="P784" s="20">
        <v>0.0</v>
      </c>
      <c r="Q784" s="20">
        <v>0.0</v>
      </c>
      <c r="R784" s="20">
        <v>0.0</v>
      </c>
      <c r="S784" s="20">
        <v>0.0</v>
      </c>
      <c r="T784" s="20">
        <v>0.0</v>
      </c>
      <c r="U784" s="20">
        <v>0.0</v>
      </c>
    </row>
    <row r="785" ht="23.25" customHeight="1">
      <c r="A785" s="1"/>
      <c r="B785" s="15" t="s">
        <v>1176</v>
      </c>
      <c r="C785" s="1" t="s">
        <v>17</v>
      </c>
      <c r="D785" s="1" t="s">
        <v>1177</v>
      </c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ht="23.25" customHeight="1">
      <c r="A786" s="17" t="str">
        <f>IF(COUNTIF('Icon Lookup'!C:C,B786)&gt;0,LOOKUP(B786,'Icon Lookup'!C:C,'Icon Lookup'!B:B),"")</f>
        <v/>
      </c>
      <c r="B786" s="18" t="s">
        <v>1178</v>
      </c>
      <c r="C786" s="17"/>
      <c r="D786" s="17">
        <v>28.0</v>
      </c>
      <c r="E786" s="17" t="s">
        <v>1126</v>
      </c>
      <c r="G786" s="19"/>
      <c r="H786" s="20" t="s">
        <v>1179</v>
      </c>
      <c r="I786" s="17" t="s">
        <v>105</v>
      </c>
      <c r="J786" s="17">
        <v>0.0</v>
      </c>
      <c r="K786" s="17">
        <v>0.0</v>
      </c>
      <c r="L786" s="17">
        <v>0.0</v>
      </c>
      <c r="M786" s="17">
        <v>0.0</v>
      </c>
      <c r="N786" s="17">
        <v>0.0</v>
      </c>
      <c r="O786" s="17">
        <v>0.0</v>
      </c>
      <c r="P786" s="17">
        <v>0.0</v>
      </c>
      <c r="Q786" s="17">
        <v>0.0</v>
      </c>
      <c r="R786" s="17">
        <v>0.0</v>
      </c>
      <c r="S786" s="17">
        <v>0.0</v>
      </c>
      <c r="T786" s="17">
        <v>0.0</v>
      </c>
      <c r="U786" s="17">
        <v>0.0</v>
      </c>
    </row>
    <row r="787" ht="23.25" customHeight="1">
      <c r="A787" s="20" t="str">
        <f>IF(COUNTIF('Icon Lookup'!C:C,B787)&gt;0,LOOKUP(B787,'Icon Lookup'!C:C,'Icon Lookup'!B:B),"")</f>
        <v/>
      </c>
      <c r="B787" s="21" t="s">
        <v>449</v>
      </c>
      <c r="C787" s="20"/>
      <c r="D787" s="20">
        <v>28.0</v>
      </c>
      <c r="E787" s="20" t="s">
        <v>161</v>
      </c>
      <c r="G787" s="22"/>
      <c r="H787" s="23" t="s">
        <v>1180</v>
      </c>
      <c r="I787" s="20" t="s">
        <v>612</v>
      </c>
      <c r="J787" s="20">
        <v>0.0</v>
      </c>
      <c r="K787" s="20">
        <v>0.0</v>
      </c>
      <c r="L787" s="20">
        <v>0.0</v>
      </c>
      <c r="M787" s="20">
        <v>0.0</v>
      </c>
      <c r="N787" s="20">
        <v>0.0</v>
      </c>
      <c r="O787" s="20">
        <v>0.0</v>
      </c>
      <c r="P787" s="20">
        <v>0.0</v>
      </c>
      <c r="Q787" s="20">
        <v>0.0</v>
      </c>
      <c r="R787" s="20">
        <v>0.0</v>
      </c>
      <c r="S787" s="20">
        <v>0.0</v>
      </c>
      <c r="T787" s="20">
        <v>0.0</v>
      </c>
      <c r="U787" s="20">
        <v>0.0</v>
      </c>
    </row>
    <row r="788" ht="23.25" customHeight="1">
      <c r="A788" s="1"/>
      <c r="B788" s="15" t="s">
        <v>1181</v>
      </c>
      <c r="C788" s="1" t="s">
        <v>17</v>
      </c>
      <c r="D788" s="1" t="s">
        <v>1182</v>
      </c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ht="23.25" customHeight="1">
      <c r="A789" s="17" t="str">
        <f>IF(COUNTIF('Icon Lookup'!C:C,B789)&gt;0,LOOKUP(B789,'Icon Lookup'!C:C,'Icon Lookup'!B:B),"")</f>
        <v/>
      </c>
      <c r="B789" s="18" t="s">
        <v>136</v>
      </c>
      <c r="C789" s="17"/>
      <c r="D789" s="17">
        <v>41.0</v>
      </c>
      <c r="E789" s="17" t="s">
        <v>137</v>
      </c>
      <c r="G789" s="19"/>
      <c r="H789" s="20" t="s">
        <v>1183</v>
      </c>
      <c r="I789" s="17" t="s">
        <v>22</v>
      </c>
      <c r="J789" s="17">
        <v>0.0</v>
      </c>
      <c r="K789" s="17">
        <v>0.0</v>
      </c>
      <c r="L789" s="17">
        <v>0.0</v>
      </c>
      <c r="M789" s="17">
        <v>0.0</v>
      </c>
      <c r="N789" s="17">
        <v>0.0</v>
      </c>
      <c r="O789" s="17">
        <v>0.0</v>
      </c>
      <c r="P789" s="17">
        <v>0.0</v>
      </c>
      <c r="Q789" s="17">
        <v>0.0</v>
      </c>
      <c r="R789" s="17">
        <v>0.0</v>
      </c>
      <c r="S789" s="17">
        <v>0.0</v>
      </c>
      <c r="T789" s="17">
        <v>0.0</v>
      </c>
      <c r="U789" s="17">
        <v>0.0</v>
      </c>
    </row>
    <row r="790" ht="23.25" customHeight="1">
      <c r="A790" s="20" t="str">
        <f>IF(COUNTIF('Icon Lookup'!C:C,B790)&gt;0,LOOKUP(B790,'Icon Lookup'!C:C,'Icon Lookup'!B:B),"")</f>
        <v/>
      </c>
      <c r="B790" s="21" t="s">
        <v>136</v>
      </c>
      <c r="C790" s="20"/>
      <c r="D790" s="20">
        <v>41.0</v>
      </c>
      <c r="E790" s="20" t="s">
        <v>137</v>
      </c>
      <c r="G790" s="22"/>
      <c r="H790" s="23" t="s">
        <v>1184</v>
      </c>
      <c r="I790" s="20" t="s">
        <v>22</v>
      </c>
      <c r="J790" s="20">
        <v>0.0</v>
      </c>
      <c r="K790" s="20">
        <v>0.0</v>
      </c>
      <c r="L790" s="20">
        <v>0.0</v>
      </c>
      <c r="M790" s="20">
        <v>0.0</v>
      </c>
      <c r="N790" s="20">
        <v>0.0</v>
      </c>
      <c r="O790" s="20">
        <v>0.0</v>
      </c>
      <c r="P790" s="20">
        <v>0.0</v>
      </c>
      <c r="Q790" s="20">
        <v>0.0</v>
      </c>
      <c r="R790" s="20">
        <v>0.0</v>
      </c>
      <c r="S790" s="20">
        <v>0.0</v>
      </c>
      <c r="T790" s="20">
        <v>0.0</v>
      </c>
      <c r="U790" s="20">
        <v>0.0</v>
      </c>
    </row>
    <row r="791" ht="23.25" customHeight="1">
      <c r="A791" s="17" t="str">
        <f>IF(COUNTIF('Icon Lookup'!C:C,B791)&gt;0,LOOKUP(B791,'Icon Lookup'!C:C,'Icon Lookup'!B:B),"")</f>
        <v/>
      </c>
      <c r="B791" s="18" t="s">
        <v>136</v>
      </c>
      <c r="C791" s="17"/>
      <c r="D791" s="17">
        <v>41.0</v>
      </c>
      <c r="E791" s="17" t="s">
        <v>137</v>
      </c>
      <c r="G791" s="19"/>
      <c r="H791" s="20" t="s">
        <v>1185</v>
      </c>
      <c r="I791" s="17" t="s">
        <v>52</v>
      </c>
      <c r="J791" s="17">
        <v>0.0</v>
      </c>
      <c r="K791" s="17">
        <v>0.0</v>
      </c>
      <c r="L791" s="17">
        <v>0.0</v>
      </c>
      <c r="M791" s="17">
        <v>0.0</v>
      </c>
      <c r="N791" s="17">
        <v>0.0</v>
      </c>
      <c r="O791" s="17">
        <v>0.0</v>
      </c>
      <c r="P791" s="17">
        <v>0.0</v>
      </c>
      <c r="Q791" s="17">
        <v>0.0</v>
      </c>
      <c r="R791" s="17">
        <v>0.0</v>
      </c>
      <c r="S791" s="17">
        <v>0.0</v>
      </c>
      <c r="T791" s="17">
        <v>0.0</v>
      </c>
      <c r="U791" s="17">
        <v>0.0</v>
      </c>
    </row>
    <row r="792" ht="23.25" customHeight="1">
      <c r="A792" s="20" t="str">
        <f>IF(COUNTIF('Icon Lookup'!C:C,B792)&gt;0,LOOKUP(B792,'Icon Lookup'!C:C,'Icon Lookup'!B:B),"")</f>
        <v/>
      </c>
      <c r="B792" s="21" t="s">
        <v>136</v>
      </c>
      <c r="C792" s="20"/>
      <c r="D792" s="20">
        <v>41.0</v>
      </c>
      <c r="E792" s="20" t="s">
        <v>137</v>
      </c>
      <c r="G792" s="22"/>
      <c r="H792" s="23" t="s">
        <v>1186</v>
      </c>
      <c r="I792" s="20" t="s">
        <v>52</v>
      </c>
      <c r="J792" s="20">
        <v>0.0</v>
      </c>
      <c r="K792" s="20">
        <v>0.0</v>
      </c>
      <c r="L792" s="20">
        <v>0.0</v>
      </c>
      <c r="M792" s="20">
        <v>0.0</v>
      </c>
      <c r="N792" s="20">
        <v>0.0</v>
      </c>
      <c r="O792" s="20">
        <v>0.0</v>
      </c>
      <c r="P792" s="20">
        <v>0.0</v>
      </c>
      <c r="Q792" s="20">
        <v>0.0</v>
      </c>
      <c r="R792" s="20">
        <v>0.0</v>
      </c>
      <c r="S792" s="20">
        <v>0.0</v>
      </c>
      <c r="T792" s="20">
        <v>0.0</v>
      </c>
      <c r="U792" s="20">
        <v>0.0</v>
      </c>
    </row>
    <row r="793" ht="23.25" customHeight="1">
      <c r="A793" s="1"/>
      <c r="B793" s="15" t="s">
        <v>1187</v>
      </c>
      <c r="C793" s="1" t="s">
        <v>17</v>
      </c>
      <c r="D793" s="1" t="s">
        <v>1188</v>
      </c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ht="23.25" customHeight="1">
      <c r="A794" s="17" t="str">
        <f>IF(COUNTIF('Icon Lookup'!C:C,B794)&gt;0,LOOKUP(B794,'Icon Lookup'!C:C,'Icon Lookup'!B:B),"")</f>
        <v/>
      </c>
      <c r="B794" s="18" t="s">
        <v>302</v>
      </c>
      <c r="C794" s="17"/>
      <c r="D794" s="17">
        <v>20.0</v>
      </c>
      <c r="E794" s="17" t="s">
        <v>20</v>
      </c>
      <c r="G794" s="19"/>
      <c r="H794" s="20" t="s">
        <v>1189</v>
      </c>
      <c r="I794" s="17" t="s">
        <v>52</v>
      </c>
      <c r="J794" s="17">
        <v>0.0</v>
      </c>
      <c r="K794" s="17">
        <v>0.0</v>
      </c>
      <c r="L794" s="17">
        <v>0.0</v>
      </c>
      <c r="M794" s="17">
        <v>0.0</v>
      </c>
      <c r="N794" s="17">
        <v>0.0</v>
      </c>
      <c r="O794" s="17">
        <v>0.0</v>
      </c>
      <c r="P794" s="17">
        <v>0.0</v>
      </c>
      <c r="Q794" s="17">
        <v>0.0</v>
      </c>
      <c r="R794" s="17">
        <v>0.0</v>
      </c>
      <c r="S794" s="17">
        <v>0.0</v>
      </c>
      <c r="T794" s="17">
        <v>0.0</v>
      </c>
      <c r="U794" s="17">
        <v>0.0</v>
      </c>
    </row>
    <row r="795" ht="23.25" customHeight="1">
      <c r="A795" s="20" t="str">
        <f>IF(COUNTIF('Icon Lookup'!C:C,B795)&gt;0,LOOKUP(B795,'Icon Lookup'!C:C,'Icon Lookup'!B:B),"")</f>
        <v/>
      </c>
      <c r="B795" s="21" t="s">
        <v>90</v>
      </c>
      <c r="C795" s="20"/>
      <c r="D795" s="20">
        <v>20.0</v>
      </c>
      <c r="E795" s="20" t="s">
        <v>91</v>
      </c>
      <c r="G795" s="22"/>
      <c r="H795" s="23" t="s">
        <v>168</v>
      </c>
      <c r="I795" s="20" t="s">
        <v>22</v>
      </c>
      <c r="J795" s="20">
        <v>0.0</v>
      </c>
      <c r="K795" s="20">
        <v>0.0</v>
      </c>
      <c r="L795" s="20">
        <v>0.0</v>
      </c>
      <c r="M795" s="20">
        <v>0.0</v>
      </c>
      <c r="N795" s="20">
        <v>0.0</v>
      </c>
      <c r="O795" s="20">
        <v>0.0</v>
      </c>
      <c r="P795" s="20">
        <v>0.0</v>
      </c>
      <c r="Q795" s="20">
        <v>0.0</v>
      </c>
      <c r="R795" s="20">
        <v>0.0</v>
      </c>
      <c r="S795" s="20">
        <v>0.0</v>
      </c>
      <c r="T795" s="20">
        <v>0.0</v>
      </c>
      <c r="U795" s="20">
        <v>0.0</v>
      </c>
    </row>
    <row r="796" ht="23.25" customHeight="1">
      <c r="A796" s="1"/>
      <c r="B796" s="15" t="s">
        <v>1190</v>
      </c>
      <c r="C796" s="1" t="s">
        <v>17</v>
      </c>
      <c r="D796" s="1" t="s">
        <v>1191</v>
      </c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ht="23.25" customHeight="1">
      <c r="A797" s="17" t="str">
        <f>IF(COUNTIF('Icon Lookup'!C:C,B797)&gt;0,LOOKUP(B797,'Icon Lookup'!C:C,'Icon Lookup'!B:B),"")</f>
        <v/>
      </c>
      <c r="B797" s="18" t="s">
        <v>304</v>
      </c>
      <c r="C797" s="17"/>
      <c r="D797" s="17">
        <v>42.0</v>
      </c>
      <c r="E797" s="17" t="s">
        <v>20</v>
      </c>
      <c r="G797" s="19"/>
      <c r="H797" s="20" t="s">
        <v>1192</v>
      </c>
      <c r="I797" s="17" t="s">
        <v>156</v>
      </c>
      <c r="J797" s="17">
        <v>0.0</v>
      </c>
      <c r="K797" s="17">
        <v>0.0</v>
      </c>
      <c r="L797" s="17">
        <v>0.0</v>
      </c>
      <c r="M797" s="17">
        <v>0.0</v>
      </c>
      <c r="N797" s="17">
        <v>0.0</v>
      </c>
      <c r="O797" s="17">
        <v>0.0</v>
      </c>
      <c r="P797" s="17">
        <v>0.0</v>
      </c>
      <c r="Q797" s="17">
        <v>0.0</v>
      </c>
      <c r="R797" s="17">
        <v>0.0</v>
      </c>
      <c r="S797" s="17">
        <v>0.0</v>
      </c>
      <c r="T797" s="17">
        <v>0.0</v>
      </c>
      <c r="U797" s="17">
        <v>0.0</v>
      </c>
    </row>
    <row r="798" ht="23.25" customHeight="1">
      <c r="A798" s="20" t="str">
        <f>IF(COUNTIF('Icon Lookup'!C:C,B798)&gt;0,LOOKUP(B798,'Icon Lookup'!C:C,'Icon Lookup'!B:B),"")</f>
        <v/>
      </c>
      <c r="B798" s="21" t="s">
        <v>275</v>
      </c>
      <c r="C798" s="20"/>
      <c r="D798" s="20">
        <v>42.0</v>
      </c>
      <c r="E798" s="20" t="s">
        <v>91</v>
      </c>
      <c r="G798" s="22"/>
      <c r="H798" s="23" t="s">
        <v>1193</v>
      </c>
      <c r="I798" s="20" t="s">
        <v>89</v>
      </c>
      <c r="J798" s="20">
        <v>0.0</v>
      </c>
      <c r="K798" s="20">
        <v>0.0</v>
      </c>
      <c r="L798" s="20">
        <v>0.0</v>
      </c>
      <c r="M798" s="20">
        <v>0.0</v>
      </c>
      <c r="N798" s="20">
        <v>0.0</v>
      </c>
      <c r="O798" s="20">
        <v>0.0</v>
      </c>
      <c r="P798" s="20">
        <v>0.0</v>
      </c>
      <c r="Q798" s="20">
        <v>0.0</v>
      </c>
      <c r="R798" s="20">
        <v>0.0</v>
      </c>
      <c r="S798" s="20">
        <v>0.0</v>
      </c>
      <c r="T798" s="20">
        <v>0.0</v>
      </c>
      <c r="U798" s="20">
        <v>0.0</v>
      </c>
    </row>
    <row r="799" ht="23.25" customHeight="1">
      <c r="A799" s="1"/>
      <c r="B799" s="15" t="s">
        <v>1194</v>
      </c>
      <c r="C799" s="1" t="s">
        <v>17</v>
      </c>
      <c r="D799" s="1" t="s">
        <v>1195</v>
      </c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ht="23.25" customHeight="1">
      <c r="A800" s="17" t="str">
        <f>IF(COUNTIF('Icon Lookup'!C:C,B800)&gt;0,LOOKUP(B800,'Icon Lookup'!C:C,'Icon Lookup'!B:B),"")</f>
        <v/>
      </c>
      <c r="B800" s="18" t="s">
        <v>225</v>
      </c>
      <c r="C800" s="17"/>
      <c r="D800" s="17">
        <v>43.0</v>
      </c>
      <c r="E800" s="17" t="s">
        <v>26</v>
      </c>
      <c r="G800" s="19"/>
      <c r="H800" s="20" t="s">
        <v>1196</v>
      </c>
      <c r="I800" s="17" t="s">
        <v>22</v>
      </c>
      <c r="J800" s="17">
        <v>0.0</v>
      </c>
      <c r="K800" s="17">
        <v>0.0</v>
      </c>
      <c r="L800" s="17">
        <v>0.0</v>
      </c>
      <c r="M800" s="17">
        <v>0.0</v>
      </c>
      <c r="N800" s="17">
        <v>0.0</v>
      </c>
      <c r="O800" s="17">
        <v>0.0</v>
      </c>
      <c r="P800" s="17">
        <v>0.0</v>
      </c>
      <c r="Q800" s="17">
        <v>0.0</v>
      </c>
      <c r="R800" s="17">
        <v>0.0</v>
      </c>
      <c r="S800" s="17">
        <v>0.0</v>
      </c>
      <c r="T800" s="17">
        <v>0.0</v>
      </c>
      <c r="U800" s="17">
        <v>0.0</v>
      </c>
    </row>
    <row r="801" ht="23.25" customHeight="1">
      <c r="A801" s="1"/>
      <c r="B801" s="15" t="s">
        <v>1197</v>
      </c>
      <c r="C801" s="1" t="s">
        <v>17</v>
      </c>
      <c r="D801" s="1" t="s">
        <v>1198</v>
      </c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ht="23.25" customHeight="1">
      <c r="A802" s="20" t="str">
        <f>IF(COUNTIF('Icon Lookup'!C:C,B802)&gt;0,LOOKUP(B802,'Icon Lookup'!C:C,'Icon Lookup'!B:B),"")</f>
        <v/>
      </c>
      <c r="B802" s="21" t="s">
        <v>524</v>
      </c>
      <c r="C802" s="20"/>
      <c r="D802" s="20">
        <v>43.0</v>
      </c>
      <c r="E802" s="20" t="s">
        <v>525</v>
      </c>
      <c r="G802" s="22"/>
      <c r="H802" s="23" t="s">
        <v>651</v>
      </c>
      <c r="I802" s="20" t="s">
        <v>105</v>
      </c>
      <c r="J802" s="20">
        <v>0.0</v>
      </c>
      <c r="K802" s="20">
        <v>0.0</v>
      </c>
      <c r="L802" s="20">
        <v>0.0</v>
      </c>
      <c r="M802" s="20">
        <v>0.0</v>
      </c>
      <c r="N802" s="20">
        <v>0.0</v>
      </c>
      <c r="O802" s="20">
        <v>0.0</v>
      </c>
      <c r="P802" s="20">
        <v>0.0</v>
      </c>
      <c r="Q802" s="20">
        <v>0.0</v>
      </c>
      <c r="R802" s="20">
        <v>0.0</v>
      </c>
      <c r="S802" s="20">
        <v>0.0</v>
      </c>
      <c r="T802" s="20">
        <v>0.0</v>
      </c>
      <c r="U802" s="20">
        <v>0.0</v>
      </c>
    </row>
    <row r="803" ht="23.25" customHeight="1">
      <c r="A803" s="1"/>
      <c r="B803" s="15" t="s">
        <v>1199</v>
      </c>
      <c r="C803" s="1" t="s">
        <v>17</v>
      </c>
      <c r="D803" s="1" t="s">
        <v>1200</v>
      </c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ht="23.25" customHeight="1">
      <c r="A804" s="17" t="str">
        <f>IF(COUNTIF('Icon Lookup'!C:C,B804)&gt;0,LOOKUP(B804,'Icon Lookup'!C:C,'Icon Lookup'!B:B),"")</f>
        <v/>
      </c>
      <c r="B804" s="18" t="s">
        <v>524</v>
      </c>
      <c r="C804" s="17"/>
      <c r="D804" s="17">
        <v>27.0</v>
      </c>
      <c r="E804" s="17" t="s">
        <v>525</v>
      </c>
      <c r="G804" s="19"/>
      <c r="H804" s="20" t="s">
        <v>556</v>
      </c>
      <c r="I804" s="17" t="s">
        <v>156</v>
      </c>
      <c r="J804" s="17">
        <v>0.0</v>
      </c>
      <c r="K804" s="17">
        <v>0.0</v>
      </c>
      <c r="L804" s="17">
        <v>0.0</v>
      </c>
      <c r="M804" s="17">
        <v>0.0</v>
      </c>
      <c r="N804" s="17">
        <v>0.0</v>
      </c>
      <c r="O804" s="17">
        <v>0.0</v>
      </c>
      <c r="P804" s="17">
        <v>0.0</v>
      </c>
      <c r="Q804" s="17">
        <v>0.0</v>
      </c>
      <c r="R804" s="17">
        <v>0.0</v>
      </c>
      <c r="S804" s="17">
        <v>0.0</v>
      </c>
      <c r="T804" s="17">
        <v>0.0</v>
      </c>
      <c r="U804" s="17">
        <v>0.0</v>
      </c>
    </row>
    <row r="805" ht="23.25" customHeight="1">
      <c r="A805" s="20" t="str">
        <f>IF(COUNTIF('Icon Lookup'!C:C,B805)&gt;0,LOOKUP(B805,'Icon Lookup'!C:C,'Icon Lookup'!B:B),"")</f>
        <v/>
      </c>
      <c r="B805" s="21" t="s">
        <v>190</v>
      </c>
      <c r="C805" s="20"/>
      <c r="D805" s="20">
        <v>31.0</v>
      </c>
      <c r="E805" s="20" t="s">
        <v>26</v>
      </c>
      <c r="G805" s="22"/>
      <c r="H805" s="23" t="s">
        <v>191</v>
      </c>
      <c r="I805" s="20" t="s">
        <v>156</v>
      </c>
      <c r="J805" s="20">
        <v>0.0</v>
      </c>
      <c r="K805" s="20">
        <v>0.0</v>
      </c>
      <c r="L805" s="20">
        <v>0.0</v>
      </c>
      <c r="M805" s="20">
        <v>0.0</v>
      </c>
      <c r="N805" s="20">
        <v>0.0</v>
      </c>
      <c r="O805" s="20">
        <v>0.0</v>
      </c>
      <c r="P805" s="20">
        <v>0.0</v>
      </c>
      <c r="Q805" s="20">
        <v>0.0</v>
      </c>
      <c r="R805" s="20">
        <v>0.0</v>
      </c>
      <c r="S805" s="20">
        <v>0.0</v>
      </c>
      <c r="T805" s="20">
        <v>0.0</v>
      </c>
      <c r="U805" s="20">
        <v>0.0</v>
      </c>
    </row>
    <row r="806" ht="23.25" customHeight="1">
      <c r="A806" s="1"/>
      <c r="B806" s="15" t="s">
        <v>1201</v>
      </c>
      <c r="C806" s="1" t="s">
        <v>17</v>
      </c>
      <c r="D806" s="1" t="s">
        <v>1202</v>
      </c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ht="23.25" customHeight="1">
      <c r="A807" s="17" t="str">
        <f>IF(COUNTIF('Icon Lookup'!C:C,B807)&gt;0,LOOKUP(B807,'Icon Lookup'!C:C,'Icon Lookup'!B:B),"")</f>
        <v/>
      </c>
      <c r="B807" s="18" t="s">
        <v>640</v>
      </c>
      <c r="C807" s="17"/>
      <c r="D807" s="17">
        <v>24.0</v>
      </c>
      <c r="E807" s="17" t="s">
        <v>20</v>
      </c>
      <c r="G807" s="19"/>
      <c r="H807" s="20" t="s">
        <v>1203</v>
      </c>
      <c r="I807" s="17" t="s">
        <v>22</v>
      </c>
      <c r="J807" s="17">
        <v>0.0</v>
      </c>
      <c r="K807" s="17">
        <v>0.0</v>
      </c>
      <c r="L807" s="17">
        <v>0.0</v>
      </c>
      <c r="M807" s="17">
        <v>0.0</v>
      </c>
      <c r="N807" s="17">
        <v>0.0</v>
      </c>
      <c r="O807" s="17">
        <v>0.0</v>
      </c>
      <c r="P807" s="17">
        <v>0.0</v>
      </c>
      <c r="Q807" s="17">
        <v>0.0</v>
      </c>
      <c r="R807" s="17">
        <v>0.0</v>
      </c>
      <c r="S807" s="17">
        <v>0.0</v>
      </c>
      <c r="T807" s="17">
        <v>0.0</v>
      </c>
      <c r="U807" s="17">
        <v>0.0</v>
      </c>
    </row>
    <row r="808" ht="23.25" customHeight="1">
      <c r="A808" s="20" t="str">
        <f>IF(COUNTIF('Icon Lookup'!C:C,B808)&gt;0,LOOKUP(B808,'Icon Lookup'!C:C,'Icon Lookup'!B:B),"")</f>
        <v/>
      </c>
      <c r="B808" s="21" t="s">
        <v>640</v>
      </c>
      <c r="C808" s="20"/>
      <c r="D808" s="20">
        <v>24.0</v>
      </c>
      <c r="E808" s="20" t="s">
        <v>20</v>
      </c>
      <c r="G808" s="22"/>
      <c r="H808" s="23" t="s">
        <v>1204</v>
      </c>
      <c r="I808" s="20" t="s">
        <v>550</v>
      </c>
      <c r="J808" s="20">
        <v>0.0</v>
      </c>
      <c r="K808" s="20">
        <v>0.0</v>
      </c>
      <c r="L808" s="20">
        <v>0.0</v>
      </c>
      <c r="M808" s="20">
        <v>0.0</v>
      </c>
      <c r="N808" s="20">
        <v>0.0</v>
      </c>
      <c r="O808" s="20">
        <v>0.0</v>
      </c>
      <c r="P808" s="20">
        <v>0.0</v>
      </c>
      <c r="Q808" s="20">
        <v>0.0</v>
      </c>
      <c r="R808" s="20">
        <v>0.0</v>
      </c>
      <c r="S808" s="20">
        <v>0.0</v>
      </c>
      <c r="T808" s="20">
        <v>0.0</v>
      </c>
      <c r="U808" s="20">
        <v>0.0</v>
      </c>
    </row>
    <row r="809" ht="23.25" customHeight="1">
      <c r="A809" s="1"/>
      <c r="B809" s="15" t="s">
        <v>1205</v>
      </c>
      <c r="C809" s="1" t="s">
        <v>17</v>
      </c>
      <c r="D809" s="1" t="s">
        <v>1206</v>
      </c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ht="23.25" customHeight="1">
      <c r="A810" s="17" t="str">
        <f>IF(COUNTIF('Icon Lookup'!C:C,B810)&gt;0,LOOKUP(B810,'Icon Lookup'!C:C,'Icon Lookup'!B:B),"")</f>
        <v/>
      </c>
      <c r="B810" s="18" t="s">
        <v>442</v>
      </c>
      <c r="C810" s="17"/>
      <c r="D810" s="17">
        <v>30.0</v>
      </c>
      <c r="E810" s="17" t="s">
        <v>161</v>
      </c>
      <c r="G810" s="19"/>
      <c r="H810" s="20" t="s">
        <v>1207</v>
      </c>
      <c r="I810" s="17" t="s">
        <v>612</v>
      </c>
      <c r="J810" s="17">
        <v>0.0</v>
      </c>
      <c r="K810" s="17">
        <v>0.0</v>
      </c>
      <c r="L810" s="17">
        <v>0.0</v>
      </c>
      <c r="M810" s="17">
        <v>0.0</v>
      </c>
      <c r="N810" s="17">
        <v>0.0</v>
      </c>
      <c r="O810" s="17">
        <v>0.0</v>
      </c>
      <c r="P810" s="17">
        <v>0.0</v>
      </c>
      <c r="Q810" s="17">
        <v>0.0</v>
      </c>
      <c r="R810" s="17">
        <v>0.0</v>
      </c>
      <c r="S810" s="17">
        <v>0.0</v>
      </c>
      <c r="T810" s="17">
        <v>0.0</v>
      </c>
      <c r="U810" s="17">
        <v>0.0</v>
      </c>
    </row>
    <row r="811" ht="23.25" customHeight="1">
      <c r="A811" s="1"/>
      <c r="B811" s="15" t="s">
        <v>1208</v>
      </c>
      <c r="C811" s="1" t="s">
        <v>17</v>
      </c>
      <c r="D811" s="1" t="s">
        <v>1209</v>
      </c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ht="23.25" customHeight="1">
      <c r="A812" s="20" t="str">
        <f>IF(COUNTIF('Icon Lookup'!C:C,B812)&gt;0,LOOKUP(B812,'Icon Lookup'!C:C,'Icon Lookup'!B:B),"")</f>
        <v/>
      </c>
      <c r="B812" s="21" t="s">
        <v>476</v>
      </c>
      <c r="C812" s="20"/>
      <c r="D812" s="20">
        <v>44.0</v>
      </c>
      <c r="E812" s="20" t="s">
        <v>203</v>
      </c>
      <c r="G812" s="22"/>
      <c r="H812" s="23" t="s">
        <v>1210</v>
      </c>
      <c r="I812" s="20" t="s">
        <v>52</v>
      </c>
      <c r="J812" s="20">
        <v>0.0</v>
      </c>
      <c r="K812" s="20">
        <v>0.0</v>
      </c>
      <c r="L812" s="20">
        <v>0.0</v>
      </c>
      <c r="M812" s="20">
        <v>0.0</v>
      </c>
      <c r="N812" s="20">
        <v>0.0</v>
      </c>
      <c r="O812" s="20">
        <v>0.0</v>
      </c>
      <c r="P812" s="20">
        <v>0.0</v>
      </c>
      <c r="Q812" s="20">
        <v>0.0</v>
      </c>
      <c r="R812" s="20">
        <v>0.0</v>
      </c>
      <c r="S812" s="20">
        <v>0.0</v>
      </c>
      <c r="T812" s="20">
        <v>0.0</v>
      </c>
      <c r="U812" s="20">
        <v>0.0</v>
      </c>
    </row>
    <row r="813" ht="23.25" customHeight="1">
      <c r="A813" s="1"/>
      <c r="B813" s="15" t="s">
        <v>1211</v>
      </c>
      <c r="C813" s="1" t="s">
        <v>17</v>
      </c>
      <c r="D813" s="1" t="s">
        <v>1212</v>
      </c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ht="23.25" customHeight="1">
      <c r="A814" s="17" t="str">
        <f>IF(COUNTIF('Icon Lookup'!C:C,B814)&gt;0,LOOKUP(B814,'Icon Lookup'!C:C,'Icon Lookup'!B:B),"")</f>
        <v/>
      </c>
      <c r="B814" s="18" t="s">
        <v>704</v>
      </c>
      <c r="C814" s="17"/>
      <c r="D814" s="17">
        <v>6.0</v>
      </c>
      <c r="E814" s="17" t="s">
        <v>387</v>
      </c>
      <c r="G814" s="19"/>
      <c r="H814" s="20" t="s">
        <v>1213</v>
      </c>
      <c r="I814" s="17" t="s">
        <v>40</v>
      </c>
      <c r="J814" s="17">
        <v>0.0</v>
      </c>
      <c r="K814" s="17">
        <v>0.0</v>
      </c>
      <c r="L814" s="17">
        <v>0.0</v>
      </c>
      <c r="M814" s="17">
        <v>0.0</v>
      </c>
      <c r="N814" s="17">
        <v>0.0</v>
      </c>
      <c r="O814" s="17">
        <v>0.0</v>
      </c>
      <c r="P814" s="17">
        <v>0.0</v>
      </c>
      <c r="Q814" s="17">
        <v>0.0</v>
      </c>
      <c r="R814" s="17">
        <v>0.0</v>
      </c>
      <c r="S814" s="17">
        <v>0.0</v>
      </c>
      <c r="T814" s="17">
        <v>0.0</v>
      </c>
      <c r="U814" s="17">
        <v>0.0</v>
      </c>
    </row>
    <row r="815" ht="23.25" customHeight="1">
      <c r="A815" s="1"/>
      <c r="B815" s="15" t="s">
        <v>1214</v>
      </c>
      <c r="C815" s="1" t="s">
        <v>17</v>
      </c>
      <c r="D815" s="1" t="s">
        <v>1215</v>
      </c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ht="23.25" customHeight="1">
      <c r="A816" s="20" t="str">
        <f>IF(COUNTIF('Icon Lookup'!C:C,B816)&gt;0,LOOKUP(B816,'Icon Lookup'!C:C,'Icon Lookup'!B:B),"")</f>
        <v/>
      </c>
      <c r="B816" s="21" t="s">
        <v>1178</v>
      </c>
      <c r="C816" s="20"/>
      <c r="D816" s="20">
        <v>28.0</v>
      </c>
      <c r="E816" s="20" t="s">
        <v>1126</v>
      </c>
      <c r="G816" s="22"/>
      <c r="H816" s="23" t="s">
        <v>1179</v>
      </c>
      <c r="I816" s="20" t="s">
        <v>105</v>
      </c>
      <c r="J816" s="20">
        <v>0.0</v>
      </c>
      <c r="K816" s="20">
        <v>0.0</v>
      </c>
      <c r="L816" s="20">
        <v>0.0</v>
      </c>
      <c r="M816" s="20">
        <v>0.0</v>
      </c>
      <c r="N816" s="20">
        <v>0.0</v>
      </c>
      <c r="O816" s="20">
        <v>0.0</v>
      </c>
      <c r="P816" s="20">
        <v>0.0</v>
      </c>
      <c r="Q816" s="20">
        <v>0.0</v>
      </c>
      <c r="R816" s="20">
        <v>0.0</v>
      </c>
      <c r="S816" s="20">
        <v>0.0</v>
      </c>
      <c r="T816" s="20">
        <v>0.0</v>
      </c>
      <c r="U816" s="20">
        <v>0.0</v>
      </c>
    </row>
    <row r="817" ht="23.25" customHeight="1">
      <c r="A817" s="17" t="str">
        <f>IF(COUNTIF('Icon Lookup'!C:C,B817)&gt;0,LOOKUP(B817,'Icon Lookup'!C:C,'Icon Lookup'!B:B),"")</f>
        <v/>
      </c>
      <c r="B817" s="18" t="s">
        <v>1178</v>
      </c>
      <c r="C817" s="17"/>
      <c r="D817" s="17">
        <v>28.0</v>
      </c>
      <c r="E817" s="17" t="s">
        <v>991</v>
      </c>
      <c r="G817" s="19"/>
      <c r="H817" s="20" t="s">
        <v>1216</v>
      </c>
      <c r="I817" s="17" t="s">
        <v>52</v>
      </c>
      <c r="J817" s="17">
        <v>0.0</v>
      </c>
      <c r="K817" s="17">
        <v>0.0</v>
      </c>
      <c r="L817" s="17">
        <v>0.0</v>
      </c>
      <c r="M817" s="17">
        <v>0.0</v>
      </c>
      <c r="N817" s="17">
        <v>0.0</v>
      </c>
      <c r="O817" s="17">
        <v>0.0</v>
      </c>
      <c r="P817" s="17">
        <v>0.0</v>
      </c>
      <c r="Q817" s="17">
        <v>0.0</v>
      </c>
      <c r="R817" s="17">
        <v>0.0</v>
      </c>
      <c r="S817" s="17">
        <v>0.0</v>
      </c>
      <c r="T817" s="17">
        <v>0.0</v>
      </c>
      <c r="U817" s="17">
        <v>0.0</v>
      </c>
    </row>
    <row r="818" ht="23.25" customHeight="1">
      <c r="A818" s="1"/>
      <c r="B818" s="15" t="s">
        <v>1217</v>
      </c>
      <c r="C818" s="1" t="s">
        <v>17</v>
      </c>
      <c r="D818" s="1" t="s">
        <v>1218</v>
      </c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ht="23.25" customHeight="1">
      <c r="A819" s="20" t="str">
        <f>IF(COUNTIF('Icon Lookup'!C:C,B819)&gt;0,LOOKUP(B819,'Icon Lookup'!C:C,'Icon Lookup'!B:B),"")</f>
        <v/>
      </c>
      <c r="B819" s="21" t="s">
        <v>70</v>
      </c>
      <c r="C819" s="20"/>
      <c r="D819" s="20">
        <v>44.0</v>
      </c>
      <c r="E819" s="20" t="s">
        <v>71</v>
      </c>
      <c r="G819" s="22"/>
      <c r="H819" s="23" t="s">
        <v>1219</v>
      </c>
      <c r="I819" s="20" t="s">
        <v>22</v>
      </c>
      <c r="J819" s="20">
        <v>0.0</v>
      </c>
      <c r="K819" s="20">
        <v>0.0</v>
      </c>
      <c r="L819" s="20">
        <v>0.0</v>
      </c>
      <c r="M819" s="20">
        <v>0.0</v>
      </c>
      <c r="N819" s="20">
        <v>0.0</v>
      </c>
      <c r="O819" s="20">
        <v>0.0</v>
      </c>
      <c r="P819" s="20">
        <v>0.0</v>
      </c>
      <c r="Q819" s="20">
        <v>0.0</v>
      </c>
      <c r="R819" s="20">
        <v>0.0</v>
      </c>
      <c r="S819" s="20">
        <v>0.0</v>
      </c>
      <c r="T819" s="20">
        <v>0.0</v>
      </c>
      <c r="U819" s="20">
        <v>0.0</v>
      </c>
    </row>
    <row r="820" ht="23.25" customHeight="1">
      <c r="A820" s="1"/>
      <c r="B820" s="15" t="s">
        <v>1220</v>
      </c>
      <c r="C820" s="1" t="s">
        <v>17</v>
      </c>
      <c r="D820" s="1" t="s">
        <v>1221</v>
      </c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ht="23.25" customHeight="1">
      <c r="A821" s="17" t="str">
        <f>IF(COUNTIF('Icon Lookup'!C:C,B821)&gt;0,LOOKUP(B821,'Icon Lookup'!C:C,'Icon Lookup'!B:B),"")</f>
        <v/>
      </c>
      <c r="B821" s="18" t="s">
        <v>704</v>
      </c>
      <c r="C821" s="17"/>
      <c r="D821" s="17">
        <v>6.0</v>
      </c>
      <c r="E821" s="17" t="s">
        <v>387</v>
      </c>
      <c r="G821" s="19"/>
      <c r="H821" s="20" t="s">
        <v>1213</v>
      </c>
      <c r="I821" s="17" t="s">
        <v>52</v>
      </c>
      <c r="J821" s="17">
        <v>0.0</v>
      </c>
      <c r="K821" s="17">
        <v>0.0</v>
      </c>
      <c r="L821" s="17">
        <v>0.0</v>
      </c>
      <c r="M821" s="17">
        <v>0.0</v>
      </c>
      <c r="N821" s="17">
        <v>0.0</v>
      </c>
      <c r="O821" s="17">
        <v>0.0</v>
      </c>
      <c r="P821" s="17">
        <v>0.0</v>
      </c>
      <c r="Q821" s="17">
        <v>0.0</v>
      </c>
      <c r="R821" s="17">
        <v>0.0</v>
      </c>
      <c r="S821" s="17">
        <v>0.0</v>
      </c>
      <c r="T821" s="17">
        <v>0.0</v>
      </c>
      <c r="U821" s="17">
        <v>0.0</v>
      </c>
    </row>
    <row r="822" ht="23.25" customHeight="1">
      <c r="A822" s="1"/>
      <c r="B822" s="15" t="s">
        <v>1222</v>
      </c>
      <c r="C822" s="1" t="s">
        <v>17</v>
      </c>
      <c r="D822" s="1" t="s">
        <v>1223</v>
      </c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ht="23.25" customHeight="1">
      <c r="A823" s="20" t="str">
        <f>IF(COUNTIF('Icon Lookup'!C:C,B823)&gt;0,LOOKUP(B823,'Icon Lookup'!C:C,'Icon Lookup'!B:B),"")</f>
        <v/>
      </c>
      <c r="B823" s="21" t="s">
        <v>1003</v>
      </c>
      <c r="C823" s="20"/>
      <c r="D823" s="20">
        <v>23.0</v>
      </c>
      <c r="E823" s="20" t="s">
        <v>1004</v>
      </c>
      <c r="G823" s="22"/>
      <c r="H823" s="23" t="s">
        <v>1224</v>
      </c>
      <c r="I823" s="20" t="s">
        <v>22</v>
      </c>
      <c r="J823" s="20">
        <v>0.0</v>
      </c>
      <c r="K823" s="20">
        <v>0.0</v>
      </c>
      <c r="L823" s="20">
        <v>0.0</v>
      </c>
      <c r="M823" s="20">
        <v>0.0</v>
      </c>
      <c r="N823" s="20">
        <v>0.0</v>
      </c>
      <c r="O823" s="20">
        <v>0.0</v>
      </c>
      <c r="P823" s="20">
        <v>0.0</v>
      </c>
      <c r="Q823" s="20">
        <v>0.0</v>
      </c>
      <c r="R823" s="20">
        <v>0.0</v>
      </c>
      <c r="S823" s="20">
        <v>0.0</v>
      </c>
      <c r="T823" s="20">
        <v>0.0</v>
      </c>
      <c r="U823" s="20">
        <v>0.0</v>
      </c>
    </row>
    <row r="824" ht="23.25" customHeight="1">
      <c r="A824" s="1"/>
      <c r="B824" s="15" t="s">
        <v>1225</v>
      </c>
      <c r="C824" s="1" t="s">
        <v>17</v>
      </c>
      <c r="D824" s="1" t="s">
        <v>1226</v>
      </c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ht="23.25" customHeight="1">
      <c r="A825" s="17" t="str">
        <f>IF(COUNTIF('Icon Lookup'!C:C,B825)&gt;0,LOOKUP(B825,'Icon Lookup'!C:C,'Icon Lookup'!B:B),"")</f>
        <v/>
      </c>
      <c r="B825" s="18" t="s">
        <v>198</v>
      </c>
      <c r="C825" s="17"/>
      <c r="D825" s="17">
        <v>17.0</v>
      </c>
      <c r="E825" s="17" t="s">
        <v>50</v>
      </c>
      <c r="G825" s="19"/>
      <c r="H825" s="20" t="s">
        <v>1227</v>
      </c>
      <c r="I825" s="17" t="s">
        <v>52</v>
      </c>
      <c r="J825" s="17">
        <v>0.0</v>
      </c>
      <c r="K825" s="17">
        <v>0.0</v>
      </c>
      <c r="L825" s="17">
        <v>0.0</v>
      </c>
      <c r="M825" s="17">
        <v>0.0</v>
      </c>
      <c r="N825" s="17">
        <v>0.0</v>
      </c>
      <c r="O825" s="17">
        <v>0.0</v>
      </c>
      <c r="P825" s="17">
        <v>0.0</v>
      </c>
      <c r="Q825" s="17">
        <v>0.0</v>
      </c>
      <c r="R825" s="17">
        <v>0.0</v>
      </c>
      <c r="S825" s="17">
        <v>0.0</v>
      </c>
      <c r="T825" s="17">
        <v>0.0</v>
      </c>
      <c r="U825" s="17">
        <v>0.0</v>
      </c>
    </row>
    <row r="826" ht="23.25" customHeight="1">
      <c r="A826" s="1"/>
      <c r="B826" s="15" t="s">
        <v>1228</v>
      </c>
      <c r="C826" s="1" t="s">
        <v>17</v>
      </c>
      <c r="D826" s="1" t="s">
        <v>1229</v>
      </c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ht="23.25" customHeight="1">
      <c r="A827" s="20" t="str">
        <f>IF(COUNTIF('Icon Lookup'!C:C,B827)&gt;0,LOOKUP(B827,'Icon Lookup'!C:C,'Icon Lookup'!B:B),"")</f>
        <v/>
      </c>
      <c r="B827" s="21" t="s">
        <v>57</v>
      </c>
      <c r="C827" s="20"/>
      <c r="D827" s="20">
        <v>7.0</v>
      </c>
      <c r="E827" s="20" t="s">
        <v>58</v>
      </c>
      <c r="G827" s="22"/>
      <c r="H827" s="23" t="s">
        <v>59</v>
      </c>
      <c r="I827" s="20" t="s">
        <v>22</v>
      </c>
      <c r="J827" s="20">
        <v>0.0</v>
      </c>
      <c r="K827" s="20">
        <v>0.0</v>
      </c>
      <c r="L827" s="20">
        <v>0.0</v>
      </c>
      <c r="M827" s="20">
        <v>0.0</v>
      </c>
      <c r="N827" s="20">
        <v>0.0</v>
      </c>
      <c r="O827" s="20">
        <v>0.0</v>
      </c>
      <c r="P827" s="20">
        <v>0.0</v>
      </c>
      <c r="Q827" s="20">
        <v>0.0</v>
      </c>
      <c r="R827" s="20">
        <v>0.0</v>
      </c>
      <c r="S827" s="20">
        <v>0.0</v>
      </c>
      <c r="T827" s="20">
        <v>0.0</v>
      </c>
      <c r="U827" s="20">
        <v>0.0</v>
      </c>
    </row>
    <row r="828" ht="23.25" customHeight="1">
      <c r="A828" s="1"/>
      <c r="B828" s="15" t="s">
        <v>1230</v>
      </c>
      <c r="C828" s="1" t="s">
        <v>17</v>
      </c>
      <c r="D828" s="1" t="s">
        <v>1231</v>
      </c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ht="23.25" customHeight="1">
      <c r="A829" s="17" t="str">
        <f>IF(COUNTIF('Icon Lookup'!C:C,B829)&gt;0,LOOKUP(B829,'Icon Lookup'!C:C,'Icon Lookup'!B:B),"")</f>
        <v/>
      </c>
      <c r="B829" s="18" t="s">
        <v>90</v>
      </c>
      <c r="C829" s="17"/>
      <c r="D829" s="17">
        <v>7.0</v>
      </c>
      <c r="E829" s="17" t="s">
        <v>276</v>
      </c>
      <c r="G829" s="19"/>
      <c r="H829" s="20" t="s">
        <v>1232</v>
      </c>
      <c r="I829" s="17" t="s">
        <v>46</v>
      </c>
      <c r="J829" s="17">
        <v>0.0</v>
      </c>
      <c r="K829" s="17">
        <v>0.0</v>
      </c>
      <c r="L829" s="17">
        <v>0.0</v>
      </c>
      <c r="M829" s="17">
        <v>0.0</v>
      </c>
      <c r="N829" s="17">
        <v>0.0</v>
      </c>
      <c r="O829" s="17">
        <v>0.0</v>
      </c>
      <c r="P829" s="17">
        <v>0.0</v>
      </c>
      <c r="Q829" s="17">
        <v>0.0</v>
      </c>
      <c r="R829" s="17">
        <v>0.0</v>
      </c>
      <c r="S829" s="17">
        <v>0.0</v>
      </c>
      <c r="T829" s="17">
        <v>0.0</v>
      </c>
      <c r="U829" s="17">
        <v>0.0</v>
      </c>
    </row>
    <row r="830" ht="23.25" customHeight="1">
      <c r="A830" s="1"/>
      <c r="B830" s="15" t="s">
        <v>1233</v>
      </c>
      <c r="C830" s="1" t="s">
        <v>17</v>
      </c>
      <c r="D830" s="1" t="s">
        <v>1234</v>
      </c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ht="23.25" customHeight="1">
      <c r="A831" s="20" t="str">
        <f>IF(COUNTIF('Icon Lookup'!C:C,B831)&gt;0,LOOKUP(B831,'Icon Lookup'!C:C,'Icon Lookup'!B:B),"")</f>
        <v/>
      </c>
      <c r="B831" s="21" t="s">
        <v>447</v>
      </c>
      <c r="C831" s="20"/>
      <c r="D831" s="20">
        <v>27.0</v>
      </c>
      <c r="E831" s="20" t="s">
        <v>161</v>
      </c>
      <c r="G831" s="22"/>
      <c r="H831" s="23" t="s">
        <v>1235</v>
      </c>
      <c r="I831" s="20" t="s">
        <v>52</v>
      </c>
      <c r="J831" s="20">
        <v>0.0</v>
      </c>
      <c r="K831" s="20">
        <v>0.0</v>
      </c>
      <c r="L831" s="20">
        <v>0.0</v>
      </c>
      <c r="M831" s="20">
        <v>0.0</v>
      </c>
      <c r="N831" s="20">
        <v>0.0</v>
      </c>
      <c r="O831" s="20">
        <v>0.0</v>
      </c>
      <c r="P831" s="20">
        <v>0.0</v>
      </c>
      <c r="Q831" s="20">
        <v>0.0</v>
      </c>
      <c r="R831" s="20">
        <v>0.0</v>
      </c>
      <c r="S831" s="20">
        <v>0.0</v>
      </c>
      <c r="T831" s="20">
        <v>0.0</v>
      </c>
      <c r="U831" s="20">
        <v>0.0</v>
      </c>
    </row>
    <row r="832" ht="23.25" customHeight="1">
      <c r="A832" s="17" t="str">
        <f>IF(COUNTIF('Icon Lookup'!C:C,B832)&gt;0,LOOKUP(B832,'Icon Lookup'!C:C,'Icon Lookup'!B:B),"")</f>
        <v/>
      </c>
      <c r="B832" s="18" t="s">
        <v>442</v>
      </c>
      <c r="C832" s="17"/>
      <c r="D832" s="17">
        <v>29.0</v>
      </c>
      <c r="E832" s="17" t="s">
        <v>161</v>
      </c>
      <c r="G832" s="19"/>
      <c r="H832" s="20" t="s">
        <v>1236</v>
      </c>
      <c r="I832" s="17" t="s">
        <v>612</v>
      </c>
      <c r="J832" s="17">
        <v>0.0</v>
      </c>
      <c r="K832" s="17">
        <v>0.0</v>
      </c>
      <c r="L832" s="17">
        <v>0.0</v>
      </c>
      <c r="M832" s="17">
        <v>0.0</v>
      </c>
      <c r="N832" s="17">
        <v>0.0</v>
      </c>
      <c r="O832" s="17">
        <v>0.0</v>
      </c>
      <c r="P832" s="17">
        <v>0.0</v>
      </c>
      <c r="Q832" s="17">
        <v>0.0</v>
      </c>
      <c r="R832" s="17">
        <v>0.0</v>
      </c>
      <c r="S832" s="17">
        <v>0.0</v>
      </c>
      <c r="T832" s="17">
        <v>0.0</v>
      </c>
      <c r="U832" s="17">
        <v>0.0</v>
      </c>
    </row>
    <row r="833" ht="23.25" customHeight="1">
      <c r="A833" s="1"/>
      <c r="B833" s="15" t="s">
        <v>1237</v>
      </c>
      <c r="C833" s="1" t="s">
        <v>17</v>
      </c>
      <c r="D833" s="1" t="s">
        <v>1238</v>
      </c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ht="23.25" customHeight="1">
      <c r="A834" s="20" t="str">
        <f>IF(COUNTIF('Icon Lookup'!C:C,B834)&gt;0,LOOKUP(B834,'Icon Lookup'!C:C,'Icon Lookup'!B:B),"")</f>
        <v/>
      </c>
      <c r="B834" s="21" t="s">
        <v>365</v>
      </c>
      <c r="C834" s="20"/>
      <c r="D834" s="20">
        <v>29.0</v>
      </c>
      <c r="E834" s="20" t="s">
        <v>366</v>
      </c>
      <c r="G834" s="22"/>
      <c r="H834" s="23" t="s">
        <v>367</v>
      </c>
      <c r="I834" s="20" t="s">
        <v>40</v>
      </c>
      <c r="J834" s="20">
        <v>0.0</v>
      </c>
      <c r="K834" s="20">
        <v>0.0</v>
      </c>
      <c r="L834" s="20">
        <v>0.0</v>
      </c>
      <c r="M834" s="20">
        <v>0.0</v>
      </c>
      <c r="N834" s="20">
        <v>0.0</v>
      </c>
      <c r="O834" s="20">
        <v>0.0</v>
      </c>
      <c r="P834" s="20">
        <v>0.0</v>
      </c>
      <c r="Q834" s="20">
        <v>0.0</v>
      </c>
      <c r="R834" s="20">
        <v>0.0</v>
      </c>
      <c r="S834" s="20">
        <v>0.0</v>
      </c>
      <c r="T834" s="20">
        <v>0.0</v>
      </c>
      <c r="U834" s="20">
        <v>0.0</v>
      </c>
    </row>
    <row r="835" ht="23.25" customHeight="1">
      <c r="A835" s="17" t="str">
        <f>IF(COUNTIF('Icon Lookup'!C:C,B835)&gt;0,LOOKUP(B835,'Icon Lookup'!C:C,'Icon Lookup'!B:B),"")</f>
        <v/>
      </c>
      <c r="B835" s="18" t="s">
        <v>365</v>
      </c>
      <c r="C835" s="17"/>
      <c r="D835" s="17">
        <v>29.0</v>
      </c>
      <c r="E835" s="17" t="s">
        <v>366</v>
      </c>
      <c r="G835" s="19"/>
      <c r="H835" s="20" t="s">
        <v>587</v>
      </c>
      <c r="I835" s="17" t="s">
        <v>40</v>
      </c>
      <c r="J835" s="17">
        <v>0.0</v>
      </c>
      <c r="K835" s="17">
        <v>0.0</v>
      </c>
      <c r="L835" s="17">
        <v>0.0</v>
      </c>
      <c r="M835" s="17">
        <v>0.0</v>
      </c>
      <c r="N835" s="17">
        <v>0.0</v>
      </c>
      <c r="O835" s="17">
        <v>0.0</v>
      </c>
      <c r="P835" s="17">
        <v>0.0</v>
      </c>
      <c r="Q835" s="17">
        <v>0.0</v>
      </c>
      <c r="R835" s="17">
        <v>0.0</v>
      </c>
      <c r="S835" s="17">
        <v>0.0</v>
      </c>
      <c r="T835" s="17">
        <v>0.0</v>
      </c>
      <c r="U835" s="17">
        <v>0.0</v>
      </c>
    </row>
    <row r="836" ht="23.25" customHeight="1">
      <c r="A836" s="1"/>
      <c r="B836" s="15" t="s">
        <v>1239</v>
      </c>
      <c r="C836" s="1" t="s">
        <v>17</v>
      </c>
      <c r="D836" s="1" t="s">
        <v>1240</v>
      </c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ht="23.25" customHeight="1">
      <c r="A837" s="20" t="str">
        <f>IF(COUNTIF('Icon Lookup'!C:C,B837)&gt;0,LOOKUP(B837,'Icon Lookup'!C:C,'Icon Lookup'!B:B),"")</f>
        <v/>
      </c>
      <c r="B837" s="21" t="s">
        <v>427</v>
      </c>
      <c r="C837" s="20"/>
      <c r="D837" s="20">
        <v>43.0</v>
      </c>
      <c r="E837" s="20" t="s">
        <v>557</v>
      </c>
      <c r="G837" s="22"/>
      <c r="H837" s="23" t="s">
        <v>1241</v>
      </c>
      <c r="I837" s="20" t="s">
        <v>36</v>
      </c>
      <c r="J837" s="20">
        <v>0.0</v>
      </c>
      <c r="K837" s="20">
        <v>0.0</v>
      </c>
      <c r="L837" s="20">
        <v>0.0</v>
      </c>
      <c r="M837" s="20">
        <v>0.0</v>
      </c>
      <c r="N837" s="20">
        <v>0.0</v>
      </c>
      <c r="O837" s="20">
        <v>0.0</v>
      </c>
      <c r="P837" s="20">
        <v>0.0</v>
      </c>
      <c r="Q837" s="20">
        <v>0.0</v>
      </c>
      <c r="R837" s="20">
        <v>0.0</v>
      </c>
      <c r="S837" s="20">
        <v>0.0</v>
      </c>
      <c r="T837" s="20">
        <v>0.0</v>
      </c>
      <c r="U837" s="20">
        <v>0.0</v>
      </c>
    </row>
    <row r="838" ht="23.25" customHeight="1">
      <c r="A838" s="1"/>
      <c r="B838" s="15" t="s">
        <v>1242</v>
      </c>
      <c r="C838" s="1" t="s">
        <v>17</v>
      </c>
      <c r="D838" s="1" t="s">
        <v>1243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ht="23.25" customHeight="1">
      <c r="A839" s="17" t="str">
        <f>IF(COUNTIF('Icon Lookup'!C:C,B839)&gt;0,LOOKUP(B839,'Icon Lookup'!C:C,'Icon Lookup'!B:B),"")</f>
        <v/>
      </c>
      <c r="B839" s="18" t="s">
        <v>381</v>
      </c>
      <c r="C839" s="17"/>
      <c r="D839" s="17">
        <v>29.0</v>
      </c>
      <c r="E839" s="17" t="s">
        <v>382</v>
      </c>
      <c r="G839" s="19"/>
      <c r="H839" s="20" t="s">
        <v>1244</v>
      </c>
      <c r="I839" s="17" t="s">
        <v>73</v>
      </c>
      <c r="J839" s="17">
        <v>0.0</v>
      </c>
      <c r="K839" s="17">
        <v>0.0</v>
      </c>
      <c r="L839" s="17">
        <v>0.0</v>
      </c>
      <c r="M839" s="17">
        <v>0.0</v>
      </c>
      <c r="N839" s="17">
        <v>0.0</v>
      </c>
      <c r="O839" s="17">
        <v>0.0</v>
      </c>
      <c r="P839" s="17">
        <v>0.0</v>
      </c>
      <c r="Q839" s="17">
        <v>0.0</v>
      </c>
      <c r="R839" s="17">
        <v>0.0</v>
      </c>
      <c r="S839" s="17">
        <v>0.0</v>
      </c>
      <c r="T839" s="17">
        <v>0.0</v>
      </c>
      <c r="U839" s="17">
        <v>0.0</v>
      </c>
    </row>
    <row r="840" ht="23.25" customHeight="1">
      <c r="A840" s="20" t="str">
        <f>IF(COUNTIF('Icon Lookup'!C:C,B840)&gt;0,LOOKUP(B840,'Icon Lookup'!C:C,'Icon Lookup'!B:B),"")</f>
        <v/>
      </c>
      <c r="B840" s="21" t="s">
        <v>381</v>
      </c>
      <c r="C840" s="20"/>
      <c r="D840" s="20">
        <v>29.0</v>
      </c>
      <c r="E840" s="20" t="s">
        <v>382</v>
      </c>
      <c r="G840" s="22"/>
      <c r="H840" s="23" t="s">
        <v>604</v>
      </c>
      <c r="I840" s="20" t="s">
        <v>73</v>
      </c>
      <c r="J840" s="20">
        <v>0.0</v>
      </c>
      <c r="K840" s="20">
        <v>0.0</v>
      </c>
      <c r="L840" s="20">
        <v>0.0</v>
      </c>
      <c r="M840" s="20">
        <v>0.0</v>
      </c>
      <c r="N840" s="20">
        <v>0.0</v>
      </c>
      <c r="O840" s="20">
        <v>0.0</v>
      </c>
      <c r="P840" s="20">
        <v>0.0</v>
      </c>
      <c r="Q840" s="20">
        <v>0.0</v>
      </c>
      <c r="R840" s="20">
        <v>0.0</v>
      </c>
      <c r="S840" s="20">
        <v>0.0</v>
      </c>
      <c r="T840" s="20">
        <v>0.0</v>
      </c>
      <c r="U840" s="20">
        <v>0.0</v>
      </c>
    </row>
    <row r="841" ht="23.25" customHeight="1">
      <c r="A841" s="1"/>
      <c r="B841" s="15" t="s">
        <v>1245</v>
      </c>
      <c r="C841" s="1" t="s">
        <v>17</v>
      </c>
      <c r="D841" s="1" t="s">
        <v>1246</v>
      </c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ht="23.25" customHeight="1">
      <c r="A842" s="17" t="str">
        <f>IF(COUNTIF('Icon Lookup'!C:C,B842)&gt;0,LOOKUP(B842,'Icon Lookup'!C:C,'Icon Lookup'!B:B),"")</f>
        <v/>
      </c>
      <c r="B842" s="18" t="s">
        <v>427</v>
      </c>
      <c r="C842" s="17"/>
      <c r="D842" s="17">
        <v>43.0</v>
      </c>
      <c r="E842" s="17" t="s">
        <v>428</v>
      </c>
      <c r="G842" s="19"/>
      <c r="H842" s="20" t="s">
        <v>652</v>
      </c>
      <c r="I842" s="17" t="s">
        <v>73</v>
      </c>
      <c r="J842" s="17">
        <v>0.0</v>
      </c>
      <c r="K842" s="17">
        <v>0.0</v>
      </c>
      <c r="L842" s="17">
        <v>0.0</v>
      </c>
      <c r="M842" s="17">
        <v>0.0</v>
      </c>
      <c r="N842" s="17">
        <v>0.0</v>
      </c>
      <c r="O842" s="17">
        <v>0.0</v>
      </c>
      <c r="P842" s="17">
        <v>0.0</v>
      </c>
      <c r="Q842" s="17">
        <v>0.0</v>
      </c>
      <c r="R842" s="17">
        <v>0.0</v>
      </c>
      <c r="S842" s="17">
        <v>0.0</v>
      </c>
      <c r="T842" s="17">
        <v>0.0</v>
      </c>
      <c r="U842" s="17">
        <v>0.0</v>
      </c>
    </row>
    <row r="843" ht="23.25" customHeight="1">
      <c r="A843" s="1"/>
      <c r="B843" s="15" t="s">
        <v>1247</v>
      </c>
      <c r="C843" s="1" t="s">
        <v>17</v>
      </c>
      <c r="D843" s="1" t="s">
        <v>1248</v>
      </c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ht="23.25" customHeight="1">
      <c r="A844" s="20" t="str">
        <f>IF(COUNTIF('Icon Lookup'!C:C,B844)&gt;0,LOOKUP(B844,'Icon Lookup'!C:C,'Icon Lookup'!B:B),"")</f>
        <v/>
      </c>
      <c r="B844" s="21" t="s">
        <v>117</v>
      </c>
      <c r="C844" s="20"/>
      <c r="D844" s="20">
        <v>52.0</v>
      </c>
      <c r="E844" s="20" t="s">
        <v>26</v>
      </c>
      <c r="G844" s="22"/>
      <c r="H844" s="23" t="s">
        <v>1249</v>
      </c>
      <c r="I844" s="20" t="s">
        <v>22</v>
      </c>
      <c r="J844" s="20">
        <v>0.0</v>
      </c>
      <c r="K844" s="20">
        <v>0.0</v>
      </c>
      <c r="L844" s="20">
        <v>0.0</v>
      </c>
      <c r="M844" s="20">
        <v>0.0</v>
      </c>
      <c r="N844" s="20">
        <v>0.0</v>
      </c>
      <c r="O844" s="20">
        <v>0.0</v>
      </c>
      <c r="P844" s="20">
        <v>0.0</v>
      </c>
      <c r="Q844" s="20">
        <v>0.0</v>
      </c>
      <c r="R844" s="20">
        <v>0.0</v>
      </c>
      <c r="S844" s="20">
        <v>0.0</v>
      </c>
      <c r="T844" s="20">
        <v>0.0</v>
      </c>
      <c r="U844" s="20">
        <v>0.0</v>
      </c>
    </row>
    <row r="845" ht="23.25" customHeight="1">
      <c r="A845" s="17" t="str">
        <f>IF(COUNTIF('Icon Lookup'!C:C,B845)&gt;0,LOOKUP(B845,'Icon Lookup'!C:C,'Icon Lookup'!B:B),"")</f>
        <v/>
      </c>
      <c r="B845" s="18" t="s">
        <v>410</v>
      </c>
      <c r="C845" s="17"/>
      <c r="D845" s="17">
        <v>53.0</v>
      </c>
      <c r="E845" s="17" t="s">
        <v>411</v>
      </c>
      <c r="G845" s="19"/>
      <c r="H845" s="20" t="s">
        <v>1250</v>
      </c>
      <c r="I845" s="17" t="s">
        <v>612</v>
      </c>
      <c r="J845" s="17">
        <v>0.0</v>
      </c>
      <c r="K845" s="17">
        <v>0.0</v>
      </c>
      <c r="L845" s="17">
        <v>0.0</v>
      </c>
      <c r="M845" s="17">
        <v>0.0</v>
      </c>
      <c r="N845" s="17">
        <v>0.0</v>
      </c>
      <c r="O845" s="17">
        <v>0.0</v>
      </c>
      <c r="P845" s="17">
        <v>0.0</v>
      </c>
      <c r="Q845" s="17">
        <v>0.0</v>
      </c>
      <c r="R845" s="17">
        <v>0.0</v>
      </c>
      <c r="S845" s="17">
        <v>0.0</v>
      </c>
      <c r="T845" s="17">
        <v>0.0</v>
      </c>
      <c r="U845" s="17">
        <v>0.0</v>
      </c>
    </row>
    <row r="846" ht="23.25" customHeight="1">
      <c r="A846" s="20" t="str">
        <f>IF(COUNTIF('Icon Lookup'!C:C,B846)&gt;0,LOOKUP(B846,'Icon Lookup'!C:C,'Icon Lookup'!B:B),"")</f>
        <v/>
      </c>
      <c r="B846" s="21" t="s">
        <v>174</v>
      </c>
      <c r="C846" s="20"/>
      <c r="D846" s="20">
        <v>54.0</v>
      </c>
      <c r="E846" s="20" t="s">
        <v>38</v>
      </c>
      <c r="G846" s="22"/>
      <c r="H846" s="23" t="s">
        <v>1251</v>
      </c>
      <c r="I846" s="20" t="s">
        <v>22</v>
      </c>
      <c r="J846" s="20">
        <v>0.0</v>
      </c>
      <c r="K846" s="20">
        <v>0.0</v>
      </c>
      <c r="L846" s="20">
        <v>0.0</v>
      </c>
      <c r="M846" s="20">
        <v>0.0</v>
      </c>
      <c r="N846" s="20">
        <v>0.0</v>
      </c>
      <c r="O846" s="20">
        <v>0.0</v>
      </c>
      <c r="P846" s="20">
        <v>0.0</v>
      </c>
      <c r="Q846" s="20">
        <v>0.0</v>
      </c>
      <c r="R846" s="20">
        <v>0.0</v>
      </c>
      <c r="S846" s="20">
        <v>0.0</v>
      </c>
      <c r="T846" s="20">
        <v>0.0</v>
      </c>
      <c r="U846" s="20">
        <v>0.0</v>
      </c>
    </row>
    <row r="847" ht="23.25" customHeight="1">
      <c r="A847" s="1"/>
      <c r="B847" s="15" t="s">
        <v>1252</v>
      </c>
      <c r="C847" s="1" t="s">
        <v>17</v>
      </c>
      <c r="D847" s="1" t="s">
        <v>1253</v>
      </c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ht="23.25" customHeight="1">
      <c r="A848" s="17" t="str">
        <f>IF(COUNTIF('Icon Lookup'!C:C,B848)&gt;0,LOOKUP(B848,'Icon Lookup'!C:C,'Icon Lookup'!B:B),"")</f>
        <v/>
      </c>
      <c r="B848" s="18" t="s">
        <v>245</v>
      </c>
      <c r="C848" s="17"/>
      <c r="D848" s="17">
        <v>22.0</v>
      </c>
      <c r="E848" s="17" t="s">
        <v>218</v>
      </c>
      <c r="G848" s="19"/>
      <c r="H848" s="20" t="s">
        <v>1254</v>
      </c>
      <c r="I848" s="17" t="s">
        <v>105</v>
      </c>
      <c r="J848" s="17">
        <v>0.0</v>
      </c>
      <c r="K848" s="17">
        <v>0.0</v>
      </c>
      <c r="L848" s="17">
        <v>0.0</v>
      </c>
      <c r="M848" s="17">
        <v>0.0</v>
      </c>
      <c r="N848" s="17">
        <v>0.0</v>
      </c>
      <c r="O848" s="17">
        <v>0.0</v>
      </c>
      <c r="P848" s="17">
        <v>0.0</v>
      </c>
      <c r="Q848" s="17">
        <v>0.0</v>
      </c>
      <c r="R848" s="17">
        <v>0.0</v>
      </c>
      <c r="S848" s="17">
        <v>0.0</v>
      </c>
      <c r="T848" s="17">
        <v>0.0</v>
      </c>
      <c r="U848" s="17">
        <v>0.0</v>
      </c>
    </row>
    <row r="849" ht="23.25" customHeight="1">
      <c r="A849" s="1"/>
      <c r="B849" s="15" t="s">
        <v>1255</v>
      </c>
      <c r="C849" s="1" t="s">
        <v>17</v>
      </c>
      <c r="D849" s="1" t="s">
        <v>1256</v>
      </c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ht="23.25" customHeight="1">
      <c r="A850" s="20" t="str">
        <f>IF(COUNTIF('Icon Lookup'!C:C,B850)&gt;0,LOOKUP(B850,'Icon Lookup'!C:C,'Icon Lookup'!B:B),"")</f>
        <v/>
      </c>
      <c r="B850" s="21" t="s">
        <v>97</v>
      </c>
      <c r="C850" s="20"/>
      <c r="D850" s="20">
        <v>29.0</v>
      </c>
      <c r="E850" s="20" t="s">
        <v>87</v>
      </c>
      <c r="G850" s="22"/>
      <c r="H850" s="23" t="s">
        <v>1257</v>
      </c>
      <c r="I850" s="20" t="s">
        <v>89</v>
      </c>
      <c r="J850" s="20">
        <v>0.0</v>
      </c>
      <c r="K850" s="20">
        <v>0.0</v>
      </c>
      <c r="L850" s="20">
        <v>0.0</v>
      </c>
      <c r="M850" s="20">
        <v>0.0</v>
      </c>
      <c r="N850" s="20">
        <v>0.0</v>
      </c>
      <c r="O850" s="20">
        <v>0.0</v>
      </c>
      <c r="P850" s="20">
        <v>0.0</v>
      </c>
      <c r="Q850" s="20">
        <v>0.0</v>
      </c>
      <c r="R850" s="20">
        <v>0.0</v>
      </c>
      <c r="S850" s="20">
        <v>0.0</v>
      </c>
      <c r="T850" s="20">
        <v>0.0</v>
      </c>
      <c r="U850" s="20">
        <v>0.0</v>
      </c>
    </row>
    <row r="851" ht="23.25" customHeight="1">
      <c r="A851" s="17" t="str">
        <f>IF(COUNTIF('Icon Lookup'!C:C,B851)&gt;0,LOOKUP(B851,'Icon Lookup'!C:C,'Icon Lookup'!B:B),"")</f>
        <v/>
      </c>
      <c r="B851" s="18" t="s">
        <v>97</v>
      </c>
      <c r="C851" s="17"/>
      <c r="D851" s="17">
        <v>29.0</v>
      </c>
      <c r="E851" s="17" t="s">
        <v>87</v>
      </c>
      <c r="G851" s="19"/>
      <c r="H851" s="20" t="s">
        <v>1258</v>
      </c>
      <c r="I851" s="17" t="s">
        <v>89</v>
      </c>
      <c r="J851" s="17">
        <v>0.0</v>
      </c>
      <c r="K851" s="17">
        <v>0.0</v>
      </c>
      <c r="L851" s="17">
        <v>0.0</v>
      </c>
      <c r="M851" s="17">
        <v>0.0</v>
      </c>
      <c r="N851" s="17">
        <v>0.0</v>
      </c>
      <c r="O851" s="17">
        <v>0.0</v>
      </c>
      <c r="P851" s="17">
        <v>0.0</v>
      </c>
      <c r="Q851" s="17">
        <v>0.0</v>
      </c>
      <c r="R851" s="17">
        <v>0.0</v>
      </c>
      <c r="S851" s="17">
        <v>0.0</v>
      </c>
      <c r="T851" s="17">
        <v>0.0</v>
      </c>
      <c r="U851" s="17">
        <v>0.0</v>
      </c>
    </row>
    <row r="852" ht="23.25" customHeight="1">
      <c r="A852" s="1"/>
      <c r="B852" s="15" t="s">
        <v>1259</v>
      </c>
      <c r="C852" s="1" t="s">
        <v>17</v>
      </c>
      <c r="D852" s="1" t="s">
        <v>1260</v>
      </c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ht="23.25" customHeight="1">
      <c r="A853" s="20" t="str">
        <f>IF(COUNTIF('Icon Lookup'!C:C,B853)&gt;0,LOOKUP(B853,'Icon Lookup'!C:C,'Icon Lookup'!B:B),"")</f>
        <v/>
      </c>
      <c r="B853" s="21" t="s">
        <v>1261</v>
      </c>
      <c r="C853" s="20"/>
      <c r="D853" s="20">
        <v>17.0</v>
      </c>
      <c r="E853" s="20" t="s">
        <v>525</v>
      </c>
      <c r="G853" s="22"/>
      <c r="H853" s="23" t="s">
        <v>1262</v>
      </c>
      <c r="I853" s="20" t="s">
        <v>211</v>
      </c>
      <c r="J853" s="20">
        <v>0.0</v>
      </c>
      <c r="K853" s="20">
        <v>0.0</v>
      </c>
      <c r="L853" s="20">
        <v>0.0</v>
      </c>
      <c r="M853" s="20">
        <v>0.0</v>
      </c>
      <c r="N853" s="20">
        <v>0.0</v>
      </c>
      <c r="O853" s="20">
        <v>0.0</v>
      </c>
      <c r="P853" s="20">
        <v>0.0</v>
      </c>
      <c r="Q853" s="20">
        <v>0.0</v>
      </c>
      <c r="R853" s="20">
        <v>0.0</v>
      </c>
      <c r="S853" s="20">
        <v>0.0</v>
      </c>
      <c r="T853" s="20">
        <v>0.0</v>
      </c>
      <c r="U853" s="20">
        <v>0.0</v>
      </c>
    </row>
    <row r="854" ht="23.25" customHeight="1">
      <c r="A854" s="1"/>
      <c r="B854" s="15" t="s">
        <v>1263</v>
      </c>
      <c r="C854" s="1" t="s">
        <v>17</v>
      </c>
      <c r="D854" s="1" t="s">
        <v>1264</v>
      </c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ht="23.25" customHeight="1">
      <c r="A855" s="17" t="str">
        <f>IF(COUNTIF('Icon Lookup'!C:C,B855)&gt;0,LOOKUP(B855,'Icon Lookup'!C:C,'Icon Lookup'!B:B),"")</f>
        <v/>
      </c>
      <c r="B855" s="18" t="s">
        <v>381</v>
      </c>
      <c r="C855" s="17"/>
      <c r="D855" s="17">
        <v>17.0</v>
      </c>
      <c r="E855" s="17" t="s">
        <v>382</v>
      </c>
      <c r="G855" s="19"/>
      <c r="H855" s="20" t="s">
        <v>662</v>
      </c>
      <c r="I855" s="17" t="s">
        <v>94</v>
      </c>
      <c r="J855" s="17">
        <v>0.0</v>
      </c>
      <c r="K855" s="17">
        <v>0.0</v>
      </c>
      <c r="L855" s="17">
        <v>0.0</v>
      </c>
      <c r="M855" s="17">
        <v>0.0</v>
      </c>
      <c r="N855" s="17">
        <v>0.0</v>
      </c>
      <c r="O855" s="17">
        <v>0.0</v>
      </c>
      <c r="P855" s="17">
        <v>0.0</v>
      </c>
      <c r="Q855" s="17">
        <v>0.0</v>
      </c>
      <c r="R855" s="17">
        <v>0.0</v>
      </c>
      <c r="S855" s="17">
        <v>0.0</v>
      </c>
      <c r="T855" s="17">
        <v>0.0</v>
      </c>
      <c r="U855" s="17">
        <v>0.0</v>
      </c>
    </row>
    <row r="856" ht="23.25" customHeight="1">
      <c r="A856" s="1"/>
      <c r="B856" s="15" t="s">
        <v>1265</v>
      </c>
      <c r="C856" s="1" t="s">
        <v>17</v>
      </c>
      <c r="D856" s="1" t="s">
        <v>1266</v>
      </c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ht="23.25" customHeight="1">
      <c r="A857" s="20" t="str">
        <f>IF(COUNTIF('Icon Lookup'!C:C,B857)&gt;0,LOOKUP(B857,'Icon Lookup'!C:C,'Icon Lookup'!B:B),"")</f>
        <v/>
      </c>
      <c r="B857" s="21" t="s">
        <v>70</v>
      </c>
      <c r="C857" s="20"/>
      <c r="D857" s="20">
        <v>17.0</v>
      </c>
      <c r="E857" s="20" t="s">
        <v>71</v>
      </c>
      <c r="G857" s="22"/>
      <c r="H857" s="23" t="s">
        <v>1267</v>
      </c>
      <c r="I857" s="20" t="s">
        <v>156</v>
      </c>
      <c r="J857" s="20">
        <v>0.0</v>
      </c>
      <c r="K857" s="20">
        <v>0.0</v>
      </c>
      <c r="L857" s="20">
        <v>0.0</v>
      </c>
      <c r="M857" s="20">
        <v>0.0</v>
      </c>
      <c r="N857" s="20">
        <v>0.0</v>
      </c>
      <c r="O857" s="20">
        <v>0.0</v>
      </c>
      <c r="P857" s="20">
        <v>0.0</v>
      </c>
      <c r="Q857" s="20">
        <v>0.0</v>
      </c>
      <c r="R857" s="20">
        <v>0.0</v>
      </c>
      <c r="S857" s="20">
        <v>0.0</v>
      </c>
      <c r="T857" s="20">
        <v>0.0</v>
      </c>
      <c r="U857" s="20">
        <v>0.0</v>
      </c>
    </row>
    <row r="858" ht="23.25" customHeight="1">
      <c r="A858" s="1"/>
      <c r="B858" s="15" t="s">
        <v>1268</v>
      </c>
      <c r="C858" s="1" t="s">
        <v>17</v>
      </c>
      <c r="D858" s="1" t="s">
        <v>1269</v>
      </c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ht="23.25" customHeight="1">
      <c r="A859" s="17" t="str">
        <f>IF(COUNTIF('Icon Lookup'!C:C,B859)&gt;0,LOOKUP(B859,'Icon Lookup'!C:C,'Icon Lookup'!B:B),"")</f>
        <v/>
      </c>
      <c r="B859" s="18" t="s">
        <v>341</v>
      </c>
      <c r="C859" s="17"/>
      <c r="D859" s="17">
        <v>17.0</v>
      </c>
      <c r="E859" s="17" t="s">
        <v>20</v>
      </c>
      <c r="G859" s="19"/>
      <c r="H859" s="20" t="s">
        <v>1270</v>
      </c>
      <c r="I859" s="17" t="s">
        <v>205</v>
      </c>
      <c r="J859" s="17">
        <v>0.0</v>
      </c>
      <c r="K859" s="17">
        <v>0.0</v>
      </c>
      <c r="L859" s="17">
        <v>0.0</v>
      </c>
      <c r="M859" s="17">
        <v>0.0</v>
      </c>
      <c r="N859" s="17">
        <v>0.0</v>
      </c>
      <c r="O859" s="17">
        <v>0.0</v>
      </c>
      <c r="P859" s="17">
        <v>0.0</v>
      </c>
      <c r="Q859" s="17">
        <v>0.0</v>
      </c>
      <c r="R859" s="17">
        <v>0.0</v>
      </c>
      <c r="S859" s="17">
        <v>0.0</v>
      </c>
      <c r="T859" s="17">
        <v>0.0</v>
      </c>
      <c r="U859" s="17">
        <v>0.0</v>
      </c>
    </row>
    <row r="860" ht="23.25" customHeight="1">
      <c r="A860" s="1"/>
      <c r="B860" s="15" t="s">
        <v>1271</v>
      </c>
      <c r="C860" s="1" t="s">
        <v>17</v>
      </c>
      <c r="D860" s="1" t="s">
        <v>1272</v>
      </c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ht="23.25" customHeight="1">
      <c r="A861" s="20" t="str">
        <f>IF(COUNTIF('Icon Lookup'!C:C,B861)&gt;0,LOOKUP(B861,'Icon Lookup'!C:C,'Icon Lookup'!B:B),"")</f>
        <v/>
      </c>
      <c r="B861" s="21" t="s">
        <v>136</v>
      </c>
      <c r="C861" s="20"/>
      <c r="D861" s="20">
        <v>15.0</v>
      </c>
      <c r="E861" s="20" t="s">
        <v>137</v>
      </c>
      <c r="G861" s="22"/>
      <c r="H861" s="23" t="s">
        <v>1273</v>
      </c>
      <c r="I861" s="20" t="s">
        <v>265</v>
      </c>
      <c r="J861" s="20">
        <v>0.0</v>
      </c>
      <c r="K861" s="20">
        <v>0.0</v>
      </c>
      <c r="L861" s="20">
        <v>0.0</v>
      </c>
      <c r="M861" s="20">
        <v>0.0</v>
      </c>
      <c r="N861" s="20">
        <v>0.0</v>
      </c>
      <c r="O861" s="20">
        <v>0.0</v>
      </c>
      <c r="P861" s="20">
        <v>0.0</v>
      </c>
      <c r="Q861" s="20">
        <v>0.0</v>
      </c>
      <c r="R861" s="20">
        <v>0.0</v>
      </c>
      <c r="S861" s="20">
        <v>0.0</v>
      </c>
      <c r="T861" s="20">
        <v>0.0</v>
      </c>
      <c r="U861" s="20">
        <v>0.0</v>
      </c>
    </row>
    <row r="862" ht="23.25" customHeight="1">
      <c r="A862" s="17" t="str">
        <f>IF(COUNTIF('Icon Lookup'!C:C,B862)&gt;0,LOOKUP(B862,'Icon Lookup'!C:C,'Icon Lookup'!B:B),"")</f>
        <v/>
      </c>
      <c r="B862" s="18" t="s">
        <v>245</v>
      </c>
      <c r="C862" s="17"/>
      <c r="D862" s="17">
        <v>15.0</v>
      </c>
      <c r="E862" s="17" t="s">
        <v>218</v>
      </c>
      <c r="G862" s="19"/>
      <c r="H862" s="20" t="s">
        <v>1274</v>
      </c>
      <c r="I862" s="17" t="s">
        <v>105</v>
      </c>
      <c r="J862" s="17">
        <v>0.0</v>
      </c>
      <c r="K862" s="17">
        <v>0.0</v>
      </c>
      <c r="L862" s="17">
        <v>0.0</v>
      </c>
      <c r="M862" s="17">
        <v>0.0</v>
      </c>
      <c r="N862" s="17">
        <v>0.0</v>
      </c>
      <c r="O862" s="17">
        <v>0.0</v>
      </c>
      <c r="P862" s="17">
        <v>0.0</v>
      </c>
      <c r="Q862" s="17">
        <v>0.0</v>
      </c>
      <c r="R862" s="17">
        <v>0.0</v>
      </c>
      <c r="S862" s="17">
        <v>0.0</v>
      </c>
      <c r="T862" s="17">
        <v>0.0</v>
      </c>
      <c r="U862" s="17">
        <v>0.0</v>
      </c>
    </row>
    <row r="863" ht="23.25" customHeight="1">
      <c r="A863" s="1"/>
      <c r="B863" s="15" t="s">
        <v>1275</v>
      </c>
      <c r="C863" s="1" t="s">
        <v>17</v>
      </c>
      <c r="D863" s="1" t="s">
        <v>1276</v>
      </c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ht="23.25" customHeight="1">
      <c r="A864" s="20" t="str">
        <f>IF(COUNTIF('Icon Lookup'!C:C,B864)&gt;0,LOOKUP(B864,'Icon Lookup'!C:C,'Icon Lookup'!B:B),"")</f>
        <v/>
      </c>
      <c r="B864" s="21" t="s">
        <v>582</v>
      </c>
      <c r="C864" s="20"/>
      <c r="D864" s="20">
        <v>34.0</v>
      </c>
      <c r="E864" s="20" t="s">
        <v>166</v>
      </c>
      <c r="G864" s="22"/>
      <c r="H864" s="23" t="s">
        <v>1277</v>
      </c>
      <c r="I864" s="20" t="s">
        <v>73</v>
      </c>
      <c r="J864" s="20">
        <v>0.0</v>
      </c>
      <c r="K864" s="20">
        <v>0.0</v>
      </c>
      <c r="L864" s="20">
        <v>0.0</v>
      </c>
      <c r="M864" s="20">
        <v>0.0</v>
      </c>
      <c r="N864" s="20">
        <v>0.0</v>
      </c>
      <c r="O864" s="20">
        <v>0.0</v>
      </c>
      <c r="P864" s="20">
        <v>0.0</v>
      </c>
      <c r="Q864" s="20">
        <v>0.0</v>
      </c>
      <c r="R864" s="20">
        <v>0.0</v>
      </c>
      <c r="S864" s="20">
        <v>0.0</v>
      </c>
      <c r="T864" s="20">
        <v>0.0</v>
      </c>
      <c r="U864" s="20">
        <v>0.0</v>
      </c>
    </row>
    <row r="865" ht="23.25" customHeight="1">
      <c r="A865" s="1"/>
      <c r="B865" s="15" t="s">
        <v>1278</v>
      </c>
      <c r="C865" s="1" t="s">
        <v>17</v>
      </c>
      <c r="D865" s="1" t="s">
        <v>1279</v>
      </c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ht="23.25" customHeight="1">
      <c r="A866" s="17" t="str">
        <f>IF(COUNTIF('Icon Lookup'!C:C,B866)&gt;0,LOOKUP(B866,'Icon Lookup'!C:C,'Icon Lookup'!B:B),"")</f>
        <v/>
      </c>
      <c r="B866" s="18" t="s">
        <v>1280</v>
      </c>
      <c r="C866" s="17"/>
      <c r="D866" s="17">
        <v>53.0</v>
      </c>
      <c r="E866" s="17" t="s">
        <v>719</v>
      </c>
      <c r="G866" s="19"/>
      <c r="H866" s="20" t="s">
        <v>1281</v>
      </c>
      <c r="I866" s="17" t="s">
        <v>197</v>
      </c>
      <c r="J866" s="17">
        <v>0.0</v>
      </c>
      <c r="K866" s="17">
        <v>0.0</v>
      </c>
      <c r="L866" s="17">
        <v>0.0</v>
      </c>
      <c r="M866" s="17">
        <v>0.0</v>
      </c>
      <c r="N866" s="17">
        <v>0.0</v>
      </c>
      <c r="O866" s="17">
        <v>0.0</v>
      </c>
      <c r="P866" s="17">
        <v>0.0</v>
      </c>
      <c r="Q866" s="17">
        <v>0.0</v>
      </c>
      <c r="R866" s="17">
        <v>0.0</v>
      </c>
      <c r="S866" s="17">
        <v>0.0</v>
      </c>
      <c r="T866" s="17">
        <v>0.0</v>
      </c>
      <c r="U866" s="17">
        <v>0.0</v>
      </c>
    </row>
    <row r="867" ht="23.25" customHeight="1">
      <c r="A867" s="20" t="str">
        <f>IF(COUNTIF('Icon Lookup'!C:C,B867)&gt;0,LOOKUP(B867,'Icon Lookup'!C:C,'Icon Lookup'!B:B),"")</f>
        <v/>
      </c>
      <c r="B867" s="21" t="s">
        <v>718</v>
      </c>
      <c r="C867" s="20"/>
      <c r="D867" s="20">
        <v>57.0</v>
      </c>
      <c r="E867" s="20" t="s">
        <v>719</v>
      </c>
      <c r="G867" s="22"/>
      <c r="H867" s="23" t="s">
        <v>720</v>
      </c>
      <c r="I867" s="20" t="s">
        <v>197</v>
      </c>
      <c r="J867" s="20">
        <v>0.0</v>
      </c>
      <c r="K867" s="20">
        <v>0.0</v>
      </c>
      <c r="L867" s="20">
        <v>0.0</v>
      </c>
      <c r="M867" s="20">
        <v>0.0</v>
      </c>
      <c r="N867" s="20">
        <v>0.0</v>
      </c>
      <c r="O867" s="20">
        <v>0.0</v>
      </c>
      <c r="P867" s="20">
        <v>0.0</v>
      </c>
      <c r="Q867" s="20">
        <v>0.0</v>
      </c>
      <c r="R867" s="20">
        <v>0.0</v>
      </c>
      <c r="S867" s="20">
        <v>0.0</v>
      </c>
      <c r="T867" s="20">
        <v>0.0</v>
      </c>
      <c r="U867" s="20">
        <v>0.0</v>
      </c>
    </row>
    <row r="868" ht="23.25" customHeight="1">
      <c r="A868" s="1"/>
      <c r="B868" s="15" t="s">
        <v>1282</v>
      </c>
      <c r="C868" s="1" t="s">
        <v>17</v>
      </c>
      <c r="D868" s="1" t="s">
        <v>1283</v>
      </c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ht="23.25" customHeight="1">
      <c r="A869" s="17" t="str">
        <f>IF(COUNTIF('Icon Lookup'!C:C,B869)&gt;0,LOOKUP(B869,'Icon Lookup'!C:C,'Icon Lookup'!B:B),"")</f>
        <v/>
      </c>
      <c r="B869" s="18" t="s">
        <v>86</v>
      </c>
      <c r="C869" s="17"/>
      <c r="D869" s="17">
        <v>14.0</v>
      </c>
      <c r="E869" s="17" t="s">
        <v>87</v>
      </c>
      <c r="G869" s="19"/>
      <c r="H869" s="20" t="s">
        <v>1284</v>
      </c>
      <c r="I869" s="17" t="s">
        <v>211</v>
      </c>
      <c r="J869" s="17">
        <v>0.0</v>
      </c>
      <c r="K869" s="17">
        <v>0.0</v>
      </c>
      <c r="L869" s="17">
        <v>0.0</v>
      </c>
      <c r="M869" s="17">
        <v>0.0</v>
      </c>
      <c r="N869" s="17">
        <v>0.0</v>
      </c>
      <c r="O869" s="17">
        <v>0.0</v>
      </c>
      <c r="P869" s="17">
        <v>0.0</v>
      </c>
      <c r="Q869" s="17">
        <v>0.0</v>
      </c>
      <c r="R869" s="17">
        <v>0.0</v>
      </c>
      <c r="S869" s="17">
        <v>0.0</v>
      </c>
      <c r="T869" s="17">
        <v>0.0</v>
      </c>
      <c r="U869" s="17">
        <v>0.0</v>
      </c>
    </row>
    <row r="870" ht="23.25" customHeight="1">
      <c r="A870" s="1"/>
      <c r="B870" s="15" t="s">
        <v>1285</v>
      </c>
      <c r="C870" s="1" t="s">
        <v>17</v>
      </c>
      <c r="D870" s="1" t="s">
        <v>1286</v>
      </c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ht="23.25" customHeight="1">
      <c r="A871" s="20" t="str">
        <f>IF(COUNTIF('Icon Lookup'!C:C,B871)&gt;0,LOOKUP(B871,'Icon Lookup'!C:C,'Icon Lookup'!B:B),"")</f>
        <v/>
      </c>
      <c r="B871" s="21" t="s">
        <v>225</v>
      </c>
      <c r="C871" s="20"/>
      <c r="D871" s="20">
        <v>31.0</v>
      </c>
      <c r="E871" s="20" t="s">
        <v>26</v>
      </c>
      <c r="G871" s="22"/>
      <c r="H871" s="23" t="s">
        <v>1287</v>
      </c>
      <c r="I871" s="20" t="s">
        <v>36</v>
      </c>
      <c r="J871" s="20">
        <v>0.0</v>
      </c>
      <c r="K871" s="20">
        <v>0.0</v>
      </c>
      <c r="L871" s="20">
        <v>0.0</v>
      </c>
      <c r="M871" s="20">
        <v>0.0</v>
      </c>
      <c r="N871" s="20">
        <v>0.0</v>
      </c>
      <c r="O871" s="20">
        <v>0.0</v>
      </c>
      <c r="P871" s="20">
        <v>0.0</v>
      </c>
      <c r="Q871" s="20">
        <v>0.0</v>
      </c>
      <c r="R871" s="20">
        <v>0.0</v>
      </c>
      <c r="S871" s="20">
        <v>0.0</v>
      </c>
      <c r="T871" s="20">
        <v>0.0</v>
      </c>
      <c r="U871" s="20">
        <v>0.0</v>
      </c>
    </row>
    <row r="872" ht="23.25" customHeight="1">
      <c r="A872" s="17" t="str">
        <f>IF(COUNTIF('Icon Lookup'!C:C,B872)&gt;0,LOOKUP(B872,'Icon Lookup'!C:C,'Icon Lookup'!B:B),"")</f>
        <v/>
      </c>
      <c r="B872" s="18" t="s">
        <v>1017</v>
      </c>
      <c r="C872" s="17"/>
      <c r="D872" s="17">
        <v>31.0</v>
      </c>
      <c r="E872" s="17" t="s">
        <v>1018</v>
      </c>
      <c r="G872" s="19"/>
      <c r="H872" s="20" t="s">
        <v>1288</v>
      </c>
      <c r="I872" s="17" t="s">
        <v>46</v>
      </c>
      <c r="J872" s="17">
        <v>0.0</v>
      </c>
      <c r="K872" s="17">
        <v>0.0</v>
      </c>
      <c r="L872" s="17">
        <v>0.0</v>
      </c>
      <c r="M872" s="17">
        <v>0.0</v>
      </c>
      <c r="N872" s="17">
        <v>0.0</v>
      </c>
      <c r="O872" s="17">
        <v>0.0</v>
      </c>
      <c r="P872" s="17">
        <v>0.0</v>
      </c>
      <c r="Q872" s="17">
        <v>0.0</v>
      </c>
      <c r="R872" s="17">
        <v>0.0</v>
      </c>
      <c r="S872" s="17">
        <v>0.0</v>
      </c>
      <c r="T872" s="17">
        <v>0.0</v>
      </c>
      <c r="U872" s="17">
        <v>0.0</v>
      </c>
    </row>
    <row r="873" ht="23.25" customHeight="1">
      <c r="A873" s="1"/>
      <c r="B873" s="15" t="s">
        <v>1289</v>
      </c>
      <c r="C873" s="1" t="s">
        <v>17</v>
      </c>
      <c r="D873" s="1" t="s">
        <v>1290</v>
      </c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ht="23.25" customHeight="1">
      <c r="A874" s="20" t="str">
        <f>IF(COUNTIF('Icon Lookup'!C:C,B874)&gt;0,LOOKUP(B874,'Icon Lookup'!C:C,'Icon Lookup'!B:B),"")</f>
        <v/>
      </c>
      <c r="B874" s="21" t="s">
        <v>691</v>
      </c>
      <c r="C874" s="20"/>
      <c r="D874" s="20">
        <v>13.0</v>
      </c>
      <c r="E874" s="20" t="s">
        <v>58</v>
      </c>
      <c r="G874" s="22"/>
      <c r="H874" s="23" t="s">
        <v>1291</v>
      </c>
      <c r="I874" s="20" t="s">
        <v>46</v>
      </c>
      <c r="J874" s="20">
        <v>0.0</v>
      </c>
      <c r="K874" s="20">
        <v>0.0</v>
      </c>
      <c r="L874" s="20">
        <v>0.0</v>
      </c>
      <c r="M874" s="20">
        <v>0.0</v>
      </c>
      <c r="N874" s="20">
        <v>0.0</v>
      </c>
      <c r="O874" s="20">
        <v>0.0</v>
      </c>
      <c r="P874" s="20">
        <v>0.0</v>
      </c>
      <c r="Q874" s="20">
        <v>0.0</v>
      </c>
      <c r="R874" s="20">
        <v>0.0</v>
      </c>
      <c r="S874" s="20">
        <v>0.0</v>
      </c>
      <c r="T874" s="20">
        <v>0.0</v>
      </c>
      <c r="U874" s="20">
        <v>0.0</v>
      </c>
    </row>
    <row r="875" ht="23.25" customHeight="1">
      <c r="A875" s="17" t="str">
        <f>IF(COUNTIF('Icon Lookup'!C:C,B875)&gt;0,LOOKUP(B875,'Icon Lookup'!C:C,'Icon Lookup'!B:B),"")</f>
        <v/>
      </c>
      <c r="B875" s="18" t="s">
        <v>293</v>
      </c>
      <c r="C875" s="17"/>
      <c r="D875" s="17">
        <v>17.0</v>
      </c>
      <c r="E875" s="17" t="s">
        <v>61</v>
      </c>
      <c r="G875" s="19"/>
      <c r="H875" s="20" t="s">
        <v>1292</v>
      </c>
      <c r="I875" s="17" t="s">
        <v>40</v>
      </c>
      <c r="J875" s="17">
        <v>0.0</v>
      </c>
      <c r="K875" s="17">
        <v>0.0</v>
      </c>
      <c r="L875" s="17">
        <v>0.0</v>
      </c>
      <c r="M875" s="17">
        <v>0.0</v>
      </c>
      <c r="N875" s="17">
        <v>0.0</v>
      </c>
      <c r="O875" s="17">
        <v>0.0</v>
      </c>
      <c r="P875" s="17">
        <v>0.0</v>
      </c>
      <c r="Q875" s="17">
        <v>0.0</v>
      </c>
      <c r="R875" s="17">
        <v>0.0</v>
      </c>
      <c r="S875" s="17">
        <v>0.0</v>
      </c>
      <c r="T875" s="17">
        <v>0.0</v>
      </c>
      <c r="U875" s="17">
        <v>0.0</v>
      </c>
    </row>
    <row r="876" ht="23.25" customHeight="1">
      <c r="A876" s="1"/>
      <c r="B876" s="15" t="s">
        <v>1293</v>
      </c>
      <c r="C876" s="1" t="s">
        <v>17</v>
      </c>
      <c r="D876" s="1" t="s">
        <v>1294</v>
      </c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ht="23.25" customHeight="1">
      <c r="A877" s="20" t="str">
        <f>IF(COUNTIF('Icon Lookup'!C:C,B877)&gt;0,LOOKUP(B877,'Icon Lookup'!C:C,'Icon Lookup'!B:B),"")</f>
        <v/>
      </c>
      <c r="B877" s="21" t="s">
        <v>271</v>
      </c>
      <c r="C877" s="20"/>
      <c r="D877" s="20">
        <v>15.0</v>
      </c>
      <c r="E877" s="20" t="s">
        <v>44</v>
      </c>
      <c r="G877" s="22"/>
      <c r="H877" s="23" t="s">
        <v>1295</v>
      </c>
      <c r="I877" s="20" t="s">
        <v>46</v>
      </c>
      <c r="J877" s="20">
        <v>0.0</v>
      </c>
      <c r="K877" s="20">
        <v>0.0</v>
      </c>
      <c r="L877" s="20">
        <v>0.0</v>
      </c>
      <c r="M877" s="20">
        <v>0.0</v>
      </c>
      <c r="N877" s="20">
        <v>0.0</v>
      </c>
      <c r="O877" s="20">
        <v>0.0</v>
      </c>
      <c r="P877" s="20">
        <v>0.0</v>
      </c>
      <c r="Q877" s="20">
        <v>0.0</v>
      </c>
      <c r="R877" s="20">
        <v>0.0</v>
      </c>
      <c r="S877" s="20">
        <v>0.0</v>
      </c>
      <c r="T877" s="20">
        <v>0.0</v>
      </c>
      <c r="U877" s="20">
        <v>0.0</v>
      </c>
    </row>
    <row r="878" ht="23.25" customHeight="1">
      <c r="A878" s="17" t="str">
        <f>IF(COUNTIF('Icon Lookup'!C:C,B878)&gt;0,LOOKUP(B878,'Icon Lookup'!C:C,'Icon Lookup'!B:B),"")</f>
        <v/>
      </c>
      <c r="B878" s="18" t="s">
        <v>25</v>
      </c>
      <c r="C878" s="17"/>
      <c r="D878" s="17">
        <v>15.0</v>
      </c>
      <c r="E878" s="17" t="s">
        <v>26</v>
      </c>
      <c r="G878" s="19"/>
      <c r="H878" s="20" t="s">
        <v>1296</v>
      </c>
      <c r="I878" s="17" t="s">
        <v>36</v>
      </c>
      <c r="J878" s="17">
        <v>0.0</v>
      </c>
      <c r="K878" s="17">
        <v>0.0</v>
      </c>
      <c r="L878" s="17">
        <v>0.0</v>
      </c>
      <c r="M878" s="17">
        <v>0.0</v>
      </c>
      <c r="N878" s="17">
        <v>0.0</v>
      </c>
      <c r="O878" s="17">
        <v>0.0</v>
      </c>
      <c r="P878" s="17">
        <v>0.0</v>
      </c>
      <c r="Q878" s="17">
        <v>0.0</v>
      </c>
      <c r="R878" s="17">
        <v>0.0</v>
      </c>
      <c r="S878" s="17">
        <v>0.0</v>
      </c>
      <c r="T878" s="17">
        <v>0.0</v>
      </c>
      <c r="U878" s="17">
        <v>0.0</v>
      </c>
    </row>
    <row r="879" ht="23.25" customHeight="1">
      <c r="A879" s="1"/>
      <c r="B879" s="15" t="s">
        <v>1297</v>
      </c>
      <c r="C879" s="1" t="s">
        <v>17</v>
      </c>
      <c r="D879" s="1" t="s">
        <v>1298</v>
      </c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ht="23.25" customHeight="1">
      <c r="A880" s="20" t="str">
        <f>IF(COUNTIF('Icon Lookup'!C:C,B880)&gt;0,LOOKUP(B880,'Icon Lookup'!C:C,'Icon Lookup'!B:B),"")</f>
        <v/>
      </c>
      <c r="B880" s="21" t="s">
        <v>86</v>
      </c>
      <c r="C880" s="20"/>
      <c r="D880" s="20">
        <v>18.0</v>
      </c>
      <c r="E880" s="20" t="s">
        <v>87</v>
      </c>
      <c r="G880" s="22"/>
      <c r="H880" s="23" t="s">
        <v>1299</v>
      </c>
      <c r="I880" s="20" t="s">
        <v>89</v>
      </c>
      <c r="J880" s="20">
        <v>0.0</v>
      </c>
      <c r="K880" s="20">
        <v>0.0</v>
      </c>
      <c r="L880" s="20">
        <v>0.0</v>
      </c>
      <c r="M880" s="20">
        <v>0.0</v>
      </c>
      <c r="N880" s="20">
        <v>0.0</v>
      </c>
      <c r="O880" s="20">
        <v>0.0</v>
      </c>
      <c r="P880" s="20">
        <v>0.0</v>
      </c>
      <c r="Q880" s="20">
        <v>0.0</v>
      </c>
      <c r="R880" s="20">
        <v>0.0</v>
      </c>
      <c r="S880" s="20">
        <v>0.0</v>
      </c>
      <c r="T880" s="20">
        <v>0.0</v>
      </c>
      <c r="U880" s="20">
        <v>0.0</v>
      </c>
    </row>
    <row r="881" ht="23.25" customHeight="1">
      <c r="A881" s="17" t="str">
        <f>IF(COUNTIF('Icon Lookup'!C:C,B881)&gt;0,LOOKUP(B881,'Icon Lookup'!C:C,'Icon Lookup'!B:B),"")</f>
        <v/>
      </c>
      <c r="B881" s="18" t="s">
        <v>86</v>
      </c>
      <c r="C881" s="17"/>
      <c r="D881" s="17">
        <v>17.0</v>
      </c>
      <c r="E881" s="17" t="s">
        <v>87</v>
      </c>
      <c r="G881" s="19"/>
      <c r="H881" s="20" t="s">
        <v>1300</v>
      </c>
      <c r="I881" s="17" t="s">
        <v>89</v>
      </c>
      <c r="J881" s="17">
        <v>0.0</v>
      </c>
      <c r="K881" s="17">
        <v>0.0</v>
      </c>
      <c r="L881" s="17">
        <v>0.0</v>
      </c>
      <c r="M881" s="17">
        <v>0.0</v>
      </c>
      <c r="N881" s="17">
        <v>0.0</v>
      </c>
      <c r="O881" s="17">
        <v>0.0</v>
      </c>
      <c r="P881" s="17">
        <v>0.0</v>
      </c>
      <c r="Q881" s="17">
        <v>0.0</v>
      </c>
      <c r="R881" s="17">
        <v>0.0</v>
      </c>
      <c r="S881" s="17">
        <v>0.0</v>
      </c>
      <c r="T881" s="17">
        <v>0.0</v>
      </c>
      <c r="U881" s="17">
        <v>0.0</v>
      </c>
    </row>
    <row r="882" ht="23.25" customHeight="1">
      <c r="A882" s="20" t="str">
        <f>IF(COUNTIF('Icon Lookup'!C:C,B882)&gt;0,LOOKUP(B882,'Icon Lookup'!C:C,'Icon Lookup'!B:B),"")</f>
        <v/>
      </c>
      <c r="B882" s="21" t="s">
        <v>86</v>
      </c>
      <c r="C882" s="20"/>
      <c r="D882" s="20">
        <v>19.0</v>
      </c>
      <c r="E882" s="20" t="s">
        <v>87</v>
      </c>
      <c r="G882" s="22"/>
      <c r="H882" s="23" t="s">
        <v>1301</v>
      </c>
      <c r="I882" s="20" t="s">
        <v>89</v>
      </c>
      <c r="J882" s="20">
        <v>0.0</v>
      </c>
      <c r="K882" s="20">
        <v>0.0</v>
      </c>
      <c r="L882" s="20">
        <v>0.0</v>
      </c>
      <c r="M882" s="20">
        <v>0.0</v>
      </c>
      <c r="N882" s="20">
        <v>0.0</v>
      </c>
      <c r="O882" s="20">
        <v>0.0</v>
      </c>
      <c r="P882" s="20">
        <v>0.0</v>
      </c>
      <c r="Q882" s="20">
        <v>0.0</v>
      </c>
      <c r="R882" s="20">
        <v>0.0</v>
      </c>
      <c r="S882" s="20">
        <v>0.0</v>
      </c>
      <c r="T882" s="20">
        <v>0.0</v>
      </c>
      <c r="U882" s="20">
        <v>0.0</v>
      </c>
    </row>
    <row r="883" ht="23.25" customHeight="1">
      <c r="A883" s="1"/>
      <c r="B883" s="15" t="s">
        <v>1302</v>
      </c>
      <c r="C883" s="1" t="s">
        <v>17</v>
      </c>
      <c r="D883" s="1" t="s">
        <v>1303</v>
      </c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ht="23.25" customHeight="1">
      <c r="A884" s="17" t="str">
        <f>IF(COUNTIF('Icon Lookup'!C:C,B884)&gt;0,LOOKUP(B884,'Icon Lookup'!C:C,'Icon Lookup'!B:B),"")</f>
        <v/>
      </c>
      <c r="B884" s="18" t="s">
        <v>271</v>
      </c>
      <c r="C884" s="17"/>
      <c r="D884" s="17">
        <v>21.0</v>
      </c>
      <c r="E884" s="17" t="s">
        <v>44</v>
      </c>
      <c r="G884" s="19"/>
      <c r="H884" s="20" t="s">
        <v>1304</v>
      </c>
      <c r="I884" s="17" t="s">
        <v>89</v>
      </c>
      <c r="J884" s="17">
        <v>0.0</v>
      </c>
      <c r="K884" s="17">
        <v>0.0</v>
      </c>
      <c r="L884" s="17">
        <v>0.0</v>
      </c>
      <c r="M884" s="17">
        <v>0.0</v>
      </c>
      <c r="N884" s="17">
        <v>0.0</v>
      </c>
      <c r="O884" s="17">
        <v>0.0</v>
      </c>
      <c r="P884" s="17">
        <v>0.0</v>
      </c>
      <c r="Q884" s="17">
        <v>0.0</v>
      </c>
      <c r="R884" s="17">
        <v>0.0</v>
      </c>
      <c r="S884" s="17">
        <v>0.0</v>
      </c>
      <c r="T884" s="17">
        <v>0.0</v>
      </c>
      <c r="U884" s="17">
        <v>0.0</v>
      </c>
    </row>
    <row r="885" ht="23.25" customHeight="1">
      <c r="A885" s="20" t="str">
        <f>IF(COUNTIF('Icon Lookup'!C:C,B885)&gt;0,LOOKUP(B885,'Icon Lookup'!C:C,'Icon Lookup'!B:B),"")</f>
        <v/>
      </c>
      <c r="B885" s="21" t="s">
        <v>271</v>
      </c>
      <c r="C885" s="20"/>
      <c r="D885" s="20">
        <v>21.0</v>
      </c>
      <c r="E885" s="20" t="s">
        <v>44</v>
      </c>
      <c r="G885" s="22"/>
      <c r="H885" s="23" t="s">
        <v>1305</v>
      </c>
      <c r="I885" s="20" t="s">
        <v>89</v>
      </c>
      <c r="J885" s="20">
        <v>0.0</v>
      </c>
      <c r="K885" s="20">
        <v>0.0</v>
      </c>
      <c r="L885" s="20">
        <v>0.0</v>
      </c>
      <c r="M885" s="20">
        <v>0.0</v>
      </c>
      <c r="N885" s="20">
        <v>0.0</v>
      </c>
      <c r="O885" s="20">
        <v>0.0</v>
      </c>
      <c r="P885" s="20">
        <v>0.0</v>
      </c>
      <c r="Q885" s="20">
        <v>0.0</v>
      </c>
      <c r="R885" s="20">
        <v>0.0</v>
      </c>
      <c r="S885" s="20">
        <v>0.0</v>
      </c>
      <c r="T885" s="20">
        <v>0.0</v>
      </c>
      <c r="U885" s="20">
        <v>0.0</v>
      </c>
    </row>
    <row r="886" ht="23.25" customHeight="1">
      <c r="A886" s="17" t="str">
        <f>IF(COUNTIF('Icon Lookup'!C:C,B886)&gt;0,LOOKUP(B886,'Icon Lookup'!C:C,'Icon Lookup'!B:B),"")</f>
        <v/>
      </c>
      <c r="B886" s="18" t="s">
        <v>271</v>
      </c>
      <c r="C886" s="17"/>
      <c r="D886" s="17">
        <v>24.0</v>
      </c>
      <c r="E886" s="17" t="s">
        <v>44</v>
      </c>
      <c r="G886" s="19"/>
      <c r="H886" s="20" t="s">
        <v>581</v>
      </c>
      <c r="I886" s="17" t="s">
        <v>89</v>
      </c>
      <c r="J886" s="17">
        <v>0.0</v>
      </c>
      <c r="K886" s="17">
        <v>0.0</v>
      </c>
      <c r="L886" s="17">
        <v>0.0</v>
      </c>
      <c r="M886" s="17">
        <v>0.0</v>
      </c>
      <c r="N886" s="17">
        <v>0.0</v>
      </c>
      <c r="O886" s="17">
        <v>0.0</v>
      </c>
      <c r="P886" s="17">
        <v>0.0</v>
      </c>
      <c r="Q886" s="17">
        <v>0.0</v>
      </c>
      <c r="R886" s="17">
        <v>0.0</v>
      </c>
      <c r="S886" s="17">
        <v>0.0</v>
      </c>
      <c r="T886" s="17">
        <v>0.0</v>
      </c>
      <c r="U886" s="17">
        <v>0.0</v>
      </c>
    </row>
    <row r="887" ht="23.25" customHeight="1">
      <c r="A887" s="1"/>
      <c r="B887" s="15" t="s">
        <v>1306</v>
      </c>
      <c r="C887" s="1" t="s">
        <v>17</v>
      </c>
      <c r="D887" s="1" t="s">
        <v>1307</v>
      </c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ht="23.25" customHeight="1">
      <c r="A888" s="20" t="str">
        <f>IF(COUNTIF('Icon Lookup'!C:C,B888)&gt;0,LOOKUP(B888,'Icon Lookup'!C:C,'Icon Lookup'!B:B),"")</f>
        <v/>
      </c>
      <c r="B888" s="21" t="s">
        <v>447</v>
      </c>
      <c r="C888" s="20"/>
      <c r="D888" s="20">
        <v>12.0</v>
      </c>
      <c r="E888" s="20" t="s">
        <v>161</v>
      </c>
      <c r="G888" s="22"/>
      <c r="H888" s="23" t="s">
        <v>1308</v>
      </c>
      <c r="I888" s="20" t="s">
        <v>156</v>
      </c>
      <c r="J888" s="20">
        <v>0.0</v>
      </c>
      <c r="K888" s="20">
        <v>0.0</v>
      </c>
      <c r="L888" s="20">
        <v>0.0</v>
      </c>
      <c r="M888" s="20">
        <v>0.0</v>
      </c>
      <c r="N888" s="20">
        <v>0.0</v>
      </c>
      <c r="O888" s="20">
        <v>0.0</v>
      </c>
      <c r="P888" s="20">
        <v>0.0</v>
      </c>
      <c r="Q888" s="20">
        <v>0.0</v>
      </c>
      <c r="R888" s="20">
        <v>0.0</v>
      </c>
      <c r="S888" s="20">
        <v>0.0</v>
      </c>
      <c r="T888" s="20">
        <v>0.0</v>
      </c>
      <c r="U888" s="20">
        <v>0.0</v>
      </c>
    </row>
    <row r="889" ht="23.25" customHeight="1">
      <c r="A889" s="17" t="str">
        <f>IF(COUNTIF('Icon Lookup'!C:C,B889)&gt;0,LOOKUP(B889,'Icon Lookup'!C:C,'Icon Lookup'!B:B),"")</f>
        <v/>
      </c>
      <c r="B889" s="18" t="s">
        <v>447</v>
      </c>
      <c r="C889" s="17"/>
      <c r="D889" s="17">
        <v>13.0</v>
      </c>
      <c r="E889" s="17" t="s">
        <v>161</v>
      </c>
      <c r="G889" s="19"/>
      <c r="H889" s="20" t="s">
        <v>1308</v>
      </c>
      <c r="I889" s="17" t="s">
        <v>156</v>
      </c>
      <c r="J889" s="17">
        <v>0.0</v>
      </c>
      <c r="K889" s="17">
        <v>0.0</v>
      </c>
      <c r="L889" s="17">
        <v>0.0</v>
      </c>
      <c r="M889" s="17">
        <v>0.0</v>
      </c>
      <c r="N889" s="17">
        <v>0.0</v>
      </c>
      <c r="O889" s="17">
        <v>0.0</v>
      </c>
      <c r="P889" s="17">
        <v>0.0</v>
      </c>
      <c r="Q889" s="17">
        <v>0.0</v>
      </c>
      <c r="R889" s="17">
        <v>0.0</v>
      </c>
      <c r="S889" s="17">
        <v>0.0</v>
      </c>
      <c r="T889" s="17">
        <v>0.0</v>
      </c>
      <c r="U889" s="17">
        <v>0.0</v>
      </c>
    </row>
    <row r="890" ht="23.25" customHeight="1">
      <c r="A890" s="20" t="str">
        <f>IF(COUNTIF('Icon Lookup'!C:C,B890)&gt;0,LOOKUP(B890,'Icon Lookup'!C:C,'Icon Lookup'!B:B),"")</f>
        <v/>
      </c>
      <c r="B890" s="21" t="s">
        <v>447</v>
      </c>
      <c r="C890" s="20"/>
      <c r="D890" s="20">
        <v>17.0</v>
      </c>
      <c r="E890" s="20" t="s">
        <v>161</v>
      </c>
      <c r="G890" s="22"/>
      <c r="H890" s="23" t="s">
        <v>1309</v>
      </c>
      <c r="I890" s="20" t="s">
        <v>156</v>
      </c>
      <c r="J890" s="20">
        <v>0.0</v>
      </c>
      <c r="K890" s="20">
        <v>0.0</v>
      </c>
      <c r="L890" s="20">
        <v>0.0</v>
      </c>
      <c r="M890" s="20">
        <v>0.0</v>
      </c>
      <c r="N890" s="20">
        <v>0.0</v>
      </c>
      <c r="O890" s="20">
        <v>0.0</v>
      </c>
      <c r="P890" s="20">
        <v>0.0</v>
      </c>
      <c r="Q890" s="20">
        <v>0.0</v>
      </c>
      <c r="R890" s="20">
        <v>0.0</v>
      </c>
      <c r="S890" s="20">
        <v>0.0</v>
      </c>
      <c r="T890" s="20">
        <v>0.0</v>
      </c>
      <c r="U890" s="20">
        <v>0.0</v>
      </c>
    </row>
    <row r="891" ht="23.25" customHeight="1">
      <c r="A891" s="1"/>
      <c r="B891" s="15" t="s">
        <v>1310</v>
      </c>
      <c r="C891" s="1" t="s">
        <v>17</v>
      </c>
      <c r="D891" s="1" t="s">
        <v>1311</v>
      </c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ht="23.25" customHeight="1">
      <c r="A892" s="17" t="str">
        <f>IF(COUNTIF('Icon Lookup'!C:C,B892)&gt;0,LOOKUP(B892,'Icon Lookup'!C:C,'Icon Lookup'!B:B),"")</f>
        <v/>
      </c>
      <c r="B892" s="18" t="s">
        <v>747</v>
      </c>
      <c r="C892" s="17"/>
      <c r="D892" s="17">
        <v>56.0</v>
      </c>
      <c r="E892" s="17" t="s">
        <v>298</v>
      </c>
      <c r="G892" s="19"/>
      <c r="H892" s="20" t="s">
        <v>1312</v>
      </c>
      <c r="I892" s="17" t="s">
        <v>89</v>
      </c>
      <c r="J892" s="17">
        <v>0.0</v>
      </c>
      <c r="K892" s="17">
        <v>0.0</v>
      </c>
      <c r="L892" s="17">
        <v>0.0</v>
      </c>
      <c r="M892" s="17">
        <v>0.0</v>
      </c>
      <c r="N892" s="17">
        <v>0.0</v>
      </c>
      <c r="O892" s="17">
        <v>0.0</v>
      </c>
      <c r="P892" s="17">
        <v>0.0</v>
      </c>
      <c r="Q892" s="17">
        <v>0.0</v>
      </c>
      <c r="R892" s="17">
        <v>0.0</v>
      </c>
      <c r="S892" s="17">
        <v>0.0</v>
      </c>
      <c r="T892" s="17">
        <v>0.0</v>
      </c>
      <c r="U892" s="17">
        <v>0.0</v>
      </c>
    </row>
    <row r="893" ht="23.25" customHeight="1">
      <c r="A893" s="20" t="str">
        <f>IF(COUNTIF('Icon Lookup'!C:C,B893)&gt;0,LOOKUP(B893,'Icon Lookup'!C:C,'Icon Lookup'!B:B),"")</f>
        <v/>
      </c>
      <c r="B893" s="21" t="s">
        <v>190</v>
      </c>
      <c r="C893" s="20"/>
      <c r="D893" s="20">
        <v>56.0</v>
      </c>
      <c r="E893" s="20" t="s">
        <v>26</v>
      </c>
      <c r="G893" s="22"/>
      <c r="H893" s="23" t="s">
        <v>613</v>
      </c>
      <c r="I893" s="20" t="s">
        <v>156</v>
      </c>
      <c r="J893" s="20">
        <v>0.0</v>
      </c>
      <c r="K893" s="20">
        <v>0.0</v>
      </c>
      <c r="L893" s="20">
        <v>0.0</v>
      </c>
      <c r="M893" s="20">
        <v>0.0</v>
      </c>
      <c r="N893" s="20">
        <v>0.0</v>
      </c>
      <c r="O893" s="20">
        <v>0.0</v>
      </c>
      <c r="P893" s="20">
        <v>0.0</v>
      </c>
      <c r="Q893" s="20">
        <v>0.0</v>
      </c>
      <c r="R893" s="20">
        <v>0.0</v>
      </c>
      <c r="S893" s="20">
        <v>0.0</v>
      </c>
      <c r="T893" s="20">
        <v>0.0</v>
      </c>
      <c r="U893" s="20">
        <v>0.0</v>
      </c>
    </row>
    <row r="894" ht="23.25" customHeight="1">
      <c r="A894" s="1"/>
      <c r="B894" s="15" t="s">
        <v>1313</v>
      </c>
      <c r="C894" s="1" t="s">
        <v>17</v>
      </c>
      <c r="D894" s="1" t="s">
        <v>1314</v>
      </c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ht="23.25" customHeight="1">
      <c r="A895" s="17" t="str">
        <f>IF(COUNTIF('Icon Lookup'!C:C,B895)&gt;0,LOOKUP(B895,'Icon Lookup'!C:C,'Icon Lookup'!B:B),"")</f>
        <v/>
      </c>
      <c r="B895" s="18" t="s">
        <v>78</v>
      </c>
      <c r="C895" s="17"/>
      <c r="D895" s="17">
        <v>31.0</v>
      </c>
      <c r="E895" s="17" t="s">
        <v>121</v>
      </c>
      <c r="G895" s="19"/>
      <c r="H895" s="20" t="s">
        <v>1315</v>
      </c>
      <c r="I895" s="17" t="s">
        <v>156</v>
      </c>
      <c r="J895" s="17">
        <v>0.0</v>
      </c>
      <c r="K895" s="17">
        <v>0.0</v>
      </c>
      <c r="L895" s="17">
        <v>0.0</v>
      </c>
      <c r="M895" s="17">
        <v>0.0</v>
      </c>
      <c r="N895" s="17">
        <v>0.0</v>
      </c>
      <c r="O895" s="17">
        <v>0.0</v>
      </c>
      <c r="P895" s="17">
        <v>0.0</v>
      </c>
      <c r="Q895" s="17">
        <v>0.0</v>
      </c>
      <c r="R895" s="17">
        <v>0.0</v>
      </c>
      <c r="S895" s="17">
        <v>0.0</v>
      </c>
      <c r="T895" s="17">
        <v>0.0</v>
      </c>
      <c r="U895" s="17">
        <v>0.0</v>
      </c>
    </row>
    <row r="896" ht="23.25" customHeight="1">
      <c r="A896" s="20" t="str">
        <f>IF(COUNTIF('Icon Lookup'!C:C,B896)&gt;0,LOOKUP(B896,'Icon Lookup'!C:C,'Icon Lookup'!B:B),"")</f>
        <v/>
      </c>
      <c r="B896" s="21" t="s">
        <v>442</v>
      </c>
      <c r="C896" s="20"/>
      <c r="D896" s="20">
        <v>31.0</v>
      </c>
      <c r="E896" s="20" t="s">
        <v>161</v>
      </c>
      <c r="G896" s="22"/>
      <c r="H896" s="23" t="s">
        <v>1316</v>
      </c>
      <c r="I896" s="20" t="s">
        <v>156</v>
      </c>
      <c r="J896" s="20">
        <v>0.0</v>
      </c>
      <c r="K896" s="20">
        <v>0.0</v>
      </c>
      <c r="L896" s="20">
        <v>0.0</v>
      </c>
      <c r="M896" s="20">
        <v>0.0</v>
      </c>
      <c r="N896" s="20">
        <v>0.0</v>
      </c>
      <c r="O896" s="20">
        <v>0.0</v>
      </c>
      <c r="P896" s="20">
        <v>0.0</v>
      </c>
      <c r="Q896" s="20">
        <v>0.0</v>
      </c>
      <c r="R896" s="20">
        <v>0.0</v>
      </c>
      <c r="S896" s="20">
        <v>0.0</v>
      </c>
      <c r="T896" s="20">
        <v>0.0</v>
      </c>
      <c r="U896" s="20">
        <v>0.0</v>
      </c>
    </row>
    <row r="897" ht="23.25" customHeight="1">
      <c r="A897" s="17" t="str">
        <f>IF(COUNTIF('Icon Lookup'!C:C,B897)&gt;0,LOOKUP(B897,'Icon Lookup'!C:C,'Icon Lookup'!B:B),"")</f>
        <v/>
      </c>
      <c r="B897" s="18" t="s">
        <v>921</v>
      </c>
      <c r="C897" s="17"/>
      <c r="D897" s="17">
        <v>34.0</v>
      </c>
      <c r="E897" s="17" t="s">
        <v>44</v>
      </c>
      <c r="G897" s="19"/>
      <c r="H897" s="20" t="s">
        <v>581</v>
      </c>
      <c r="I897" s="17" t="s">
        <v>89</v>
      </c>
      <c r="J897" s="17">
        <v>0.0</v>
      </c>
      <c r="K897" s="17">
        <v>0.0</v>
      </c>
      <c r="L897" s="17">
        <v>0.0</v>
      </c>
      <c r="M897" s="17">
        <v>0.0</v>
      </c>
      <c r="N897" s="17">
        <v>0.0</v>
      </c>
      <c r="O897" s="17">
        <v>0.0</v>
      </c>
      <c r="P897" s="17">
        <v>0.0</v>
      </c>
      <c r="Q897" s="17">
        <v>0.0</v>
      </c>
      <c r="R897" s="17">
        <v>0.0</v>
      </c>
      <c r="S897" s="17">
        <v>0.0</v>
      </c>
      <c r="T897" s="17">
        <v>0.0</v>
      </c>
      <c r="U897" s="17">
        <v>0.0</v>
      </c>
    </row>
    <row r="898" ht="23.25" customHeight="1">
      <c r="A898" s="1"/>
      <c r="B898" s="15" t="s">
        <v>1317</v>
      </c>
      <c r="C898" s="1" t="s">
        <v>17</v>
      </c>
      <c r="D898" s="1" t="s">
        <v>1318</v>
      </c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ht="23.25" customHeight="1">
      <c r="A899" s="20" t="str">
        <f>IF(COUNTIF('Icon Lookup'!C:C,B899)&gt;0,LOOKUP(B899,'Icon Lookup'!C:C,'Icon Lookup'!B:B),"")</f>
        <v/>
      </c>
      <c r="B899" s="21" t="s">
        <v>419</v>
      </c>
      <c r="C899" s="20"/>
      <c r="D899" s="20">
        <v>54.0</v>
      </c>
      <c r="E899" s="20" t="s">
        <v>1058</v>
      </c>
      <c r="G899" s="22"/>
      <c r="H899" s="23" t="s">
        <v>1319</v>
      </c>
      <c r="I899" s="20" t="s">
        <v>94</v>
      </c>
      <c r="J899" s="20">
        <v>0.0</v>
      </c>
      <c r="K899" s="20">
        <v>0.0</v>
      </c>
      <c r="L899" s="20">
        <v>0.0</v>
      </c>
      <c r="M899" s="20">
        <v>0.0</v>
      </c>
      <c r="N899" s="20">
        <v>0.0</v>
      </c>
      <c r="O899" s="20">
        <v>0.0</v>
      </c>
      <c r="P899" s="20">
        <v>0.0</v>
      </c>
      <c r="Q899" s="20">
        <v>0.0</v>
      </c>
      <c r="R899" s="20">
        <v>0.0</v>
      </c>
      <c r="S899" s="20">
        <v>0.0</v>
      </c>
      <c r="T899" s="20">
        <v>0.0</v>
      </c>
      <c r="U899" s="20">
        <v>0.0</v>
      </c>
    </row>
    <row r="900" ht="23.25" customHeight="1">
      <c r="A900" s="17" t="str">
        <f>IF(COUNTIF('Icon Lookup'!C:C,B900)&gt;0,LOOKUP(B900,'Icon Lookup'!C:C,'Icon Lookup'!B:B),"")</f>
        <v/>
      </c>
      <c r="B900" s="18" t="s">
        <v>710</v>
      </c>
      <c r="C900" s="17"/>
      <c r="D900" s="17">
        <v>54.0</v>
      </c>
      <c r="E900" s="17" t="s">
        <v>121</v>
      </c>
      <c r="G900" s="19"/>
      <c r="H900" s="20" t="s">
        <v>1320</v>
      </c>
      <c r="I900" s="17" t="s">
        <v>156</v>
      </c>
      <c r="J900" s="17">
        <v>0.0</v>
      </c>
      <c r="K900" s="17">
        <v>0.0</v>
      </c>
      <c r="L900" s="17">
        <v>0.0</v>
      </c>
      <c r="M900" s="17">
        <v>0.0</v>
      </c>
      <c r="N900" s="17">
        <v>0.0</v>
      </c>
      <c r="O900" s="17">
        <v>0.0</v>
      </c>
      <c r="P900" s="17">
        <v>0.0</v>
      </c>
      <c r="Q900" s="17">
        <v>0.0</v>
      </c>
      <c r="R900" s="17">
        <v>0.0</v>
      </c>
      <c r="S900" s="17">
        <v>0.0</v>
      </c>
      <c r="T900" s="17">
        <v>0.0</v>
      </c>
      <c r="U900" s="17">
        <v>0.0</v>
      </c>
    </row>
    <row r="901" ht="23.25" customHeight="1">
      <c r="A901" s="20" t="str">
        <f>IF(COUNTIF('Icon Lookup'!C:C,B901)&gt;0,LOOKUP(B901,'Icon Lookup'!C:C,'Icon Lookup'!B:B),"")</f>
        <v/>
      </c>
      <c r="B901" s="21" t="s">
        <v>687</v>
      </c>
      <c r="C901" s="20"/>
      <c r="D901" s="20">
        <v>54.0</v>
      </c>
      <c r="E901" s="20" t="s">
        <v>258</v>
      </c>
      <c r="G901" s="22"/>
      <c r="H901" s="23" t="s">
        <v>1321</v>
      </c>
      <c r="I901" s="20" t="s">
        <v>94</v>
      </c>
      <c r="J901" s="20">
        <v>0.0</v>
      </c>
      <c r="K901" s="20">
        <v>0.0</v>
      </c>
      <c r="L901" s="20">
        <v>0.0</v>
      </c>
      <c r="M901" s="20">
        <v>0.0</v>
      </c>
      <c r="N901" s="20">
        <v>0.0</v>
      </c>
      <c r="O901" s="20">
        <v>0.0</v>
      </c>
      <c r="P901" s="20">
        <v>0.0</v>
      </c>
      <c r="Q901" s="20">
        <v>0.0</v>
      </c>
      <c r="R901" s="20">
        <v>0.0</v>
      </c>
      <c r="S901" s="20">
        <v>0.0</v>
      </c>
      <c r="T901" s="20">
        <v>0.0</v>
      </c>
      <c r="U901" s="20">
        <v>0.0</v>
      </c>
    </row>
    <row r="902" ht="23.25" customHeight="1">
      <c r="A902" s="1"/>
      <c r="B902" s="15" t="s">
        <v>1322</v>
      </c>
      <c r="C902" s="1" t="s">
        <v>17</v>
      </c>
      <c r="D902" s="1" t="s">
        <v>1323</v>
      </c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ht="23.25" customHeight="1">
      <c r="A903" s="17" t="str">
        <f>IF(COUNTIF('Icon Lookup'!C:C,B903)&gt;0,LOOKUP(B903,'Icon Lookup'!C:C,'Icon Lookup'!B:B),"")</f>
        <v/>
      </c>
      <c r="B903" s="18" t="s">
        <v>311</v>
      </c>
      <c r="C903" s="17"/>
      <c r="D903" s="17">
        <v>55.0</v>
      </c>
      <c r="E903" s="17" t="s">
        <v>137</v>
      </c>
      <c r="G903" s="19"/>
      <c r="H903" s="20" t="s">
        <v>1324</v>
      </c>
      <c r="I903" s="17" t="s">
        <v>156</v>
      </c>
      <c r="J903" s="17">
        <v>0.0</v>
      </c>
      <c r="K903" s="17">
        <v>0.0</v>
      </c>
      <c r="L903" s="17">
        <v>0.0</v>
      </c>
      <c r="M903" s="17">
        <v>0.0</v>
      </c>
      <c r="N903" s="17">
        <v>0.0</v>
      </c>
      <c r="O903" s="17">
        <v>0.0</v>
      </c>
      <c r="P903" s="17">
        <v>0.0</v>
      </c>
      <c r="Q903" s="17">
        <v>0.0</v>
      </c>
      <c r="R903" s="17">
        <v>0.0</v>
      </c>
      <c r="S903" s="17">
        <v>0.0</v>
      </c>
      <c r="T903" s="17">
        <v>0.0</v>
      </c>
      <c r="U903" s="17">
        <v>0.0</v>
      </c>
    </row>
    <row r="904" ht="23.25" customHeight="1">
      <c r="A904" s="20" t="str">
        <f>IF(COUNTIF('Icon Lookup'!C:C,B904)&gt;0,LOOKUP(B904,'Icon Lookup'!C:C,'Icon Lookup'!B:B),"")</f>
        <v/>
      </c>
      <c r="B904" s="21" t="s">
        <v>586</v>
      </c>
      <c r="C904" s="20"/>
      <c r="D904" s="20">
        <v>55.0</v>
      </c>
      <c r="E904" s="20" t="s">
        <v>366</v>
      </c>
      <c r="G904" s="22"/>
      <c r="H904" s="23" t="s">
        <v>1325</v>
      </c>
      <c r="I904" s="20" t="s">
        <v>156</v>
      </c>
      <c r="J904" s="20">
        <v>0.0</v>
      </c>
      <c r="K904" s="20">
        <v>0.0</v>
      </c>
      <c r="L904" s="20">
        <v>0.0</v>
      </c>
      <c r="M904" s="20">
        <v>0.0</v>
      </c>
      <c r="N904" s="20">
        <v>0.0</v>
      </c>
      <c r="O904" s="20">
        <v>0.0</v>
      </c>
      <c r="P904" s="20">
        <v>0.0</v>
      </c>
      <c r="Q904" s="20">
        <v>0.0</v>
      </c>
      <c r="R904" s="20">
        <v>0.0</v>
      </c>
      <c r="S904" s="20">
        <v>0.0</v>
      </c>
      <c r="T904" s="20">
        <v>0.0</v>
      </c>
      <c r="U904" s="20">
        <v>0.0</v>
      </c>
    </row>
    <row r="905" ht="23.25" customHeight="1">
      <c r="A905" s="1"/>
      <c r="B905" s="15" t="s">
        <v>1326</v>
      </c>
      <c r="C905" s="1" t="s">
        <v>17</v>
      </c>
      <c r="D905" s="1" t="s">
        <v>1327</v>
      </c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ht="23.25" customHeight="1">
      <c r="A906" s="17" t="str">
        <f>IF(COUNTIF('Icon Lookup'!C:C,B906)&gt;0,LOOKUP(B906,'Icon Lookup'!C:C,'Icon Lookup'!B:B),"")</f>
        <v/>
      </c>
      <c r="B906" s="18" t="s">
        <v>410</v>
      </c>
      <c r="C906" s="17"/>
      <c r="D906" s="17">
        <v>33.0</v>
      </c>
      <c r="E906" s="17" t="s">
        <v>20</v>
      </c>
      <c r="G906" s="19"/>
      <c r="H906" s="20" t="s">
        <v>509</v>
      </c>
      <c r="I906" s="17" t="s">
        <v>205</v>
      </c>
      <c r="J906" s="17">
        <v>0.0</v>
      </c>
      <c r="K906" s="17">
        <v>0.0</v>
      </c>
      <c r="L906" s="17">
        <v>0.0</v>
      </c>
      <c r="M906" s="17">
        <v>0.0</v>
      </c>
      <c r="N906" s="17">
        <v>0.0</v>
      </c>
      <c r="O906" s="17">
        <v>0.0</v>
      </c>
      <c r="P906" s="17">
        <v>0.0</v>
      </c>
      <c r="Q906" s="17">
        <v>0.0</v>
      </c>
      <c r="R906" s="17">
        <v>0.0</v>
      </c>
      <c r="S906" s="17">
        <v>0.0</v>
      </c>
      <c r="T906" s="17">
        <v>0.0</v>
      </c>
      <c r="U906" s="17">
        <v>0.0</v>
      </c>
    </row>
    <row r="907" ht="23.25" customHeight="1">
      <c r="A907" s="20" t="str">
        <f>IF(COUNTIF('Icon Lookup'!C:C,B907)&gt;0,LOOKUP(B907,'Icon Lookup'!C:C,'Icon Lookup'!B:B),"")</f>
        <v/>
      </c>
      <c r="B907" s="21" t="s">
        <v>488</v>
      </c>
      <c r="C907" s="20"/>
      <c r="D907" s="20">
        <v>33.0</v>
      </c>
      <c r="E907" s="20" t="s">
        <v>87</v>
      </c>
      <c r="G907" s="22"/>
      <c r="H907" s="23" t="s">
        <v>1328</v>
      </c>
      <c r="I907" s="20" t="s">
        <v>211</v>
      </c>
      <c r="J907" s="20">
        <v>0.0</v>
      </c>
      <c r="K907" s="20">
        <v>0.0</v>
      </c>
      <c r="L907" s="20">
        <v>0.0</v>
      </c>
      <c r="M907" s="20">
        <v>0.0</v>
      </c>
      <c r="N907" s="20">
        <v>0.0</v>
      </c>
      <c r="O907" s="20">
        <v>0.0</v>
      </c>
      <c r="P907" s="20">
        <v>0.0</v>
      </c>
      <c r="Q907" s="20">
        <v>0.0</v>
      </c>
      <c r="R907" s="20">
        <v>0.0</v>
      </c>
      <c r="S907" s="20">
        <v>0.0</v>
      </c>
      <c r="T907" s="20">
        <v>0.0</v>
      </c>
      <c r="U907" s="20">
        <v>0.0</v>
      </c>
    </row>
    <row r="908" ht="23.25" customHeight="1">
      <c r="A908" s="1"/>
      <c r="B908" s="15" t="s">
        <v>1329</v>
      </c>
      <c r="C908" s="1" t="s">
        <v>17</v>
      </c>
      <c r="D908" s="1" t="s">
        <v>1330</v>
      </c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ht="23.25" customHeight="1">
      <c r="A909" s="17" t="str">
        <f>IF(COUNTIF('Icon Lookup'!C:C,B909)&gt;0,LOOKUP(B909,'Icon Lookup'!C:C,'Icon Lookup'!B:B),"")</f>
        <v/>
      </c>
      <c r="B909" s="18" t="s">
        <v>70</v>
      </c>
      <c r="C909" s="17"/>
      <c r="D909" s="17">
        <v>54.0</v>
      </c>
      <c r="E909" s="17" t="s">
        <v>71</v>
      </c>
      <c r="G909" s="19"/>
      <c r="H909" s="20" t="s">
        <v>1331</v>
      </c>
      <c r="I909" s="17" t="s">
        <v>197</v>
      </c>
      <c r="J909" s="17">
        <v>0.0</v>
      </c>
      <c r="K909" s="17">
        <v>0.0</v>
      </c>
      <c r="L909" s="17">
        <v>0.0</v>
      </c>
      <c r="M909" s="17">
        <v>0.0</v>
      </c>
      <c r="N909" s="17">
        <v>0.0</v>
      </c>
      <c r="O909" s="17">
        <v>0.0</v>
      </c>
      <c r="P909" s="17">
        <v>0.0</v>
      </c>
      <c r="Q909" s="17">
        <v>0.0</v>
      </c>
      <c r="R909" s="17">
        <v>0.0</v>
      </c>
      <c r="S909" s="17">
        <v>0.0</v>
      </c>
      <c r="T909" s="17">
        <v>0.0</v>
      </c>
      <c r="U909" s="17">
        <v>0.0</v>
      </c>
    </row>
    <row r="910" ht="23.25" customHeight="1">
      <c r="A910" s="20" t="str">
        <f>IF(COUNTIF('Icon Lookup'!C:C,B910)&gt;0,LOOKUP(B910,'Icon Lookup'!C:C,'Icon Lookup'!B:B),"")</f>
        <v/>
      </c>
      <c r="B910" s="21" t="s">
        <v>405</v>
      </c>
      <c r="C910" s="20"/>
      <c r="D910" s="20">
        <v>54.0</v>
      </c>
      <c r="E910" s="20" t="s">
        <v>382</v>
      </c>
      <c r="G910" s="22"/>
      <c r="H910" s="23" t="s">
        <v>1332</v>
      </c>
      <c r="I910" s="20" t="s">
        <v>197</v>
      </c>
      <c r="J910" s="20">
        <v>0.0</v>
      </c>
      <c r="K910" s="20">
        <v>0.0</v>
      </c>
      <c r="L910" s="20">
        <v>0.0</v>
      </c>
      <c r="M910" s="20">
        <v>0.0</v>
      </c>
      <c r="N910" s="20">
        <v>0.0</v>
      </c>
      <c r="O910" s="20">
        <v>0.0</v>
      </c>
      <c r="P910" s="20">
        <v>0.0</v>
      </c>
      <c r="Q910" s="20">
        <v>0.0</v>
      </c>
      <c r="R910" s="20">
        <v>0.0</v>
      </c>
      <c r="S910" s="20">
        <v>0.0</v>
      </c>
      <c r="T910" s="20">
        <v>0.0</v>
      </c>
      <c r="U910" s="20">
        <v>0.0</v>
      </c>
    </row>
    <row r="911" ht="23.25" customHeight="1">
      <c r="A911" s="17" t="str">
        <f>IF(COUNTIF('Icon Lookup'!C:C,B911)&gt;0,LOOKUP(B911,'Icon Lookup'!C:C,'Icon Lookup'!B:B),"")</f>
        <v/>
      </c>
      <c r="B911" s="18" t="s">
        <v>724</v>
      </c>
      <c r="C911" s="17"/>
      <c r="D911" s="17">
        <v>54.0</v>
      </c>
      <c r="E911" s="17" t="s">
        <v>240</v>
      </c>
      <c r="G911" s="19"/>
      <c r="H911" s="20" t="s">
        <v>1333</v>
      </c>
      <c r="I911" s="17" t="s">
        <v>105</v>
      </c>
      <c r="J911" s="17">
        <v>0.0</v>
      </c>
      <c r="K911" s="17">
        <v>0.0</v>
      </c>
      <c r="L911" s="17">
        <v>0.0</v>
      </c>
      <c r="M911" s="17">
        <v>0.0</v>
      </c>
      <c r="N911" s="17">
        <v>0.0</v>
      </c>
      <c r="O911" s="17">
        <v>0.0</v>
      </c>
      <c r="P911" s="17">
        <v>0.0</v>
      </c>
      <c r="Q911" s="17">
        <v>0.0</v>
      </c>
      <c r="R911" s="17">
        <v>0.0</v>
      </c>
      <c r="S911" s="17">
        <v>0.0</v>
      </c>
      <c r="T911" s="17">
        <v>0.0</v>
      </c>
      <c r="U911" s="17">
        <v>0.0</v>
      </c>
    </row>
    <row r="912" ht="23.25" customHeight="1">
      <c r="A912" s="1"/>
      <c r="B912" s="15" t="s">
        <v>1334</v>
      </c>
      <c r="C912" s="1" t="s">
        <v>17</v>
      </c>
      <c r="D912" s="1" t="s">
        <v>1335</v>
      </c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ht="23.25" customHeight="1">
      <c r="A913" s="20" t="str">
        <f>IF(COUNTIF('Icon Lookup'!C:C,B913)&gt;0,LOOKUP(B913,'Icon Lookup'!C:C,'Icon Lookup'!B:B),"")</f>
        <v/>
      </c>
      <c r="B913" s="21" t="s">
        <v>482</v>
      </c>
      <c r="C913" s="20"/>
      <c r="D913" s="20">
        <v>54.0</v>
      </c>
      <c r="E913" s="20" t="s">
        <v>218</v>
      </c>
      <c r="G913" s="22"/>
      <c r="H913" s="23" t="s">
        <v>1336</v>
      </c>
      <c r="I913" s="20" t="s">
        <v>105</v>
      </c>
      <c r="J913" s="20">
        <v>0.0</v>
      </c>
      <c r="K913" s="20">
        <v>0.0</v>
      </c>
      <c r="L913" s="20">
        <v>0.0</v>
      </c>
      <c r="M913" s="20">
        <v>0.0</v>
      </c>
      <c r="N913" s="20">
        <v>0.0</v>
      </c>
      <c r="O913" s="20">
        <v>0.0</v>
      </c>
      <c r="P913" s="20">
        <v>0.0</v>
      </c>
      <c r="Q913" s="20">
        <v>0.0</v>
      </c>
      <c r="R913" s="20">
        <v>0.0</v>
      </c>
      <c r="S913" s="20">
        <v>0.0</v>
      </c>
      <c r="T913" s="20">
        <v>0.0</v>
      </c>
      <c r="U913" s="20">
        <v>0.0</v>
      </c>
    </row>
    <row r="914" ht="23.25" customHeight="1">
      <c r="A914" s="17" t="str">
        <f>IF(COUNTIF('Icon Lookup'!C:C,B914)&gt;0,LOOKUP(B914,'Icon Lookup'!C:C,'Icon Lookup'!B:B),"")</f>
        <v/>
      </c>
      <c r="B914" s="18" t="s">
        <v>410</v>
      </c>
      <c r="C914" s="17"/>
      <c r="D914" s="17">
        <v>54.0</v>
      </c>
      <c r="E914" s="17" t="s">
        <v>411</v>
      </c>
      <c r="G914" s="19"/>
      <c r="H914" s="20" t="s">
        <v>1337</v>
      </c>
      <c r="I914" s="17" t="s">
        <v>205</v>
      </c>
      <c r="J914" s="17">
        <v>0.0</v>
      </c>
      <c r="K914" s="17">
        <v>0.0</v>
      </c>
      <c r="L914" s="17">
        <v>0.0</v>
      </c>
      <c r="M914" s="17">
        <v>0.0</v>
      </c>
      <c r="N914" s="17">
        <v>0.0</v>
      </c>
      <c r="O914" s="17">
        <v>0.0</v>
      </c>
      <c r="P914" s="17">
        <v>0.0</v>
      </c>
      <c r="Q914" s="17">
        <v>0.0</v>
      </c>
      <c r="R914" s="17">
        <v>0.0</v>
      </c>
      <c r="S914" s="17">
        <v>0.0</v>
      </c>
      <c r="T914" s="17">
        <v>0.0</v>
      </c>
      <c r="U914" s="17">
        <v>0.0</v>
      </c>
    </row>
    <row r="915" ht="23.25" customHeight="1">
      <c r="A915" s="20" t="str">
        <f>IF(COUNTIF('Icon Lookup'!C:C,B915)&gt;0,LOOKUP(B915,'Icon Lookup'!C:C,'Icon Lookup'!B:B),"")</f>
        <v/>
      </c>
      <c r="B915" s="21" t="s">
        <v>643</v>
      </c>
      <c r="C915" s="20"/>
      <c r="D915" s="20">
        <v>54.0</v>
      </c>
      <c r="E915" s="20" t="s">
        <v>525</v>
      </c>
      <c r="G915" s="22"/>
      <c r="H915" s="23" t="s">
        <v>1338</v>
      </c>
      <c r="I915" s="20" t="s">
        <v>211</v>
      </c>
      <c r="J915" s="20">
        <v>0.0</v>
      </c>
      <c r="K915" s="20">
        <v>0.0</v>
      </c>
      <c r="L915" s="20">
        <v>0.0</v>
      </c>
      <c r="M915" s="20">
        <v>0.0</v>
      </c>
      <c r="N915" s="20">
        <v>0.0</v>
      </c>
      <c r="O915" s="20">
        <v>0.0</v>
      </c>
      <c r="P915" s="20">
        <v>0.0</v>
      </c>
      <c r="Q915" s="20">
        <v>0.0</v>
      </c>
      <c r="R915" s="20">
        <v>0.0</v>
      </c>
      <c r="S915" s="20">
        <v>0.0</v>
      </c>
      <c r="T915" s="20">
        <v>0.0</v>
      </c>
      <c r="U915" s="20">
        <v>0.0</v>
      </c>
    </row>
    <row r="916" ht="23.25" customHeight="1">
      <c r="A916" s="1"/>
      <c r="B916" s="15" t="s">
        <v>1339</v>
      </c>
      <c r="C916" s="1" t="s">
        <v>17</v>
      </c>
      <c r="D916" s="1" t="s">
        <v>1340</v>
      </c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ht="23.25" customHeight="1">
      <c r="A917" s="17" t="str">
        <f>IF(COUNTIF('Icon Lookup'!C:C,B917)&gt;0,LOOKUP(B917,'Icon Lookup'!C:C,'Icon Lookup'!B:B),"")</f>
        <v/>
      </c>
      <c r="B917" s="18" t="s">
        <v>165</v>
      </c>
      <c r="C917" s="17"/>
      <c r="D917" s="17">
        <v>15.0</v>
      </c>
      <c r="E917" s="17" t="s">
        <v>166</v>
      </c>
      <c r="G917" s="19"/>
      <c r="H917" s="20" t="s">
        <v>1341</v>
      </c>
      <c r="I917" s="17" t="s">
        <v>94</v>
      </c>
      <c r="J917" s="17">
        <v>0.0</v>
      </c>
      <c r="K917" s="17">
        <v>0.0</v>
      </c>
      <c r="L917" s="17">
        <v>0.0</v>
      </c>
      <c r="M917" s="17">
        <v>0.0</v>
      </c>
      <c r="N917" s="17">
        <v>0.0</v>
      </c>
      <c r="O917" s="17">
        <v>0.0</v>
      </c>
      <c r="P917" s="17">
        <v>0.0</v>
      </c>
      <c r="Q917" s="17">
        <v>0.0</v>
      </c>
      <c r="R917" s="17">
        <v>0.0</v>
      </c>
      <c r="S917" s="17">
        <v>0.0</v>
      </c>
      <c r="T917" s="17">
        <v>0.0</v>
      </c>
      <c r="U917" s="17">
        <v>0.0</v>
      </c>
    </row>
    <row r="918" ht="23.25" customHeight="1">
      <c r="A918" s="1"/>
      <c r="B918" s="15" t="s">
        <v>1342</v>
      </c>
      <c r="C918" s="1" t="s">
        <v>17</v>
      </c>
      <c r="D918" s="1" t="s">
        <v>1343</v>
      </c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ht="23.25" customHeight="1">
      <c r="A919" s="20" t="str">
        <f>IF(COUNTIF('Icon Lookup'!C:C,B919)&gt;0,LOOKUP(B919,'Icon Lookup'!C:C,'Icon Lookup'!B:B),"")</f>
        <v/>
      </c>
      <c r="B919" s="21" t="s">
        <v>476</v>
      </c>
      <c r="C919" s="20"/>
      <c r="D919" s="20">
        <v>56.0</v>
      </c>
      <c r="E919" s="20" t="s">
        <v>950</v>
      </c>
      <c r="G919" s="22"/>
      <c r="H919" s="23" t="s">
        <v>1344</v>
      </c>
      <c r="I919" s="20" t="s">
        <v>156</v>
      </c>
      <c r="J919" s="20">
        <v>0.0</v>
      </c>
      <c r="K919" s="20">
        <v>0.0</v>
      </c>
      <c r="L919" s="20">
        <v>0.0</v>
      </c>
      <c r="M919" s="20">
        <v>0.0</v>
      </c>
      <c r="N919" s="20">
        <v>0.0</v>
      </c>
      <c r="O919" s="20">
        <v>0.0</v>
      </c>
      <c r="P919" s="20">
        <v>0.0</v>
      </c>
      <c r="Q919" s="20">
        <v>0.0</v>
      </c>
      <c r="R919" s="20">
        <v>0.0</v>
      </c>
      <c r="S919" s="20">
        <v>0.0</v>
      </c>
      <c r="T919" s="20">
        <v>0.0</v>
      </c>
      <c r="U919" s="20">
        <v>0.0</v>
      </c>
    </row>
    <row r="920" ht="23.25" customHeight="1">
      <c r="A920" s="1"/>
      <c r="B920" s="15" t="s">
        <v>1345</v>
      </c>
      <c r="C920" s="1" t="s">
        <v>17</v>
      </c>
      <c r="D920" s="1" t="s">
        <v>1346</v>
      </c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ht="23.25" customHeight="1">
      <c r="A921" s="17" t="str">
        <f>IF(COUNTIF('Icon Lookup'!C:C,B921)&gt;0,LOOKUP(B921,'Icon Lookup'!C:C,'Icon Lookup'!B:B),"")</f>
        <v/>
      </c>
      <c r="B921" s="18" t="s">
        <v>273</v>
      </c>
      <c r="C921" s="17"/>
      <c r="D921" s="17">
        <v>56.0</v>
      </c>
      <c r="E921" s="17" t="s">
        <v>38</v>
      </c>
      <c r="G921" s="19"/>
      <c r="H921" s="20" t="s">
        <v>1347</v>
      </c>
      <c r="I921" s="17" t="s">
        <v>94</v>
      </c>
      <c r="J921" s="17">
        <v>0.0</v>
      </c>
      <c r="K921" s="17">
        <v>0.0</v>
      </c>
      <c r="L921" s="17">
        <v>0.0</v>
      </c>
      <c r="M921" s="17">
        <v>0.0</v>
      </c>
      <c r="N921" s="17">
        <v>0.0</v>
      </c>
      <c r="O921" s="17">
        <v>0.0</v>
      </c>
      <c r="P921" s="17">
        <v>0.0</v>
      </c>
      <c r="Q921" s="17">
        <v>0.0</v>
      </c>
      <c r="R921" s="17">
        <v>0.0</v>
      </c>
      <c r="S921" s="17">
        <v>0.0</v>
      </c>
      <c r="T921" s="17">
        <v>0.0</v>
      </c>
      <c r="U921" s="17">
        <v>0.0</v>
      </c>
    </row>
    <row r="922" ht="23.25" customHeight="1">
      <c r="A922" s="1"/>
      <c r="B922" s="15" t="s">
        <v>1348</v>
      </c>
      <c r="C922" s="1" t="s">
        <v>17</v>
      </c>
      <c r="D922" s="1" t="s">
        <v>1349</v>
      </c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ht="23.25" customHeight="1">
      <c r="A923" s="20" t="str">
        <f>IF(COUNTIF('Icon Lookup'!C:C,B923)&gt;0,LOOKUP(B923,'Icon Lookup'!C:C,'Icon Lookup'!B:B),"")</f>
        <v/>
      </c>
      <c r="B923" s="21" t="s">
        <v>577</v>
      </c>
      <c r="C923" s="20"/>
      <c r="D923" s="20">
        <v>15.0</v>
      </c>
      <c r="E923" s="20" t="s">
        <v>399</v>
      </c>
      <c r="G923" s="22"/>
      <c r="H923" s="23" t="s">
        <v>1350</v>
      </c>
      <c r="I923" s="20" t="s">
        <v>105</v>
      </c>
      <c r="J923" s="20">
        <v>0.0</v>
      </c>
      <c r="K923" s="20">
        <v>0.0</v>
      </c>
      <c r="L923" s="20">
        <v>0.0</v>
      </c>
      <c r="M923" s="20">
        <v>0.0</v>
      </c>
      <c r="N923" s="20">
        <v>0.0</v>
      </c>
      <c r="O923" s="20">
        <v>0.0</v>
      </c>
      <c r="P923" s="20">
        <v>0.0</v>
      </c>
      <c r="Q923" s="20">
        <v>0.0</v>
      </c>
      <c r="R923" s="20">
        <v>0.0</v>
      </c>
      <c r="S923" s="20">
        <v>0.0</v>
      </c>
      <c r="T923" s="20">
        <v>0.0</v>
      </c>
      <c r="U923" s="20">
        <v>0.0</v>
      </c>
    </row>
    <row r="924" ht="23.25" customHeight="1">
      <c r="A924" s="1"/>
      <c r="B924" s="15" t="s">
        <v>1351</v>
      </c>
      <c r="C924" s="1" t="s">
        <v>17</v>
      </c>
      <c r="D924" s="1" t="s">
        <v>1352</v>
      </c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ht="23.25" customHeight="1">
      <c r="A925" s="17" t="str">
        <f>IF(COUNTIF('Icon Lookup'!C:C,B925)&gt;0,LOOKUP(B925,'Icon Lookup'!C:C,'Icon Lookup'!B:B),"")</f>
        <v/>
      </c>
      <c r="B925" s="18" t="s">
        <v>386</v>
      </c>
      <c r="C925" s="17"/>
      <c r="D925" s="17">
        <v>54.0</v>
      </c>
      <c r="E925" s="17" t="s">
        <v>38</v>
      </c>
      <c r="G925" s="19"/>
      <c r="H925" s="20" t="s">
        <v>1353</v>
      </c>
      <c r="I925" s="17" t="s">
        <v>105</v>
      </c>
      <c r="J925" s="17">
        <v>0.0</v>
      </c>
      <c r="K925" s="17">
        <v>0.0</v>
      </c>
      <c r="L925" s="17">
        <v>0.0</v>
      </c>
      <c r="M925" s="17">
        <v>0.0</v>
      </c>
      <c r="N925" s="17">
        <v>0.0</v>
      </c>
      <c r="O925" s="17">
        <v>0.0</v>
      </c>
      <c r="P925" s="17">
        <v>0.0</v>
      </c>
      <c r="Q925" s="17">
        <v>0.0</v>
      </c>
      <c r="R925" s="17">
        <v>0.0</v>
      </c>
      <c r="S925" s="17">
        <v>0.0</v>
      </c>
      <c r="T925" s="17">
        <v>0.0</v>
      </c>
      <c r="U925" s="17">
        <v>0.0</v>
      </c>
    </row>
    <row r="926" ht="23.25" customHeight="1">
      <c r="A926" s="20" t="str">
        <f>IF(COUNTIF('Icon Lookup'!C:C,B926)&gt;0,LOOKUP(B926,'Icon Lookup'!C:C,'Icon Lookup'!B:B),"")</f>
        <v/>
      </c>
      <c r="B926" s="21" t="s">
        <v>386</v>
      </c>
      <c r="C926" s="20"/>
      <c r="D926" s="20">
        <v>54.0</v>
      </c>
      <c r="E926" s="20" t="s">
        <v>387</v>
      </c>
      <c r="G926" s="22"/>
      <c r="H926" s="23" t="s">
        <v>1354</v>
      </c>
      <c r="I926" s="20" t="s">
        <v>105</v>
      </c>
      <c r="J926" s="20">
        <v>0.0</v>
      </c>
      <c r="K926" s="20">
        <v>0.0</v>
      </c>
      <c r="L926" s="20">
        <v>0.0</v>
      </c>
      <c r="M926" s="20">
        <v>0.0</v>
      </c>
      <c r="N926" s="20">
        <v>0.0</v>
      </c>
      <c r="O926" s="20">
        <v>0.0</v>
      </c>
      <c r="P926" s="20">
        <v>0.0</v>
      </c>
      <c r="Q926" s="20">
        <v>0.0</v>
      </c>
      <c r="R926" s="20">
        <v>0.0</v>
      </c>
      <c r="S926" s="20">
        <v>0.0</v>
      </c>
      <c r="T926" s="20">
        <v>0.0</v>
      </c>
      <c r="U926" s="20">
        <v>0.0</v>
      </c>
    </row>
    <row r="927" ht="23.25" customHeight="1">
      <c r="A927" s="1"/>
      <c r="B927" s="15" t="s">
        <v>1355</v>
      </c>
      <c r="C927" s="1" t="s">
        <v>17</v>
      </c>
      <c r="D927" s="1" t="s">
        <v>1356</v>
      </c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ht="23.25" customHeight="1">
      <c r="A928" s="17" t="str">
        <f>IF(COUNTIF('Icon Lookup'!C:C,B928)&gt;0,LOOKUP(B928,'Icon Lookup'!C:C,'Icon Lookup'!B:B),"")</f>
        <v/>
      </c>
      <c r="B928" s="18" t="s">
        <v>772</v>
      </c>
      <c r="C928" s="17"/>
      <c r="D928" s="17">
        <v>53.0</v>
      </c>
      <c r="E928" s="17" t="s">
        <v>161</v>
      </c>
      <c r="G928" s="19"/>
      <c r="H928" s="20" t="s">
        <v>1357</v>
      </c>
      <c r="I928" s="17" t="s">
        <v>197</v>
      </c>
      <c r="J928" s="17">
        <v>0.0</v>
      </c>
      <c r="K928" s="17">
        <v>0.0</v>
      </c>
      <c r="L928" s="17">
        <v>0.0</v>
      </c>
      <c r="M928" s="17">
        <v>0.0</v>
      </c>
      <c r="N928" s="17">
        <v>0.0</v>
      </c>
      <c r="O928" s="17">
        <v>0.0</v>
      </c>
      <c r="P928" s="17">
        <v>0.0</v>
      </c>
      <c r="Q928" s="17">
        <v>0.0</v>
      </c>
      <c r="R928" s="17">
        <v>0.0</v>
      </c>
      <c r="S928" s="17">
        <v>0.0</v>
      </c>
      <c r="T928" s="17">
        <v>0.0</v>
      </c>
      <c r="U928" s="17">
        <v>0.0</v>
      </c>
    </row>
    <row r="929" ht="23.25" customHeight="1">
      <c r="A929" s="20" t="str">
        <f>IF(COUNTIF('Icon Lookup'!C:C,B929)&gt;0,LOOKUP(B929,'Icon Lookup'!C:C,'Icon Lookup'!B:B),"")</f>
        <v/>
      </c>
      <c r="B929" s="21" t="s">
        <v>774</v>
      </c>
      <c r="C929" s="20"/>
      <c r="D929" s="20">
        <v>55.0</v>
      </c>
      <c r="E929" s="20" t="s">
        <v>161</v>
      </c>
      <c r="G929" s="22"/>
      <c r="H929" s="23" t="s">
        <v>1358</v>
      </c>
      <c r="I929" s="20" t="s">
        <v>105</v>
      </c>
      <c r="J929" s="20">
        <v>0.0</v>
      </c>
      <c r="K929" s="20">
        <v>0.0</v>
      </c>
      <c r="L929" s="20">
        <v>0.0</v>
      </c>
      <c r="M929" s="20">
        <v>0.0</v>
      </c>
      <c r="N929" s="20">
        <v>0.0</v>
      </c>
      <c r="O929" s="20">
        <v>0.0</v>
      </c>
      <c r="P929" s="20">
        <v>0.0</v>
      </c>
      <c r="Q929" s="20">
        <v>0.0</v>
      </c>
      <c r="R929" s="20">
        <v>0.0</v>
      </c>
      <c r="S929" s="20">
        <v>0.0</v>
      </c>
      <c r="T929" s="20">
        <v>0.0</v>
      </c>
      <c r="U929" s="20">
        <v>0.0</v>
      </c>
    </row>
    <row r="930" ht="23.25" customHeight="1">
      <c r="A930" s="1"/>
      <c r="B930" s="15" t="s">
        <v>1359</v>
      </c>
      <c r="C930" s="1" t="s">
        <v>17</v>
      </c>
      <c r="D930" s="1" t="s">
        <v>1360</v>
      </c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ht="23.25" customHeight="1">
      <c r="A931" s="17" t="str">
        <f>IF(COUNTIF('Icon Lookup'!C:C,B931)&gt;0,LOOKUP(B931,'Icon Lookup'!C:C,'Icon Lookup'!B:B),"")</f>
        <v/>
      </c>
      <c r="B931" s="18" t="s">
        <v>187</v>
      </c>
      <c r="C931" s="17"/>
      <c r="D931" s="17">
        <v>26.0</v>
      </c>
      <c r="E931" s="17" t="s">
        <v>188</v>
      </c>
      <c r="G931" s="19"/>
      <c r="H931" s="20" t="s">
        <v>1361</v>
      </c>
      <c r="I931" s="17" t="s">
        <v>22</v>
      </c>
      <c r="J931" s="17">
        <v>0.0</v>
      </c>
      <c r="K931" s="17">
        <v>0.0</v>
      </c>
      <c r="L931" s="17">
        <v>0.0</v>
      </c>
      <c r="M931" s="17">
        <v>0.0</v>
      </c>
      <c r="N931" s="17">
        <v>0.0</v>
      </c>
      <c r="O931" s="17">
        <v>0.0</v>
      </c>
      <c r="P931" s="17">
        <v>0.0</v>
      </c>
      <c r="Q931" s="17">
        <v>0.0</v>
      </c>
      <c r="R931" s="17">
        <v>0.0</v>
      </c>
      <c r="S931" s="17">
        <v>0.0</v>
      </c>
      <c r="T931" s="17">
        <v>0.0</v>
      </c>
      <c r="U931" s="17">
        <v>0.0</v>
      </c>
    </row>
    <row r="932" ht="23.25" customHeight="1">
      <c r="A932" s="1"/>
      <c r="B932" s="15" t="s">
        <v>1362</v>
      </c>
      <c r="C932" s="1" t="s">
        <v>17</v>
      </c>
      <c r="D932" s="1" t="s">
        <v>1363</v>
      </c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ht="23.25" customHeight="1">
      <c r="A933" s="20" t="str">
        <f>IF(COUNTIF('Icon Lookup'!C:C,B933)&gt;0,LOOKUP(B933,'Icon Lookup'!C:C,'Icon Lookup'!B:B),"")</f>
        <v/>
      </c>
      <c r="B933" s="21" t="s">
        <v>1280</v>
      </c>
      <c r="C933" s="20"/>
      <c r="D933" s="20">
        <v>40.0</v>
      </c>
      <c r="E933" s="20" t="s">
        <v>719</v>
      </c>
      <c r="G933" s="22"/>
      <c r="H933" s="23" t="s">
        <v>1364</v>
      </c>
      <c r="I933" s="20" t="s">
        <v>22</v>
      </c>
      <c r="J933" s="20">
        <v>68.0</v>
      </c>
      <c r="K933" s="20">
        <v>0.0</v>
      </c>
      <c r="L933" s="20">
        <v>68.0</v>
      </c>
      <c r="M933" s="20">
        <v>0.0</v>
      </c>
      <c r="N933" s="20">
        <v>68.0</v>
      </c>
      <c r="O933" s="20">
        <v>0.0</v>
      </c>
      <c r="P933" s="20">
        <v>15.0</v>
      </c>
      <c r="Q933" s="20">
        <v>0.0</v>
      </c>
      <c r="R933" s="20">
        <v>15.0</v>
      </c>
      <c r="S933" s="20">
        <v>0.0</v>
      </c>
      <c r="T933" s="20">
        <v>15.0</v>
      </c>
      <c r="U933" s="20">
        <v>0.0</v>
      </c>
    </row>
    <row r="934" ht="23.25" customHeight="1">
      <c r="A934" s="17" t="str">
        <f>IF(COUNTIF('Icon Lookup'!C:C,B934)&gt;0,LOOKUP(B934,'Icon Lookup'!C:C,'Icon Lookup'!B:B),"")</f>
        <v/>
      </c>
      <c r="B934" s="18" t="s">
        <v>174</v>
      </c>
      <c r="C934" s="17"/>
      <c r="D934" s="17">
        <v>40.0</v>
      </c>
      <c r="E934" s="17" t="s">
        <v>38</v>
      </c>
      <c r="G934" s="19"/>
      <c r="H934" s="20" t="s">
        <v>542</v>
      </c>
      <c r="I934" s="17" t="s">
        <v>22</v>
      </c>
      <c r="J934" s="17">
        <v>68.0</v>
      </c>
      <c r="K934" s="17">
        <v>0.0</v>
      </c>
      <c r="L934" s="17">
        <v>68.0</v>
      </c>
      <c r="M934" s="17">
        <v>0.0</v>
      </c>
      <c r="N934" s="17">
        <v>68.0</v>
      </c>
      <c r="O934" s="17">
        <v>0.0</v>
      </c>
      <c r="P934" s="17">
        <v>15.0</v>
      </c>
      <c r="Q934" s="17">
        <v>0.0</v>
      </c>
      <c r="R934" s="17">
        <v>15.0</v>
      </c>
      <c r="S934" s="17">
        <v>0.0</v>
      </c>
      <c r="T934" s="17">
        <v>15.0</v>
      </c>
      <c r="U934" s="17">
        <v>0.0</v>
      </c>
    </row>
    <row r="935" ht="23.25" customHeight="1">
      <c r="A935" s="20" t="str">
        <f>IF(COUNTIF('Icon Lookup'!C:C,B935)&gt;0,LOOKUP(B935,'Icon Lookup'!C:C,'Icon Lookup'!B:B),"")</f>
        <v/>
      </c>
      <c r="B935" s="21" t="s">
        <v>478</v>
      </c>
      <c r="C935" s="20"/>
      <c r="D935" s="20">
        <v>43.0</v>
      </c>
      <c r="E935" s="20" t="str">
        <f>IMAGE("https://www.serebii.net/itemdex/sprites/sitrusberry.png")</f>
        <v/>
      </c>
      <c r="F935" s="20" t="s">
        <v>20</v>
      </c>
      <c r="G935" s="20" t="s">
        <v>824</v>
      </c>
      <c r="H935" s="23" t="s">
        <v>1365</v>
      </c>
      <c r="I935" s="20" t="s">
        <v>22</v>
      </c>
      <c r="J935" s="20">
        <v>68.0</v>
      </c>
      <c r="K935" s="20">
        <v>0.0</v>
      </c>
      <c r="L935" s="20">
        <v>68.0</v>
      </c>
      <c r="M935" s="20">
        <v>0.0</v>
      </c>
      <c r="N935" s="20">
        <v>68.0</v>
      </c>
      <c r="O935" s="20">
        <v>0.0</v>
      </c>
      <c r="P935" s="20">
        <v>15.0</v>
      </c>
      <c r="Q935" s="20">
        <v>0.0</v>
      </c>
      <c r="R935" s="20">
        <v>15.0</v>
      </c>
      <c r="S935" s="20">
        <v>0.0</v>
      </c>
      <c r="T935" s="20">
        <v>15.0</v>
      </c>
      <c r="U935" s="20">
        <v>0.0</v>
      </c>
    </row>
    <row r="936" ht="23.25" customHeight="1">
      <c r="A936" s="1"/>
      <c r="B936" s="15" t="s">
        <v>1366</v>
      </c>
      <c r="C936" s="1" t="s">
        <v>17</v>
      </c>
      <c r="D936" s="1" t="s">
        <v>1363</v>
      </c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ht="23.25" customHeight="1">
      <c r="A937" s="17" t="str">
        <f>IF(COUNTIF('Icon Lookup'!C:C,B937)&gt;0,LOOKUP(B937,'Icon Lookup'!C:C,'Icon Lookup'!B:B),"")</f>
        <v/>
      </c>
      <c r="B937" s="18" t="s">
        <v>718</v>
      </c>
      <c r="C937" s="17"/>
      <c r="D937" s="17">
        <v>45.0</v>
      </c>
      <c r="E937" s="17" t="str">
        <f>IMAGE("https://www.serebii.net/itemdex/sprites/scopelens.png")</f>
        <v/>
      </c>
      <c r="F937" s="17" t="s">
        <v>1367</v>
      </c>
      <c r="G937" s="17" t="s">
        <v>855</v>
      </c>
      <c r="H937" s="20" t="s">
        <v>1368</v>
      </c>
      <c r="I937" s="17" t="s">
        <v>22</v>
      </c>
      <c r="J937" s="17">
        <v>68.0</v>
      </c>
      <c r="K937" s="17">
        <v>0.0</v>
      </c>
      <c r="L937" s="17">
        <v>68.0</v>
      </c>
      <c r="M937" s="17">
        <v>0.0</v>
      </c>
      <c r="N937" s="17">
        <v>68.0</v>
      </c>
      <c r="O937" s="17">
        <v>0.0</v>
      </c>
      <c r="P937" s="17">
        <v>15.0</v>
      </c>
      <c r="Q937" s="17">
        <v>0.0</v>
      </c>
      <c r="R937" s="17">
        <v>15.0</v>
      </c>
      <c r="S937" s="17">
        <v>0.0</v>
      </c>
      <c r="T937" s="17">
        <v>15.0</v>
      </c>
      <c r="U937" s="17">
        <v>0.0</v>
      </c>
    </row>
    <row r="938" ht="23.25" customHeight="1">
      <c r="A938" s="20" t="str">
        <f>IF(COUNTIF('Icon Lookup'!C:C,B938)&gt;0,LOOKUP(B938,'Icon Lookup'!C:C,'Icon Lookup'!B:B),"")</f>
        <v/>
      </c>
      <c r="B938" s="21" t="s">
        <v>1369</v>
      </c>
      <c r="C938" s="20"/>
      <c r="D938" s="20">
        <v>46.0</v>
      </c>
      <c r="E938" s="20" t="str">
        <f>IMAGE("https://www.serebii.net/itemdex/sprites/quickclaw.png")</f>
        <v/>
      </c>
      <c r="F938" s="20" t="s">
        <v>1370</v>
      </c>
      <c r="G938" s="20" t="s">
        <v>1371</v>
      </c>
      <c r="H938" s="23" t="s">
        <v>1372</v>
      </c>
      <c r="I938" s="20" t="s">
        <v>22</v>
      </c>
      <c r="J938" s="20">
        <v>68.0</v>
      </c>
      <c r="K938" s="20">
        <v>0.0</v>
      </c>
      <c r="L938" s="20">
        <v>68.0</v>
      </c>
      <c r="M938" s="20">
        <v>0.0</v>
      </c>
      <c r="N938" s="20">
        <v>68.0</v>
      </c>
      <c r="O938" s="20">
        <v>0.0</v>
      </c>
      <c r="P938" s="20">
        <v>15.0</v>
      </c>
      <c r="Q938" s="20">
        <v>0.0</v>
      </c>
      <c r="R938" s="20">
        <v>15.0</v>
      </c>
      <c r="S938" s="20">
        <v>0.0</v>
      </c>
      <c r="T938" s="20">
        <v>15.0</v>
      </c>
      <c r="U938" s="20">
        <v>0.0</v>
      </c>
    </row>
    <row r="939" ht="23.25" customHeight="1">
      <c r="A939" s="17" t="str">
        <f>IF(COUNTIF('Icon Lookup'!C:C,B939)&gt;0,LOOKUP(B939,'Icon Lookup'!C:C,'Icon Lookup'!B:B),"")</f>
        <v/>
      </c>
      <c r="B939" s="18" t="s">
        <v>190</v>
      </c>
      <c r="C939" s="17"/>
      <c r="D939" s="17">
        <v>45.0</v>
      </c>
      <c r="E939" s="17" t="str">
        <f>IMAGE("https://www.serebii.net/itemdex/sprites/wacanberry.png")</f>
        <v/>
      </c>
      <c r="F939" s="17" t="s">
        <v>26</v>
      </c>
      <c r="G939" s="17" t="s">
        <v>1373</v>
      </c>
      <c r="H939" s="20" t="s">
        <v>1374</v>
      </c>
      <c r="I939" s="17" t="s">
        <v>22</v>
      </c>
      <c r="J939" s="17">
        <v>68.0</v>
      </c>
      <c r="K939" s="17">
        <v>0.0</v>
      </c>
      <c r="L939" s="17">
        <v>68.0</v>
      </c>
      <c r="M939" s="17">
        <v>0.0</v>
      </c>
      <c r="N939" s="17">
        <v>68.0</v>
      </c>
      <c r="O939" s="17">
        <v>0.0</v>
      </c>
      <c r="P939" s="17">
        <v>15.0</v>
      </c>
      <c r="Q939" s="17">
        <v>0.0</v>
      </c>
      <c r="R939" s="17">
        <v>15.0</v>
      </c>
      <c r="S939" s="17">
        <v>0.0</v>
      </c>
      <c r="T939" s="17">
        <v>15.0</v>
      </c>
      <c r="U939" s="17">
        <v>0.0</v>
      </c>
    </row>
    <row r="940" ht="23.25" customHeight="1">
      <c r="A940" s="20" t="str">
        <f>IF(COUNTIF('Icon Lookup'!C:C,B940)&gt;0,LOOKUP(B940,'Icon Lookup'!C:C,'Icon Lookup'!B:B),"")</f>
        <v/>
      </c>
      <c r="B940" s="21" t="s">
        <v>1375</v>
      </c>
      <c r="C940" s="20"/>
      <c r="D940" s="20">
        <v>48.0</v>
      </c>
      <c r="E940" s="20" t="str">
        <f>IMAGE("https://www.serebii.net/itemdex/sprites/chopleberry.png")</f>
        <v/>
      </c>
      <c r="F940" s="20" t="s">
        <v>1137</v>
      </c>
      <c r="G940" s="20" t="s">
        <v>1138</v>
      </c>
      <c r="H940" s="23" t="s">
        <v>1376</v>
      </c>
      <c r="I940" s="20" t="s">
        <v>22</v>
      </c>
      <c r="J940" s="20">
        <v>68.0</v>
      </c>
      <c r="K940" s="20">
        <v>0.0</v>
      </c>
      <c r="L940" s="20">
        <v>68.0</v>
      </c>
      <c r="M940" s="20">
        <v>0.0</v>
      </c>
      <c r="N940" s="20">
        <v>68.0</v>
      </c>
      <c r="O940" s="20">
        <v>0.0</v>
      </c>
      <c r="P940" s="20">
        <v>15.0</v>
      </c>
      <c r="Q940" s="20">
        <v>0.0</v>
      </c>
      <c r="R940" s="20">
        <v>15.0</v>
      </c>
      <c r="S940" s="20">
        <v>0.0</v>
      </c>
      <c r="T940" s="20">
        <v>15.0</v>
      </c>
      <c r="U940" s="20">
        <v>0.0</v>
      </c>
    </row>
    <row r="941" ht="23.25" customHeight="1">
      <c r="A941" s="1"/>
      <c r="B941" s="15" t="s">
        <v>1377</v>
      </c>
      <c r="C941" s="1" t="s">
        <v>17</v>
      </c>
      <c r="D941" s="1" t="s">
        <v>1038</v>
      </c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ht="23.25" customHeight="1">
      <c r="A942" s="17" t="str">
        <f>IF(COUNTIF('Icon Lookup'!C:C,B942)&gt;0,LOOKUP(B942,'Icon Lookup'!C:C,'Icon Lookup'!B:B),"")</f>
        <v/>
      </c>
      <c r="B942" s="18" t="s">
        <v>174</v>
      </c>
      <c r="C942" s="17"/>
      <c r="D942" s="17">
        <v>37.0</v>
      </c>
      <c r="E942" s="17" t="s">
        <v>38</v>
      </c>
      <c r="G942" s="19"/>
      <c r="H942" s="20" t="s">
        <v>1378</v>
      </c>
      <c r="I942" s="17" t="s">
        <v>22</v>
      </c>
      <c r="J942" s="17">
        <v>68.0</v>
      </c>
      <c r="K942" s="17">
        <v>0.0</v>
      </c>
      <c r="L942" s="17">
        <v>68.0</v>
      </c>
      <c r="M942" s="17">
        <v>0.0</v>
      </c>
      <c r="N942" s="17">
        <v>68.0</v>
      </c>
      <c r="O942" s="17">
        <v>0.0</v>
      </c>
      <c r="P942" s="17">
        <v>15.0</v>
      </c>
      <c r="Q942" s="17">
        <v>0.0</v>
      </c>
      <c r="R942" s="17">
        <v>15.0</v>
      </c>
      <c r="S942" s="17">
        <v>0.0</v>
      </c>
      <c r="T942" s="17">
        <v>15.0</v>
      </c>
      <c r="U942" s="17">
        <v>0.0</v>
      </c>
    </row>
    <row r="943" ht="23.25" customHeight="1">
      <c r="A943" s="20" t="str">
        <f>IF(COUNTIF('Icon Lookup'!C:C,B943)&gt;0,LOOKUP(B943,'Icon Lookup'!C:C,'Icon Lookup'!B:B),"")</f>
        <v/>
      </c>
      <c r="B943" s="21" t="s">
        <v>160</v>
      </c>
      <c r="C943" s="20"/>
      <c r="D943" s="20">
        <v>37.0</v>
      </c>
      <c r="E943" s="20" t="s">
        <v>161</v>
      </c>
      <c r="G943" s="22"/>
      <c r="H943" s="23" t="s">
        <v>1379</v>
      </c>
      <c r="I943" s="20" t="s">
        <v>156</v>
      </c>
      <c r="J943" s="20">
        <v>68.0</v>
      </c>
      <c r="K943" s="20">
        <v>0.0</v>
      </c>
      <c r="L943" s="20">
        <v>68.0</v>
      </c>
      <c r="M943" s="20">
        <v>0.0</v>
      </c>
      <c r="N943" s="20">
        <v>68.0</v>
      </c>
      <c r="O943" s="20">
        <v>0.0</v>
      </c>
      <c r="P943" s="20">
        <v>15.0</v>
      </c>
      <c r="Q943" s="20">
        <v>0.0</v>
      </c>
      <c r="R943" s="20">
        <v>15.0</v>
      </c>
      <c r="S943" s="20">
        <v>0.0</v>
      </c>
      <c r="T943" s="20">
        <v>15.0</v>
      </c>
      <c r="U943" s="20">
        <v>0.0</v>
      </c>
    </row>
    <row r="944" ht="23.25" customHeight="1">
      <c r="A944" s="17" t="str">
        <f>IF(COUNTIF('Icon Lookup'!C:C,B944)&gt;0,LOOKUP(B944,'Icon Lookup'!C:C,'Icon Lookup'!B:B),"")</f>
        <v/>
      </c>
      <c r="B944" s="18" t="s">
        <v>1040</v>
      </c>
      <c r="C944" s="17"/>
      <c r="D944" s="17">
        <v>39.0</v>
      </c>
      <c r="E944" s="17" t="str">
        <f>IMAGE("https://www.serebii.net/itemdex/sprites/sitrusberry.png")</f>
        <v/>
      </c>
      <c r="F944" s="17" t="s">
        <v>382</v>
      </c>
      <c r="G944" s="17" t="s">
        <v>824</v>
      </c>
      <c r="H944" s="20" t="s">
        <v>1380</v>
      </c>
      <c r="I944" s="17" t="s">
        <v>22</v>
      </c>
      <c r="J944" s="17">
        <v>68.0</v>
      </c>
      <c r="K944" s="17">
        <v>0.0</v>
      </c>
      <c r="L944" s="17">
        <v>68.0</v>
      </c>
      <c r="M944" s="17">
        <v>0.0</v>
      </c>
      <c r="N944" s="17">
        <v>68.0</v>
      </c>
      <c r="O944" s="17">
        <v>0.0</v>
      </c>
      <c r="P944" s="17">
        <v>15.0</v>
      </c>
      <c r="Q944" s="17">
        <v>0.0</v>
      </c>
      <c r="R944" s="17">
        <v>15.0</v>
      </c>
      <c r="S944" s="17">
        <v>0.0</v>
      </c>
      <c r="T944" s="17">
        <v>15.0</v>
      </c>
      <c r="U944" s="17">
        <v>0.0</v>
      </c>
    </row>
    <row r="945" ht="23.25" customHeight="1">
      <c r="A945" s="1"/>
      <c r="B945" s="15" t="s">
        <v>1381</v>
      </c>
      <c r="C945" s="1" t="s">
        <v>17</v>
      </c>
      <c r="D945" s="1" t="s">
        <v>1382</v>
      </c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ht="23.25" customHeight="1">
      <c r="A946" s="20" t="str">
        <f>IF(COUNTIF('Icon Lookup'!C:C,B946)&gt;0,LOOKUP(B946,'Icon Lookup'!C:C,'Icon Lookup'!B:B),"")</f>
        <v/>
      </c>
      <c r="B946" s="21" t="s">
        <v>37</v>
      </c>
      <c r="C946" s="20"/>
      <c r="D946" s="20">
        <v>18.0</v>
      </c>
      <c r="E946" s="20" t="s">
        <v>38</v>
      </c>
      <c r="G946" s="22"/>
      <c r="H946" s="23" t="s">
        <v>1383</v>
      </c>
      <c r="I946" s="20" t="s">
        <v>612</v>
      </c>
      <c r="J946" s="20">
        <v>68.0</v>
      </c>
      <c r="K946" s="20">
        <v>0.0</v>
      </c>
      <c r="L946" s="20">
        <v>68.0</v>
      </c>
      <c r="M946" s="20">
        <v>0.0</v>
      </c>
      <c r="N946" s="20">
        <v>68.0</v>
      </c>
      <c r="O946" s="20">
        <v>0.0</v>
      </c>
      <c r="P946" s="20">
        <v>15.0</v>
      </c>
      <c r="Q946" s="20">
        <v>0.0</v>
      </c>
      <c r="R946" s="20">
        <v>15.0</v>
      </c>
      <c r="S946" s="20">
        <v>0.0</v>
      </c>
      <c r="T946" s="20">
        <v>15.0</v>
      </c>
      <c r="U946" s="20">
        <v>0.0</v>
      </c>
    </row>
    <row r="947" ht="23.25" customHeight="1">
      <c r="A947" s="17" t="str">
        <f>IF(COUNTIF('Icon Lookup'!C:C,B947)&gt;0,LOOKUP(B947,'Icon Lookup'!C:C,'Icon Lookup'!B:B),"")</f>
        <v/>
      </c>
      <c r="B947" s="18" t="s">
        <v>1384</v>
      </c>
      <c r="C947" s="17"/>
      <c r="D947" s="17">
        <v>20.0</v>
      </c>
      <c r="E947" s="17" t="str">
        <f>IMAGE("https://www.serebii.net/itemdex/sprites/sitrusberry.png")</f>
        <v/>
      </c>
      <c r="F947" s="17" t="s">
        <v>1126</v>
      </c>
      <c r="G947" s="17" t="s">
        <v>824</v>
      </c>
      <c r="H947" s="20" t="s">
        <v>1385</v>
      </c>
      <c r="I947" s="17" t="s">
        <v>612</v>
      </c>
      <c r="J947" s="17">
        <v>68.0</v>
      </c>
      <c r="K947" s="17">
        <v>0.0</v>
      </c>
      <c r="L947" s="17">
        <v>68.0</v>
      </c>
      <c r="M947" s="17">
        <v>0.0</v>
      </c>
      <c r="N947" s="17">
        <v>68.0</v>
      </c>
      <c r="O947" s="17">
        <v>0.0</v>
      </c>
      <c r="P947" s="17">
        <v>15.0</v>
      </c>
      <c r="Q947" s="17">
        <v>0.0</v>
      </c>
      <c r="R947" s="17">
        <v>15.0</v>
      </c>
      <c r="S947" s="17">
        <v>0.0</v>
      </c>
      <c r="T947" s="17">
        <v>15.0</v>
      </c>
      <c r="U947" s="17">
        <v>0.0</v>
      </c>
    </row>
    <row r="948" ht="23.25" customHeight="1">
      <c r="A948" s="1"/>
      <c r="B948" s="15" t="s">
        <v>1386</v>
      </c>
      <c r="C948" s="1" t="s">
        <v>17</v>
      </c>
      <c r="D948" s="1" t="s">
        <v>1382</v>
      </c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ht="23.25" customHeight="1">
      <c r="A949" s="20" t="str">
        <f>IF(COUNTIF('Icon Lookup'!C:C,B949)&gt;0,LOOKUP(B949,'Icon Lookup'!C:C,'Icon Lookup'!B:B),"")</f>
        <v/>
      </c>
      <c r="B949" s="21" t="s">
        <v>160</v>
      </c>
      <c r="C949" s="20"/>
      <c r="D949" s="20">
        <v>41.0</v>
      </c>
      <c r="E949" s="20" t="s">
        <v>161</v>
      </c>
      <c r="G949" s="22"/>
      <c r="H949" s="23" t="s">
        <v>1387</v>
      </c>
      <c r="I949" s="20" t="s">
        <v>89</v>
      </c>
      <c r="J949" s="20">
        <v>68.0</v>
      </c>
      <c r="K949" s="20">
        <v>0.0</v>
      </c>
      <c r="L949" s="20">
        <v>68.0</v>
      </c>
      <c r="M949" s="20">
        <v>0.0</v>
      </c>
      <c r="N949" s="20">
        <v>68.0</v>
      </c>
      <c r="O949" s="20">
        <v>0.0</v>
      </c>
      <c r="P949" s="20">
        <v>15.0</v>
      </c>
      <c r="Q949" s="20">
        <v>0.0</v>
      </c>
      <c r="R949" s="20">
        <v>15.0</v>
      </c>
      <c r="S949" s="20">
        <v>0.0</v>
      </c>
      <c r="T949" s="20">
        <v>15.0</v>
      </c>
      <c r="U949" s="20">
        <v>0.0</v>
      </c>
    </row>
    <row r="950" ht="23.25" customHeight="1">
      <c r="A950" s="17" t="str">
        <f>IF(COUNTIF('Icon Lookup'!C:C,B950)&gt;0,LOOKUP(B950,'Icon Lookup'!C:C,'Icon Lookup'!B:B),"")</f>
        <v/>
      </c>
      <c r="B950" s="18" t="s">
        <v>174</v>
      </c>
      <c r="C950" s="17"/>
      <c r="D950" s="17">
        <v>41.0</v>
      </c>
      <c r="E950" s="17" t="s">
        <v>38</v>
      </c>
      <c r="G950" s="19"/>
      <c r="H950" s="20" t="s">
        <v>1388</v>
      </c>
      <c r="I950" s="17" t="s">
        <v>612</v>
      </c>
      <c r="J950" s="17">
        <v>68.0</v>
      </c>
      <c r="K950" s="17">
        <v>0.0</v>
      </c>
      <c r="L950" s="17">
        <v>68.0</v>
      </c>
      <c r="M950" s="17">
        <v>0.0</v>
      </c>
      <c r="N950" s="17">
        <v>68.0</v>
      </c>
      <c r="O950" s="17">
        <v>0.0</v>
      </c>
      <c r="P950" s="17">
        <v>15.0</v>
      </c>
      <c r="Q950" s="17">
        <v>0.0</v>
      </c>
      <c r="R950" s="17">
        <v>15.0</v>
      </c>
      <c r="S950" s="17">
        <v>0.0</v>
      </c>
      <c r="T950" s="17">
        <v>15.0</v>
      </c>
      <c r="U950" s="17">
        <v>0.0</v>
      </c>
    </row>
    <row r="951" ht="23.25" customHeight="1">
      <c r="A951" s="20" t="str">
        <f>IF(COUNTIF('Icon Lookup'!C:C,B951)&gt;0,LOOKUP(B951,'Icon Lookup'!C:C,'Icon Lookup'!B:B),"")</f>
        <v/>
      </c>
      <c r="B951" s="21" t="s">
        <v>1384</v>
      </c>
      <c r="C951" s="20"/>
      <c r="D951" s="20">
        <v>46.0</v>
      </c>
      <c r="E951" s="20" t="str">
        <f>IMAGE("https://www.serebii.net/itemdex/sprites/sitrusberry.png")</f>
        <v/>
      </c>
      <c r="F951" s="20" t="s">
        <v>1126</v>
      </c>
      <c r="G951" s="20" t="s">
        <v>824</v>
      </c>
      <c r="H951" s="23" t="s">
        <v>1389</v>
      </c>
      <c r="I951" s="20" t="s">
        <v>612</v>
      </c>
      <c r="J951" s="20">
        <v>68.0</v>
      </c>
      <c r="K951" s="20">
        <v>0.0</v>
      </c>
      <c r="L951" s="20">
        <v>68.0</v>
      </c>
      <c r="M951" s="20">
        <v>0.0</v>
      </c>
      <c r="N951" s="20">
        <v>68.0</v>
      </c>
      <c r="O951" s="20">
        <v>0.0</v>
      </c>
      <c r="P951" s="20">
        <v>15.0</v>
      </c>
      <c r="Q951" s="20">
        <v>0.0</v>
      </c>
      <c r="R951" s="20">
        <v>15.0</v>
      </c>
      <c r="S951" s="20">
        <v>0.0</v>
      </c>
      <c r="T951" s="20">
        <v>15.0</v>
      </c>
      <c r="U951" s="20">
        <v>0.0</v>
      </c>
    </row>
    <row r="952" ht="23.25" customHeight="1">
      <c r="A952" s="1"/>
      <c r="B952" s="15" t="s">
        <v>1390</v>
      </c>
      <c r="C952" s="1" t="s">
        <v>17</v>
      </c>
      <c r="D952" s="1" t="s">
        <v>1391</v>
      </c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ht="23.25" customHeight="1">
      <c r="A953" s="17" t="str">
        <f>IF(COUNTIF('Icon Lookup'!C:C,B953)&gt;0,LOOKUP(B953,'Icon Lookup'!C:C,'Icon Lookup'!B:B),"")</f>
        <v/>
      </c>
      <c r="B953" s="18" t="s">
        <v>386</v>
      </c>
      <c r="C953" s="17"/>
      <c r="D953" s="17">
        <v>35.0</v>
      </c>
      <c r="E953" s="17" t="str">
        <f>IMAGE("https://www.serebii.net/itemdex/sprites/damprock.png")</f>
        <v/>
      </c>
      <c r="F953" s="17" t="s">
        <v>38</v>
      </c>
      <c r="G953" s="17" t="s">
        <v>1114</v>
      </c>
      <c r="H953" s="20" t="s">
        <v>1392</v>
      </c>
      <c r="I953" s="17" t="s">
        <v>52</v>
      </c>
      <c r="J953" s="17">
        <v>68.0</v>
      </c>
      <c r="K953" s="17">
        <v>0.0</v>
      </c>
      <c r="L953" s="17">
        <v>68.0</v>
      </c>
      <c r="M953" s="17">
        <v>0.0</v>
      </c>
      <c r="N953" s="17">
        <v>68.0</v>
      </c>
      <c r="O953" s="17">
        <v>0.0</v>
      </c>
      <c r="P953" s="17">
        <v>15.0</v>
      </c>
      <c r="Q953" s="17">
        <v>0.0</v>
      </c>
      <c r="R953" s="17">
        <v>15.0</v>
      </c>
      <c r="S953" s="17">
        <v>0.0</v>
      </c>
      <c r="T953" s="17">
        <v>15.0</v>
      </c>
      <c r="U953" s="17">
        <v>0.0</v>
      </c>
    </row>
    <row r="954" ht="23.25" customHeight="1">
      <c r="A954" s="20" t="str">
        <f>IF(COUNTIF('Icon Lookup'!C:C,B954)&gt;0,LOOKUP(B954,'Icon Lookup'!C:C,'Icon Lookup'!B:B),"")</f>
        <v/>
      </c>
      <c r="B954" s="21" t="s">
        <v>160</v>
      </c>
      <c r="C954" s="20"/>
      <c r="D954" s="20">
        <v>35.0</v>
      </c>
      <c r="E954" s="20" t="s">
        <v>161</v>
      </c>
      <c r="G954" s="22"/>
      <c r="H954" s="23" t="s">
        <v>1393</v>
      </c>
      <c r="I954" s="20" t="s">
        <v>89</v>
      </c>
      <c r="J954" s="20">
        <v>68.0</v>
      </c>
      <c r="K954" s="20">
        <v>0.0</v>
      </c>
      <c r="L954" s="20">
        <v>68.0</v>
      </c>
      <c r="M954" s="20">
        <v>0.0</v>
      </c>
      <c r="N954" s="20">
        <v>68.0</v>
      </c>
      <c r="O954" s="20">
        <v>0.0</v>
      </c>
      <c r="P954" s="20">
        <v>15.0</v>
      </c>
      <c r="Q954" s="20">
        <v>0.0</v>
      </c>
      <c r="R954" s="20">
        <v>15.0</v>
      </c>
      <c r="S954" s="20">
        <v>0.0</v>
      </c>
      <c r="T954" s="20">
        <v>15.0</v>
      </c>
      <c r="U954" s="20">
        <v>0.0</v>
      </c>
    </row>
    <row r="955" ht="23.25" customHeight="1">
      <c r="A955" s="17" t="str">
        <f>IF(COUNTIF('Icon Lookup'!C:C,B955)&gt;0,LOOKUP(B955,'Icon Lookup'!C:C,'Icon Lookup'!B:B),"")</f>
        <v/>
      </c>
      <c r="B955" s="18" t="s">
        <v>1394</v>
      </c>
      <c r="C955" s="17"/>
      <c r="D955" s="17">
        <v>37.0</v>
      </c>
      <c r="E955" s="17" t="s">
        <v>1096</v>
      </c>
      <c r="G955" s="19"/>
      <c r="H955" s="20" t="s">
        <v>1395</v>
      </c>
      <c r="I955" s="17" t="s">
        <v>22</v>
      </c>
      <c r="J955" s="17">
        <v>68.0</v>
      </c>
      <c r="K955" s="17">
        <v>0.0</v>
      </c>
      <c r="L955" s="17">
        <v>68.0</v>
      </c>
      <c r="M955" s="17">
        <v>0.0</v>
      </c>
      <c r="N955" s="17">
        <v>68.0</v>
      </c>
      <c r="O955" s="17">
        <v>0.0</v>
      </c>
      <c r="P955" s="17">
        <v>15.0</v>
      </c>
      <c r="Q955" s="17">
        <v>0.0</v>
      </c>
      <c r="R955" s="17">
        <v>15.0</v>
      </c>
      <c r="S955" s="17">
        <v>0.0</v>
      </c>
      <c r="T955" s="17">
        <v>15.0</v>
      </c>
      <c r="U955" s="17">
        <v>0.0</v>
      </c>
    </row>
    <row r="956" ht="23.25" customHeight="1">
      <c r="A956" s="1"/>
      <c r="B956" s="15" t="s">
        <v>1396</v>
      </c>
      <c r="C956" s="1" t="s">
        <v>17</v>
      </c>
      <c r="D956" s="1" t="s">
        <v>1391</v>
      </c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ht="23.25" customHeight="1">
      <c r="A957" s="20" t="str">
        <f>IF(COUNTIF('Icon Lookup'!C:C,B957)&gt;0,LOOKUP(B957,'Icon Lookup'!C:C,'Icon Lookup'!B:B),"")</f>
        <v/>
      </c>
      <c r="B957" s="21" t="s">
        <v>386</v>
      </c>
      <c r="C957" s="20"/>
      <c r="D957" s="20">
        <v>38.0</v>
      </c>
      <c r="E957" s="20" t="str">
        <f>IMAGE("https://www.serebii.net/itemdex/sprites/damprock.png")</f>
        <v/>
      </c>
      <c r="F957" s="20" t="s">
        <v>38</v>
      </c>
      <c r="G957" s="20" t="s">
        <v>1114</v>
      </c>
      <c r="H957" s="23" t="s">
        <v>1392</v>
      </c>
      <c r="I957" s="20" t="s">
        <v>52</v>
      </c>
      <c r="J957" s="20">
        <v>68.0</v>
      </c>
      <c r="K957" s="20">
        <v>0.0</v>
      </c>
      <c r="L957" s="20">
        <v>68.0</v>
      </c>
      <c r="M957" s="20">
        <v>0.0</v>
      </c>
      <c r="N957" s="20">
        <v>68.0</v>
      </c>
      <c r="O957" s="20">
        <v>0.0</v>
      </c>
      <c r="P957" s="20">
        <v>15.0</v>
      </c>
      <c r="Q957" s="20">
        <v>0.0</v>
      </c>
      <c r="R957" s="20">
        <v>15.0</v>
      </c>
      <c r="S957" s="20">
        <v>0.0</v>
      </c>
      <c r="T957" s="20">
        <v>15.0</v>
      </c>
      <c r="U957" s="20">
        <v>0.0</v>
      </c>
    </row>
    <row r="958" ht="23.25" customHeight="1">
      <c r="A958" s="17" t="str">
        <f>IF(COUNTIF('Icon Lookup'!C:C,B958)&gt;0,LOOKUP(B958,'Icon Lookup'!C:C,'Icon Lookup'!B:B),"")</f>
        <v/>
      </c>
      <c r="B958" s="18" t="s">
        <v>160</v>
      </c>
      <c r="C958" s="17"/>
      <c r="D958" s="17">
        <v>38.0</v>
      </c>
      <c r="E958" s="17" t="s">
        <v>161</v>
      </c>
      <c r="G958" s="19"/>
      <c r="H958" s="20" t="s">
        <v>1393</v>
      </c>
      <c r="I958" s="17" t="s">
        <v>89</v>
      </c>
      <c r="J958" s="17">
        <v>68.0</v>
      </c>
      <c r="K958" s="17">
        <v>0.0</v>
      </c>
      <c r="L958" s="17">
        <v>68.0</v>
      </c>
      <c r="M958" s="17">
        <v>0.0</v>
      </c>
      <c r="N958" s="17">
        <v>68.0</v>
      </c>
      <c r="O958" s="17">
        <v>0.0</v>
      </c>
      <c r="P958" s="17">
        <v>15.0</v>
      </c>
      <c r="Q958" s="17">
        <v>0.0</v>
      </c>
      <c r="R958" s="17">
        <v>15.0</v>
      </c>
      <c r="S958" s="17">
        <v>0.0</v>
      </c>
      <c r="T958" s="17">
        <v>15.0</v>
      </c>
      <c r="U958" s="17">
        <v>0.0</v>
      </c>
    </row>
    <row r="959" ht="23.25" customHeight="1">
      <c r="A959" s="20" t="str">
        <f>IF(COUNTIF('Icon Lookup'!C:C,B959)&gt;0,LOOKUP(B959,'Icon Lookup'!C:C,'Icon Lookup'!B:B),"")</f>
        <v/>
      </c>
      <c r="B959" s="21" t="s">
        <v>1394</v>
      </c>
      <c r="C959" s="20"/>
      <c r="D959" s="20">
        <v>40.0</v>
      </c>
      <c r="E959" s="20" t="s">
        <v>1096</v>
      </c>
      <c r="G959" s="22"/>
      <c r="H959" s="23" t="s">
        <v>1397</v>
      </c>
      <c r="I959" s="20" t="s">
        <v>22</v>
      </c>
      <c r="J959" s="20">
        <v>68.0</v>
      </c>
      <c r="K959" s="20">
        <v>0.0</v>
      </c>
      <c r="L959" s="20">
        <v>68.0</v>
      </c>
      <c r="M959" s="20">
        <v>0.0</v>
      </c>
      <c r="N959" s="20">
        <v>68.0</v>
      </c>
      <c r="O959" s="20">
        <v>0.0</v>
      </c>
      <c r="P959" s="20">
        <v>15.0</v>
      </c>
      <c r="Q959" s="20">
        <v>0.0</v>
      </c>
      <c r="R959" s="20">
        <v>15.0</v>
      </c>
      <c r="S959" s="20">
        <v>0.0</v>
      </c>
      <c r="T959" s="20">
        <v>15.0</v>
      </c>
      <c r="U959" s="20">
        <v>0.0</v>
      </c>
    </row>
    <row r="960" ht="23.25" customHeight="1">
      <c r="A960" s="1"/>
      <c r="B960" s="15" t="s">
        <v>1398</v>
      </c>
      <c r="C960" s="1" t="s">
        <v>17</v>
      </c>
      <c r="D960" s="1" t="s">
        <v>1044</v>
      </c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 ht="23.25" customHeight="1">
      <c r="A961" s="17" t="str">
        <f>IF(COUNTIF('Icon Lookup'!C:C,B961)&gt;0,LOOKUP(B961,'Icon Lookup'!C:C,'Icon Lookup'!B:B),"")</f>
        <v/>
      </c>
      <c r="B961" s="18" t="s">
        <v>60</v>
      </c>
      <c r="C961" s="17"/>
      <c r="D961" s="17">
        <v>13.0</v>
      </c>
      <c r="E961" s="17" t="s">
        <v>61</v>
      </c>
      <c r="G961" s="19"/>
      <c r="H961" s="20" t="s">
        <v>62</v>
      </c>
      <c r="I961" s="17" t="s">
        <v>73</v>
      </c>
      <c r="J961" s="17">
        <v>0.0</v>
      </c>
      <c r="K961" s="17">
        <v>0.0</v>
      </c>
      <c r="L961" s="17">
        <v>0.0</v>
      </c>
      <c r="M961" s="17">
        <v>0.0</v>
      </c>
      <c r="N961" s="17">
        <v>0.0</v>
      </c>
      <c r="O961" s="17">
        <v>0.0</v>
      </c>
      <c r="P961" s="17">
        <v>0.0</v>
      </c>
      <c r="Q961" s="17">
        <v>0.0</v>
      </c>
      <c r="R961" s="17">
        <v>0.0</v>
      </c>
      <c r="S961" s="17">
        <v>0.0</v>
      </c>
      <c r="T961" s="17">
        <v>0.0</v>
      </c>
      <c r="U961" s="17">
        <v>0.0</v>
      </c>
    </row>
    <row r="962" ht="23.25" customHeight="1">
      <c r="A962" s="20" t="str">
        <f>IF(COUNTIF('Icon Lookup'!C:C,B962)&gt;0,LOOKUP(B962,'Icon Lookup'!C:C,'Icon Lookup'!B:B),"")</f>
        <v/>
      </c>
      <c r="B962" s="21" t="s">
        <v>691</v>
      </c>
      <c r="C962" s="20"/>
      <c r="D962" s="20">
        <v>13.0</v>
      </c>
      <c r="E962" s="20" t="s">
        <v>58</v>
      </c>
      <c r="G962" s="22"/>
      <c r="H962" s="23" t="s">
        <v>1291</v>
      </c>
      <c r="I962" s="20" t="s">
        <v>94</v>
      </c>
      <c r="J962" s="20">
        <v>0.0</v>
      </c>
      <c r="K962" s="20">
        <v>0.0</v>
      </c>
      <c r="L962" s="20">
        <v>0.0</v>
      </c>
      <c r="M962" s="20">
        <v>0.0</v>
      </c>
      <c r="N962" s="20">
        <v>0.0</v>
      </c>
      <c r="O962" s="20">
        <v>0.0</v>
      </c>
      <c r="P962" s="20">
        <v>0.0</v>
      </c>
      <c r="Q962" s="20">
        <v>0.0</v>
      </c>
      <c r="R962" s="20">
        <v>0.0</v>
      </c>
      <c r="S962" s="20">
        <v>0.0</v>
      </c>
      <c r="T962" s="20">
        <v>0.0</v>
      </c>
      <c r="U962" s="20">
        <v>0.0</v>
      </c>
    </row>
    <row r="963" ht="23.25" customHeight="1">
      <c r="A963" s="1"/>
      <c r="B963" s="15" t="s">
        <v>1399</v>
      </c>
      <c r="C963" s="1" t="s">
        <v>17</v>
      </c>
      <c r="D963" s="1" t="s">
        <v>1044</v>
      </c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 ht="23.25" customHeight="1">
      <c r="A964" s="17" t="str">
        <f>IF(COUNTIF('Icon Lookup'!C:C,B964)&gt;0,LOOKUP(B964,'Icon Lookup'!C:C,'Icon Lookup'!B:B),"")</f>
        <v/>
      </c>
      <c r="B964" s="18" t="s">
        <v>60</v>
      </c>
      <c r="C964" s="17"/>
      <c r="D964" s="17">
        <v>13.0</v>
      </c>
      <c r="E964" s="17" t="s">
        <v>61</v>
      </c>
      <c r="G964" s="19"/>
      <c r="H964" s="20" t="s">
        <v>62</v>
      </c>
      <c r="I964" s="17" t="s">
        <v>36</v>
      </c>
      <c r="J964" s="17">
        <v>0.0</v>
      </c>
      <c r="K964" s="17">
        <v>0.0</v>
      </c>
      <c r="L964" s="17">
        <v>0.0</v>
      </c>
      <c r="M964" s="17">
        <v>0.0</v>
      </c>
      <c r="N964" s="17">
        <v>0.0</v>
      </c>
      <c r="O964" s="17">
        <v>0.0</v>
      </c>
      <c r="P964" s="17">
        <v>0.0</v>
      </c>
      <c r="Q964" s="17">
        <v>0.0</v>
      </c>
      <c r="R964" s="17">
        <v>0.0</v>
      </c>
      <c r="S964" s="17">
        <v>0.0</v>
      </c>
      <c r="T964" s="17">
        <v>0.0</v>
      </c>
      <c r="U964" s="17">
        <v>0.0</v>
      </c>
    </row>
    <row r="965" ht="23.25" customHeight="1">
      <c r="A965" s="20" t="str">
        <f>IF(COUNTIF('Icon Lookup'!C:C,B965)&gt;0,LOOKUP(B965,'Icon Lookup'!C:C,'Icon Lookup'!B:B),"")</f>
        <v/>
      </c>
      <c r="B965" s="21" t="s">
        <v>37</v>
      </c>
      <c r="C965" s="20"/>
      <c r="D965" s="20">
        <v>13.0</v>
      </c>
      <c r="E965" s="20" t="s">
        <v>38</v>
      </c>
      <c r="G965" s="22"/>
      <c r="H965" s="23" t="s">
        <v>318</v>
      </c>
      <c r="I965" s="20" t="s">
        <v>1045</v>
      </c>
      <c r="J965" s="20">
        <v>0.0</v>
      </c>
      <c r="K965" s="20">
        <v>0.0</v>
      </c>
      <c r="L965" s="20">
        <v>0.0</v>
      </c>
      <c r="M965" s="20">
        <v>0.0</v>
      </c>
      <c r="N965" s="20">
        <v>0.0</v>
      </c>
      <c r="O965" s="20">
        <v>0.0</v>
      </c>
      <c r="P965" s="20">
        <v>0.0</v>
      </c>
      <c r="Q965" s="20">
        <v>0.0</v>
      </c>
      <c r="R965" s="20">
        <v>0.0</v>
      </c>
      <c r="S965" s="20">
        <v>0.0</v>
      </c>
      <c r="T965" s="20">
        <v>0.0</v>
      </c>
      <c r="U965" s="20">
        <v>0.0</v>
      </c>
    </row>
    <row r="966" ht="23.25" customHeight="1">
      <c r="A966" s="1"/>
      <c r="B966" s="15" t="s">
        <v>1400</v>
      </c>
      <c r="C966" s="1" t="s">
        <v>17</v>
      </c>
      <c r="D966" s="1" t="s">
        <v>1044</v>
      </c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 ht="23.25" customHeight="1">
      <c r="A967" s="17" t="str">
        <f>IF(COUNTIF('Icon Lookup'!C:C,B967)&gt;0,LOOKUP(B967,'Icon Lookup'!C:C,'Icon Lookup'!B:B),"")</f>
        <v/>
      </c>
      <c r="B967" s="18" t="s">
        <v>37</v>
      </c>
      <c r="C967" s="17"/>
      <c r="D967" s="17">
        <v>9.0</v>
      </c>
      <c r="E967" s="17" t="s">
        <v>38</v>
      </c>
      <c r="G967" s="19"/>
      <c r="H967" s="20" t="s">
        <v>39</v>
      </c>
      <c r="I967" s="17" t="s">
        <v>94</v>
      </c>
      <c r="J967" s="17">
        <v>0.0</v>
      </c>
      <c r="K967" s="17">
        <v>0.0</v>
      </c>
      <c r="L967" s="17">
        <v>0.0</v>
      </c>
      <c r="M967" s="17">
        <v>0.0</v>
      </c>
      <c r="N967" s="17">
        <v>0.0</v>
      </c>
      <c r="O967" s="17">
        <v>0.0</v>
      </c>
      <c r="P967" s="17">
        <v>0.0</v>
      </c>
      <c r="Q967" s="17">
        <v>0.0</v>
      </c>
      <c r="R967" s="17">
        <v>0.0</v>
      </c>
      <c r="S967" s="17">
        <v>0.0</v>
      </c>
      <c r="T967" s="17">
        <v>0.0</v>
      </c>
      <c r="U967" s="17">
        <v>0.0</v>
      </c>
    </row>
    <row r="968" ht="23.25" customHeight="1">
      <c r="A968" s="1"/>
      <c r="B968" s="15" t="s">
        <v>1401</v>
      </c>
      <c r="C968" s="1" t="s">
        <v>17</v>
      </c>
      <c r="D968" s="1" t="s">
        <v>1044</v>
      </c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 ht="23.25" customHeight="1">
      <c r="A969" s="20" t="str">
        <f>IF(COUNTIF('Icon Lookup'!C:C,B969)&gt;0,LOOKUP(B969,'Icon Lookup'!C:C,'Icon Lookup'!B:B),"")</f>
        <v/>
      </c>
      <c r="B969" s="21" t="s">
        <v>60</v>
      </c>
      <c r="C969" s="20"/>
      <c r="D969" s="20">
        <v>9.0</v>
      </c>
      <c r="E969" s="20" t="s">
        <v>61</v>
      </c>
      <c r="G969" s="22"/>
      <c r="H969" s="23" t="s">
        <v>62</v>
      </c>
      <c r="I969" s="20" t="s">
        <v>36</v>
      </c>
      <c r="J969" s="20">
        <v>0.0</v>
      </c>
      <c r="K969" s="20">
        <v>0.0</v>
      </c>
      <c r="L969" s="20">
        <v>0.0</v>
      </c>
      <c r="M969" s="20">
        <v>0.0</v>
      </c>
      <c r="N969" s="20">
        <v>0.0</v>
      </c>
      <c r="O969" s="20">
        <v>0.0</v>
      </c>
      <c r="P969" s="20">
        <v>0.0</v>
      </c>
      <c r="Q969" s="20">
        <v>0.0</v>
      </c>
      <c r="R969" s="20">
        <v>0.0</v>
      </c>
      <c r="S969" s="20">
        <v>0.0</v>
      </c>
      <c r="T969" s="20">
        <v>0.0</v>
      </c>
      <c r="U969" s="20">
        <v>0.0</v>
      </c>
    </row>
    <row r="970" ht="23.25" customHeight="1">
      <c r="A970" s="1"/>
      <c r="B970" s="15" t="s">
        <v>1402</v>
      </c>
      <c r="C970" s="1" t="s">
        <v>17</v>
      </c>
      <c r="D970" s="1" t="s">
        <v>1044</v>
      </c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 ht="23.25" customHeight="1">
      <c r="A971" s="17" t="str">
        <f>IF(COUNTIF('Icon Lookup'!C:C,B971)&gt;0,LOOKUP(B971,'Icon Lookup'!C:C,'Icon Lookup'!B:B),"")</f>
        <v/>
      </c>
      <c r="B971" s="18" t="s">
        <v>687</v>
      </c>
      <c r="C971" s="17"/>
      <c r="D971" s="17">
        <v>25.0</v>
      </c>
      <c r="E971" s="17" t="s">
        <v>258</v>
      </c>
      <c r="G971" s="19"/>
      <c r="H971" s="20" t="s">
        <v>1403</v>
      </c>
      <c r="I971" s="17" t="s">
        <v>94</v>
      </c>
      <c r="J971" s="17">
        <v>0.0</v>
      </c>
      <c r="K971" s="17">
        <v>0.0</v>
      </c>
      <c r="L971" s="17">
        <v>0.0</v>
      </c>
      <c r="M971" s="17">
        <v>0.0</v>
      </c>
      <c r="N971" s="17">
        <v>0.0</v>
      </c>
      <c r="O971" s="17">
        <v>0.0</v>
      </c>
      <c r="P971" s="17">
        <v>0.0</v>
      </c>
      <c r="Q971" s="17">
        <v>0.0</v>
      </c>
      <c r="R971" s="17">
        <v>0.0</v>
      </c>
      <c r="S971" s="17">
        <v>0.0</v>
      </c>
      <c r="T971" s="17">
        <v>0.0</v>
      </c>
      <c r="U971" s="17">
        <v>0.0</v>
      </c>
    </row>
    <row r="972" ht="23.25" customHeight="1">
      <c r="A972" s="20" t="str">
        <f>IF(COUNTIF('Icon Lookup'!C:C,B972)&gt;0,LOOKUP(B972,'Icon Lookup'!C:C,'Icon Lookup'!B:B),"")</f>
        <v/>
      </c>
      <c r="B972" s="21" t="s">
        <v>288</v>
      </c>
      <c r="C972" s="20"/>
      <c r="D972" s="20">
        <v>27.0</v>
      </c>
      <c r="E972" s="20" t="s">
        <v>289</v>
      </c>
      <c r="G972" s="22"/>
      <c r="H972" s="23" t="s">
        <v>461</v>
      </c>
      <c r="I972" s="20" t="s">
        <v>36</v>
      </c>
      <c r="J972" s="20">
        <v>0.0</v>
      </c>
      <c r="K972" s="20">
        <v>0.0</v>
      </c>
      <c r="L972" s="20">
        <v>0.0</v>
      </c>
      <c r="M972" s="20">
        <v>0.0</v>
      </c>
      <c r="N972" s="20">
        <v>0.0</v>
      </c>
      <c r="O972" s="20">
        <v>0.0</v>
      </c>
      <c r="P972" s="20">
        <v>0.0</v>
      </c>
      <c r="Q972" s="20">
        <v>0.0</v>
      </c>
      <c r="R972" s="20">
        <v>0.0</v>
      </c>
      <c r="S972" s="20">
        <v>0.0</v>
      </c>
      <c r="T972" s="20">
        <v>0.0</v>
      </c>
      <c r="U972" s="20">
        <v>0.0</v>
      </c>
    </row>
    <row r="973" ht="23.25" customHeight="1">
      <c r="A973" s="1"/>
      <c r="B973" s="15" t="s">
        <v>1404</v>
      </c>
      <c r="C973" s="1" t="s">
        <v>17</v>
      </c>
      <c r="D973" s="1" t="s">
        <v>1044</v>
      </c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 ht="23.25" customHeight="1">
      <c r="A974" s="17" t="str">
        <f>IF(COUNTIF('Icon Lookup'!C:C,B974)&gt;0,LOOKUP(B974,'Icon Lookup'!C:C,'Icon Lookup'!B:B),"")</f>
        <v/>
      </c>
      <c r="B974" s="18" t="s">
        <v>174</v>
      </c>
      <c r="C974" s="17"/>
      <c r="D974" s="17">
        <v>32.0</v>
      </c>
      <c r="E974" s="17" t="s">
        <v>38</v>
      </c>
      <c r="G974" s="19"/>
      <c r="H974" s="20" t="s">
        <v>1405</v>
      </c>
      <c r="I974" s="17" t="s">
        <v>197</v>
      </c>
      <c r="J974" s="17">
        <v>0.0</v>
      </c>
      <c r="K974" s="17">
        <v>0.0</v>
      </c>
      <c r="L974" s="17">
        <v>0.0</v>
      </c>
      <c r="M974" s="17">
        <v>0.0</v>
      </c>
      <c r="N974" s="17">
        <v>0.0</v>
      </c>
      <c r="O974" s="17">
        <v>0.0</v>
      </c>
      <c r="P974" s="17">
        <v>0.0</v>
      </c>
      <c r="Q974" s="17">
        <v>0.0</v>
      </c>
      <c r="R974" s="17">
        <v>0.0</v>
      </c>
      <c r="S974" s="17">
        <v>0.0</v>
      </c>
      <c r="T974" s="17">
        <v>0.0</v>
      </c>
      <c r="U974" s="17">
        <v>0.0</v>
      </c>
    </row>
    <row r="975" ht="23.25" customHeight="1">
      <c r="A975" s="20" t="str">
        <f>IF(COUNTIF('Icon Lookup'!C:C,B975)&gt;0,LOOKUP(B975,'Icon Lookup'!C:C,'Icon Lookup'!B:B),"")</f>
        <v/>
      </c>
      <c r="B975" s="21" t="s">
        <v>288</v>
      </c>
      <c r="C975" s="20"/>
      <c r="D975" s="20">
        <v>36.0</v>
      </c>
      <c r="E975" s="20" t="s">
        <v>289</v>
      </c>
      <c r="G975" s="22"/>
      <c r="H975" s="23" t="s">
        <v>538</v>
      </c>
      <c r="I975" s="20" t="s">
        <v>73</v>
      </c>
      <c r="J975" s="20">
        <v>0.0</v>
      </c>
      <c r="K975" s="20">
        <v>0.0</v>
      </c>
      <c r="L975" s="20">
        <v>0.0</v>
      </c>
      <c r="M975" s="20">
        <v>0.0</v>
      </c>
      <c r="N975" s="20">
        <v>0.0</v>
      </c>
      <c r="O975" s="20">
        <v>0.0</v>
      </c>
      <c r="P975" s="20">
        <v>0.0</v>
      </c>
      <c r="Q975" s="20">
        <v>0.0</v>
      </c>
      <c r="R975" s="20">
        <v>0.0</v>
      </c>
      <c r="S975" s="20">
        <v>0.0</v>
      </c>
      <c r="T975" s="20">
        <v>0.0</v>
      </c>
      <c r="U975" s="20">
        <v>0.0</v>
      </c>
    </row>
    <row r="976" ht="23.25" customHeight="1">
      <c r="A976" s="1"/>
      <c r="B976" s="15" t="s">
        <v>1406</v>
      </c>
      <c r="C976" s="1" t="s">
        <v>17</v>
      </c>
      <c r="D976" s="1" t="s">
        <v>1044</v>
      </c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 ht="23.25" customHeight="1">
      <c r="A977" s="17" t="str">
        <f>IF(COUNTIF('Icon Lookup'!C:C,B977)&gt;0,LOOKUP(B977,'Icon Lookup'!C:C,'Icon Lookup'!B:B),"")</f>
        <v/>
      </c>
      <c r="B977" s="18" t="s">
        <v>288</v>
      </c>
      <c r="C977" s="17"/>
      <c r="D977" s="17">
        <v>34.0</v>
      </c>
      <c r="E977" s="17" t="s">
        <v>289</v>
      </c>
      <c r="G977" s="19"/>
      <c r="H977" s="20" t="s">
        <v>1407</v>
      </c>
      <c r="I977" s="17" t="s">
        <v>94</v>
      </c>
      <c r="J977" s="17">
        <v>0.0</v>
      </c>
      <c r="K977" s="17">
        <v>0.0</v>
      </c>
      <c r="L977" s="17">
        <v>0.0</v>
      </c>
      <c r="M977" s="17">
        <v>0.0</v>
      </c>
      <c r="N977" s="17">
        <v>0.0</v>
      </c>
      <c r="O977" s="17">
        <v>0.0</v>
      </c>
      <c r="P977" s="17">
        <v>0.0</v>
      </c>
      <c r="Q977" s="17">
        <v>0.0</v>
      </c>
      <c r="R977" s="17">
        <v>0.0</v>
      </c>
      <c r="S977" s="17">
        <v>0.0</v>
      </c>
      <c r="T977" s="17">
        <v>0.0</v>
      </c>
      <c r="U977" s="17">
        <v>0.0</v>
      </c>
    </row>
    <row r="978" ht="23.25" customHeight="1">
      <c r="A978" s="20" t="str">
        <f>IF(COUNTIF('Icon Lookup'!C:C,B978)&gt;0,LOOKUP(B978,'Icon Lookup'!C:C,'Icon Lookup'!B:B),"")</f>
        <v/>
      </c>
      <c r="B978" s="21" t="s">
        <v>293</v>
      </c>
      <c r="C978" s="20"/>
      <c r="D978" s="20">
        <v>31.0</v>
      </c>
      <c r="E978" s="20" t="s">
        <v>61</v>
      </c>
      <c r="G978" s="22"/>
      <c r="H978" s="23" t="s">
        <v>294</v>
      </c>
      <c r="I978" s="20" t="s">
        <v>36</v>
      </c>
      <c r="J978" s="20">
        <v>0.0</v>
      </c>
      <c r="K978" s="20">
        <v>0.0</v>
      </c>
      <c r="L978" s="20">
        <v>0.0</v>
      </c>
      <c r="M978" s="20">
        <v>0.0</v>
      </c>
      <c r="N978" s="20">
        <v>0.0</v>
      </c>
      <c r="O978" s="20">
        <v>0.0</v>
      </c>
      <c r="P978" s="20">
        <v>0.0</v>
      </c>
      <c r="Q978" s="20">
        <v>0.0</v>
      </c>
      <c r="R978" s="20">
        <v>0.0</v>
      </c>
      <c r="S978" s="20">
        <v>0.0</v>
      </c>
      <c r="T978" s="20">
        <v>0.0</v>
      </c>
      <c r="U978" s="20">
        <v>0.0</v>
      </c>
    </row>
    <row r="979" ht="23.25" customHeight="1">
      <c r="A979" s="17" t="str">
        <f>IF(COUNTIF('Icon Lookup'!C:C,B979)&gt;0,LOOKUP(B979,'Icon Lookup'!C:C,'Icon Lookup'!B:B),"")</f>
        <v/>
      </c>
      <c r="B979" s="18" t="s">
        <v>687</v>
      </c>
      <c r="C979" s="17"/>
      <c r="D979" s="17">
        <v>31.0</v>
      </c>
      <c r="E979" s="17" t="s">
        <v>258</v>
      </c>
      <c r="G979" s="19"/>
      <c r="H979" s="20" t="s">
        <v>1408</v>
      </c>
      <c r="I979" s="17" t="s">
        <v>1045</v>
      </c>
      <c r="J979" s="17">
        <v>0.0</v>
      </c>
      <c r="K979" s="17">
        <v>0.0</v>
      </c>
      <c r="L979" s="17">
        <v>0.0</v>
      </c>
      <c r="M979" s="17">
        <v>0.0</v>
      </c>
      <c r="N979" s="17">
        <v>0.0</v>
      </c>
      <c r="O979" s="17">
        <v>0.0</v>
      </c>
      <c r="P979" s="17">
        <v>0.0</v>
      </c>
      <c r="Q979" s="17">
        <v>0.0</v>
      </c>
      <c r="R979" s="17">
        <v>0.0</v>
      </c>
      <c r="S979" s="17">
        <v>0.0</v>
      </c>
      <c r="T979" s="17">
        <v>0.0</v>
      </c>
      <c r="U979" s="17">
        <v>0.0</v>
      </c>
    </row>
    <row r="980" ht="23.25" customHeight="1">
      <c r="A980" s="1"/>
      <c r="B980" s="15" t="s">
        <v>1409</v>
      </c>
      <c r="C980" s="1" t="s">
        <v>17</v>
      </c>
      <c r="D980" s="1" t="s">
        <v>1044</v>
      </c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ht="23.25" customHeight="1">
      <c r="A981" s="20" t="str">
        <f>IF(COUNTIF('Icon Lookup'!C:C,B981)&gt;0,LOOKUP(B981,'Icon Lookup'!C:C,'Icon Lookup'!B:B),"")</f>
        <v/>
      </c>
      <c r="B981" s="21" t="s">
        <v>1003</v>
      </c>
      <c r="C981" s="20"/>
      <c r="D981" s="20">
        <v>33.0</v>
      </c>
      <c r="E981" s="20" t="s">
        <v>1022</v>
      </c>
      <c r="G981" s="22"/>
      <c r="H981" s="23" t="s">
        <v>1410</v>
      </c>
      <c r="I981" s="20" t="s">
        <v>94</v>
      </c>
      <c r="J981" s="20">
        <v>0.0</v>
      </c>
      <c r="K981" s="20">
        <v>0.0</v>
      </c>
      <c r="L981" s="20">
        <v>0.0</v>
      </c>
      <c r="M981" s="20">
        <v>0.0</v>
      </c>
      <c r="N981" s="20">
        <v>0.0</v>
      </c>
      <c r="O981" s="20">
        <v>0.0</v>
      </c>
      <c r="P981" s="20">
        <v>0.0</v>
      </c>
      <c r="Q981" s="20">
        <v>0.0</v>
      </c>
      <c r="R981" s="20">
        <v>0.0</v>
      </c>
      <c r="S981" s="20">
        <v>0.0</v>
      </c>
      <c r="T981" s="20">
        <v>0.0</v>
      </c>
      <c r="U981" s="20">
        <v>0.0</v>
      </c>
    </row>
    <row r="982" ht="23.25" customHeight="1">
      <c r="A982" s="17" t="str">
        <f>IF(COUNTIF('Icon Lookup'!C:C,B982)&gt;0,LOOKUP(B982,'Icon Lookup'!C:C,'Icon Lookup'!B:B),"")</f>
        <v/>
      </c>
      <c r="B982" s="18" t="s">
        <v>1017</v>
      </c>
      <c r="C982" s="17"/>
      <c r="D982" s="17">
        <v>32.0</v>
      </c>
      <c r="E982" s="17" t="s">
        <v>1126</v>
      </c>
      <c r="G982" s="19"/>
      <c r="H982" s="20" t="s">
        <v>1411</v>
      </c>
      <c r="I982" s="17" t="s">
        <v>36</v>
      </c>
      <c r="J982" s="17">
        <v>0.0</v>
      </c>
      <c r="K982" s="17">
        <v>0.0</v>
      </c>
      <c r="L982" s="17">
        <v>0.0</v>
      </c>
      <c r="M982" s="17">
        <v>0.0</v>
      </c>
      <c r="N982" s="17">
        <v>0.0</v>
      </c>
      <c r="O982" s="17">
        <v>0.0</v>
      </c>
      <c r="P982" s="17">
        <v>0.0</v>
      </c>
      <c r="Q982" s="17">
        <v>0.0</v>
      </c>
      <c r="R982" s="17">
        <v>0.0</v>
      </c>
      <c r="S982" s="17">
        <v>0.0</v>
      </c>
      <c r="T982" s="17">
        <v>0.0</v>
      </c>
      <c r="U982" s="17">
        <v>0.0</v>
      </c>
    </row>
    <row r="983" ht="23.25" customHeight="1">
      <c r="A983" s="20" t="str">
        <f>IF(COUNTIF('Icon Lookup'!C:C,B983)&gt;0,LOOKUP(B983,'Icon Lookup'!C:C,'Icon Lookup'!B:B),"")</f>
        <v/>
      </c>
      <c r="B983" s="21" t="s">
        <v>1003</v>
      </c>
      <c r="C983" s="20"/>
      <c r="D983" s="20">
        <v>32.0</v>
      </c>
      <c r="E983" s="20" t="s">
        <v>1022</v>
      </c>
      <c r="G983" s="22"/>
      <c r="H983" s="23" t="s">
        <v>1410</v>
      </c>
      <c r="I983" s="20" t="s">
        <v>1045</v>
      </c>
      <c r="J983" s="20">
        <v>0.0</v>
      </c>
      <c r="K983" s="20">
        <v>0.0</v>
      </c>
      <c r="L983" s="20">
        <v>0.0</v>
      </c>
      <c r="M983" s="20">
        <v>0.0</v>
      </c>
      <c r="N983" s="20">
        <v>0.0</v>
      </c>
      <c r="O983" s="20">
        <v>0.0</v>
      </c>
      <c r="P983" s="20">
        <v>0.0</v>
      </c>
      <c r="Q983" s="20">
        <v>0.0</v>
      </c>
      <c r="R983" s="20">
        <v>0.0</v>
      </c>
      <c r="S983" s="20">
        <v>0.0</v>
      </c>
      <c r="T983" s="20">
        <v>0.0</v>
      </c>
      <c r="U983" s="20">
        <v>0.0</v>
      </c>
    </row>
    <row r="984" ht="23.25" customHeight="1">
      <c r="A984" s="1"/>
      <c r="B984" s="15" t="s">
        <v>1412</v>
      </c>
      <c r="C984" s="1" t="s">
        <v>17</v>
      </c>
      <c r="D984" s="1" t="s">
        <v>1044</v>
      </c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ht="23.25" customHeight="1">
      <c r="A985" s="17" t="str">
        <f>IF(COUNTIF('Icon Lookup'!C:C,B985)&gt;0,LOOKUP(B985,'Icon Lookup'!C:C,'Icon Lookup'!B:B),"")</f>
        <v/>
      </c>
      <c r="B985" s="18" t="s">
        <v>1017</v>
      </c>
      <c r="C985" s="17"/>
      <c r="D985" s="17">
        <v>32.0</v>
      </c>
      <c r="E985" s="17" t="s">
        <v>1413</v>
      </c>
      <c r="G985" s="19"/>
      <c r="H985" s="20" t="s">
        <v>1413</v>
      </c>
      <c r="I985" s="17" t="s">
        <v>1045</v>
      </c>
      <c r="J985" s="17">
        <v>0.0</v>
      </c>
      <c r="K985" s="17">
        <v>0.0</v>
      </c>
      <c r="L985" s="17">
        <v>0.0</v>
      </c>
      <c r="M985" s="17">
        <v>0.0</v>
      </c>
      <c r="N985" s="17">
        <v>0.0</v>
      </c>
      <c r="O985" s="17">
        <v>0.0</v>
      </c>
      <c r="P985" s="17">
        <v>0.0</v>
      </c>
      <c r="Q985" s="17">
        <v>0.0</v>
      </c>
      <c r="R985" s="17">
        <v>0.0</v>
      </c>
      <c r="S985" s="17">
        <v>0.0</v>
      </c>
      <c r="T985" s="17">
        <v>0.0</v>
      </c>
      <c r="U985" s="17">
        <v>0.0</v>
      </c>
    </row>
    <row r="986" ht="23.25" customHeight="1">
      <c r="A986" s="20" t="str">
        <f>IF(COUNTIF('Icon Lookup'!C:C,B986)&gt;0,LOOKUP(B986,'Icon Lookup'!C:C,'Icon Lookup'!B:B),"")</f>
        <v/>
      </c>
      <c r="B986" s="21" t="s">
        <v>1003</v>
      </c>
      <c r="C986" s="20"/>
      <c r="D986" s="20">
        <v>32.0</v>
      </c>
      <c r="E986" s="20" t="s">
        <v>1413</v>
      </c>
      <c r="G986" s="22"/>
      <c r="H986" s="23" t="s">
        <v>1413</v>
      </c>
      <c r="I986" s="20" t="s">
        <v>1045</v>
      </c>
      <c r="J986" s="20">
        <v>0.0</v>
      </c>
      <c r="K986" s="20">
        <v>0.0</v>
      </c>
      <c r="L986" s="20">
        <v>0.0</v>
      </c>
      <c r="M986" s="20">
        <v>0.0</v>
      </c>
      <c r="N986" s="20">
        <v>0.0</v>
      </c>
      <c r="O986" s="20">
        <v>0.0</v>
      </c>
      <c r="P986" s="20">
        <v>0.0</v>
      </c>
      <c r="Q986" s="20">
        <v>0.0</v>
      </c>
      <c r="R986" s="20">
        <v>0.0</v>
      </c>
      <c r="S986" s="20">
        <v>0.0</v>
      </c>
      <c r="T986" s="20">
        <v>0.0</v>
      </c>
      <c r="U986" s="20">
        <v>0.0</v>
      </c>
    </row>
    <row r="987" ht="23.25" customHeight="1">
      <c r="A987" s="1"/>
      <c r="B987" s="15" t="s">
        <v>1414</v>
      </c>
      <c r="C987" s="1" t="s">
        <v>17</v>
      </c>
      <c r="D987" s="1" t="s">
        <v>1044</v>
      </c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ht="23.25" customHeight="1">
      <c r="A988" s="17" t="str">
        <f>IF(COUNTIF('Icon Lookup'!C:C,B988)&gt;0,LOOKUP(B988,'Icon Lookup'!C:C,'Icon Lookup'!B:B),"")</f>
        <v/>
      </c>
      <c r="B988" s="18" t="s">
        <v>37</v>
      </c>
      <c r="C988" s="17"/>
      <c r="D988" s="17">
        <v>14.0</v>
      </c>
      <c r="E988" s="17" t="s">
        <v>38</v>
      </c>
      <c r="G988" s="19"/>
      <c r="H988" s="20" t="s">
        <v>318</v>
      </c>
      <c r="I988" s="17" t="s">
        <v>197</v>
      </c>
      <c r="J988" s="17">
        <v>0.0</v>
      </c>
      <c r="K988" s="17">
        <v>0.0</v>
      </c>
      <c r="L988" s="17">
        <v>0.0</v>
      </c>
      <c r="M988" s="17">
        <v>0.0</v>
      </c>
      <c r="N988" s="17">
        <v>0.0</v>
      </c>
      <c r="O988" s="17">
        <v>0.0</v>
      </c>
      <c r="P988" s="17">
        <v>0.0</v>
      </c>
      <c r="Q988" s="17">
        <v>0.0</v>
      </c>
      <c r="R988" s="17">
        <v>0.0</v>
      </c>
      <c r="S988" s="17">
        <v>0.0</v>
      </c>
      <c r="T988" s="17">
        <v>0.0</v>
      </c>
      <c r="U988" s="17">
        <v>0.0</v>
      </c>
    </row>
    <row r="989" ht="23.25" customHeight="1">
      <c r="A989" s="20" t="str">
        <f>IF(COUNTIF('Icon Lookup'!C:C,B989)&gt;0,LOOKUP(B989,'Icon Lookup'!C:C,'Icon Lookup'!B:B),"")</f>
        <v/>
      </c>
      <c r="B989" s="21" t="s">
        <v>1003</v>
      </c>
      <c r="C989" s="20"/>
      <c r="D989" s="20">
        <v>14.0</v>
      </c>
      <c r="E989" s="20" t="s">
        <v>1004</v>
      </c>
      <c r="G989" s="22"/>
      <c r="H989" s="23" t="s">
        <v>1415</v>
      </c>
      <c r="I989" s="20" t="s">
        <v>73</v>
      </c>
      <c r="J989" s="20">
        <v>0.0</v>
      </c>
      <c r="K989" s="20">
        <v>0.0</v>
      </c>
      <c r="L989" s="20">
        <v>0.0</v>
      </c>
      <c r="M989" s="20">
        <v>0.0</v>
      </c>
      <c r="N989" s="20">
        <v>0.0</v>
      </c>
      <c r="O989" s="20">
        <v>0.0</v>
      </c>
      <c r="P989" s="20">
        <v>0.0</v>
      </c>
      <c r="Q989" s="20">
        <v>0.0</v>
      </c>
      <c r="R989" s="20">
        <v>0.0</v>
      </c>
      <c r="S989" s="20">
        <v>0.0</v>
      </c>
      <c r="T989" s="20">
        <v>0.0</v>
      </c>
      <c r="U989" s="20">
        <v>0.0</v>
      </c>
    </row>
    <row r="990" ht="23.25" customHeight="1">
      <c r="A990" s="1"/>
      <c r="B990" s="15" t="s">
        <v>1416</v>
      </c>
      <c r="C990" s="1" t="s">
        <v>17</v>
      </c>
      <c r="D990" s="1" t="s">
        <v>1044</v>
      </c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ht="23.25" customHeight="1">
      <c r="A991" s="17" t="str">
        <f>IF(COUNTIF('Icon Lookup'!C:C,B991)&gt;0,LOOKUP(B991,'Icon Lookup'!C:C,'Icon Lookup'!B:B),"")</f>
        <v/>
      </c>
      <c r="B991" s="18" t="s">
        <v>685</v>
      </c>
      <c r="C991" s="17"/>
      <c r="D991" s="17">
        <v>15.0</v>
      </c>
      <c r="E991" s="17" t="s">
        <v>58</v>
      </c>
      <c r="G991" s="19"/>
      <c r="H991" s="20" t="s">
        <v>1291</v>
      </c>
      <c r="I991" s="17" t="s">
        <v>94</v>
      </c>
      <c r="J991" s="17">
        <v>0.0</v>
      </c>
      <c r="K991" s="17">
        <v>0.0</v>
      </c>
      <c r="L991" s="17">
        <v>0.0</v>
      </c>
      <c r="M991" s="17">
        <v>0.0</v>
      </c>
      <c r="N991" s="17">
        <v>0.0</v>
      </c>
      <c r="O991" s="17">
        <v>0.0</v>
      </c>
      <c r="P991" s="17">
        <v>0.0</v>
      </c>
      <c r="Q991" s="17">
        <v>0.0</v>
      </c>
      <c r="R991" s="17">
        <v>0.0</v>
      </c>
      <c r="S991" s="17">
        <v>0.0</v>
      </c>
      <c r="T991" s="17">
        <v>0.0</v>
      </c>
      <c r="U991" s="17">
        <v>0.0</v>
      </c>
    </row>
    <row r="992" ht="23.25" customHeight="1">
      <c r="A992" s="1"/>
      <c r="B992" s="15" t="s">
        <v>1417</v>
      </c>
      <c r="C992" s="1" t="s">
        <v>17</v>
      </c>
      <c r="D992" s="1" t="s">
        <v>1044</v>
      </c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 ht="23.25" customHeight="1">
      <c r="A993" s="20" t="str">
        <f>IF(COUNTIF('Icon Lookup'!C:C,B993)&gt;0,LOOKUP(B993,'Icon Lookup'!C:C,'Icon Lookup'!B:B),"")</f>
        <v/>
      </c>
      <c r="B993" s="21" t="s">
        <v>60</v>
      </c>
      <c r="C993" s="20"/>
      <c r="D993" s="20">
        <v>12.0</v>
      </c>
      <c r="E993" s="20" t="s">
        <v>61</v>
      </c>
      <c r="G993" s="22"/>
      <c r="H993" s="23" t="s">
        <v>62</v>
      </c>
      <c r="I993" s="20" t="s">
        <v>36</v>
      </c>
      <c r="J993" s="20">
        <v>0.0</v>
      </c>
      <c r="K993" s="20">
        <v>0.0</v>
      </c>
      <c r="L993" s="20">
        <v>0.0</v>
      </c>
      <c r="M993" s="20">
        <v>0.0</v>
      </c>
      <c r="N993" s="20">
        <v>0.0</v>
      </c>
      <c r="O993" s="20">
        <v>0.0</v>
      </c>
      <c r="P993" s="20">
        <v>0.0</v>
      </c>
      <c r="Q993" s="20">
        <v>0.0</v>
      </c>
      <c r="R993" s="20">
        <v>0.0</v>
      </c>
      <c r="S993" s="20">
        <v>0.0</v>
      </c>
      <c r="T993" s="20">
        <v>0.0</v>
      </c>
      <c r="U993" s="20">
        <v>0.0</v>
      </c>
    </row>
    <row r="994" ht="23.25" customHeight="1">
      <c r="A994" s="17" t="str">
        <f>IF(COUNTIF('Icon Lookup'!C:C,B994)&gt;0,LOOKUP(B994,'Icon Lookup'!C:C,'Icon Lookup'!B:B),"")</f>
        <v/>
      </c>
      <c r="B994" s="18" t="s">
        <v>685</v>
      </c>
      <c r="C994" s="17"/>
      <c r="D994" s="17">
        <v>12.0</v>
      </c>
      <c r="E994" s="17" t="s">
        <v>58</v>
      </c>
      <c r="G994" s="19"/>
      <c r="H994" s="20" t="s">
        <v>1291</v>
      </c>
      <c r="I994" s="17" t="s">
        <v>1045</v>
      </c>
      <c r="J994" s="17">
        <v>0.0</v>
      </c>
      <c r="K994" s="17">
        <v>0.0</v>
      </c>
      <c r="L994" s="17">
        <v>0.0</v>
      </c>
      <c r="M994" s="17">
        <v>0.0</v>
      </c>
      <c r="N994" s="17">
        <v>0.0</v>
      </c>
      <c r="O994" s="17">
        <v>0.0</v>
      </c>
      <c r="P994" s="17">
        <v>0.0</v>
      </c>
      <c r="Q994" s="17">
        <v>0.0</v>
      </c>
      <c r="R994" s="17">
        <v>0.0</v>
      </c>
      <c r="S994" s="17">
        <v>0.0</v>
      </c>
      <c r="T994" s="17">
        <v>0.0</v>
      </c>
      <c r="U994" s="17">
        <v>0.0</v>
      </c>
    </row>
    <row r="995" ht="23.25" customHeight="1">
      <c r="A995" s="20" t="str">
        <f>IF(COUNTIF('Icon Lookup'!C:C,B995)&gt;0,LOOKUP(B995,'Icon Lookup'!C:C,'Icon Lookup'!B:B),"")</f>
        <v/>
      </c>
      <c r="B995" s="21" t="s">
        <v>37</v>
      </c>
      <c r="C995" s="20"/>
      <c r="D995" s="20">
        <v>12.0</v>
      </c>
      <c r="E995" s="20" t="s">
        <v>38</v>
      </c>
      <c r="G995" s="22"/>
      <c r="H995" s="23" t="s">
        <v>318</v>
      </c>
      <c r="I995" s="20" t="s">
        <v>197</v>
      </c>
      <c r="J995" s="20">
        <v>0.0</v>
      </c>
      <c r="K995" s="20">
        <v>0.0</v>
      </c>
      <c r="L995" s="20">
        <v>0.0</v>
      </c>
      <c r="M995" s="20">
        <v>0.0</v>
      </c>
      <c r="N995" s="20">
        <v>0.0</v>
      </c>
      <c r="O995" s="20">
        <v>0.0</v>
      </c>
      <c r="P995" s="20">
        <v>0.0</v>
      </c>
      <c r="Q995" s="20">
        <v>0.0</v>
      </c>
      <c r="R995" s="20">
        <v>0.0</v>
      </c>
      <c r="S995" s="20">
        <v>0.0</v>
      </c>
      <c r="T995" s="20">
        <v>0.0</v>
      </c>
      <c r="U995" s="20">
        <v>0.0</v>
      </c>
    </row>
    <row r="996" ht="23.25" customHeight="1">
      <c r="A996" s="1"/>
      <c r="B996" s="15" t="s">
        <v>1418</v>
      </c>
      <c r="C996" s="1" t="s">
        <v>17</v>
      </c>
      <c r="D996" s="1" t="s">
        <v>1044</v>
      </c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 ht="23.25" customHeight="1">
      <c r="A997" s="17" t="str">
        <f>IF(COUNTIF('Icon Lookup'!C:C,B997)&gt;0,LOOKUP(B997,'Icon Lookup'!C:C,'Icon Lookup'!B:B),"")</f>
        <v/>
      </c>
      <c r="B997" s="18" t="s">
        <v>1003</v>
      </c>
      <c r="C997" s="17"/>
      <c r="D997" s="17">
        <v>33.0</v>
      </c>
      <c r="E997" s="17" t="s">
        <v>1004</v>
      </c>
      <c r="G997" s="19"/>
      <c r="H997" s="20" t="s">
        <v>1419</v>
      </c>
      <c r="I997" s="17" t="s">
        <v>197</v>
      </c>
      <c r="J997" s="17">
        <v>0.0</v>
      </c>
      <c r="K997" s="17">
        <v>0.0</v>
      </c>
      <c r="L997" s="17">
        <v>0.0</v>
      </c>
      <c r="M997" s="17">
        <v>0.0</v>
      </c>
      <c r="N997" s="17">
        <v>0.0</v>
      </c>
      <c r="O997" s="17">
        <v>0.0</v>
      </c>
      <c r="P997" s="17">
        <v>0.0</v>
      </c>
      <c r="Q997" s="17">
        <v>0.0</v>
      </c>
      <c r="R997" s="17">
        <v>0.0</v>
      </c>
      <c r="S997" s="17">
        <v>0.0</v>
      </c>
      <c r="T997" s="17">
        <v>0.0</v>
      </c>
      <c r="U997" s="17">
        <v>0.0</v>
      </c>
    </row>
    <row r="998" ht="23.25" customHeight="1">
      <c r="A998" s="20" t="str">
        <f>IF(COUNTIF('Icon Lookup'!C:C,B998)&gt;0,LOOKUP(B998,'Icon Lookup'!C:C,'Icon Lookup'!B:B),"")</f>
        <v/>
      </c>
      <c r="B998" s="21" t="s">
        <v>288</v>
      </c>
      <c r="C998" s="20"/>
      <c r="D998" s="20">
        <v>33.0</v>
      </c>
      <c r="E998" s="20" t="s">
        <v>289</v>
      </c>
      <c r="G998" s="22"/>
      <c r="H998" s="23" t="s">
        <v>1407</v>
      </c>
      <c r="I998" s="20" t="s">
        <v>73</v>
      </c>
      <c r="J998" s="20">
        <v>0.0</v>
      </c>
      <c r="K998" s="20">
        <v>0.0</v>
      </c>
      <c r="L998" s="20">
        <v>0.0</v>
      </c>
      <c r="M998" s="20">
        <v>0.0</v>
      </c>
      <c r="N998" s="20">
        <v>0.0</v>
      </c>
      <c r="O998" s="20">
        <v>0.0</v>
      </c>
      <c r="P998" s="20">
        <v>0.0</v>
      </c>
      <c r="Q998" s="20">
        <v>0.0</v>
      </c>
      <c r="R998" s="20">
        <v>0.0</v>
      </c>
      <c r="S998" s="20">
        <v>0.0</v>
      </c>
      <c r="T998" s="20">
        <v>0.0</v>
      </c>
      <c r="U998" s="20">
        <v>0.0</v>
      </c>
    </row>
    <row r="999" ht="23.25" customHeight="1">
      <c r="A999" s="1"/>
      <c r="B999" s="15" t="s">
        <v>1420</v>
      </c>
      <c r="C999" s="1" t="s">
        <v>17</v>
      </c>
      <c r="D999" s="1" t="s">
        <v>1044</v>
      </c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 ht="23.25" customHeight="1">
      <c r="A1000" s="17" t="str">
        <f>IF(COUNTIF('Icon Lookup'!C:C,B1000)&gt;0,LOOKUP(B1000,'Icon Lookup'!C:C,'Icon Lookup'!B:B),"")</f>
        <v/>
      </c>
      <c r="B1000" s="18" t="s">
        <v>685</v>
      </c>
      <c r="C1000" s="17"/>
      <c r="D1000" s="17">
        <v>32.0</v>
      </c>
      <c r="E1000" s="17" t="s">
        <v>58</v>
      </c>
      <c r="G1000" s="19"/>
      <c r="H1000" s="20" t="s">
        <v>1421</v>
      </c>
      <c r="I1000" s="17" t="s">
        <v>197</v>
      </c>
      <c r="J1000" s="17">
        <v>0.0</v>
      </c>
      <c r="K1000" s="17">
        <v>0.0</v>
      </c>
      <c r="L1000" s="17">
        <v>0.0</v>
      </c>
      <c r="M1000" s="17">
        <v>0.0</v>
      </c>
      <c r="N1000" s="17">
        <v>0.0</v>
      </c>
      <c r="O1000" s="17">
        <v>0.0</v>
      </c>
      <c r="P1000" s="17">
        <v>0.0</v>
      </c>
      <c r="Q1000" s="17">
        <v>0.0</v>
      </c>
      <c r="R1000" s="17">
        <v>0.0</v>
      </c>
      <c r="S1000" s="17">
        <v>0.0</v>
      </c>
      <c r="T1000" s="17">
        <v>0.0</v>
      </c>
      <c r="U1000" s="17">
        <v>0.0</v>
      </c>
    </row>
    <row r="1001" ht="23.25" customHeight="1">
      <c r="A1001" s="20" t="str">
        <f>IF(COUNTIF('Icon Lookup'!C:C,B1001)&gt;0,LOOKUP(B1001,'Icon Lookup'!C:C,'Icon Lookup'!B:B),"")</f>
        <v/>
      </c>
      <c r="B1001" s="21" t="s">
        <v>174</v>
      </c>
      <c r="C1001" s="20"/>
      <c r="D1001" s="20">
        <v>32.0</v>
      </c>
      <c r="E1001" s="20" t="s">
        <v>38</v>
      </c>
      <c r="G1001" s="22"/>
      <c r="H1001" s="23" t="s">
        <v>1422</v>
      </c>
      <c r="I1001" s="20" t="s">
        <v>73</v>
      </c>
      <c r="J1001" s="20">
        <v>0.0</v>
      </c>
      <c r="K1001" s="20">
        <v>0.0</v>
      </c>
      <c r="L1001" s="20">
        <v>0.0</v>
      </c>
      <c r="M1001" s="20">
        <v>0.0</v>
      </c>
      <c r="N1001" s="20">
        <v>0.0</v>
      </c>
      <c r="O1001" s="20">
        <v>0.0</v>
      </c>
      <c r="P1001" s="20">
        <v>0.0</v>
      </c>
      <c r="Q1001" s="20">
        <v>0.0</v>
      </c>
      <c r="R1001" s="20">
        <v>0.0</v>
      </c>
      <c r="S1001" s="20">
        <v>0.0</v>
      </c>
      <c r="T1001" s="20">
        <v>0.0</v>
      </c>
      <c r="U1001" s="20">
        <v>0.0</v>
      </c>
    </row>
    <row r="1002" ht="23.25" customHeight="1">
      <c r="A1002" s="17" t="str">
        <f>IF(COUNTIF('Icon Lookup'!C:C,B1002)&gt;0,LOOKUP(B1002,'Icon Lookup'!C:C,'Icon Lookup'!B:B),"")</f>
        <v/>
      </c>
      <c r="B1002" s="18" t="s">
        <v>1003</v>
      </c>
      <c r="C1002" s="17"/>
      <c r="D1002" s="17">
        <v>32.0</v>
      </c>
      <c r="E1002" s="17" t="s">
        <v>1004</v>
      </c>
      <c r="G1002" s="19"/>
      <c r="H1002" s="20" t="s">
        <v>1410</v>
      </c>
      <c r="I1002" s="17" t="s">
        <v>94</v>
      </c>
      <c r="J1002" s="17">
        <v>0.0</v>
      </c>
      <c r="K1002" s="17">
        <v>0.0</v>
      </c>
      <c r="L1002" s="17">
        <v>0.0</v>
      </c>
      <c r="M1002" s="17">
        <v>0.0</v>
      </c>
      <c r="N1002" s="17">
        <v>0.0</v>
      </c>
      <c r="O1002" s="17">
        <v>0.0</v>
      </c>
      <c r="P1002" s="17">
        <v>0.0</v>
      </c>
      <c r="Q1002" s="17">
        <v>0.0</v>
      </c>
      <c r="R1002" s="17">
        <v>0.0</v>
      </c>
      <c r="S1002" s="17">
        <v>0.0</v>
      </c>
      <c r="T1002" s="17">
        <v>0.0</v>
      </c>
      <c r="U1002" s="17">
        <v>0.0</v>
      </c>
    </row>
    <row r="1003" ht="23.25" customHeight="1">
      <c r="A1003" s="1"/>
      <c r="B1003" s="15" t="s">
        <v>1423</v>
      </c>
      <c r="C1003" s="1" t="s">
        <v>17</v>
      </c>
      <c r="D1003" s="1" t="s">
        <v>1044</v>
      </c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  <row r="1004" ht="23.25" customHeight="1">
      <c r="A1004" s="20" t="str">
        <f>IF(COUNTIF('Icon Lookup'!C:C,B1004)&gt;0,LOOKUP(B1004,'Icon Lookup'!C:C,'Icon Lookup'!B:B),"")</f>
        <v/>
      </c>
      <c r="B1004" s="21" t="s">
        <v>687</v>
      </c>
      <c r="C1004" s="20"/>
      <c r="D1004" s="20">
        <v>31.0</v>
      </c>
      <c r="E1004" s="20" t="s">
        <v>258</v>
      </c>
      <c r="G1004" s="22"/>
      <c r="H1004" s="23" t="s">
        <v>1424</v>
      </c>
      <c r="I1004" s="20" t="s">
        <v>36</v>
      </c>
      <c r="J1004" s="20">
        <v>0.0</v>
      </c>
      <c r="K1004" s="20">
        <v>0.0</v>
      </c>
      <c r="L1004" s="20">
        <v>0.0</v>
      </c>
      <c r="M1004" s="20">
        <v>0.0</v>
      </c>
      <c r="N1004" s="20">
        <v>0.0</v>
      </c>
      <c r="O1004" s="20">
        <v>0.0</v>
      </c>
      <c r="P1004" s="20">
        <v>0.0</v>
      </c>
      <c r="Q1004" s="20">
        <v>0.0</v>
      </c>
      <c r="R1004" s="20">
        <v>0.0</v>
      </c>
      <c r="S1004" s="20">
        <v>0.0</v>
      </c>
      <c r="T1004" s="20">
        <v>0.0</v>
      </c>
      <c r="U1004" s="20">
        <v>0.0</v>
      </c>
    </row>
    <row r="1005" ht="23.25" customHeight="1">
      <c r="A1005" s="17" t="str">
        <f>IF(COUNTIF('Icon Lookup'!C:C,B1005)&gt;0,LOOKUP(B1005,'Icon Lookup'!C:C,'Icon Lookup'!B:B),"")</f>
        <v/>
      </c>
      <c r="B1005" s="18" t="s">
        <v>1003</v>
      </c>
      <c r="C1005" s="17"/>
      <c r="D1005" s="17">
        <v>33.0</v>
      </c>
      <c r="E1005" s="17" t="s">
        <v>1004</v>
      </c>
      <c r="G1005" s="19"/>
      <c r="H1005" s="20" t="s">
        <v>1425</v>
      </c>
      <c r="I1005" s="17" t="s">
        <v>1045</v>
      </c>
      <c r="J1005" s="17">
        <v>0.0</v>
      </c>
      <c r="K1005" s="17">
        <v>0.0</v>
      </c>
      <c r="L1005" s="17">
        <v>0.0</v>
      </c>
      <c r="M1005" s="17">
        <v>0.0</v>
      </c>
      <c r="N1005" s="17">
        <v>0.0</v>
      </c>
      <c r="O1005" s="17">
        <v>0.0</v>
      </c>
      <c r="P1005" s="17">
        <v>0.0</v>
      </c>
      <c r="Q1005" s="17">
        <v>0.0</v>
      </c>
      <c r="R1005" s="17">
        <v>0.0</v>
      </c>
      <c r="S1005" s="17">
        <v>0.0</v>
      </c>
      <c r="T1005" s="17">
        <v>0.0</v>
      </c>
      <c r="U1005" s="17">
        <v>0.0</v>
      </c>
    </row>
    <row r="1006" ht="23.25" customHeight="1">
      <c r="A1006" s="1"/>
      <c r="B1006" s="15" t="s">
        <v>1426</v>
      </c>
      <c r="C1006" s="1" t="s">
        <v>17</v>
      </c>
      <c r="D1006" s="1" t="s">
        <v>1044</v>
      </c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</row>
    <row r="1007" ht="23.25" customHeight="1">
      <c r="A1007" s="20" t="str">
        <f>IF(COUNTIF('Icon Lookup'!C:C,B1007)&gt;0,LOOKUP(B1007,'Icon Lookup'!C:C,'Icon Lookup'!B:B),"")</f>
        <v/>
      </c>
      <c r="B1007" s="21" t="s">
        <v>1003</v>
      </c>
      <c r="C1007" s="20"/>
      <c r="D1007" s="20">
        <v>37.0</v>
      </c>
      <c r="E1007" s="20" t="s">
        <v>1004</v>
      </c>
      <c r="G1007" s="22"/>
      <c r="H1007" s="23" t="s">
        <v>1427</v>
      </c>
      <c r="I1007" s="20" t="s">
        <v>36</v>
      </c>
      <c r="J1007" s="20">
        <v>0.0</v>
      </c>
      <c r="K1007" s="20">
        <v>0.0</v>
      </c>
      <c r="L1007" s="20">
        <v>0.0</v>
      </c>
      <c r="M1007" s="20">
        <v>0.0</v>
      </c>
      <c r="N1007" s="20">
        <v>0.0</v>
      </c>
      <c r="O1007" s="20">
        <v>0.0</v>
      </c>
      <c r="P1007" s="20">
        <v>0.0</v>
      </c>
      <c r="Q1007" s="20">
        <v>0.0</v>
      </c>
      <c r="R1007" s="20">
        <v>0.0</v>
      </c>
      <c r="S1007" s="20">
        <v>0.0</v>
      </c>
      <c r="T1007" s="20">
        <v>0.0</v>
      </c>
      <c r="U1007" s="20">
        <v>0.0</v>
      </c>
    </row>
    <row r="1008" ht="23.25" customHeight="1">
      <c r="A1008" s="1"/>
      <c r="B1008" s="15" t="s">
        <v>1428</v>
      </c>
      <c r="C1008" s="1" t="s">
        <v>17</v>
      </c>
      <c r="D1008" s="1" t="s">
        <v>1044</v>
      </c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</row>
    <row r="1009" ht="23.25" customHeight="1">
      <c r="A1009" s="17" t="str">
        <f>IF(COUNTIF('Icon Lookup'!C:C,B1009)&gt;0,LOOKUP(B1009,'Icon Lookup'!C:C,'Icon Lookup'!B:B),"")</f>
        <v/>
      </c>
      <c r="B1009" s="18" t="s">
        <v>174</v>
      </c>
      <c r="C1009" s="17"/>
      <c r="D1009" s="17">
        <v>36.0</v>
      </c>
      <c r="E1009" s="17" t="s">
        <v>38</v>
      </c>
      <c r="G1009" s="19"/>
      <c r="H1009" s="20" t="s">
        <v>1429</v>
      </c>
      <c r="I1009" s="17" t="s">
        <v>1045</v>
      </c>
      <c r="J1009" s="17">
        <v>0.0</v>
      </c>
      <c r="K1009" s="17">
        <v>0.0</v>
      </c>
      <c r="L1009" s="17">
        <v>0.0</v>
      </c>
      <c r="M1009" s="17">
        <v>0.0</v>
      </c>
      <c r="N1009" s="17">
        <v>0.0</v>
      </c>
      <c r="O1009" s="17">
        <v>0.0</v>
      </c>
      <c r="P1009" s="17">
        <v>0.0</v>
      </c>
      <c r="Q1009" s="17">
        <v>0.0</v>
      </c>
      <c r="R1009" s="17">
        <v>0.0</v>
      </c>
      <c r="S1009" s="17">
        <v>0.0</v>
      </c>
      <c r="T1009" s="17">
        <v>0.0</v>
      </c>
      <c r="U1009" s="17">
        <v>0.0</v>
      </c>
    </row>
    <row r="1010" ht="23.25" customHeight="1">
      <c r="A1010" s="20" t="str">
        <f>IF(COUNTIF('Icon Lookup'!C:C,B1010)&gt;0,LOOKUP(B1010,'Icon Lookup'!C:C,'Icon Lookup'!B:B),"")</f>
        <v/>
      </c>
      <c r="B1010" s="21" t="s">
        <v>685</v>
      </c>
      <c r="C1010" s="20"/>
      <c r="D1010" s="20">
        <v>34.0</v>
      </c>
      <c r="E1010" s="20" t="s">
        <v>58</v>
      </c>
      <c r="G1010" s="22"/>
      <c r="H1010" s="23" t="s">
        <v>1421</v>
      </c>
      <c r="I1010" s="20" t="s">
        <v>197</v>
      </c>
      <c r="J1010" s="20">
        <v>0.0</v>
      </c>
      <c r="K1010" s="20">
        <v>0.0</v>
      </c>
      <c r="L1010" s="20">
        <v>0.0</v>
      </c>
      <c r="M1010" s="20">
        <v>0.0</v>
      </c>
      <c r="N1010" s="20">
        <v>0.0</v>
      </c>
      <c r="O1010" s="20">
        <v>0.0</v>
      </c>
      <c r="P1010" s="20">
        <v>0.0</v>
      </c>
      <c r="Q1010" s="20">
        <v>0.0</v>
      </c>
      <c r="R1010" s="20">
        <v>0.0</v>
      </c>
      <c r="S1010" s="20">
        <v>0.0</v>
      </c>
      <c r="T1010" s="20">
        <v>0.0</v>
      </c>
      <c r="U1010" s="20">
        <v>0.0</v>
      </c>
    </row>
    <row r="1011" ht="23.25" customHeight="1">
      <c r="A1011" s="1"/>
      <c r="B1011" s="15" t="s">
        <v>1430</v>
      </c>
      <c r="C1011" s="1" t="s">
        <v>17</v>
      </c>
      <c r="D1011" s="1" t="s">
        <v>1431</v>
      </c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</row>
    <row r="1012" ht="23.25" customHeight="1">
      <c r="A1012" s="17" t="str">
        <f>IF(COUNTIF('Icon Lookup'!C:C,B1012)&gt;0,LOOKUP(B1012,'Icon Lookup'!C:C,'Icon Lookup'!B:B),"")</f>
        <v/>
      </c>
      <c r="B1012" s="18" t="s">
        <v>37</v>
      </c>
      <c r="C1012" s="17"/>
      <c r="D1012" s="17">
        <v>16.0</v>
      </c>
      <c r="E1012" s="17" t="s">
        <v>38</v>
      </c>
      <c r="G1012" s="19"/>
      <c r="H1012" s="20" t="s">
        <v>1383</v>
      </c>
      <c r="I1012" s="17" t="s">
        <v>156</v>
      </c>
      <c r="J1012" s="17">
        <v>0.0</v>
      </c>
      <c r="K1012" s="17">
        <v>0.0</v>
      </c>
      <c r="L1012" s="17">
        <v>0.0</v>
      </c>
      <c r="M1012" s="17">
        <v>0.0</v>
      </c>
      <c r="N1012" s="17">
        <v>0.0</v>
      </c>
      <c r="O1012" s="17">
        <v>0.0</v>
      </c>
      <c r="P1012" s="17">
        <v>0.0</v>
      </c>
      <c r="Q1012" s="17">
        <v>0.0</v>
      </c>
      <c r="R1012" s="17">
        <v>0.0</v>
      </c>
      <c r="S1012" s="17">
        <v>0.0</v>
      </c>
      <c r="T1012" s="17">
        <v>0.0</v>
      </c>
      <c r="U1012" s="17">
        <v>0.0</v>
      </c>
    </row>
    <row r="1013" ht="23.25" customHeight="1">
      <c r="A1013" s="20" t="str">
        <f>IF(COUNTIF('Icon Lookup'!C:C,B1013)&gt;0,LOOKUP(B1013,'Icon Lookup'!C:C,'Icon Lookup'!B:B),"")</f>
        <v/>
      </c>
      <c r="B1013" s="21" t="s">
        <v>37</v>
      </c>
      <c r="C1013" s="20"/>
      <c r="D1013" s="20">
        <v>16.0</v>
      </c>
      <c r="E1013" s="20" t="s">
        <v>38</v>
      </c>
      <c r="G1013" s="22"/>
      <c r="H1013" s="23" t="s">
        <v>1383</v>
      </c>
      <c r="I1013" s="20" t="s">
        <v>156</v>
      </c>
      <c r="J1013" s="20">
        <v>0.0</v>
      </c>
      <c r="K1013" s="20">
        <v>0.0</v>
      </c>
      <c r="L1013" s="20">
        <v>0.0</v>
      </c>
      <c r="M1013" s="20">
        <v>0.0</v>
      </c>
      <c r="N1013" s="20">
        <v>0.0</v>
      </c>
      <c r="O1013" s="20">
        <v>0.0</v>
      </c>
      <c r="P1013" s="20">
        <v>0.0</v>
      </c>
      <c r="Q1013" s="20">
        <v>0.0</v>
      </c>
      <c r="R1013" s="20">
        <v>0.0</v>
      </c>
      <c r="S1013" s="20">
        <v>0.0</v>
      </c>
      <c r="T1013" s="20">
        <v>0.0</v>
      </c>
      <c r="U1013" s="20">
        <v>0.0</v>
      </c>
    </row>
    <row r="1014" ht="23.25" customHeight="1">
      <c r="A1014" s="1"/>
      <c r="B1014" s="15" t="s">
        <v>1432</v>
      </c>
      <c r="C1014" s="1" t="s">
        <v>17</v>
      </c>
      <c r="D1014" s="1" t="s">
        <v>1433</v>
      </c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</row>
    <row r="1015" ht="23.25" customHeight="1">
      <c r="A1015" s="17" t="str">
        <f>IF(COUNTIF('Icon Lookup'!C:C,B1015)&gt;0,LOOKUP(B1015,'Icon Lookup'!C:C,'Icon Lookup'!B:B),"")</f>
        <v/>
      </c>
      <c r="B1015" s="18" t="s">
        <v>160</v>
      </c>
      <c r="C1015" s="17"/>
      <c r="D1015" s="17">
        <v>30.0</v>
      </c>
      <c r="E1015" s="17" t="s">
        <v>1434</v>
      </c>
      <c r="G1015" s="19"/>
      <c r="H1015" s="20" t="s">
        <v>1435</v>
      </c>
      <c r="I1015" s="17" t="s">
        <v>89</v>
      </c>
      <c r="J1015" s="17">
        <v>0.0</v>
      </c>
      <c r="K1015" s="17">
        <v>0.0</v>
      </c>
      <c r="L1015" s="17">
        <v>0.0</v>
      </c>
      <c r="M1015" s="17">
        <v>0.0</v>
      </c>
      <c r="N1015" s="17">
        <v>0.0</v>
      </c>
      <c r="O1015" s="17">
        <v>0.0</v>
      </c>
      <c r="P1015" s="17">
        <v>0.0</v>
      </c>
      <c r="Q1015" s="17">
        <v>0.0</v>
      </c>
      <c r="R1015" s="17">
        <v>0.0</v>
      </c>
      <c r="S1015" s="17">
        <v>0.0</v>
      </c>
      <c r="T1015" s="17">
        <v>0.0</v>
      </c>
      <c r="U1015" s="17">
        <v>0.0</v>
      </c>
    </row>
    <row r="1016" ht="23.25" customHeight="1">
      <c r="A1016" s="1"/>
      <c r="B1016" s="15" t="s">
        <v>1436</v>
      </c>
      <c r="C1016" s="1" t="s">
        <v>17</v>
      </c>
      <c r="D1016" s="1" t="s">
        <v>1437</v>
      </c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</row>
    <row r="1017" ht="23.25" customHeight="1">
      <c r="A1017" s="20" t="str">
        <f>IF(COUNTIF('Icon Lookup'!C:C,B1017)&gt;0,LOOKUP(B1017,'Icon Lookup'!C:C,'Icon Lookup'!B:B),"")</f>
        <v/>
      </c>
      <c r="B1017" s="21" t="s">
        <v>86</v>
      </c>
      <c r="C1017" s="20"/>
      <c r="D1017" s="20">
        <v>15.0</v>
      </c>
      <c r="E1017" s="20" t="s">
        <v>87</v>
      </c>
      <c r="G1017" s="22"/>
      <c r="H1017" s="23" t="s">
        <v>143</v>
      </c>
      <c r="I1017" s="20" t="s">
        <v>89</v>
      </c>
      <c r="J1017" s="20">
        <v>0.0</v>
      </c>
      <c r="K1017" s="20">
        <v>0.0</v>
      </c>
      <c r="L1017" s="20">
        <v>0.0</v>
      </c>
      <c r="M1017" s="20">
        <v>0.0</v>
      </c>
      <c r="N1017" s="20">
        <v>0.0</v>
      </c>
      <c r="O1017" s="20">
        <v>0.0</v>
      </c>
      <c r="P1017" s="20">
        <v>0.0</v>
      </c>
      <c r="Q1017" s="20">
        <v>0.0</v>
      </c>
      <c r="R1017" s="20">
        <v>0.0</v>
      </c>
      <c r="S1017" s="20">
        <v>0.0</v>
      </c>
      <c r="T1017" s="20">
        <v>0.0</v>
      </c>
      <c r="U1017" s="20">
        <v>0.0</v>
      </c>
    </row>
    <row r="1018" ht="23.25" customHeight="1">
      <c r="A1018" s="17" t="str">
        <f>IF(COUNTIF('Icon Lookup'!C:C,B1018)&gt;0,LOOKUP(B1018,'Icon Lookup'!C:C,'Icon Lookup'!B:B),"")</f>
        <v/>
      </c>
      <c r="B1018" s="18" t="s">
        <v>160</v>
      </c>
      <c r="C1018" s="17"/>
      <c r="D1018" s="17">
        <v>17.0</v>
      </c>
      <c r="E1018" s="17" t="s">
        <v>161</v>
      </c>
      <c r="G1018" s="19"/>
      <c r="H1018" s="20" t="s">
        <v>1438</v>
      </c>
      <c r="I1018" s="17" t="s">
        <v>94</v>
      </c>
      <c r="J1018" s="17">
        <v>0.0</v>
      </c>
      <c r="K1018" s="17">
        <v>0.0</v>
      </c>
      <c r="L1018" s="17">
        <v>0.0</v>
      </c>
      <c r="M1018" s="17">
        <v>0.0</v>
      </c>
      <c r="N1018" s="17">
        <v>0.0</v>
      </c>
      <c r="O1018" s="17">
        <v>0.0</v>
      </c>
      <c r="P1018" s="17">
        <v>0.0</v>
      </c>
      <c r="Q1018" s="17">
        <v>0.0</v>
      </c>
      <c r="R1018" s="17">
        <v>0.0</v>
      </c>
      <c r="S1018" s="17">
        <v>0.0</v>
      </c>
      <c r="T1018" s="17">
        <v>0.0</v>
      </c>
      <c r="U1018" s="17">
        <v>0.0</v>
      </c>
    </row>
    <row r="1019" ht="23.25" customHeight="1">
      <c r="A1019" s="1"/>
      <c r="B1019" s="15" t="s">
        <v>1439</v>
      </c>
      <c r="C1019" s="1" t="s">
        <v>17</v>
      </c>
      <c r="D1019" s="1" t="s">
        <v>1440</v>
      </c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</row>
    <row r="1020" ht="23.25" customHeight="1">
      <c r="A1020" s="20" t="str">
        <f>IF(COUNTIF('Icon Lookup'!C:C,B1020)&gt;0,LOOKUP(B1020,'Icon Lookup'!C:C,'Icon Lookup'!B:B),"")</f>
        <v/>
      </c>
      <c r="B1020" s="21" t="s">
        <v>1098</v>
      </c>
      <c r="C1020" s="20"/>
      <c r="D1020" s="20">
        <v>49.0</v>
      </c>
      <c r="E1020" s="20" t="s">
        <v>91</v>
      </c>
      <c r="G1020" s="22"/>
      <c r="H1020" s="23" t="s">
        <v>1193</v>
      </c>
      <c r="I1020" s="20" t="s">
        <v>89</v>
      </c>
      <c r="J1020" s="20">
        <v>0.0</v>
      </c>
      <c r="K1020" s="20">
        <v>0.0</v>
      </c>
      <c r="L1020" s="20">
        <v>0.0</v>
      </c>
      <c r="M1020" s="20">
        <v>0.0</v>
      </c>
      <c r="N1020" s="20">
        <v>0.0</v>
      </c>
      <c r="O1020" s="20">
        <v>0.0</v>
      </c>
      <c r="P1020" s="20">
        <v>0.0</v>
      </c>
      <c r="Q1020" s="20">
        <v>0.0</v>
      </c>
      <c r="R1020" s="20">
        <v>0.0</v>
      </c>
      <c r="S1020" s="20">
        <v>0.0</v>
      </c>
      <c r="T1020" s="20">
        <v>0.0</v>
      </c>
      <c r="U1020" s="20">
        <v>0.0</v>
      </c>
    </row>
    <row r="1021" ht="23.25" customHeight="1">
      <c r="A1021" s="1"/>
      <c r="B1021" s="15" t="s">
        <v>1441</v>
      </c>
      <c r="C1021" s="1" t="s">
        <v>17</v>
      </c>
      <c r="D1021" s="1" t="s">
        <v>1442</v>
      </c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</row>
    <row r="1022" ht="23.25" customHeight="1">
      <c r="A1022" s="17" t="str">
        <f>IF(COUNTIF('Icon Lookup'!C:C,B1022)&gt;0,LOOKUP(B1022,'Icon Lookup'!C:C,'Icon Lookup'!B:B),"")</f>
        <v/>
      </c>
      <c r="B1022" s="18" t="s">
        <v>288</v>
      </c>
      <c r="C1022" s="17"/>
      <c r="D1022" s="17">
        <v>35.0</v>
      </c>
      <c r="E1022" s="17" t="s">
        <v>289</v>
      </c>
      <c r="G1022" s="19"/>
      <c r="H1022" s="20" t="s">
        <v>1443</v>
      </c>
      <c r="I1022" s="17" t="s">
        <v>94</v>
      </c>
      <c r="J1022" s="17">
        <v>0.0</v>
      </c>
      <c r="K1022" s="17">
        <v>0.0</v>
      </c>
      <c r="L1022" s="17">
        <v>0.0</v>
      </c>
      <c r="M1022" s="17">
        <v>0.0</v>
      </c>
      <c r="N1022" s="17">
        <v>0.0</v>
      </c>
      <c r="O1022" s="17">
        <v>0.0</v>
      </c>
      <c r="P1022" s="17">
        <v>0.0</v>
      </c>
      <c r="Q1022" s="17">
        <v>0.0</v>
      </c>
      <c r="R1022" s="17">
        <v>0.0</v>
      </c>
      <c r="S1022" s="17">
        <v>0.0</v>
      </c>
      <c r="T1022" s="17">
        <v>0.0</v>
      </c>
      <c r="U1022" s="17">
        <v>0.0</v>
      </c>
    </row>
    <row r="1023" ht="23.25" customHeight="1">
      <c r="A1023" s="1"/>
      <c r="B1023" s="15" t="s">
        <v>1444</v>
      </c>
      <c r="C1023" s="1" t="s">
        <v>17</v>
      </c>
      <c r="D1023" s="1" t="s">
        <v>1445</v>
      </c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</row>
    <row r="1024" ht="23.25" customHeight="1">
      <c r="A1024" s="20" t="str">
        <f>IF(COUNTIF('Icon Lookup'!C:C,B1024)&gt;0,LOOKUP(B1024,'Icon Lookup'!C:C,'Icon Lookup'!B:B),"")</f>
        <v/>
      </c>
      <c r="B1024" s="21" t="s">
        <v>275</v>
      </c>
      <c r="C1024" s="20"/>
      <c r="D1024" s="20">
        <v>52.0</v>
      </c>
      <c r="E1024" s="20" t="s">
        <v>91</v>
      </c>
      <c r="G1024" s="22"/>
      <c r="H1024" s="23" t="s">
        <v>1446</v>
      </c>
      <c r="I1024" s="20" t="s">
        <v>89</v>
      </c>
      <c r="J1024" s="20">
        <v>0.0</v>
      </c>
      <c r="K1024" s="20">
        <v>0.0</v>
      </c>
      <c r="L1024" s="20">
        <v>0.0</v>
      </c>
      <c r="M1024" s="20">
        <v>0.0</v>
      </c>
      <c r="N1024" s="20">
        <v>0.0</v>
      </c>
      <c r="O1024" s="20">
        <v>0.0</v>
      </c>
      <c r="P1024" s="20">
        <v>0.0</v>
      </c>
      <c r="Q1024" s="20">
        <v>0.0</v>
      </c>
      <c r="R1024" s="20">
        <v>0.0</v>
      </c>
      <c r="S1024" s="20">
        <v>0.0</v>
      </c>
      <c r="T1024" s="20">
        <v>0.0</v>
      </c>
      <c r="U1024" s="20">
        <v>0.0</v>
      </c>
    </row>
    <row r="1025" ht="23.25" customHeight="1">
      <c r="A1025" s="17" t="str">
        <f>IF(COUNTIF('Icon Lookup'!C:C,B1025)&gt;0,LOOKUP(B1025,'Icon Lookup'!C:C,'Icon Lookup'!B:B),"")</f>
        <v/>
      </c>
      <c r="B1025" s="18" t="s">
        <v>1098</v>
      </c>
      <c r="C1025" s="17"/>
      <c r="D1025" s="17">
        <v>58.0</v>
      </c>
      <c r="E1025" s="17" t="s">
        <v>91</v>
      </c>
      <c r="G1025" s="19"/>
      <c r="H1025" s="20" t="s">
        <v>1447</v>
      </c>
      <c r="I1025" s="17" t="s">
        <v>89</v>
      </c>
      <c r="J1025" s="17">
        <v>0.0</v>
      </c>
      <c r="K1025" s="17">
        <v>0.0</v>
      </c>
      <c r="L1025" s="17">
        <v>0.0</v>
      </c>
      <c r="M1025" s="17">
        <v>0.0</v>
      </c>
      <c r="N1025" s="17">
        <v>0.0</v>
      </c>
      <c r="O1025" s="17">
        <v>0.0</v>
      </c>
      <c r="P1025" s="17">
        <v>0.0</v>
      </c>
      <c r="Q1025" s="17">
        <v>0.0</v>
      </c>
      <c r="R1025" s="17">
        <v>0.0</v>
      </c>
      <c r="S1025" s="17">
        <v>0.0</v>
      </c>
      <c r="T1025" s="17">
        <v>0.0</v>
      </c>
      <c r="U1025" s="17">
        <v>0.0</v>
      </c>
    </row>
    <row r="1026" ht="23.25" customHeight="1">
      <c r="A1026" s="1"/>
      <c r="B1026" s="15" t="s">
        <v>1448</v>
      </c>
      <c r="C1026" s="1" t="s">
        <v>17</v>
      </c>
      <c r="D1026" s="1" t="s">
        <v>1449</v>
      </c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</row>
    <row r="1027" ht="23.25" customHeight="1">
      <c r="A1027" s="20" t="str">
        <f>IF(COUNTIF('Icon Lookup'!C:C,B1027)&gt;0,LOOKUP(B1027,'Icon Lookup'!C:C,'Icon Lookup'!B:B),"")</f>
        <v/>
      </c>
      <c r="B1027" s="21" t="s">
        <v>97</v>
      </c>
      <c r="C1027" s="20"/>
      <c r="D1027" s="20">
        <v>54.0</v>
      </c>
      <c r="E1027" s="20" t="s">
        <v>87</v>
      </c>
      <c r="G1027" s="22"/>
      <c r="H1027" s="23" t="s">
        <v>1450</v>
      </c>
      <c r="I1027" s="20" t="s">
        <v>89</v>
      </c>
      <c r="J1027" s="20">
        <v>0.0</v>
      </c>
      <c r="K1027" s="20">
        <v>0.0</v>
      </c>
      <c r="L1027" s="20">
        <v>0.0</v>
      </c>
      <c r="M1027" s="20">
        <v>0.0</v>
      </c>
      <c r="N1027" s="20">
        <v>0.0</v>
      </c>
      <c r="O1027" s="20">
        <v>0.0</v>
      </c>
      <c r="P1027" s="20">
        <v>0.0</v>
      </c>
      <c r="Q1027" s="20">
        <v>0.0</v>
      </c>
      <c r="R1027" s="20">
        <v>0.0</v>
      </c>
      <c r="S1027" s="20">
        <v>0.0</v>
      </c>
      <c r="T1027" s="20">
        <v>0.0</v>
      </c>
      <c r="U1027" s="20">
        <v>0.0</v>
      </c>
    </row>
    <row r="1028" ht="23.25" customHeight="1">
      <c r="A1028" s="17" t="str">
        <f>IF(COUNTIF('Icon Lookup'!C:C,B1028)&gt;0,LOOKUP(B1028,'Icon Lookup'!C:C,'Icon Lookup'!B:B),"")</f>
        <v/>
      </c>
      <c r="B1028" s="18" t="s">
        <v>1098</v>
      </c>
      <c r="C1028" s="17"/>
      <c r="D1028" s="17">
        <v>56.0</v>
      </c>
      <c r="E1028" s="17" t="s">
        <v>91</v>
      </c>
      <c r="G1028" s="19"/>
      <c r="H1028" s="20" t="s">
        <v>1447</v>
      </c>
      <c r="I1028" s="17" t="s">
        <v>89</v>
      </c>
      <c r="J1028" s="17">
        <v>0.0</v>
      </c>
      <c r="K1028" s="17">
        <v>0.0</v>
      </c>
      <c r="L1028" s="17">
        <v>0.0</v>
      </c>
      <c r="M1028" s="17">
        <v>0.0</v>
      </c>
      <c r="N1028" s="17">
        <v>0.0</v>
      </c>
      <c r="O1028" s="17">
        <v>0.0</v>
      </c>
      <c r="P1028" s="17">
        <v>0.0</v>
      </c>
      <c r="Q1028" s="17">
        <v>0.0</v>
      </c>
      <c r="R1028" s="17">
        <v>0.0</v>
      </c>
      <c r="S1028" s="17">
        <v>0.0</v>
      </c>
      <c r="T1028" s="17">
        <v>0.0</v>
      </c>
      <c r="U1028" s="17">
        <v>0.0</v>
      </c>
    </row>
    <row r="1029" ht="23.25" customHeight="1">
      <c r="A1029" s="1"/>
      <c r="B1029" s="15" t="s">
        <v>1451</v>
      </c>
      <c r="C1029" s="1" t="s">
        <v>17</v>
      </c>
      <c r="D1029" s="1" t="s">
        <v>1452</v>
      </c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</row>
    <row r="1030" ht="23.25" customHeight="1">
      <c r="A1030" s="20" t="str">
        <f>IF(COUNTIF('Icon Lookup'!C:C,B1030)&gt;0,LOOKUP(B1030,'Icon Lookup'!C:C,'Icon Lookup'!B:B),"")</f>
        <v/>
      </c>
      <c r="B1030" s="21" t="s">
        <v>336</v>
      </c>
      <c r="C1030" s="20"/>
      <c r="D1030" s="20">
        <v>17.0</v>
      </c>
      <c r="E1030" s="20" t="s">
        <v>121</v>
      </c>
      <c r="G1030" s="22"/>
      <c r="H1030" s="23" t="s">
        <v>338</v>
      </c>
      <c r="I1030" s="20" t="s">
        <v>22</v>
      </c>
      <c r="J1030" s="20">
        <v>0.0</v>
      </c>
      <c r="K1030" s="20">
        <v>0.0</v>
      </c>
      <c r="L1030" s="20">
        <v>0.0</v>
      </c>
      <c r="M1030" s="20">
        <v>0.0</v>
      </c>
      <c r="N1030" s="20">
        <v>0.0</v>
      </c>
      <c r="O1030" s="20">
        <v>0.0</v>
      </c>
      <c r="P1030" s="20">
        <v>0.0</v>
      </c>
      <c r="Q1030" s="20">
        <v>0.0</v>
      </c>
      <c r="R1030" s="20">
        <v>0.0</v>
      </c>
      <c r="S1030" s="20">
        <v>0.0</v>
      </c>
      <c r="T1030" s="20">
        <v>0.0</v>
      </c>
      <c r="U1030" s="20">
        <v>0.0</v>
      </c>
    </row>
    <row r="1031" ht="23.25" customHeight="1">
      <c r="A1031" s="1"/>
      <c r="B1031" s="15" t="s">
        <v>1453</v>
      </c>
      <c r="C1031" s="1" t="s">
        <v>17</v>
      </c>
      <c r="D1031" s="1" t="s">
        <v>1454</v>
      </c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</row>
    <row r="1032" ht="23.25" customHeight="1">
      <c r="A1032" s="17" t="str">
        <f>IF(COUNTIF('Icon Lookup'!C:C,B1032)&gt;0,LOOKUP(B1032,'Icon Lookup'!C:C,'Icon Lookup'!B:B),"")</f>
        <v/>
      </c>
      <c r="B1032" s="18" t="s">
        <v>97</v>
      </c>
      <c r="C1032" s="17"/>
      <c r="D1032" s="17">
        <v>15.0</v>
      </c>
      <c r="E1032" s="17" t="s">
        <v>98</v>
      </c>
      <c r="G1032" s="19"/>
      <c r="H1032" s="20" t="s">
        <v>799</v>
      </c>
      <c r="I1032" s="17" t="s">
        <v>211</v>
      </c>
      <c r="J1032" s="17">
        <v>0.0</v>
      </c>
      <c r="K1032" s="17">
        <v>0.0</v>
      </c>
      <c r="L1032" s="17">
        <v>0.0</v>
      </c>
      <c r="M1032" s="17">
        <v>0.0</v>
      </c>
      <c r="N1032" s="17">
        <v>0.0</v>
      </c>
      <c r="O1032" s="17">
        <v>0.0</v>
      </c>
      <c r="P1032" s="17">
        <v>0.0</v>
      </c>
      <c r="Q1032" s="17">
        <v>0.0</v>
      </c>
      <c r="R1032" s="17">
        <v>0.0</v>
      </c>
      <c r="S1032" s="17">
        <v>0.0</v>
      </c>
      <c r="T1032" s="17">
        <v>0.0</v>
      </c>
      <c r="U1032" s="17">
        <v>0.0</v>
      </c>
    </row>
    <row r="1033" ht="23.25" customHeight="1">
      <c r="A1033" s="20" t="str">
        <f>IF(COUNTIF('Icon Lookup'!C:C,B1033)&gt;0,LOOKUP(B1033,'Icon Lookup'!C:C,'Icon Lookup'!B:B),"")</f>
        <v/>
      </c>
      <c r="B1033" s="21" t="s">
        <v>97</v>
      </c>
      <c r="C1033" s="20"/>
      <c r="D1033" s="20">
        <v>15.0</v>
      </c>
      <c r="E1033" s="20" t="s">
        <v>87</v>
      </c>
      <c r="G1033" s="22"/>
      <c r="H1033" s="23" t="s">
        <v>799</v>
      </c>
      <c r="I1033" s="20" t="s">
        <v>22</v>
      </c>
      <c r="J1033" s="20">
        <v>0.0</v>
      </c>
      <c r="K1033" s="20">
        <v>0.0</v>
      </c>
      <c r="L1033" s="20">
        <v>0.0</v>
      </c>
      <c r="M1033" s="20">
        <v>0.0</v>
      </c>
      <c r="N1033" s="20">
        <v>0.0</v>
      </c>
      <c r="O1033" s="20">
        <v>0.0</v>
      </c>
      <c r="P1033" s="20">
        <v>0.0</v>
      </c>
      <c r="Q1033" s="20">
        <v>0.0</v>
      </c>
      <c r="R1033" s="20">
        <v>0.0</v>
      </c>
      <c r="S1033" s="20">
        <v>0.0</v>
      </c>
      <c r="T1033" s="20">
        <v>0.0</v>
      </c>
      <c r="U1033" s="20">
        <v>0.0</v>
      </c>
    </row>
    <row r="1034" ht="23.25" customHeight="1">
      <c r="A1034" s="1"/>
      <c r="B1034" s="15" t="s">
        <v>1455</v>
      </c>
      <c r="C1034" s="1" t="s">
        <v>17</v>
      </c>
      <c r="D1034" s="1" t="s">
        <v>1456</v>
      </c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</row>
    <row r="1035" ht="23.25" customHeight="1">
      <c r="A1035" s="17" t="str">
        <f>IF(COUNTIF('Icon Lookup'!C:C,B1035)&gt;0,LOOKUP(B1035,'Icon Lookup'!C:C,'Icon Lookup'!B:B),"")</f>
        <v/>
      </c>
      <c r="B1035" s="18" t="s">
        <v>37</v>
      </c>
      <c r="C1035" s="17"/>
      <c r="D1035" s="17">
        <v>28.0</v>
      </c>
      <c r="E1035" s="17" t="s">
        <v>38</v>
      </c>
      <c r="G1035" s="19"/>
      <c r="H1035" s="20" t="s">
        <v>537</v>
      </c>
      <c r="I1035" s="17" t="s">
        <v>156</v>
      </c>
      <c r="J1035" s="17">
        <v>0.0</v>
      </c>
      <c r="K1035" s="17">
        <v>0.0</v>
      </c>
      <c r="L1035" s="17">
        <v>0.0</v>
      </c>
      <c r="M1035" s="17">
        <v>0.0</v>
      </c>
      <c r="N1035" s="17">
        <v>0.0</v>
      </c>
      <c r="O1035" s="17">
        <v>0.0</v>
      </c>
      <c r="P1035" s="17">
        <v>0.0</v>
      </c>
      <c r="Q1035" s="17">
        <v>0.0</v>
      </c>
      <c r="R1035" s="17">
        <v>0.0</v>
      </c>
      <c r="S1035" s="17">
        <v>0.0</v>
      </c>
      <c r="T1035" s="17">
        <v>0.0</v>
      </c>
      <c r="U1035" s="17">
        <v>0.0</v>
      </c>
    </row>
    <row r="1036" ht="23.25" customHeight="1">
      <c r="A1036" s="20" t="str">
        <f>IF(COUNTIF('Icon Lookup'!C:C,B1036)&gt;0,LOOKUP(B1036,'Icon Lookup'!C:C,'Icon Lookup'!B:B),"")</f>
        <v/>
      </c>
      <c r="B1036" s="21" t="s">
        <v>97</v>
      </c>
      <c r="C1036" s="20"/>
      <c r="D1036" s="20">
        <v>31.0</v>
      </c>
      <c r="E1036" s="20" t="s">
        <v>87</v>
      </c>
      <c r="G1036" s="22"/>
      <c r="H1036" s="23" t="s">
        <v>178</v>
      </c>
      <c r="I1036" s="20" t="s">
        <v>89</v>
      </c>
      <c r="J1036" s="20">
        <v>0.0</v>
      </c>
      <c r="K1036" s="20">
        <v>0.0</v>
      </c>
      <c r="L1036" s="20">
        <v>0.0</v>
      </c>
      <c r="M1036" s="20">
        <v>0.0</v>
      </c>
      <c r="N1036" s="20">
        <v>0.0</v>
      </c>
      <c r="O1036" s="20">
        <v>0.0</v>
      </c>
      <c r="P1036" s="20">
        <v>0.0</v>
      </c>
      <c r="Q1036" s="20">
        <v>0.0</v>
      </c>
      <c r="R1036" s="20">
        <v>0.0</v>
      </c>
      <c r="S1036" s="20">
        <v>0.0</v>
      </c>
      <c r="T1036" s="20">
        <v>0.0</v>
      </c>
      <c r="U1036" s="20">
        <v>0.0</v>
      </c>
    </row>
    <row r="1037" ht="23.25" customHeight="1">
      <c r="A1037" s="17" t="str">
        <f>IF(COUNTIF('Icon Lookup'!C:C,B1037)&gt;0,LOOKUP(B1037,'Icon Lookup'!C:C,'Icon Lookup'!B:B),"")</f>
        <v/>
      </c>
      <c r="B1037" s="18" t="s">
        <v>174</v>
      </c>
      <c r="C1037" s="17"/>
      <c r="D1037" s="17">
        <v>31.0</v>
      </c>
      <c r="E1037" s="17" t="s">
        <v>38</v>
      </c>
      <c r="G1037" s="19"/>
      <c r="H1037" s="20" t="s">
        <v>1457</v>
      </c>
      <c r="I1037" s="17" t="s">
        <v>156</v>
      </c>
      <c r="J1037" s="17">
        <v>0.0</v>
      </c>
      <c r="K1037" s="17">
        <v>0.0</v>
      </c>
      <c r="L1037" s="17">
        <v>0.0</v>
      </c>
      <c r="M1037" s="17">
        <v>0.0</v>
      </c>
      <c r="N1037" s="17">
        <v>0.0</v>
      </c>
      <c r="O1037" s="17">
        <v>0.0</v>
      </c>
      <c r="P1037" s="17">
        <v>0.0</v>
      </c>
      <c r="Q1037" s="17">
        <v>0.0</v>
      </c>
      <c r="R1037" s="17">
        <v>0.0</v>
      </c>
      <c r="S1037" s="17">
        <v>0.0</v>
      </c>
      <c r="T1037" s="17">
        <v>0.0</v>
      </c>
      <c r="U1037" s="17">
        <v>0.0</v>
      </c>
    </row>
    <row r="1038" ht="23.25" customHeight="1">
      <c r="A1038" s="1"/>
      <c r="B1038" s="15" t="s">
        <v>1458</v>
      </c>
      <c r="C1038" s="1" t="s">
        <v>17</v>
      </c>
      <c r="D1038" s="1" t="s">
        <v>1459</v>
      </c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</row>
    <row r="1039" ht="23.25" customHeight="1">
      <c r="A1039" s="20" t="str">
        <f>IF(COUNTIF('Icon Lookup'!C:C,B1039)&gt;0,LOOKUP(B1039,'Icon Lookup'!C:C,'Icon Lookup'!B:B),"")</f>
        <v/>
      </c>
      <c r="B1039" s="21" t="s">
        <v>176</v>
      </c>
      <c r="C1039" s="20"/>
      <c r="D1039" s="20">
        <v>30.0</v>
      </c>
      <c r="E1039" s="20" t="s">
        <v>87</v>
      </c>
      <c r="G1039" s="22"/>
      <c r="H1039" s="23" t="s">
        <v>1460</v>
      </c>
      <c r="I1039" s="20" t="s">
        <v>89</v>
      </c>
      <c r="J1039" s="20">
        <v>0.0</v>
      </c>
      <c r="K1039" s="20">
        <v>0.0</v>
      </c>
      <c r="L1039" s="20">
        <v>0.0</v>
      </c>
      <c r="M1039" s="20">
        <v>0.0</v>
      </c>
      <c r="N1039" s="20">
        <v>0.0</v>
      </c>
      <c r="O1039" s="20">
        <v>0.0</v>
      </c>
      <c r="P1039" s="20">
        <v>0.0</v>
      </c>
      <c r="Q1039" s="20">
        <v>0.0</v>
      </c>
      <c r="R1039" s="20">
        <v>0.0</v>
      </c>
      <c r="S1039" s="20">
        <v>0.0</v>
      </c>
      <c r="T1039" s="20">
        <v>0.0</v>
      </c>
      <c r="U1039" s="20">
        <v>0.0</v>
      </c>
    </row>
    <row r="1040" ht="23.25" customHeight="1">
      <c r="A1040" s="17" t="str">
        <f>IF(COUNTIF('Icon Lookup'!C:C,B1040)&gt;0,LOOKUP(B1040,'Icon Lookup'!C:C,'Icon Lookup'!B:B),"")</f>
        <v/>
      </c>
      <c r="B1040" s="18" t="s">
        <v>275</v>
      </c>
      <c r="C1040" s="17"/>
      <c r="D1040" s="17">
        <v>32.0</v>
      </c>
      <c r="E1040" s="17" t="s">
        <v>91</v>
      </c>
      <c r="G1040" s="19"/>
      <c r="H1040" s="20" t="s">
        <v>423</v>
      </c>
      <c r="I1040" s="17" t="s">
        <v>89</v>
      </c>
      <c r="J1040" s="17">
        <v>0.0</v>
      </c>
      <c r="K1040" s="17">
        <v>0.0</v>
      </c>
      <c r="L1040" s="17">
        <v>0.0</v>
      </c>
      <c r="M1040" s="17">
        <v>0.0</v>
      </c>
      <c r="N1040" s="17">
        <v>0.0</v>
      </c>
      <c r="O1040" s="17">
        <v>0.0</v>
      </c>
      <c r="P1040" s="17">
        <v>0.0</v>
      </c>
      <c r="Q1040" s="17">
        <v>0.0</v>
      </c>
      <c r="R1040" s="17">
        <v>0.0</v>
      </c>
      <c r="S1040" s="17">
        <v>0.0</v>
      </c>
      <c r="T1040" s="17">
        <v>0.0</v>
      </c>
      <c r="U1040" s="17">
        <v>0.0</v>
      </c>
    </row>
    <row r="1041" ht="23.25" customHeight="1">
      <c r="A1041" s="1"/>
      <c r="B1041" s="15" t="s">
        <v>1461</v>
      </c>
      <c r="C1041" s="1" t="s">
        <v>17</v>
      </c>
      <c r="D1041" s="1" t="s">
        <v>1462</v>
      </c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</row>
    <row r="1042" ht="23.25" customHeight="1">
      <c r="A1042" s="20" t="str">
        <f>IF(COUNTIF('Icon Lookup'!C:C,B1042)&gt;0,LOOKUP(B1042,'Icon Lookup'!C:C,'Icon Lookup'!B:B),"")</f>
        <v/>
      </c>
      <c r="B1042" s="21" t="s">
        <v>86</v>
      </c>
      <c r="C1042" s="20"/>
      <c r="D1042" s="20">
        <v>15.0</v>
      </c>
      <c r="E1042" s="20" t="s">
        <v>87</v>
      </c>
      <c r="G1042" s="22"/>
      <c r="H1042" s="23" t="s">
        <v>143</v>
      </c>
      <c r="I1042" s="20" t="s">
        <v>89</v>
      </c>
      <c r="J1042" s="20">
        <v>0.0</v>
      </c>
      <c r="K1042" s="20">
        <v>0.0</v>
      </c>
      <c r="L1042" s="20">
        <v>0.0</v>
      </c>
      <c r="M1042" s="20">
        <v>0.0</v>
      </c>
      <c r="N1042" s="20">
        <v>0.0</v>
      </c>
      <c r="O1042" s="20">
        <v>0.0</v>
      </c>
      <c r="P1042" s="20">
        <v>0.0</v>
      </c>
      <c r="Q1042" s="20">
        <v>0.0</v>
      </c>
      <c r="R1042" s="20">
        <v>0.0</v>
      </c>
      <c r="S1042" s="20">
        <v>0.0</v>
      </c>
      <c r="T1042" s="20">
        <v>0.0</v>
      </c>
      <c r="U1042" s="20">
        <v>0.0</v>
      </c>
    </row>
    <row r="1043" ht="23.25" customHeight="1">
      <c r="A1043" s="17" t="str">
        <f>IF(COUNTIF('Icon Lookup'!C:C,B1043)&gt;0,LOOKUP(B1043,'Icon Lookup'!C:C,'Icon Lookup'!B:B),"")</f>
        <v/>
      </c>
      <c r="B1043" s="18" t="s">
        <v>90</v>
      </c>
      <c r="C1043" s="17"/>
      <c r="D1043" s="17">
        <v>15.0</v>
      </c>
      <c r="E1043" s="17" t="s">
        <v>91</v>
      </c>
      <c r="G1043" s="19"/>
      <c r="H1043" s="20" t="s">
        <v>1463</v>
      </c>
      <c r="I1043" s="17" t="s">
        <v>89</v>
      </c>
      <c r="J1043" s="17">
        <v>0.0</v>
      </c>
      <c r="K1043" s="17">
        <v>0.0</v>
      </c>
      <c r="L1043" s="17">
        <v>0.0</v>
      </c>
      <c r="M1043" s="17">
        <v>0.0</v>
      </c>
      <c r="N1043" s="17">
        <v>0.0</v>
      </c>
      <c r="O1043" s="17">
        <v>0.0</v>
      </c>
      <c r="P1043" s="17">
        <v>0.0</v>
      </c>
      <c r="Q1043" s="17">
        <v>0.0</v>
      </c>
      <c r="R1043" s="17">
        <v>0.0</v>
      </c>
      <c r="S1043" s="17">
        <v>0.0</v>
      </c>
      <c r="T1043" s="17">
        <v>0.0</v>
      </c>
      <c r="U1043" s="17">
        <v>0.0</v>
      </c>
    </row>
    <row r="1044" ht="23.25" customHeight="1">
      <c r="A1044" s="1"/>
      <c r="B1044" s="15" t="s">
        <v>1464</v>
      </c>
      <c r="C1044" s="1" t="s">
        <v>17</v>
      </c>
      <c r="D1044" s="1" t="s">
        <v>1465</v>
      </c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</row>
    <row r="1045" ht="23.25" customHeight="1">
      <c r="A1045" s="20" t="str">
        <f>IF(COUNTIF('Icon Lookup'!C:C,B1045)&gt;0,LOOKUP(B1045,'Icon Lookup'!C:C,'Icon Lookup'!B:B),"")</f>
        <v/>
      </c>
      <c r="B1045" s="21" t="s">
        <v>97</v>
      </c>
      <c r="C1045" s="20"/>
      <c r="D1045" s="20">
        <v>17.0</v>
      </c>
      <c r="E1045" s="20" t="s">
        <v>98</v>
      </c>
      <c r="G1045" s="22"/>
      <c r="H1045" s="23" t="s">
        <v>1466</v>
      </c>
      <c r="I1045" s="20" t="s">
        <v>89</v>
      </c>
      <c r="J1045" s="20">
        <v>0.0</v>
      </c>
      <c r="K1045" s="20">
        <v>0.0</v>
      </c>
      <c r="L1045" s="20">
        <v>0.0</v>
      </c>
      <c r="M1045" s="20">
        <v>0.0</v>
      </c>
      <c r="N1045" s="20">
        <v>0.0</v>
      </c>
      <c r="O1045" s="20">
        <v>0.0</v>
      </c>
      <c r="P1045" s="20">
        <v>0.0</v>
      </c>
      <c r="Q1045" s="20">
        <v>0.0</v>
      </c>
      <c r="R1045" s="20">
        <v>0.0</v>
      </c>
      <c r="S1045" s="20">
        <v>0.0</v>
      </c>
      <c r="T1045" s="20">
        <v>0.0</v>
      </c>
      <c r="U1045" s="20">
        <v>0.0</v>
      </c>
    </row>
    <row r="1046" ht="23.25" customHeight="1">
      <c r="A1046" s="1"/>
      <c r="B1046" s="15" t="s">
        <v>1467</v>
      </c>
      <c r="C1046" s="1" t="s">
        <v>17</v>
      </c>
      <c r="D1046" s="1" t="s">
        <v>1468</v>
      </c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</row>
    <row r="1047" ht="23.25" customHeight="1">
      <c r="A1047" s="17" t="str">
        <f>IF(COUNTIF('Icon Lookup'!C:C,B1047)&gt;0,LOOKUP(B1047,'Icon Lookup'!C:C,'Icon Lookup'!B:B),"")</f>
        <v/>
      </c>
      <c r="B1047" s="18" t="s">
        <v>815</v>
      </c>
      <c r="C1047" s="17"/>
      <c r="D1047" s="17">
        <v>14.0</v>
      </c>
      <c r="E1047" s="17" t="s">
        <v>374</v>
      </c>
      <c r="G1047" s="19"/>
      <c r="H1047" s="20" t="s">
        <v>1469</v>
      </c>
      <c r="I1047" s="17" t="s">
        <v>40</v>
      </c>
      <c r="J1047" s="17">
        <v>0.0</v>
      </c>
      <c r="K1047" s="17">
        <v>0.0</v>
      </c>
      <c r="L1047" s="17">
        <v>0.0</v>
      </c>
      <c r="M1047" s="17">
        <v>0.0</v>
      </c>
      <c r="N1047" s="17">
        <v>0.0</v>
      </c>
      <c r="O1047" s="17">
        <v>0.0</v>
      </c>
      <c r="P1047" s="17">
        <v>0.0</v>
      </c>
      <c r="Q1047" s="17">
        <v>0.0</v>
      </c>
      <c r="R1047" s="17">
        <v>0.0</v>
      </c>
      <c r="S1047" s="17">
        <v>0.0</v>
      </c>
      <c r="T1047" s="17">
        <v>0.0</v>
      </c>
      <c r="U1047" s="17">
        <v>0.0</v>
      </c>
    </row>
    <row r="1048" ht="23.25" customHeight="1">
      <c r="A1048" s="1"/>
      <c r="B1048" s="15" t="s">
        <v>1470</v>
      </c>
      <c r="C1048" s="1" t="s">
        <v>17</v>
      </c>
      <c r="D1048" s="1" t="s">
        <v>1471</v>
      </c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</row>
    <row r="1049" ht="23.25" customHeight="1">
      <c r="A1049" s="20" t="str">
        <f>IF(COUNTIF('Icon Lookup'!C:C,B1049)&gt;0,LOOKUP(B1049,'Icon Lookup'!C:C,'Icon Lookup'!B:B),"")</f>
        <v/>
      </c>
      <c r="B1049" s="21" t="s">
        <v>117</v>
      </c>
      <c r="C1049" s="20"/>
      <c r="D1049" s="20">
        <v>31.0</v>
      </c>
      <c r="E1049" s="20" t="s">
        <v>26</v>
      </c>
      <c r="G1049" s="22"/>
      <c r="H1049" s="23" t="s">
        <v>1472</v>
      </c>
      <c r="I1049" s="20" t="s">
        <v>22</v>
      </c>
      <c r="J1049" s="20">
        <v>0.0</v>
      </c>
      <c r="K1049" s="20">
        <v>0.0</v>
      </c>
      <c r="L1049" s="20">
        <v>0.0</v>
      </c>
      <c r="M1049" s="20">
        <v>0.0</v>
      </c>
      <c r="N1049" s="20">
        <v>0.0</v>
      </c>
      <c r="O1049" s="20">
        <v>0.0</v>
      </c>
      <c r="P1049" s="20">
        <v>0.0</v>
      </c>
      <c r="Q1049" s="20">
        <v>0.0</v>
      </c>
      <c r="R1049" s="20">
        <v>0.0</v>
      </c>
      <c r="S1049" s="20">
        <v>0.0</v>
      </c>
      <c r="T1049" s="20">
        <v>0.0</v>
      </c>
      <c r="U1049" s="20">
        <v>0.0</v>
      </c>
    </row>
    <row r="1050" ht="23.25" customHeight="1">
      <c r="A1050" s="17" t="str">
        <f>IF(COUNTIF('Icon Lookup'!C:C,B1050)&gt;0,LOOKUP(B1050,'Icon Lookup'!C:C,'Icon Lookup'!B:B),"")</f>
        <v/>
      </c>
      <c r="B1050" s="18" t="s">
        <v>600</v>
      </c>
      <c r="C1050" s="17"/>
      <c r="D1050" s="17">
        <v>31.0</v>
      </c>
      <c r="E1050" s="17" t="s">
        <v>601</v>
      </c>
      <c r="G1050" s="19"/>
      <c r="H1050" s="20" t="s">
        <v>602</v>
      </c>
      <c r="I1050" s="17" t="s">
        <v>52</v>
      </c>
      <c r="J1050" s="17">
        <v>0.0</v>
      </c>
      <c r="K1050" s="17">
        <v>0.0</v>
      </c>
      <c r="L1050" s="17">
        <v>0.0</v>
      </c>
      <c r="M1050" s="17">
        <v>0.0</v>
      </c>
      <c r="N1050" s="17">
        <v>0.0</v>
      </c>
      <c r="O1050" s="17">
        <v>0.0</v>
      </c>
      <c r="P1050" s="17">
        <v>0.0</v>
      </c>
      <c r="Q1050" s="17">
        <v>0.0</v>
      </c>
      <c r="R1050" s="17">
        <v>0.0</v>
      </c>
      <c r="S1050" s="17">
        <v>0.0</v>
      </c>
      <c r="T1050" s="17">
        <v>0.0</v>
      </c>
      <c r="U1050" s="17">
        <v>0.0</v>
      </c>
    </row>
    <row r="1051" ht="23.25" customHeight="1">
      <c r="A1051" s="1"/>
      <c r="B1051" s="15" t="s">
        <v>1473</v>
      </c>
      <c r="C1051" s="1" t="s">
        <v>17</v>
      </c>
      <c r="D1051" s="1" t="s">
        <v>1474</v>
      </c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</row>
    <row r="1052" ht="23.25" customHeight="1">
      <c r="A1052" s="20" t="str">
        <f>IF(COUNTIF('Icon Lookup'!C:C,B1052)&gt;0,LOOKUP(B1052,'Icon Lookup'!C:C,'Icon Lookup'!B:B),"")</f>
        <v/>
      </c>
      <c r="B1052" s="21" t="s">
        <v>685</v>
      </c>
      <c r="C1052" s="20"/>
      <c r="D1052" s="20">
        <v>15.0</v>
      </c>
      <c r="E1052" s="20" t="s">
        <v>58</v>
      </c>
      <c r="G1052" s="22"/>
      <c r="H1052" s="23" t="s">
        <v>1291</v>
      </c>
      <c r="I1052" s="20" t="s">
        <v>22</v>
      </c>
      <c r="J1052" s="20">
        <v>0.0</v>
      </c>
      <c r="K1052" s="20">
        <v>0.0</v>
      </c>
      <c r="L1052" s="20">
        <v>0.0</v>
      </c>
      <c r="M1052" s="20">
        <v>0.0</v>
      </c>
      <c r="N1052" s="20">
        <v>0.0</v>
      </c>
      <c r="O1052" s="20">
        <v>0.0</v>
      </c>
      <c r="P1052" s="20">
        <v>0.0</v>
      </c>
      <c r="Q1052" s="20">
        <v>0.0</v>
      </c>
      <c r="R1052" s="20">
        <v>0.0</v>
      </c>
      <c r="S1052" s="20">
        <v>0.0</v>
      </c>
      <c r="T1052" s="20">
        <v>0.0</v>
      </c>
      <c r="U1052" s="20">
        <v>0.0</v>
      </c>
    </row>
    <row r="1053" ht="23.25" customHeight="1">
      <c r="A1053" s="17" t="str">
        <f>IF(COUNTIF('Icon Lookup'!C:C,B1053)&gt;0,LOOKUP(B1053,'Icon Lookup'!C:C,'Icon Lookup'!B:B),"")</f>
        <v/>
      </c>
      <c r="B1053" s="18" t="s">
        <v>687</v>
      </c>
      <c r="C1053" s="17"/>
      <c r="D1053" s="17">
        <v>15.0</v>
      </c>
      <c r="E1053" s="17" t="s">
        <v>258</v>
      </c>
      <c r="G1053" s="19"/>
      <c r="H1053" s="20" t="s">
        <v>1475</v>
      </c>
      <c r="I1053" s="17" t="s">
        <v>52</v>
      </c>
      <c r="J1053" s="17">
        <v>0.0</v>
      </c>
      <c r="K1053" s="17">
        <v>0.0</v>
      </c>
      <c r="L1053" s="17">
        <v>0.0</v>
      </c>
      <c r="M1053" s="17">
        <v>0.0</v>
      </c>
      <c r="N1053" s="17">
        <v>0.0</v>
      </c>
      <c r="O1053" s="17">
        <v>0.0</v>
      </c>
      <c r="P1053" s="17">
        <v>0.0</v>
      </c>
      <c r="Q1053" s="17">
        <v>0.0</v>
      </c>
      <c r="R1053" s="17">
        <v>0.0</v>
      </c>
      <c r="S1053" s="17">
        <v>0.0</v>
      </c>
      <c r="T1053" s="17">
        <v>0.0</v>
      </c>
      <c r="U1053" s="17">
        <v>0.0</v>
      </c>
    </row>
    <row r="1054" ht="23.25" customHeight="1">
      <c r="A1054" s="1"/>
      <c r="B1054" s="15" t="s">
        <v>1476</v>
      </c>
      <c r="C1054" s="1" t="s">
        <v>17</v>
      </c>
      <c r="D1054" s="1" t="s">
        <v>1477</v>
      </c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</row>
    <row r="1055" ht="23.25" customHeight="1">
      <c r="A1055" s="20" t="str">
        <f>IF(COUNTIF('Icon Lookup'!C:C,B1055)&gt;0,LOOKUP(B1055,'Icon Lookup'!C:C,'Icon Lookup'!B:B),"")</f>
        <v/>
      </c>
      <c r="B1055" s="21" t="s">
        <v>165</v>
      </c>
      <c r="C1055" s="20"/>
      <c r="D1055" s="20">
        <v>17.0</v>
      </c>
      <c r="E1055" s="20" t="s">
        <v>166</v>
      </c>
      <c r="G1055" s="22"/>
      <c r="H1055" s="23" t="s">
        <v>167</v>
      </c>
      <c r="I1055" s="20" t="s">
        <v>73</v>
      </c>
      <c r="J1055" s="20">
        <v>0.0</v>
      </c>
      <c r="K1055" s="20">
        <v>0.0</v>
      </c>
      <c r="L1055" s="20">
        <v>0.0</v>
      </c>
      <c r="M1055" s="20">
        <v>0.0</v>
      </c>
      <c r="N1055" s="20">
        <v>0.0</v>
      </c>
      <c r="O1055" s="20">
        <v>0.0</v>
      </c>
      <c r="P1055" s="20">
        <v>0.0</v>
      </c>
      <c r="Q1055" s="20">
        <v>0.0</v>
      </c>
      <c r="R1055" s="20">
        <v>0.0</v>
      </c>
      <c r="S1055" s="20">
        <v>0.0</v>
      </c>
      <c r="T1055" s="20">
        <v>0.0</v>
      </c>
      <c r="U1055" s="20">
        <v>0.0</v>
      </c>
    </row>
    <row r="1056" ht="23.25" customHeight="1">
      <c r="A1056" s="1"/>
      <c r="B1056" s="15" t="s">
        <v>1478</v>
      </c>
      <c r="C1056" s="1" t="s">
        <v>17</v>
      </c>
      <c r="D1056" s="1" t="s">
        <v>1479</v>
      </c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</row>
    <row r="1057" ht="23.25" customHeight="1">
      <c r="A1057" s="17" t="str">
        <f>IF(COUNTIF('Icon Lookup'!C:C,B1057)&gt;0,LOOKUP(B1057,'Icon Lookup'!C:C,'Icon Lookup'!B:B),"")</f>
        <v/>
      </c>
      <c r="B1057" s="18" t="s">
        <v>476</v>
      </c>
      <c r="C1057" s="17"/>
      <c r="D1057" s="17">
        <v>17.0</v>
      </c>
      <c r="E1057" s="17" t="s">
        <v>203</v>
      </c>
      <c r="G1057" s="19"/>
      <c r="H1057" s="20" t="s">
        <v>1480</v>
      </c>
      <c r="I1057" s="17" t="s">
        <v>156</v>
      </c>
      <c r="J1057" s="17">
        <v>0.0</v>
      </c>
      <c r="K1057" s="17">
        <v>0.0</v>
      </c>
      <c r="L1057" s="17">
        <v>0.0</v>
      </c>
      <c r="M1057" s="17">
        <v>0.0</v>
      </c>
      <c r="N1057" s="17">
        <v>0.0</v>
      </c>
      <c r="O1057" s="17">
        <v>0.0</v>
      </c>
      <c r="P1057" s="17">
        <v>0.0</v>
      </c>
      <c r="Q1057" s="17">
        <v>0.0</v>
      </c>
      <c r="R1057" s="17">
        <v>0.0</v>
      </c>
      <c r="S1057" s="17">
        <v>0.0</v>
      </c>
      <c r="T1057" s="17">
        <v>0.0</v>
      </c>
      <c r="U1057" s="17">
        <v>0.0</v>
      </c>
    </row>
    <row r="1058" ht="23.25" customHeight="1">
      <c r="A1058" s="1"/>
      <c r="B1058" s="15" t="s">
        <v>1481</v>
      </c>
      <c r="C1058" s="1" t="s">
        <v>17</v>
      </c>
      <c r="D1058" s="1" t="s">
        <v>1482</v>
      </c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</row>
    <row r="1059" ht="23.25" customHeight="1">
      <c r="A1059" s="20" t="str">
        <f>IF(COUNTIF('Icon Lookup'!C:C,B1059)&gt;0,LOOKUP(B1059,'Icon Lookup'!C:C,'Icon Lookup'!B:B),"")</f>
        <v/>
      </c>
      <c r="B1059" s="21" t="s">
        <v>136</v>
      </c>
      <c r="C1059" s="20"/>
      <c r="D1059" s="20">
        <v>15.0</v>
      </c>
      <c r="E1059" s="20" t="s">
        <v>137</v>
      </c>
      <c r="G1059" s="22"/>
      <c r="H1059" s="23" t="s">
        <v>1273</v>
      </c>
      <c r="I1059" s="20" t="s">
        <v>22</v>
      </c>
      <c r="J1059" s="20">
        <v>0.0</v>
      </c>
      <c r="K1059" s="20">
        <v>0.0</v>
      </c>
      <c r="L1059" s="20">
        <v>0.0</v>
      </c>
      <c r="M1059" s="20">
        <v>0.0</v>
      </c>
      <c r="N1059" s="20">
        <v>0.0</v>
      </c>
      <c r="O1059" s="20">
        <v>0.0</v>
      </c>
      <c r="P1059" s="20">
        <v>0.0</v>
      </c>
      <c r="Q1059" s="20">
        <v>0.0</v>
      </c>
      <c r="R1059" s="20">
        <v>0.0</v>
      </c>
      <c r="S1059" s="20">
        <v>0.0</v>
      </c>
      <c r="T1059" s="20">
        <v>0.0</v>
      </c>
      <c r="U1059" s="20">
        <v>0.0</v>
      </c>
    </row>
    <row r="1060" ht="23.25" customHeight="1">
      <c r="A1060" s="17" t="str">
        <f>IF(COUNTIF('Icon Lookup'!C:C,B1060)&gt;0,LOOKUP(B1060,'Icon Lookup'!C:C,'Icon Lookup'!B:B),"")</f>
        <v/>
      </c>
      <c r="B1060" s="18" t="s">
        <v>136</v>
      </c>
      <c r="C1060" s="17"/>
      <c r="D1060" s="17">
        <v>15.0</v>
      </c>
      <c r="E1060" s="17" t="s">
        <v>137</v>
      </c>
      <c r="G1060" s="19"/>
      <c r="H1060" s="20" t="s">
        <v>1483</v>
      </c>
      <c r="I1060" s="17" t="s">
        <v>52</v>
      </c>
      <c r="J1060" s="17">
        <v>0.0</v>
      </c>
      <c r="K1060" s="17">
        <v>0.0</v>
      </c>
      <c r="L1060" s="17">
        <v>0.0</v>
      </c>
      <c r="M1060" s="17">
        <v>0.0</v>
      </c>
      <c r="N1060" s="17">
        <v>0.0</v>
      </c>
      <c r="O1060" s="17">
        <v>0.0</v>
      </c>
      <c r="P1060" s="17">
        <v>0.0</v>
      </c>
      <c r="Q1060" s="17">
        <v>0.0</v>
      </c>
      <c r="R1060" s="17">
        <v>0.0</v>
      </c>
      <c r="S1060" s="17">
        <v>0.0</v>
      </c>
      <c r="T1060" s="17">
        <v>0.0</v>
      </c>
      <c r="U1060" s="17">
        <v>0.0</v>
      </c>
    </row>
    <row r="1061" ht="23.25" customHeight="1">
      <c r="A1061" s="1"/>
      <c r="B1061" s="15" t="s">
        <v>1484</v>
      </c>
      <c r="C1061" s="1" t="s">
        <v>17</v>
      </c>
      <c r="D1061" s="1" t="s">
        <v>807</v>
      </c>
      <c r="G1061" s="16"/>
      <c r="H1061" s="26" t="s">
        <v>808</v>
      </c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</row>
    <row r="1062" ht="23.25" customHeight="1">
      <c r="A1062" s="20" t="str">
        <f>IF(COUNTIF('Icon Lookup'!C:C,B1062)&gt;0,LOOKUP(B1062,'Icon Lookup'!C:C,'Icon Lookup'!B:B),"")</f>
        <v/>
      </c>
      <c r="B1062" s="21" t="s">
        <v>19</v>
      </c>
      <c r="C1062" s="20"/>
      <c r="D1062" s="20">
        <v>19.0</v>
      </c>
      <c r="E1062" s="20" t="s">
        <v>20</v>
      </c>
      <c r="G1062" s="22"/>
      <c r="H1062" s="23" t="s">
        <v>1485</v>
      </c>
      <c r="I1062" s="20" t="s">
        <v>22</v>
      </c>
      <c r="J1062" s="20">
        <v>12.0</v>
      </c>
      <c r="K1062" s="20">
        <v>28.0</v>
      </c>
      <c r="L1062" s="20">
        <v>4.0</v>
      </c>
      <c r="M1062" s="20">
        <v>0.0</v>
      </c>
      <c r="N1062" s="20">
        <v>4.0</v>
      </c>
      <c r="O1062" s="20">
        <v>12.0</v>
      </c>
      <c r="P1062" s="20">
        <v>5.0</v>
      </c>
      <c r="Q1062" s="20">
        <v>5.0</v>
      </c>
      <c r="R1062" s="20">
        <v>5.0</v>
      </c>
      <c r="S1062" s="20">
        <v>5.0</v>
      </c>
      <c r="T1062" s="20">
        <v>5.0</v>
      </c>
      <c r="U1062" s="20">
        <v>5.0</v>
      </c>
    </row>
    <row r="1063" ht="23.25" customHeight="1">
      <c r="A1063" s="17" t="str">
        <f>IF(COUNTIF('Icon Lookup'!C:C,B1063)&gt;0,LOOKUP(B1063,'Icon Lookup'!C:C,'Icon Lookup'!B:B),"")</f>
        <v/>
      </c>
      <c r="B1063" s="18" t="s">
        <v>271</v>
      </c>
      <c r="C1063" s="17"/>
      <c r="D1063" s="17">
        <v>20.0</v>
      </c>
      <c r="E1063" s="17" t="s">
        <v>44</v>
      </c>
      <c r="G1063" s="19"/>
      <c r="H1063" s="20" t="s">
        <v>1169</v>
      </c>
      <c r="I1063" s="17" t="s">
        <v>22</v>
      </c>
      <c r="J1063" s="17">
        <v>0.0</v>
      </c>
      <c r="K1063" s="17">
        <v>28.0</v>
      </c>
      <c r="L1063" s="17">
        <v>4.0</v>
      </c>
      <c r="M1063" s="17">
        <v>0.0</v>
      </c>
      <c r="N1063" s="17">
        <v>4.0</v>
      </c>
      <c r="O1063" s="17">
        <v>12.0</v>
      </c>
      <c r="P1063" s="17">
        <v>6.0</v>
      </c>
      <c r="Q1063" s="17">
        <v>6.0</v>
      </c>
      <c r="R1063" s="17">
        <v>6.0</v>
      </c>
      <c r="S1063" s="17">
        <v>6.0</v>
      </c>
      <c r="T1063" s="17">
        <v>6.0</v>
      </c>
      <c r="U1063" s="17">
        <v>6.0</v>
      </c>
    </row>
    <row r="1064" ht="23.25" customHeight="1">
      <c r="A1064" s="20" t="str">
        <f>IF(COUNTIF('Icon Lookup'!C:C,B1064)&gt;0,LOOKUP(B1064,'Icon Lookup'!C:C,'Icon Lookup'!B:B),"")</f>
        <v/>
      </c>
      <c r="B1064" s="21" t="s">
        <v>78</v>
      </c>
      <c r="C1064" s="20"/>
      <c r="D1064" s="20">
        <v>20.0</v>
      </c>
      <c r="E1064" s="20" t="s">
        <v>79</v>
      </c>
      <c r="G1064" s="22"/>
      <c r="H1064" s="23" t="s">
        <v>1071</v>
      </c>
      <c r="I1064" s="20" t="s">
        <v>22</v>
      </c>
      <c r="J1064" s="20">
        <v>0.0</v>
      </c>
      <c r="K1064" s="20">
        <v>28.0</v>
      </c>
      <c r="L1064" s="20">
        <v>4.0</v>
      </c>
      <c r="M1064" s="20">
        <v>0.0</v>
      </c>
      <c r="N1064" s="20">
        <v>4.0</v>
      </c>
      <c r="O1064" s="20">
        <v>12.0</v>
      </c>
      <c r="P1064" s="20">
        <v>7.0</v>
      </c>
      <c r="Q1064" s="20">
        <v>7.0</v>
      </c>
      <c r="R1064" s="20">
        <v>7.0</v>
      </c>
      <c r="S1064" s="20">
        <v>7.0</v>
      </c>
      <c r="T1064" s="20">
        <v>7.0</v>
      </c>
      <c r="U1064" s="20">
        <v>7.0</v>
      </c>
    </row>
    <row r="1065" ht="23.25" customHeight="1">
      <c r="A1065" s="24" t="str">
        <f>IF(COUNTIF('Icon Lookup'!C:C,B1065)&gt;0,LOOKUP(B1065,'Icon Lookup'!C:C,'Icon Lookup'!B:B),"")</f>
        <v/>
      </c>
      <c r="B1065" s="25" t="s">
        <v>266</v>
      </c>
      <c r="C1065" s="24" t="s">
        <v>804</v>
      </c>
      <c r="D1065" s="24">
        <v>21.0</v>
      </c>
      <c r="E1065" s="24" t="s">
        <v>267</v>
      </c>
      <c r="G1065" s="19"/>
      <c r="H1065" s="20" t="s">
        <v>1486</v>
      </c>
      <c r="I1065" s="24" t="s">
        <v>265</v>
      </c>
      <c r="J1065" s="24">
        <v>36.0</v>
      </c>
      <c r="K1065" s="24">
        <v>4.0</v>
      </c>
      <c r="L1065" s="24">
        <v>12.0</v>
      </c>
      <c r="M1065" s="24">
        <v>4.0</v>
      </c>
      <c r="N1065" s="24">
        <v>36.0</v>
      </c>
      <c r="O1065" s="24">
        <v>0.0</v>
      </c>
      <c r="P1065" s="24">
        <v>11.0</v>
      </c>
      <c r="Q1065" s="24">
        <v>11.0</v>
      </c>
      <c r="R1065" s="24">
        <v>11.0</v>
      </c>
      <c r="S1065" s="24">
        <v>11.0</v>
      </c>
      <c r="T1065" s="24">
        <v>11.0</v>
      </c>
      <c r="U1065" s="24">
        <v>11.0</v>
      </c>
    </row>
    <row r="1066" ht="23.25" customHeight="1">
      <c r="A1066" s="1"/>
      <c r="B1066" s="15" t="s">
        <v>1487</v>
      </c>
      <c r="C1066" s="1" t="s">
        <v>17</v>
      </c>
      <c r="D1066" s="1" t="s">
        <v>807</v>
      </c>
      <c r="G1066" s="16"/>
      <c r="H1066" s="26" t="s">
        <v>808</v>
      </c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</row>
    <row r="1067" ht="23.25" customHeight="1">
      <c r="A1067" s="20" t="str">
        <f>IF(COUNTIF('Icon Lookup'!C:C,B1067)&gt;0,LOOKUP(B1067,'Icon Lookup'!C:C,'Icon Lookup'!B:B),"")</f>
        <v/>
      </c>
      <c r="B1067" s="21" t="s">
        <v>19</v>
      </c>
      <c r="C1067" s="20"/>
      <c r="D1067" s="20">
        <v>19.0</v>
      </c>
      <c r="E1067" s="20" t="s">
        <v>20</v>
      </c>
      <c r="G1067" s="22"/>
      <c r="H1067" s="23" t="s">
        <v>1485</v>
      </c>
      <c r="I1067" s="20" t="s">
        <v>22</v>
      </c>
      <c r="J1067" s="20">
        <v>12.0</v>
      </c>
      <c r="K1067" s="20">
        <v>28.0</v>
      </c>
      <c r="L1067" s="20">
        <v>4.0</v>
      </c>
      <c r="M1067" s="20">
        <v>0.0</v>
      </c>
      <c r="N1067" s="20">
        <v>4.0</v>
      </c>
      <c r="O1067" s="20">
        <v>12.0</v>
      </c>
      <c r="P1067" s="20">
        <v>5.0</v>
      </c>
      <c r="Q1067" s="20">
        <v>5.0</v>
      </c>
      <c r="R1067" s="20">
        <v>5.0</v>
      </c>
      <c r="S1067" s="20">
        <v>5.0</v>
      </c>
      <c r="T1067" s="20">
        <v>5.0</v>
      </c>
      <c r="U1067" s="20">
        <v>5.0</v>
      </c>
    </row>
    <row r="1068" ht="23.25" customHeight="1">
      <c r="A1068" s="17" t="str">
        <f>IF(COUNTIF('Icon Lookup'!C:C,B1068)&gt;0,LOOKUP(B1068,'Icon Lookup'!C:C,'Icon Lookup'!B:B),"")</f>
        <v/>
      </c>
      <c r="B1068" s="18" t="s">
        <v>271</v>
      </c>
      <c r="C1068" s="17"/>
      <c r="D1068" s="17">
        <v>20.0</v>
      </c>
      <c r="E1068" s="17" t="s">
        <v>44</v>
      </c>
      <c r="G1068" s="19"/>
      <c r="H1068" s="20" t="s">
        <v>1169</v>
      </c>
      <c r="I1068" s="17" t="s">
        <v>22</v>
      </c>
      <c r="J1068" s="17">
        <v>0.0</v>
      </c>
      <c r="K1068" s="17">
        <v>28.0</v>
      </c>
      <c r="L1068" s="17">
        <v>4.0</v>
      </c>
      <c r="M1068" s="17">
        <v>0.0</v>
      </c>
      <c r="N1068" s="17">
        <v>4.0</v>
      </c>
      <c r="O1068" s="17">
        <v>12.0</v>
      </c>
      <c r="P1068" s="17">
        <v>6.0</v>
      </c>
      <c r="Q1068" s="17">
        <v>6.0</v>
      </c>
      <c r="R1068" s="17">
        <v>6.0</v>
      </c>
      <c r="S1068" s="17">
        <v>6.0</v>
      </c>
      <c r="T1068" s="17">
        <v>6.0</v>
      </c>
      <c r="U1068" s="17">
        <v>6.0</v>
      </c>
    </row>
    <row r="1069" ht="23.25" customHeight="1">
      <c r="A1069" s="20" t="str">
        <f>IF(COUNTIF('Icon Lookup'!C:C,B1069)&gt;0,LOOKUP(B1069,'Icon Lookup'!C:C,'Icon Lookup'!B:B),"")</f>
        <v/>
      </c>
      <c r="B1069" s="21" t="s">
        <v>198</v>
      </c>
      <c r="C1069" s="20"/>
      <c r="D1069" s="20">
        <v>20.0</v>
      </c>
      <c r="E1069" s="20" t="s">
        <v>50</v>
      </c>
      <c r="G1069" s="22"/>
      <c r="H1069" s="23" t="s">
        <v>1488</v>
      </c>
      <c r="I1069" s="20" t="s">
        <v>52</v>
      </c>
      <c r="J1069" s="20">
        <v>0.0</v>
      </c>
      <c r="K1069" s="20">
        <v>0.0</v>
      </c>
      <c r="L1069" s="20">
        <v>4.0</v>
      </c>
      <c r="M1069" s="20">
        <v>28.0</v>
      </c>
      <c r="N1069" s="20">
        <v>4.0</v>
      </c>
      <c r="O1069" s="20">
        <v>12.0</v>
      </c>
      <c r="P1069" s="20">
        <v>7.0</v>
      </c>
      <c r="Q1069" s="20">
        <v>7.0</v>
      </c>
      <c r="R1069" s="20">
        <v>7.0</v>
      </c>
      <c r="S1069" s="20">
        <v>7.0</v>
      </c>
      <c r="T1069" s="20">
        <v>7.0</v>
      </c>
      <c r="U1069" s="20">
        <v>7.0</v>
      </c>
    </row>
    <row r="1070" ht="23.25" customHeight="1">
      <c r="A1070" s="24" t="str">
        <f>IF(COUNTIF('Icon Lookup'!C:C,B1070)&gt;0,LOOKUP(B1070,'Icon Lookup'!C:C,'Icon Lookup'!B:B),"")</f>
        <v/>
      </c>
      <c r="B1070" s="25" t="s">
        <v>965</v>
      </c>
      <c r="C1070" s="24" t="s">
        <v>804</v>
      </c>
      <c r="D1070" s="24">
        <v>21.0</v>
      </c>
      <c r="E1070" s="24" t="s">
        <v>145</v>
      </c>
      <c r="G1070" s="19"/>
      <c r="H1070" s="20" t="s">
        <v>1489</v>
      </c>
      <c r="I1070" s="24" t="s">
        <v>22</v>
      </c>
      <c r="J1070" s="24">
        <v>12.0</v>
      </c>
      <c r="K1070" s="24">
        <v>36.0</v>
      </c>
      <c r="L1070" s="24">
        <v>4.0</v>
      </c>
      <c r="M1070" s="24">
        <v>0.0</v>
      </c>
      <c r="N1070" s="24">
        <v>4.0</v>
      </c>
      <c r="O1070" s="24">
        <v>36.0</v>
      </c>
      <c r="P1070" s="24">
        <v>11.0</v>
      </c>
      <c r="Q1070" s="24">
        <v>11.0</v>
      </c>
      <c r="R1070" s="24">
        <v>11.0</v>
      </c>
      <c r="S1070" s="24">
        <v>11.0</v>
      </c>
      <c r="T1070" s="24">
        <v>11.0</v>
      </c>
      <c r="U1070" s="24">
        <v>11.0</v>
      </c>
    </row>
    <row r="1071" ht="23.25" customHeight="1">
      <c r="A1071" s="1"/>
      <c r="B1071" s="15" t="s">
        <v>1490</v>
      </c>
      <c r="C1071" s="1" t="s">
        <v>17</v>
      </c>
      <c r="D1071" s="1" t="s">
        <v>807</v>
      </c>
      <c r="G1071" s="16"/>
      <c r="H1071" s="26" t="s">
        <v>808</v>
      </c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</row>
    <row r="1072" ht="23.25" customHeight="1">
      <c r="A1072" s="20" t="str">
        <f>IF(COUNTIF('Icon Lookup'!C:C,B1072)&gt;0,LOOKUP(B1072,'Icon Lookup'!C:C,'Icon Lookup'!B:B),"")</f>
        <v/>
      </c>
      <c r="B1072" s="21" t="s">
        <v>19</v>
      </c>
      <c r="C1072" s="20"/>
      <c r="D1072" s="20">
        <v>19.0</v>
      </c>
      <c r="E1072" s="20" t="s">
        <v>20</v>
      </c>
      <c r="G1072" s="22"/>
      <c r="H1072" s="23" t="s">
        <v>1485</v>
      </c>
      <c r="I1072" s="20" t="s">
        <v>22</v>
      </c>
      <c r="J1072" s="20">
        <v>12.0</v>
      </c>
      <c r="K1072" s="20">
        <v>28.0</v>
      </c>
      <c r="L1072" s="20">
        <v>4.0</v>
      </c>
      <c r="M1072" s="20">
        <v>0.0</v>
      </c>
      <c r="N1072" s="20">
        <v>4.0</v>
      </c>
      <c r="O1072" s="20">
        <v>12.0</v>
      </c>
      <c r="P1072" s="20">
        <v>5.0</v>
      </c>
      <c r="Q1072" s="20">
        <v>5.0</v>
      </c>
      <c r="R1072" s="20">
        <v>5.0</v>
      </c>
      <c r="S1072" s="20">
        <v>5.0</v>
      </c>
      <c r="T1072" s="20">
        <v>5.0</v>
      </c>
      <c r="U1072" s="20">
        <v>5.0</v>
      </c>
    </row>
    <row r="1073" ht="23.25" customHeight="1">
      <c r="A1073" s="17" t="str">
        <f>IF(COUNTIF('Icon Lookup'!C:C,B1073)&gt;0,LOOKUP(B1073,'Icon Lookup'!C:C,'Icon Lookup'!B:B),"")</f>
        <v/>
      </c>
      <c r="B1073" s="18" t="s">
        <v>198</v>
      </c>
      <c r="C1073" s="17"/>
      <c r="D1073" s="17">
        <v>20.0</v>
      </c>
      <c r="E1073" s="17" t="s">
        <v>959</v>
      </c>
      <c r="G1073" s="19"/>
      <c r="H1073" s="20" t="s">
        <v>1491</v>
      </c>
      <c r="I1073" s="17" t="s">
        <v>52</v>
      </c>
      <c r="J1073" s="17">
        <v>0.0</v>
      </c>
      <c r="K1073" s="17">
        <v>0.0</v>
      </c>
      <c r="L1073" s="17">
        <v>4.0</v>
      </c>
      <c r="M1073" s="17">
        <v>28.0</v>
      </c>
      <c r="N1073" s="17">
        <v>4.0</v>
      </c>
      <c r="O1073" s="17">
        <v>12.0</v>
      </c>
      <c r="P1073" s="17">
        <v>6.0</v>
      </c>
      <c r="Q1073" s="17">
        <v>6.0</v>
      </c>
      <c r="R1073" s="17">
        <v>6.0</v>
      </c>
      <c r="S1073" s="17">
        <v>6.0</v>
      </c>
      <c r="T1073" s="17">
        <v>6.0</v>
      </c>
      <c r="U1073" s="17">
        <v>6.0</v>
      </c>
    </row>
    <row r="1074" ht="23.25" customHeight="1">
      <c r="A1074" s="20" t="str">
        <f>IF(COUNTIF('Icon Lookup'!C:C,B1074)&gt;0,LOOKUP(B1074,'Icon Lookup'!C:C,'Icon Lookup'!B:B),"")</f>
        <v/>
      </c>
      <c r="B1074" s="21" t="s">
        <v>78</v>
      </c>
      <c r="C1074" s="20"/>
      <c r="D1074" s="20">
        <v>20.0</v>
      </c>
      <c r="E1074" s="20" t="s">
        <v>79</v>
      </c>
      <c r="G1074" s="22"/>
      <c r="H1074" s="23" t="s">
        <v>942</v>
      </c>
      <c r="I1074" s="20" t="s">
        <v>22</v>
      </c>
      <c r="J1074" s="20">
        <v>0.0</v>
      </c>
      <c r="K1074" s="20">
        <v>28.0</v>
      </c>
      <c r="L1074" s="20">
        <v>4.0</v>
      </c>
      <c r="M1074" s="20">
        <v>0.0</v>
      </c>
      <c r="N1074" s="20">
        <v>4.0</v>
      </c>
      <c r="O1074" s="20">
        <v>12.0</v>
      </c>
      <c r="P1074" s="20">
        <v>7.0</v>
      </c>
      <c r="Q1074" s="20">
        <v>7.0</v>
      </c>
      <c r="R1074" s="20">
        <v>7.0</v>
      </c>
      <c r="S1074" s="20">
        <v>7.0</v>
      </c>
      <c r="T1074" s="20">
        <v>7.0</v>
      </c>
      <c r="U1074" s="20">
        <v>7.0</v>
      </c>
    </row>
    <row r="1075" ht="23.25" customHeight="1">
      <c r="A1075" s="24" t="str">
        <f>IF(COUNTIF('Icon Lookup'!C:C,B1075)&gt;0,LOOKUP(B1075,'Icon Lookup'!C:C,'Icon Lookup'!B:B),"")</f>
        <v/>
      </c>
      <c r="B1075" s="25" t="s">
        <v>373</v>
      </c>
      <c r="C1075" s="24" t="s">
        <v>804</v>
      </c>
      <c r="D1075" s="24">
        <v>21.0</v>
      </c>
      <c r="E1075" s="24" t="s">
        <v>374</v>
      </c>
      <c r="G1075" s="19"/>
      <c r="H1075" s="20" t="s">
        <v>1492</v>
      </c>
      <c r="I1075" s="24" t="s">
        <v>52</v>
      </c>
      <c r="J1075" s="24">
        <v>12.0</v>
      </c>
      <c r="K1075" s="24">
        <v>0.0</v>
      </c>
      <c r="L1075" s="24">
        <v>4.0</v>
      </c>
      <c r="M1075" s="24">
        <v>36.0</v>
      </c>
      <c r="N1075" s="24">
        <v>4.0</v>
      </c>
      <c r="O1075" s="24">
        <v>36.0</v>
      </c>
      <c r="P1075" s="24">
        <v>11.0</v>
      </c>
      <c r="Q1075" s="24">
        <v>11.0</v>
      </c>
      <c r="R1075" s="24">
        <v>11.0</v>
      </c>
      <c r="S1075" s="24">
        <v>11.0</v>
      </c>
      <c r="T1075" s="24">
        <v>11.0</v>
      </c>
      <c r="U1075" s="24">
        <v>11.0</v>
      </c>
    </row>
    <row r="1076" ht="23.25" customHeight="1">
      <c r="A1076" s="1"/>
      <c r="B1076" s="15" t="s">
        <v>1493</v>
      </c>
      <c r="C1076" s="1" t="s">
        <v>17</v>
      </c>
      <c r="D1076" s="1" t="s">
        <v>807</v>
      </c>
      <c r="G1076" s="16"/>
      <c r="H1076" s="26" t="s">
        <v>808</v>
      </c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</row>
    <row r="1077" ht="23.25" customHeight="1">
      <c r="A1077" s="20" t="str">
        <f>IF(COUNTIF('Icon Lookup'!C:C,B1077)&gt;0,LOOKUP(B1077,'Icon Lookup'!C:C,'Icon Lookup'!B:B),"")</f>
        <v/>
      </c>
      <c r="B1077" s="21" t="s">
        <v>19</v>
      </c>
      <c r="C1077" s="20"/>
      <c r="D1077" s="20">
        <v>26.0</v>
      </c>
      <c r="E1077" s="20" t="str">
        <f>IMAGE("https://www.serebii.net/itemdex/sprites/quickclaw.png")</f>
        <v/>
      </c>
      <c r="F1077" s="20" t="s">
        <v>20</v>
      </c>
      <c r="G1077" s="20" t="s">
        <v>1371</v>
      </c>
      <c r="H1077" s="23" t="s">
        <v>1485</v>
      </c>
      <c r="I1077" s="20" t="s">
        <v>22</v>
      </c>
      <c r="J1077" s="20">
        <v>28.0</v>
      </c>
      <c r="K1077" s="20">
        <v>52.0</v>
      </c>
      <c r="L1077" s="20">
        <v>12.0</v>
      </c>
      <c r="M1077" s="20">
        <v>0.0</v>
      </c>
      <c r="N1077" s="20">
        <v>12.0</v>
      </c>
      <c r="O1077" s="20">
        <v>52.0</v>
      </c>
      <c r="P1077" s="20">
        <v>5.0</v>
      </c>
      <c r="Q1077" s="20">
        <v>5.0</v>
      </c>
      <c r="R1077" s="20">
        <v>5.0</v>
      </c>
      <c r="S1077" s="20">
        <v>5.0</v>
      </c>
      <c r="T1077" s="20">
        <v>5.0</v>
      </c>
      <c r="U1077" s="20">
        <v>5.0</v>
      </c>
    </row>
    <row r="1078" ht="23.25" customHeight="1">
      <c r="A1078" s="17" t="str">
        <f>IF(COUNTIF('Icon Lookup'!C:C,B1078)&gt;0,LOOKUP(B1078,'Icon Lookup'!C:C,'Icon Lookup'!B:B),"")</f>
        <v/>
      </c>
      <c r="B1078" s="18" t="s">
        <v>271</v>
      </c>
      <c r="C1078" s="17"/>
      <c r="D1078" s="17">
        <v>26.0</v>
      </c>
      <c r="E1078" s="17" t="str">
        <f>IMAGE("https://www.serebii.net/itemdex/sprites/seaincense.png")</f>
        <v/>
      </c>
      <c r="F1078" s="17" t="s">
        <v>44</v>
      </c>
      <c r="G1078" s="17" t="s">
        <v>1494</v>
      </c>
      <c r="H1078" s="20" t="s">
        <v>581</v>
      </c>
      <c r="I1078" s="17" t="s">
        <v>22</v>
      </c>
      <c r="J1078" s="17">
        <v>0.0</v>
      </c>
      <c r="K1078" s="17">
        <v>44.0</v>
      </c>
      <c r="L1078" s="17">
        <v>12.0</v>
      </c>
      <c r="M1078" s="17">
        <v>0.0</v>
      </c>
      <c r="N1078" s="17">
        <v>12.0</v>
      </c>
      <c r="O1078" s="17">
        <v>36.0</v>
      </c>
      <c r="P1078" s="17">
        <v>6.0</v>
      </c>
      <c r="Q1078" s="17">
        <v>6.0</v>
      </c>
      <c r="R1078" s="17">
        <v>6.0</v>
      </c>
      <c r="S1078" s="17">
        <v>6.0</v>
      </c>
      <c r="T1078" s="17">
        <v>6.0</v>
      </c>
      <c r="U1078" s="17">
        <v>6.0</v>
      </c>
    </row>
    <row r="1079" ht="23.25" customHeight="1">
      <c r="A1079" s="20" t="str">
        <f>IF(COUNTIF('Icon Lookup'!C:C,B1079)&gt;0,LOOKUP(B1079,'Icon Lookup'!C:C,'Icon Lookup'!B:B),"")</f>
        <v/>
      </c>
      <c r="B1079" s="21" t="s">
        <v>78</v>
      </c>
      <c r="C1079" s="20"/>
      <c r="D1079" s="20">
        <v>27.0</v>
      </c>
      <c r="E1079" s="20" t="str">
        <f>IMAGE("https://www.serebii.net/itemdex/sprites/shellbell.png")</f>
        <v/>
      </c>
      <c r="F1079" s="20" t="s">
        <v>79</v>
      </c>
      <c r="G1079" s="20" t="s">
        <v>1495</v>
      </c>
      <c r="H1079" s="23" t="s">
        <v>1496</v>
      </c>
      <c r="I1079" s="20" t="s">
        <v>22</v>
      </c>
      <c r="J1079" s="20">
        <v>4.0</v>
      </c>
      <c r="K1079" s="20">
        <v>44.0</v>
      </c>
      <c r="L1079" s="20">
        <v>12.0</v>
      </c>
      <c r="M1079" s="20">
        <v>0.0</v>
      </c>
      <c r="N1079" s="20">
        <v>12.0</v>
      </c>
      <c r="O1079" s="20">
        <v>12.0</v>
      </c>
      <c r="P1079" s="20">
        <v>7.0</v>
      </c>
      <c r="Q1079" s="20">
        <v>7.0</v>
      </c>
      <c r="R1079" s="20">
        <v>7.0</v>
      </c>
      <c r="S1079" s="20">
        <v>7.0</v>
      </c>
      <c r="T1079" s="20">
        <v>7.0</v>
      </c>
      <c r="U1079" s="20">
        <v>7.0</v>
      </c>
    </row>
    <row r="1080" ht="23.25" customHeight="1">
      <c r="A1080" s="24" t="str">
        <f>IF(COUNTIF('Icon Lookup'!C:C,B1080)&gt;0,LOOKUP(B1080,'Icon Lookup'!C:C,'Icon Lookup'!B:B),"")</f>
        <v/>
      </c>
      <c r="B1080" s="25" t="s">
        <v>266</v>
      </c>
      <c r="C1080" s="24" t="s">
        <v>804</v>
      </c>
      <c r="D1080" s="24">
        <v>31.0</v>
      </c>
      <c r="E1080" s="24" t="str">
        <f>IMAGE("https://www.serebii.net/itemdex/sprites/miracleseed.png")</f>
        <v/>
      </c>
      <c r="F1080" s="24" t="s">
        <v>267</v>
      </c>
      <c r="G1080" s="17" t="s">
        <v>1107</v>
      </c>
      <c r="H1080" s="20" t="s">
        <v>1497</v>
      </c>
      <c r="I1080" s="24" t="s">
        <v>265</v>
      </c>
      <c r="J1080" s="24">
        <v>52.0</v>
      </c>
      <c r="K1080" s="24">
        <v>4.0</v>
      </c>
      <c r="L1080" s="24">
        <v>12.0</v>
      </c>
      <c r="M1080" s="24">
        <v>4.0</v>
      </c>
      <c r="N1080" s="24">
        <v>52.0</v>
      </c>
      <c r="O1080" s="24">
        <v>0.0</v>
      </c>
      <c r="P1080" s="24">
        <v>11.0</v>
      </c>
      <c r="Q1080" s="24">
        <v>11.0</v>
      </c>
      <c r="R1080" s="24">
        <v>11.0</v>
      </c>
      <c r="S1080" s="24">
        <v>11.0</v>
      </c>
      <c r="T1080" s="24">
        <v>11.0</v>
      </c>
      <c r="U1080" s="24">
        <v>11.0</v>
      </c>
    </row>
    <row r="1081" ht="23.25" customHeight="1">
      <c r="A1081" s="1"/>
      <c r="B1081" s="15" t="s">
        <v>1498</v>
      </c>
      <c r="C1081" s="1" t="s">
        <v>17</v>
      </c>
      <c r="D1081" s="1" t="s">
        <v>807</v>
      </c>
      <c r="G1081" s="16"/>
      <c r="H1081" s="26" t="s">
        <v>808</v>
      </c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</row>
    <row r="1082" ht="23.25" customHeight="1">
      <c r="A1082" s="20" t="str">
        <f>IF(COUNTIF('Icon Lookup'!C:C,B1082)&gt;0,LOOKUP(B1082,'Icon Lookup'!C:C,'Icon Lookup'!B:B),"")</f>
        <v/>
      </c>
      <c r="B1082" s="21" t="s">
        <v>19</v>
      </c>
      <c r="C1082" s="20"/>
      <c r="D1082" s="20">
        <v>26.0</v>
      </c>
      <c r="E1082" s="20" t="str">
        <f>IMAGE("https://www.serebii.net/itemdex/sprites/quickclaw.png")</f>
        <v/>
      </c>
      <c r="F1082" s="20" t="s">
        <v>20</v>
      </c>
      <c r="G1082" s="20" t="s">
        <v>1371</v>
      </c>
      <c r="H1082" s="23" t="s">
        <v>1485</v>
      </c>
      <c r="I1082" s="20" t="s">
        <v>22</v>
      </c>
      <c r="J1082" s="20">
        <v>28.0</v>
      </c>
      <c r="K1082" s="20">
        <v>52.0</v>
      </c>
      <c r="L1082" s="20">
        <v>12.0</v>
      </c>
      <c r="M1082" s="20">
        <v>0.0</v>
      </c>
      <c r="N1082" s="20">
        <v>12.0</v>
      </c>
      <c r="O1082" s="20">
        <v>52.0</v>
      </c>
      <c r="P1082" s="20">
        <v>5.0</v>
      </c>
      <c r="Q1082" s="20">
        <v>5.0</v>
      </c>
      <c r="R1082" s="20">
        <v>5.0</v>
      </c>
      <c r="S1082" s="20">
        <v>5.0</v>
      </c>
      <c r="T1082" s="20">
        <v>5.0</v>
      </c>
      <c r="U1082" s="20">
        <v>5.0</v>
      </c>
    </row>
    <row r="1083" ht="23.25" customHeight="1">
      <c r="A1083" s="17" t="str">
        <f>IF(COUNTIF('Icon Lookup'!C:C,B1083)&gt;0,LOOKUP(B1083,'Icon Lookup'!C:C,'Icon Lookup'!B:B),"")</f>
        <v/>
      </c>
      <c r="B1083" s="18" t="s">
        <v>271</v>
      </c>
      <c r="C1083" s="17"/>
      <c r="D1083" s="17">
        <v>26.0</v>
      </c>
      <c r="E1083" s="17" t="str">
        <f>IMAGE("https://www.serebii.net/itemdex/sprites/seaincense.png")</f>
        <v/>
      </c>
      <c r="F1083" s="17" t="s">
        <v>44</v>
      </c>
      <c r="G1083" s="17" t="s">
        <v>1494</v>
      </c>
      <c r="H1083" s="20" t="s">
        <v>581</v>
      </c>
      <c r="I1083" s="17" t="s">
        <v>22</v>
      </c>
      <c r="J1083" s="17">
        <v>0.0</v>
      </c>
      <c r="K1083" s="17">
        <v>44.0</v>
      </c>
      <c r="L1083" s="17">
        <v>12.0</v>
      </c>
      <c r="M1083" s="17">
        <v>0.0</v>
      </c>
      <c r="N1083" s="17">
        <v>12.0</v>
      </c>
      <c r="O1083" s="17">
        <v>36.0</v>
      </c>
      <c r="P1083" s="17">
        <v>6.0</v>
      </c>
      <c r="Q1083" s="17">
        <v>6.0</v>
      </c>
      <c r="R1083" s="17">
        <v>6.0</v>
      </c>
      <c r="S1083" s="17">
        <v>6.0</v>
      </c>
      <c r="T1083" s="17">
        <v>6.0</v>
      </c>
      <c r="U1083" s="17">
        <v>6.0</v>
      </c>
    </row>
    <row r="1084" ht="23.25" customHeight="1">
      <c r="A1084" s="20" t="str">
        <f>IF(COUNTIF('Icon Lookup'!C:C,B1084)&gt;0,LOOKUP(B1084,'Icon Lookup'!C:C,'Icon Lookup'!B:B),"")</f>
        <v/>
      </c>
      <c r="B1084" s="21" t="s">
        <v>198</v>
      </c>
      <c r="C1084" s="20"/>
      <c r="D1084" s="20">
        <v>27.0</v>
      </c>
      <c r="E1084" s="20" t="str">
        <f>IMAGE("https://www.serebii.net/itemdex/sprites/miracleseed.png")</f>
        <v/>
      </c>
      <c r="F1084" s="20" t="s">
        <v>50</v>
      </c>
      <c r="G1084" s="20" t="s">
        <v>1107</v>
      </c>
      <c r="H1084" s="23" t="s">
        <v>1499</v>
      </c>
      <c r="I1084" s="20" t="s">
        <v>52</v>
      </c>
      <c r="J1084" s="20">
        <v>4.0</v>
      </c>
      <c r="K1084" s="20">
        <v>0.0</v>
      </c>
      <c r="L1084" s="20">
        <v>12.0</v>
      </c>
      <c r="M1084" s="20">
        <v>44.0</v>
      </c>
      <c r="N1084" s="20">
        <v>12.0</v>
      </c>
      <c r="O1084" s="20">
        <v>12.0</v>
      </c>
      <c r="P1084" s="20">
        <v>7.0</v>
      </c>
      <c r="Q1084" s="20">
        <v>7.0</v>
      </c>
      <c r="R1084" s="20">
        <v>7.0</v>
      </c>
      <c r="S1084" s="20">
        <v>7.0</v>
      </c>
      <c r="T1084" s="20">
        <v>7.0</v>
      </c>
      <c r="U1084" s="20">
        <v>7.0</v>
      </c>
    </row>
    <row r="1085" ht="23.25" customHeight="1">
      <c r="A1085" s="24" t="str">
        <f>IF(COUNTIF('Icon Lookup'!C:C,B1085)&gt;0,LOOKUP(B1085,'Icon Lookup'!C:C,'Icon Lookup'!B:B),"")</f>
        <v/>
      </c>
      <c r="B1085" s="25" t="s">
        <v>965</v>
      </c>
      <c r="C1085" s="24" t="s">
        <v>804</v>
      </c>
      <c r="D1085" s="24">
        <v>31.0</v>
      </c>
      <c r="E1085" s="24" t="str">
        <f>IMAGE("https://www.serebii.net/itemdex/sprites/shellbell.png")</f>
        <v/>
      </c>
      <c r="F1085" s="24" t="s">
        <v>145</v>
      </c>
      <c r="G1085" s="17" t="s">
        <v>1495</v>
      </c>
      <c r="H1085" s="20" t="s">
        <v>1500</v>
      </c>
      <c r="I1085" s="24" t="s">
        <v>22</v>
      </c>
      <c r="J1085" s="24">
        <v>36.0</v>
      </c>
      <c r="K1085" s="24">
        <v>52.0</v>
      </c>
      <c r="L1085" s="24">
        <v>12.0</v>
      </c>
      <c r="M1085" s="24">
        <v>0.0</v>
      </c>
      <c r="N1085" s="24">
        <v>12.0</v>
      </c>
      <c r="O1085" s="24">
        <v>52.0</v>
      </c>
      <c r="P1085" s="24">
        <v>11.0</v>
      </c>
      <c r="Q1085" s="24">
        <v>11.0</v>
      </c>
      <c r="R1085" s="24">
        <v>11.0</v>
      </c>
      <c r="S1085" s="24">
        <v>11.0</v>
      </c>
      <c r="T1085" s="24">
        <v>11.0</v>
      </c>
      <c r="U1085" s="24">
        <v>11.0</v>
      </c>
    </row>
    <row r="1086" ht="23.25" customHeight="1">
      <c r="A1086" s="1"/>
      <c r="B1086" s="15" t="s">
        <v>1501</v>
      </c>
      <c r="C1086" s="1" t="s">
        <v>17</v>
      </c>
      <c r="D1086" s="1" t="s">
        <v>807</v>
      </c>
      <c r="G1086" s="16"/>
      <c r="H1086" s="26" t="s">
        <v>808</v>
      </c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</row>
    <row r="1087" ht="23.25" customHeight="1">
      <c r="A1087" s="20" t="str">
        <f>IF(COUNTIF('Icon Lookup'!C:C,B1087)&gt;0,LOOKUP(B1087,'Icon Lookup'!C:C,'Icon Lookup'!B:B),"")</f>
        <v/>
      </c>
      <c r="B1087" s="21" t="s">
        <v>19</v>
      </c>
      <c r="C1087" s="20"/>
      <c r="D1087" s="20">
        <v>26.0</v>
      </c>
      <c r="E1087" s="20" t="str">
        <f>IMAGE("https://www.serebii.net/itemdex/sprites/quickclaw.png")</f>
        <v/>
      </c>
      <c r="F1087" s="20" t="s">
        <v>20</v>
      </c>
      <c r="G1087" s="20" t="s">
        <v>1371</v>
      </c>
      <c r="H1087" s="23" t="s">
        <v>1485</v>
      </c>
      <c r="I1087" s="20" t="s">
        <v>22</v>
      </c>
      <c r="J1087" s="20">
        <v>28.0</v>
      </c>
      <c r="K1087" s="20">
        <v>52.0</v>
      </c>
      <c r="L1087" s="20">
        <v>12.0</v>
      </c>
      <c r="M1087" s="20">
        <v>0.0</v>
      </c>
      <c r="N1087" s="20">
        <v>12.0</v>
      </c>
      <c r="O1087" s="20">
        <v>52.0</v>
      </c>
      <c r="P1087" s="20">
        <v>5.0</v>
      </c>
      <c r="Q1087" s="20">
        <v>5.0</v>
      </c>
      <c r="R1087" s="20">
        <v>5.0</v>
      </c>
      <c r="S1087" s="20">
        <v>5.0</v>
      </c>
      <c r="T1087" s="20">
        <v>5.0</v>
      </c>
      <c r="U1087" s="20">
        <v>5.0</v>
      </c>
    </row>
    <row r="1088" ht="23.25" customHeight="1">
      <c r="A1088" s="17" t="str">
        <f>IF(COUNTIF('Icon Lookup'!C:C,B1088)&gt;0,LOOKUP(B1088,'Icon Lookup'!C:C,'Icon Lookup'!B:B),"")</f>
        <v/>
      </c>
      <c r="B1088" s="18" t="s">
        <v>198</v>
      </c>
      <c r="C1088" s="17"/>
      <c r="D1088" s="17">
        <v>26.0</v>
      </c>
      <c r="E1088" s="17" t="str">
        <f>IMAGE("https://www.serebii.net/itemdex/sprites/miracleseed.png")</f>
        <v/>
      </c>
      <c r="F1088" s="17" t="s">
        <v>959</v>
      </c>
      <c r="G1088" s="17" t="s">
        <v>1107</v>
      </c>
      <c r="H1088" s="20" t="s">
        <v>1491</v>
      </c>
      <c r="I1088" s="17" t="s">
        <v>52</v>
      </c>
      <c r="J1088" s="17">
        <v>0.0</v>
      </c>
      <c r="K1088" s="17">
        <v>0.0</v>
      </c>
      <c r="L1088" s="17">
        <v>12.0</v>
      </c>
      <c r="M1088" s="17">
        <v>44.0</v>
      </c>
      <c r="N1088" s="17">
        <v>12.0</v>
      </c>
      <c r="O1088" s="17">
        <v>36.0</v>
      </c>
      <c r="P1088" s="17">
        <v>6.0</v>
      </c>
      <c r="Q1088" s="17">
        <v>6.0</v>
      </c>
      <c r="R1088" s="17">
        <v>6.0</v>
      </c>
      <c r="S1088" s="17">
        <v>6.0</v>
      </c>
      <c r="T1088" s="17">
        <v>6.0</v>
      </c>
      <c r="U1088" s="17">
        <v>6.0</v>
      </c>
    </row>
    <row r="1089" ht="23.25" customHeight="1">
      <c r="A1089" s="20" t="str">
        <f>IF(COUNTIF('Icon Lookup'!C:C,B1089)&gt;0,LOOKUP(B1089,'Icon Lookup'!C:C,'Icon Lookup'!B:B),"")</f>
        <v/>
      </c>
      <c r="B1089" s="21" t="s">
        <v>78</v>
      </c>
      <c r="C1089" s="20"/>
      <c r="D1089" s="20">
        <v>27.0</v>
      </c>
      <c r="E1089" s="20" t="str">
        <f>IMAGE("https://www.serebii.net/itemdex/sprites/shellbell.png")</f>
        <v/>
      </c>
      <c r="F1089" s="20" t="s">
        <v>79</v>
      </c>
      <c r="G1089" s="20" t="s">
        <v>1495</v>
      </c>
      <c r="H1089" s="23" t="s">
        <v>1502</v>
      </c>
      <c r="I1089" s="20" t="s">
        <v>22</v>
      </c>
      <c r="J1089" s="20">
        <v>4.0</v>
      </c>
      <c r="K1089" s="20">
        <v>44.0</v>
      </c>
      <c r="L1089" s="20">
        <v>12.0</v>
      </c>
      <c r="M1089" s="20">
        <v>0.0</v>
      </c>
      <c r="N1089" s="20">
        <v>12.0</v>
      </c>
      <c r="O1089" s="20">
        <v>12.0</v>
      </c>
      <c r="P1089" s="20">
        <v>7.0</v>
      </c>
      <c r="Q1089" s="20">
        <v>7.0</v>
      </c>
      <c r="R1089" s="20">
        <v>7.0</v>
      </c>
      <c r="S1089" s="20">
        <v>7.0</v>
      </c>
      <c r="T1089" s="20">
        <v>7.0</v>
      </c>
      <c r="U1089" s="20">
        <v>7.0</v>
      </c>
    </row>
    <row r="1090" ht="23.25" customHeight="1">
      <c r="A1090" s="24" t="str">
        <f>IF(COUNTIF('Icon Lookup'!C:C,B1090)&gt;0,LOOKUP(B1090,'Icon Lookup'!C:C,'Icon Lookup'!B:B),"")</f>
        <v/>
      </c>
      <c r="B1090" s="25" t="s">
        <v>373</v>
      </c>
      <c r="C1090" s="24" t="s">
        <v>804</v>
      </c>
      <c r="D1090" s="24">
        <v>31.0</v>
      </c>
      <c r="E1090" s="24" t="str">
        <f>IMAGE("https://www.serebii.net/itemdex/sprites/seaincense.png")</f>
        <v/>
      </c>
      <c r="F1090" s="24" t="s">
        <v>374</v>
      </c>
      <c r="G1090" s="17" t="s">
        <v>1494</v>
      </c>
      <c r="H1090" s="20" t="s">
        <v>1503</v>
      </c>
      <c r="I1090" s="24" t="s">
        <v>52</v>
      </c>
      <c r="J1090" s="24">
        <v>36.0</v>
      </c>
      <c r="K1090" s="24">
        <v>0.0</v>
      </c>
      <c r="L1090" s="24">
        <v>12.0</v>
      </c>
      <c r="M1090" s="24">
        <v>52.0</v>
      </c>
      <c r="N1090" s="24">
        <v>12.0</v>
      </c>
      <c r="O1090" s="24">
        <v>52.0</v>
      </c>
      <c r="P1090" s="24">
        <v>11.0</v>
      </c>
      <c r="Q1090" s="24">
        <v>11.0</v>
      </c>
      <c r="R1090" s="24">
        <v>11.0</v>
      </c>
      <c r="S1090" s="24">
        <v>11.0</v>
      </c>
      <c r="T1090" s="24">
        <v>11.0</v>
      </c>
      <c r="U1090" s="24">
        <v>11.0</v>
      </c>
    </row>
    <row r="1091" ht="23.25" customHeight="1">
      <c r="A1091" s="1"/>
      <c r="B1091" s="15" t="s">
        <v>1504</v>
      </c>
      <c r="C1091" s="1" t="s">
        <v>17</v>
      </c>
      <c r="D1091" s="1" t="s">
        <v>807</v>
      </c>
      <c r="G1091" s="16"/>
      <c r="H1091" s="26" t="s">
        <v>808</v>
      </c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</row>
    <row r="1092" ht="23.25" customHeight="1">
      <c r="A1092" s="20" t="str">
        <f>IF(COUNTIF('Icon Lookup'!C:C,B1092)&gt;0,LOOKUP(B1092,'Icon Lookup'!C:C,'Icon Lookup'!B:B),"")</f>
        <v/>
      </c>
      <c r="B1092" s="21" t="s">
        <v>117</v>
      </c>
      <c r="C1092" s="20"/>
      <c r="D1092" s="20">
        <v>32.0</v>
      </c>
      <c r="E1092" s="20" t="str">
        <f>IMAGE("https://www.serebii.net/itemdex/sprites/quickclaw.png")</f>
        <v/>
      </c>
      <c r="F1092" s="20" t="s">
        <v>26</v>
      </c>
      <c r="G1092" s="20" t="s">
        <v>1371</v>
      </c>
      <c r="H1092" s="23" t="s">
        <v>1485</v>
      </c>
      <c r="I1092" s="20" t="s">
        <v>22</v>
      </c>
      <c r="J1092" s="20">
        <v>40.0</v>
      </c>
      <c r="K1092" s="20">
        <v>72.0</v>
      </c>
      <c r="L1092" s="20">
        <v>16.0</v>
      </c>
      <c r="M1092" s="20">
        <v>0.0</v>
      </c>
      <c r="N1092" s="20">
        <v>16.0</v>
      </c>
      <c r="O1092" s="20">
        <v>56.0</v>
      </c>
      <c r="P1092" s="20">
        <v>5.0</v>
      </c>
      <c r="Q1092" s="20">
        <v>5.0</v>
      </c>
      <c r="R1092" s="20">
        <v>5.0</v>
      </c>
      <c r="S1092" s="20">
        <v>5.0</v>
      </c>
      <c r="T1092" s="20">
        <v>5.0</v>
      </c>
      <c r="U1092" s="20">
        <v>5.0</v>
      </c>
    </row>
    <row r="1093" ht="23.25" customHeight="1">
      <c r="A1093" s="17" t="str">
        <f>IF(COUNTIF('Icon Lookup'!C:C,B1093)&gt;0,LOOKUP(B1093,'Icon Lookup'!C:C,'Icon Lookup'!B:B),"")</f>
        <v/>
      </c>
      <c r="B1093" s="18" t="s">
        <v>271</v>
      </c>
      <c r="C1093" s="17"/>
      <c r="D1093" s="17">
        <v>33.0</v>
      </c>
      <c r="E1093" s="17" t="str">
        <f>IMAGE("https://www.serebii.net/itemdex/sprites/seaincense.png")</f>
        <v/>
      </c>
      <c r="F1093" s="17" t="s">
        <v>44</v>
      </c>
      <c r="G1093" s="17" t="s">
        <v>1494</v>
      </c>
      <c r="H1093" s="20" t="s">
        <v>1505</v>
      </c>
      <c r="I1093" s="17" t="s">
        <v>22</v>
      </c>
      <c r="J1093" s="17">
        <v>16.0</v>
      </c>
      <c r="K1093" s="17">
        <v>48.0</v>
      </c>
      <c r="L1093" s="17">
        <v>24.0</v>
      </c>
      <c r="M1093" s="17">
        <v>0.0</v>
      </c>
      <c r="N1093" s="17">
        <v>24.0</v>
      </c>
      <c r="O1093" s="17">
        <v>56.0</v>
      </c>
      <c r="P1093" s="17">
        <v>6.0</v>
      </c>
      <c r="Q1093" s="17">
        <v>6.0</v>
      </c>
      <c r="R1093" s="17">
        <v>6.0</v>
      </c>
      <c r="S1093" s="17">
        <v>6.0</v>
      </c>
      <c r="T1093" s="17">
        <v>6.0</v>
      </c>
      <c r="U1093" s="17">
        <v>6.0</v>
      </c>
    </row>
    <row r="1094" ht="23.25" customHeight="1">
      <c r="A1094" s="20" t="str">
        <f>IF(COUNTIF('Icon Lookup'!C:C,B1094)&gt;0,LOOKUP(B1094,'Icon Lookup'!C:C,'Icon Lookup'!B:B),"")</f>
        <v/>
      </c>
      <c r="B1094" s="21" t="s">
        <v>851</v>
      </c>
      <c r="C1094" s="20"/>
      <c r="D1094" s="20">
        <v>32.0</v>
      </c>
      <c r="E1094" s="20" t="s">
        <v>258</v>
      </c>
      <c r="G1094" s="22"/>
      <c r="H1094" s="23" t="s">
        <v>1506</v>
      </c>
      <c r="I1094" s="20" t="s">
        <v>22</v>
      </c>
      <c r="J1094" s="20">
        <v>16.0</v>
      </c>
      <c r="K1094" s="20">
        <v>64.0</v>
      </c>
      <c r="L1094" s="20">
        <v>24.0</v>
      </c>
      <c r="M1094" s="20">
        <v>0.0</v>
      </c>
      <c r="N1094" s="20">
        <v>24.0</v>
      </c>
      <c r="O1094" s="20">
        <v>32.0</v>
      </c>
      <c r="P1094" s="20">
        <v>9.0</v>
      </c>
      <c r="Q1094" s="20">
        <v>9.0</v>
      </c>
      <c r="R1094" s="20">
        <v>9.0</v>
      </c>
      <c r="S1094" s="20">
        <v>9.0</v>
      </c>
      <c r="T1094" s="20">
        <v>9.0</v>
      </c>
      <c r="U1094" s="20">
        <v>9.0</v>
      </c>
    </row>
    <row r="1095" ht="23.25" customHeight="1">
      <c r="A1095" s="17" t="str">
        <f>IF(COUNTIF('Icon Lookup'!C:C,B1095)&gt;0,LOOKUP(B1095,'Icon Lookup'!C:C,'Icon Lookup'!B:B),"")</f>
        <v/>
      </c>
      <c r="B1095" s="18" t="s">
        <v>78</v>
      </c>
      <c r="C1095" s="17"/>
      <c r="D1095" s="17">
        <v>34.0</v>
      </c>
      <c r="E1095" s="17" t="str">
        <f>IMAGE("https://www.serebii.net/itemdex/sprites/shellbell.png")</f>
        <v/>
      </c>
      <c r="F1095" s="17" t="s">
        <v>79</v>
      </c>
      <c r="G1095" s="17" t="s">
        <v>1495</v>
      </c>
      <c r="H1095" s="20" t="s">
        <v>1315</v>
      </c>
      <c r="I1095" s="17" t="s">
        <v>22</v>
      </c>
      <c r="J1095" s="17">
        <v>40.0</v>
      </c>
      <c r="K1095" s="17">
        <v>64.0</v>
      </c>
      <c r="L1095" s="17">
        <v>16.0</v>
      </c>
      <c r="M1095" s="17">
        <v>0.0</v>
      </c>
      <c r="N1095" s="17">
        <v>16.0</v>
      </c>
      <c r="O1095" s="17">
        <v>64.0</v>
      </c>
      <c r="P1095" s="17">
        <v>7.0</v>
      </c>
      <c r="Q1095" s="17">
        <v>7.0</v>
      </c>
      <c r="R1095" s="17">
        <v>7.0</v>
      </c>
      <c r="S1095" s="17">
        <v>7.0</v>
      </c>
      <c r="T1095" s="17">
        <v>7.0</v>
      </c>
      <c r="U1095" s="17">
        <v>7.0</v>
      </c>
    </row>
    <row r="1096" ht="23.25" customHeight="1">
      <c r="A1096" s="24" t="str">
        <f>IF(COUNTIF('Icon Lookup'!C:C,B1096)&gt;0,LOOKUP(B1096,'Icon Lookup'!C:C,'Icon Lookup'!B:B),"")</f>
        <v/>
      </c>
      <c r="B1096" s="25" t="s">
        <v>266</v>
      </c>
      <c r="C1096" s="24" t="s">
        <v>804</v>
      </c>
      <c r="D1096" s="24">
        <v>37.0</v>
      </c>
      <c r="E1096" s="24" t="str">
        <f>IMAGE("https://www.serebii.net/itemdex/sprites/bigroot.png")</f>
        <v/>
      </c>
      <c r="F1096" s="24" t="s">
        <v>267</v>
      </c>
      <c r="G1096" s="20" t="s">
        <v>1122</v>
      </c>
      <c r="H1096" s="23" t="s">
        <v>1507</v>
      </c>
      <c r="I1096" s="24" t="s">
        <v>265</v>
      </c>
      <c r="J1096" s="24">
        <v>80.0</v>
      </c>
      <c r="K1096" s="24">
        <v>24.0</v>
      </c>
      <c r="L1096" s="24">
        <v>48.0</v>
      </c>
      <c r="M1096" s="24">
        <v>24.0</v>
      </c>
      <c r="N1096" s="24">
        <v>80.0</v>
      </c>
      <c r="O1096" s="24">
        <v>0.0</v>
      </c>
      <c r="P1096" s="24">
        <v>11.0</v>
      </c>
      <c r="Q1096" s="24">
        <v>11.0</v>
      </c>
      <c r="R1096" s="24">
        <v>11.0</v>
      </c>
      <c r="S1096" s="24">
        <v>11.0</v>
      </c>
      <c r="T1096" s="24">
        <v>11.0</v>
      </c>
      <c r="U1096" s="24">
        <v>11.0</v>
      </c>
    </row>
    <row r="1097" ht="23.25" customHeight="1">
      <c r="A1097" s="1"/>
      <c r="B1097" s="15" t="s">
        <v>1508</v>
      </c>
      <c r="C1097" s="1" t="s">
        <v>17</v>
      </c>
      <c r="D1097" s="1" t="s">
        <v>807</v>
      </c>
      <c r="G1097" s="16"/>
      <c r="H1097" s="26" t="s">
        <v>808</v>
      </c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</row>
    <row r="1098" ht="23.25" customHeight="1">
      <c r="A1098" s="17" t="str">
        <f>IF(COUNTIF('Icon Lookup'!C:C,B1098)&gt;0,LOOKUP(B1098,'Icon Lookup'!C:C,'Icon Lookup'!B:B),"")</f>
        <v/>
      </c>
      <c r="B1098" s="18" t="s">
        <v>117</v>
      </c>
      <c r="C1098" s="17"/>
      <c r="D1098" s="17">
        <v>32.0</v>
      </c>
      <c r="E1098" s="17" t="str">
        <f>IMAGE("https://www.serebii.net/itemdex/sprites/quickclaw.png")</f>
        <v/>
      </c>
      <c r="F1098" s="17" t="s">
        <v>26</v>
      </c>
      <c r="G1098" s="17" t="s">
        <v>1371</v>
      </c>
      <c r="H1098" s="20" t="s">
        <v>1485</v>
      </c>
      <c r="I1098" s="17" t="s">
        <v>22</v>
      </c>
      <c r="J1098" s="17">
        <v>40.0</v>
      </c>
      <c r="K1098" s="17">
        <v>72.0</v>
      </c>
      <c r="L1098" s="17">
        <v>16.0</v>
      </c>
      <c r="M1098" s="17">
        <v>0.0</v>
      </c>
      <c r="N1098" s="17">
        <v>16.0</v>
      </c>
      <c r="O1098" s="17">
        <v>56.0</v>
      </c>
      <c r="P1098" s="17">
        <v>5.0</v>
      </c>
      <c r="Q1098" s="17">
        <v>5.0</v>
      </c>
      <c r="R1098" s="17">
        <v>5.0</v>
      </c>
      <c r="S1098" s="17">
        <v>5.0</v>
      </c>
      <c r="T1098" s="17">
        <v>5.0</v>
      </c>
      <c r="U1098" s="17">
        <v>5.0</v>
      </c>
    </row>
    <row r="1099" ht="23.25" customHeight="1">
      <c r="A1099" s="20" t="str">
        <f>IF(COUNTIF('Icon Lookup'!C:C,B1099)&gt;0,LOOKUP(B1099,'Icon Lookup'!C:C,'Icon Lookup'!B:B),"")</f>
        <v/>
      </c>
      <c r="B1099" s="21" t="s">
        <v>271</v>
      </c>
      <c r="C1099" s="20"/>
      <c r="D1099" s="20">
        <v>33.0</v>
      </c>
      <c r="E1099" s="20" t="str">
        <f>IMAGE("https://www.serebii.net/itemdex/sprites/seaincense.png")</f>
        <v/>
      </c>
      <c r="F1099" s="20" t="s">
        <v>44</v>
      </c>
      <c r="G1099" s="20" t="s">
        <v>1494</v>
      </c>
      <c r="H1099" s="23" t="s">
        <v>1505</v>
      </c>
      <c r="I1099" s="20" t="s">
        <v>22</v>
      </c>
      <c r="J1099" s="20">
        <v>16.0</v>
      </c>
      <c r="K1099" s="20">
        <v>48.0</v>
      </c>
      <c r="L1099" s="20">
        <v>24.0</v>
      </c>
      <c r="M1099" s="20">
        <v>0.0</v>
      </c>
      <c r="N1099" s="20">
        <v>24.0</v>
      </c>
      <c r="O1099" s="20">
        <v>56.0</v>
      </c>
      <c r="P1099" s="20">
        <v>6.0</v>
      </c>
      <c r="Q1099" s="20">
        <v>6.0</v>
      </c>
      <c r="R1099" s="20">
        <v>6.0</v>
      </c>
      <c r="S1099" s="20">
        <v>6.0</v>
      </c>
      <c r="T1099" s="20">
        <v>6.0</v>
      </c>
      <c r="U1099" s="20">
        <v>6.0</v>
      </c>
    </row>
    <row r="1100" ht="23.25" customHeight="1">
      <c r="A1100" s="17" t="str">
        <f>IF(COUNTIF('Icon Lookup'!C:C,B1100)&gt;0,LOOKUP(B1100,'Icon Lookup'!C:C,'Icon Lookup'!B:B),"")</f>
        <v/>
      </c>
      <c r="B1100" s="18" t="s">
        <v>851</v>
      </c>
      <c r="C1100" s="17"/>
      <c r="D1100" s="17">
        <v>32.0</v>
      </c>
      <c r="E1100" s="17" t="s">
        <v>258</v>
      </c>
      <c r="G1100" s="19"/>
      <c r="H1100" s="20" t="s">
        <v>1506</v>
      </c>
      <c r="I1100" s="17" t="s">
        <v>22</v>
      </c>
      <c r="J1100" s="17">
        <v>16.0</v>
      </c>
      <c r="K1100" s="17">
        <v>64.0</v>
      </c>
      <c r="L1100" s="17">
        <v>24.0</v>
      </c>
      <c r="M1100" s="17">
        <v>0.0</v>
      </c>
      <c r="N1100" s="17">
        <v>24.0</v>
      </c>
      <c r="O1100" s="17">
        <v>32.0</v>
      </c>
      <c r="P1100" s="17">
        <v>9.0</v>
      </c>
      <c r="Q1100" s="17">
        <v>9.0</v>
      </c>
      <c r="R1100" s="17">
        <v>9.0</v>
      </c>
      <c r="S1100" s="17">
        <v>9.0</v>
      </c>
      <c r="T1100" s="17">
        <v>9.0</v>
      </c>
      <c r="U1100" s="17">
        <v>9.0</v>
      </c>
    </row>
    <row r="1101" ht="23.25" customHeight="1">
      <c r="A1101" s="20" t="str">
        <f>IF(COUNTIF('Icon Lookup'!C:C,B1101)&gt;0,LOOKUP(B1101,'Icon Lookup'!C:C,'Icon Lookup'!B:B),"")</f>
        <v/>
      </c>
      <c r="B1101" s="21" t="s">
        <v>198</v>
      </c>
      <c r="C1101" s="20"/>
      <c r="D1101" s="20">
        <v>34.0</v>
      </c>
      <c r="E1101" s="20" t="str">
        <f>IMAGE("https://www.serebii.net/itemdex/sprites/bigroot.png")</f>
        <v/>
      </c>
      <c r="F1101" s="20" t="s">
        <v>50</v>
      </c>
      <c r="G1101" s="20" t="s">
        <v>1122</v>
      </c>
      <c r="H1101" s="23" t="s">
        <v>1509</v>
      </c>
      <c r="I1101" s="20" t="s">
        <v>52</v>
      </c>
      <c r="J1101" s="20">
        <v>40.0</v>
      </c>
      <c r="K1101" s="20">
        <v>0.0</v>
      </c>
      <c r="L1101" s="20">
        <v>16.0</v>
      </c>
      <c r="M1101" s="20">
        <v>64.0</v>
      </c>
      <c r="N1101" s="20">
        <v>16.0</v>
      </c>
      <c r="O1101" s="20">
        <v>64.0</v>
      </c>
      <c r="P1101" s="20">
        <v>7.0</v>
      </c>
      <c r="Q1101" s="20">
        <v>7.0</v>
      </c>
      <c r="R1101" s="20">
        <v>7.0</v>
      </c>
      <c r="S1101" s="20">
        <v>7.0</v>
      </c>
      <c r="T1101" s="20">
        <v>7.0</v>
      </c>
      <c r="U1101" s="20">
        <v>7.0</v>
      </c>
    </row>
    <row r="1102" ht="23.25" customHeight="1">
      <c r="A1102" s="24" t="str">
        <f>IF(COUNTIF('Icon Lookup'!C:C,B1102)&gt;0,LOOKUP(B1102,'Icon Lookup'!C:C,'Icon Lookup'!B:B),"")</f>
        <v/>
      </c>
      <c r="B1102" s="25" t="s">
        <v>965</v>
      </c>
      <c r="C1102" s="24" t="s">
        <v>804</v>
      </c>
      <c r="D1102" s="24">
        <v>37.0</v>
      </c>
      <c r="E1102" s="24" t="str">
        <f>IMAGE("https://www.serebii.net/itemdex/sprites/shellbell.png")</f>
        <v/>
      </c>
      <c r="F1102" s="24" t="s">
        <v>145</v>
      </c>
      <c r="G1102" s="17" t="s">
        <v>1495</v>
      </c>
      <c r="H1102" s="20" t="s">
        <v>1510</v>
      </c>
      <c r="I1102" s="24" t="s">
        <v>22</v>
      </c>
      <c r="J1102" s="24">
        <v>48.0</v>
      </c>
      <c r="K1102" s="24">
        <v>80.0</v>
      </c>
      <c r="L1102" s="24">
        <v>24.0</v>
      </c>
      <c r="M1102" s="24">
        <v>0.0</v>
      </c>
      <c r="N1102" s="24">
        <v>24.0</v>
      </c>
      <c r="O1102" s="24">
        <v>80.0</v>
      </c>
      <c r="P1102" s="24">
        <v>11.0</v>
      </c>
      <c r="Q1102" s="24">
        <v>11.0</v>
      </c>
      <c r="R1102" s="24">
        <v>11.0</v>
      </c>
      <c r="S1102" s="24">
        <v>11.0</v>
      </c>
      <c r="T1102" s="24">
        <v>11.0</v>
      </c>
      <c r="U1102" s="24">
        <v>11.0</v>
      </c>
    </row>
    <row r="1103" ht="23.25" customHeight="1">
      <c r="A1103" s="1"/>
      <c r="B1103" s="15" t="s">
        <v>1511</v>
      </c>
      <c r="C1103" s="1" t="s">
        <v>17</v>
      </c>
      <c r="D1103" s="1" t="s">
        <v>807</v>
      </c>
      <c r="G1103" s="16"/>
      <c r="H1103" s="26" t="s">
        <v>808</v>
      </c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</row>
    <row r="1104" ht="23.25" customHeight="1">
      <c r="A1104" s="20" t="str">
        <f>IF(COUNTIF('Icon Lookup'!C:C,B1104)&gt;0,LOOKUP(B1104,'Icon Lookup'!C:C,'Icon Lookup'!B:B),"")</f>
        <v/>
      </c>
      <c r="B1104" s="21" t="s">
        <v>117</v>
      </c>
      <c r="C1104" s="20"/>
      <c r="D1104" s="20">
        <v>32.0</v>
      </c>
      <c r="E1104" s="20" t="str">
        <f>IMAGE("https://www.serebii.net/itemdex/sprites/quickclaw.png")</f>
        <v/>
      </c>
      <c r="F1104" s="20" t="s">
        <v>26</v>
      </c>
      <c r="G1104" s="20" t="s">
        <v>1371</v>
      </c>
      <c r="H1104" s="23" t="s">
        <v>1485</v>
      </c>
      <c r="I1104" s="20" t="s">
        <v>22</v>
      </c>
      <c r="J1104" s="20">
        <v>40.0</v>
      </c>
      <c r="K1104" s="20">
        <v>72.0</v>
      </c>
      <c r="L1104" s="20">
        <v>16.0</v>
      </c>
      <c r="M1104" s="20">
        <v>0.0</v>
      </c>
      <c r="N1104" s="20">
        <v>16.0</v>
      </c>
      <c r="O1104" s="20">
        <v>56.0</v>
      </c>
      <c r="P1104" s="20">
        <v>5.0</v>
      </c>
      <c r="Q1104" s="20">
        <v>5.0</v>
      </c>
      <c r="R1104" s="20">
        <v>5.0</v>
      </c>
      <c r="S1104" s="20">
        <v>5.0</v>
      </c>
      <c r="T1104" s="20">
        <v>5.0</v>
      </c>
      <c r="U1104" s="20">
        <v>5.0</v>
      </c>
    </row>
    <row r="1105" ht="23.25" customHeight="1">
      <c r="A1105" s="17" t="str">
        <f>IF(COUNTIF('Icon Lookup'!C:C,B1105)&gt;0,LOOKUP(B1105,'Icon Lookup'!C:C,'Icon Lookup'!B:B),"")</f>
        <v/>
      </c>
      <c r="B1105" s="18" t="s">
        <v>198</v>
      </c>
      <c r="C1105" s="17"/>
      <c r="D1105" s="17">
        <v>33.0</v>
      </c>
      <c r="E1105" s="17" t="str">
        <f>IMAGE("https://www.serebii.net/itemdex/sprites/bigroot.png")</f>
        <v/>
      </c>
      <c r="F1105" s="17" t="s">
        <v>959</v>
      </c>
      <c r="G1105" s="17" t="s">
        <v>1122</v>
      </c>
      <c r="H1105" s="20" t="s">
        <v>1512</v>
      </c>
      <c r="I1105" s="17" t="s">
        <v>52</v>
      </c>
      <c r="J1105" s="17">
        <v>16.0</v>
      </c>
      <c r="K1105" s="17">
        <v>0.0</v>
      </c>
      <c r="L1105" s="17">
        <v>24.0</v>
      </c>
      <c r="M1105" s="17">
        <v>48.0</v>
      </c>
      <c r="N1105" s="17">
        <v>24.0</v>
      </c>
      <c r="O1105" s="17">
        <v>56.0</v>
      </c>
      <c r="P1105" s="17">
        <v>6.0</v>
      </c>
      <c r="Q1105" s="17">
        <v>6.0</v>
      </c>
      <c r="R1105" s="17">
        <v>6.0</v>
      </c>
      <c r="S1105" s="17">
        <v>6.0</v>
      </c>
      <c r="T1105" s="17">
        <v>6.0</v>
      </c>
      <c r="U1105" s="17">
        <v>6.0</v>
      </c>
    </row>
    <row r="1106" ht="23.25" customHeight="1">
      <c r="A1106" s="20" t="str">
        <f>IF(COUNTIF('Icon Lookup'!C:C,B1106)&gt;0,LOOKUP(B1106,'Icon Lookup'!C:C,'Icon Lookup'!B:B),"")</f>
        <v/>
      </c>
      <c r="B1106" s="21" t="s">
        <v>851</v>
      </c>
      <c r="C1106" s="20"/>
      <c r="D1106" s="20">
        <v>32.0</v>
      </c>
      <c r="E1106" s="20" t="s">
        <v>258</v>
      </c>
      <c r="G1106" s="22"/>
      <c r="H1106" s="23" t="s">
        <v>1506</v>
      </c>
      <c r="I1106" s="20" t="s">
        <v>22</v>
      </c>
      <c r="J1106" s="20">
        <v>16.0</v>
      </c>
      <c r="K1106" s="20">
        <v>64.0</v>
      </c>
      <c r="L1106" s="20">
        <v>24.0</v>
      </c>
      <c r="M1106" s="20">
        <v>0.0</v>
      </c>
      <c r="N1106" s="20">
        <v>24.0</v>
      </c>
      <c r="O1106" s="20">
        <v>32.0</v>
      </c>
      <c r="P1106" s="20">
        <v>9.0</v>
      </c>
      <c r="Q1106" s="20">
        <v>9.0</v>
      </c>
      <c r="R1106" s="20">
        <v>9.0</v>
      </c>
      <c r="S1106" s="20">
        <v>9.0</v>
      </c>
      <c r="T1106" s="20">
        <v>9.0</v>
      </c>
      <c r="U1106" s="20">
        <v>9.0</v>
      </c>
    </row>
    <row r="1107" ht="23.25" customHeight="1">
      <c r="A1107" s="17" t="str">
        <f>IF(COUNTIF('Icon Lookup'!C:C,B1107)&gt;0,LOOKUP(B1107,'Icon Lookup'!C:C,'Icon Lookup'!B:B),"")</f>
        <v/>
      </c>
      <c r="B1107" s="18" t="s">
        <v>78</v>
      </c>
      <c r="C1107" s="17"/>
      <c r="D1107" s="17">
        <v>34.0</v>
      </c>
      <c r="E1107" s="17" t="str">
        <f>IMAGE("https://www.serebii.net/itemdex/sprites/shellbell.png")</f>
        <v/>
      </c>
      <c r="F1107" s="17" t="s">
        <v>79</v>
      </c>
      <c r="G1107" s="17" t="s">
        <v>1495</v>
      </c>
      <c r="H1107" s="20" t="s">
        <v>1513</v>
      </c>
      <c r="I1107" s="17" t="s">
        <v>22</v>
      </c>
      <c r="J1107" s="17">
        <v>40.0</v>
      </c>
      <c r="K1107" s="17">
        <v>64.0</v>
      </c>
      <c r="L1107" s="17">
        <v>16.0</v>
      </c>
      <c r="M1107" s="17">
        <v>0.0</v>
      </c>
      <c r="N1107" s="17">
        <v>16.0</v>
      </c>
      <c r="O1107" s="17">
        <v>64.0</v>
      </c>
      <c r="P1107" s="17">
        <v>7.0</v>
      </c>
      <c r="Q1107" s="17">
        <v>7.0</v>
      </c>
      <c r="R1107" s="17">
        <v>7.0</v>
      </c>
      <c r="S1107" s="17">
        <v>7.0</v>
      </c>
      <c r="T1107" s="17">
        <v>7.0</v>
      </c>
      <c r="U1107" s="17">
        <v>7.0</v>
      </c>
    </row>
    <row r="1108" ht="23.25" customHeight="1">
      <c r="A1108" s="24" t="str">
        <f>IF(COUNTIF('Icon Lookup'!C:C,B1108)&gt;0,LOOKUP(B1108,'Icon Lookup'!C:C,'Icon Lookup'!B:B),"")</f>
        <v/>
      </c>
      <c r="B1108" s="25" t="s">
        <v>373</v>
      </c>
      <c r="C1108" s="24" t="s">
        <v>804</v>
      </c>
      <c r="D1108" s="24">
        <v>37.0</v>
      </c>
      <c r="E1108" s="24" t="str">
        <f>IMAGE("https://www.serebii.net/itemdex/sprites/seaincense.png")</f>
        <v/>
      </c>
      <c r="F1108" s="24" t="s">
        <v>374</v>
      </c>
      <c r="G1108" s="20" t="s">
        <v>1494</v>
      </c>
      <c r="H1108" s="23" t="s">
        <v>1514</v>
      </c>
      <c r="I1108" s="24" t="s">
        <v>52</v>
      </c>
      <c r="J1108" s="24">
        <v>48.0</v>
      </c>
      <c r="K1108" s="24">
        <v>0.0</v>
      </c>
      <c r="L1108" s="24">
        <v>24.0</v>
      </c>
      <c r="M1108" s="24">
        <v>80.0</v>
      </c>
      <c r="N1108" s="24">
        <v>24.0</v>
      </c>
      <c r="O1108" s="24">
        <v>80.0</v>
      </c>
      <c r="P1108" s="24">
        <v>11.0</v>
      </c>
      <c r="Q1108" s="24">
        <v>11.0</v>
      </c>
      <c r="R1108" s="24">
        <v>11.0</v>
      </c>
      <c r="S1108" s="24">
        <v>11.0</v>
      </c>
      <c r="T1108" s="24">
        <v>11.0</v>
      </c>
      <c r="U1108" s="24">
        <v>11.0</v>
      </c>
    </row>
    <row r="1109" ht="23.25" customHeight="1">
      <c r="A1109" s="1"/>
      <c r="B1109" s="15" t="s">
        <v>1515</v>
      </c>
      <c r="C1109" s="1" t="s">
        <v>17</v>
      </c>
      <c r="D1109" s="1" t="s">
        <v>807</v>
      </c>
      <c r="G1109" s="16"/>
      <c r="H1109" s="26" t="s">
        <v>808</v>
      </c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</row>
    <row r="1110" ht="23.25" customHeight="1">
      <c r="A1110" s="17" t="str">
        <f>IF(COUNTIF('Icon Lookup'!C:C,B1110)&gt;0,LOOKUP(B1110,'Icon Lookup'!C:C,'Icon Lookup'!B:B),"")</f>
        <v/>
      </c>
      <c r="B1110" s="18" t="s">
        <v>741</v>
      </c>
      <c r="C1110" s="17"/>
      <c r="D1110" s="17">
        <v>49.0</v>
      </c>
      <c r="E1110" s="17" t="str">
        <f>IMAGE("https://www.serebii.net/itemdex/sprites/focussash.png")</f>
        <v/>
      </c>
      <c r="F1110" s="17" t="s">
        <v>26</v>
      </c>
      <c r="G1110" s="17" t="s">
        <v>881</v>
      </c>
      <c r="H1110" s="20" t="s">
        <v>1516</v>
      </c>
      <c r="I1110" s="17" t="s">
        <v>22</v>
      </c>
      <c r="J1110" s="17">
        <v>56.0</v>
      </c>
      <c r="K1110" s="17">
        <v>148.0</v>
      </c>
      <c r="L1110" s="17">
        <v>36.0</v>
      </c>
      <c r="M1110" s="17">
        <v>0.0</v>
      </c>
      <c r="N1110" s="17">
        <v>36.0</v>
      </c>
      <c r="O1110" s="17">
        <v>148.0</v>
      </c>
      <c r="P1110" s="17">
        <v>5.0</v>
      </c>
      <c r="Q1110" s="17">
        <v>5.0</v>
      </c>
      <c r="R1110" s="17">
        <v>5.0</v>
      </c>
      <c r="S1110" s="17">
        <v>5.0</v>
      </c>
      <c r="T1110" s="17">
        <v>5.0</v>
      </c>
      <c r="U1110" s="17">
        <v>5.0</v>
      </c>
    </row>
    <row r="1111" ht="23.25" customHeight="1">
      <c r="A1111" s="20" t="str">
        <f>IF(COUNTIF('Icon Lookup'!C:C,B1111)&gt;0,LOOKUP(B1111,'Icon Lookup'!C:C,'Icon Lookup'!B:B),"")</f>
        <v/>
      </c>
      <c r="B1111" s="21" t="s">
        <v>921</v>
      </c>
      <c r="C1111" s="20"/>
      <c r="D1111" s="20">
        <v>49.0</v>
      </c>
      <c r="E1111" s="20" t="str">
        <f>IMAGE("https://www.serebii.net/itemdex/sprites/quickclaw.png")</f>
        <v/>
      </c>
      <c r="F1111" s="20" t="s">
        <v>44</v>
      </c>
      <c r="G1111" s="20" t="s">
        <v>1371</v>
      </c>
      <c r="H1111" s="23" t="s">
        <v>1517</v>
      </c>
      <c r="I1111" s="20" t="s">
        <v>22</v>
      </c>
      <c r="J1111" s="20">
        <v>40.0</v>
      </c>
      <c r="K1111" s="20">
        <v>104.0</v>
      </c>
      <c r="L1111" s="20">
        <v>40.0</v>
      </c>
      <c r="M1111" s="20">
        <v>0.0</v>
      </c>
      <c r="N1111" s="20">
        <v>40.0</v>
      </c>
      <c r="O1111" s="20">
        <v>160.0</v>
      </c>
      <c r="P1111" s="20">
        <v>6.0</v>
      </c>
      <c r="Q1111" s="20">
        <v>6.0</v>
      </c>
      <c r="R1111" s="20">
        <v>6.0</v>
      </c>
      <c r="S1111" s="20">
        <v>6.0</v>
      </c>
      <c r="T1111" s="20">
        <v>6.0</v>
      </c>
      <c r="U1111" s="20">
        <v>6.0</v>
      </c>
    </row>
    <row r="1112" ht="23.25" customHeight="1">
      <c r="A1112" s="17" t="str">
        <f>IF(COUNTIF('Icon Lookup'!C:C,B1112)&gt;0,LOOKUP(B1112,'Icon Lookup'!C:C,'Icon Lookup'!B:B),"")</f>
        <v/>
      </c>
      <c r="B1112" s="18" t="s">
        <v>851</v>
      </c>
      <c r="C1112" s="17"/>
      <c r="D1112" s="17">
        <v>51.0</v>
      </c>
      <c r="E1112" s="17" t="s">
        <v>258</v>
      </c>
      <c r="G1112" s="19"/>
      <c r="H1112" s="20" t="s">
        <v>1518</v>
      </c>
      <c r="I1112" s="17" t="s">
        <v>22</v>
      </c>
      <c r="J1112" s="17">
        <v>44.0</v>
      </c>
      <c r="K1112" s="17">
        <v>104.0</v>
      </c>
      <c r="L1112" s="17">
        <v>44.0</v>
      </c>
      <c r="M1112" s="17">
        <v>0.0</v>
      </c>
      <c r="N1112" s="17">
        <v>44.0</v>
      </c>
      <c r="O1112" s="17">
        <v>156.0</v>
      </c>
      <c r="P1112" s="17">
        <v>9.0</v>
      </c>
      <c r="Q1112" s="17">
        <v>9.0</v>
      </c>
      <c r="R1112" s="17">
        <v>9.0</v>
      </c>
      <c r="S1112" s="17">
        <v>9.0</v>
      </c>
      <c r="T1112" s="17">
        <v>9.0</v>
      </c>
      <c r="U1112" s="17">
        <v>9.0</v>
      </c>
    </row>
    <row r="1113" ht="23.25" customHeight="1">
      <c r="A1113" s="20" t="str">
        <f>IF(COUNTIF('Icon Lookup'!C:C,B1113)&gt;0,LOOKUP(B1113,'Icon Lookup'!C:C,'Icon Lookup'!B:B),"")</f>
        <v/>
      </c>
      <c r="B1113" s="21" t="s">
        <v>710</v>
      </c>
      <c r="C1113" s="20"/>
      <c r="D1113" s="20">
        <v>49.0</v>
      </c>
      <c r="E1113" s="20" t="str">
        <f>IMAGE("https://www.serebii.net/itemdex/sprites/expertbelt.png")</f>
        <v/>
      </c>
      <c r="F1113" s="20" t="s">
        <v>79</v>
      </c>
      <c r="G1113" s="20" t="s">
        <v>907</v>
      </c>
      <c r="H1113" s="23" t="s">
        <v>1519</v>
      </c>
      <c r="I1113" s="20" t="s">
        <v>22</v>
      </c>
      <c r="J1113" s="20">
        <v>48.0</v>
      </c>
      <c r="K1113" s="20">
        <v>116.0</v>
      </c>
      <c r="L1113" s="20">
        <v>48.0</v>
      </c>
      <c r="M1113" s="20">
        <v>0.0</v>
      </c>
      <c r="N1113" s="20">
        <v>48.0</v>
      </c>
      <c r="O1113" s="20">
        <v>172.0</v>
      </c>
      <c r="P1113" s="20">
        <v>7.0</v>
      </c>
      <c r="Q1113" s="20">
        <v>7.0</v>
      </c>
      <c r="R1113" s="20">
        <v>7.0</v>
      </c>
      <c r="S1113" s="20">
        <v>7.0</v>
      </c>
      <c r="T1113" s="20">
        <v>7.0</v>
      </c>
      <c r="U1113" s="20">
        <v>7.0</v>
      </c>
    </row>
    <row r="1114" ht="23.25" customHeight="1">
      <c r="A1114" s="17" t="str">
        <f>IF(COUNTIF('Icon Lookup'!C:C,B1114)&gt;0,LOOKUP(B1114,'Icon Lookup'!C:C,'Icon Lookup'!B:B),"")</f>
        <v/>
      </c>
      <c r="B1114" s="18" t="s">
        <v>1520</v>
      </c>
      <c r="C1114" s="17"/>
      <c r="D1114" s="17">
        <v>52.0</v>
      </c>
      <c r="E1114" s="17" t="s">
        <v>382</v>
      </c>
      <c r="G1114" s="19"/>
      <c r="H1114" s="20" t="s">
        <v>1521</v>
      </c>
      <c r="I1114" s="17" t="s">
        <v>550</v>
      </c>
      <c r="J1114" s="17">
        <v>96.0</v>
      </c>
      <c r="K1114" s="17">
        <v>120.0</v>
      </c>
      <c r="L1114" s="17">
        <v>96.0</v>
      </c>
      <c r="M1114" s="17">
        <v>0.0</v>
      </c>
      <c r="N1114" s="17">
        <v>88.0</v>
      </c>
      <c r="O1114" s="17">
        <v>0.0</v>
      </c>
      <c r="P1114" s="17">
        <v>9.0</v>
      </c>
      <c r="Q1114" s="17">
        <v>9.0</v>
      </c>
      <c r="R1114" s="17">
        <v>9.0</v>
      </c>
      <c r="S1114" s="17">
        <v>9.0</v>
      </c>
      <c r="T1114" s="17">
        <v>9.0</v>
      </c>
      <c r="U1114" s="17">
        <v>9.0</v>
      </c>
    </row>
    <row r="1115" ht="23.25" customHeight="1">
      <c r="A1115" s="24" t="str">
        <f>IF(COUNTIF('Icon Lookup'!C:C,B1115)&gt;0,LOOKUP(B1115,'Icon Lookup'!C:C,'Icon Lookup'!B:B),"")</f>
        <v/>
      </c>
      <c r="B1115" s="25" t="s">
        <v>730</v>
      </c>
      <c r="C1115" s="24" t="s">
        <v>804</v>
      </c>
      <c r="D1115" s="24">
        <v>55.0</v>
      </c>
      <c r="E1115" s="24" t="str">
        <f>IMAGE("https://www.serebii.net/itemdex/sprites/leftovers.png")</f>
        <v/>
      </c>
      <c r="F1115" s="24" t="s">
        <v>267</v>
      </c>
      <c r="G1115" s="20" t="s">
        <v>859</v>
      </c>
      <c r="H1115" s="23" t="s">
        <v>1522</v>
      </c>
      <c r="I1115" s="24" t="s">
        <v>265</v>
      </c>
      <c r="J1115" s="24">
        <v>164.0</v>
      </c>
      <c r="K1115" s="24">
        <v>92.0</v>
      </c>
      <c r="L1115" s="24">
        <v>52.0</v>
      </c>
      <c r="M1115" s="24">
        <v>52.0</v>
      </c>
      <c r="N1115" s="24">
        <v>124.0</v>
      </c>
      <c r="O1115" s="24">
        <v>0.0</v>
      </c>
      <c r="P1115" s="24">
        <v>11.0</v>
      </c>
      <c r="Q1115" s="24">
        <v>11.0</v>
      </c>
      <c r="R1115" s="24">
        <v>11.0</v>
      </c>
      <c r="S1115" s="24">
        <v>11.0</v>
      </c>
      <c r="T1115" s="24">
        <v>11.0</v>
      </c>
      <c r="U1115" s="24">
        <v>11.0</v>
      </c>
    </row>
    <row r="1116" ht="23.25" customHeight="1">
      <c r="A1116" s="1"/>
      <c r="B1116" s="15" t="s">
        <v>1523</v>
      </c>
      <c r="C1116" s="1" t="s">
        <v>17</v>
      </c>
      <c r="D1116" s="1" t="s">
        <v>807</v>
      </c>
      <c r="G1116" s="16"/>
      <c r="H1116" s="26" t="s">
        <v>808</v>
      </c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</row>
    <row r="1117" ht="23.25" customHeight="1">
      <c r="A1117" s="17" t="str">
        <f>IF(COUNTIF('Icon Lookup'!C:C,B1117)&gt;0,LOOKUP(B1117,'Icon Lookup'!C:C,'Icon Lookup'!B:B),"")</f>
        <v/>
      </c>
      <c r="B1117" s="18" t="s">
        <v>741</v>
      </c>
      <c r="C1117" s="17"/>
      <c r="D1117" s="17">
        <v>49.0</v>
      </c>
      <c r="E1117" s="17" t="str">
        <f>IMAGE("https://www.serebii.net/itemdex/sprites/focussash.png")</f>
        <v/>
      </c>
      <c r="F1117" s="17" t="s">
        <v>26</v>
      </c>
      <c r="G1117" s="17" t="s">
        <v>881</v>
      </c>
      <c r="H1117" s="20" t="s">
        <v>1524</v>
      </c>
      <c r="I1117" s="17" t="s">
        <v>22</v>
      </c>
      <c r="J1117" s="17">
        <v>56.0</v>
      </c>
      <c r="K1117" s="17">
        <v>148.0</v>
      </c>
      <c r="L1117" s="17">
        <v>36.0</v>
      </c>
      <c r="M1117" s="17">
        <v>0.0</v>
      </c>
      <c r="N1117" s="17">
        <v>36.0</v>
      </c>
      <c r="O1117" s="17">
        <v>148.0</v>
      </c>
      <c r="P1117" s="17">
        <v>5.0</v>
      </c>
      <c r="Q1117" s="17">
        <v>5.0</v>
      </c>
      <c r="R1117" s="17">
        <v>5.0</v>
      </c>
      <c r="S1117" s="17">
        <v>5.0</v>
      </c>
      <c r="T1117" s="17">
        <v>5.0</v>
      </c>
      <c r="U1117" s="17">
        <v>5.0</v>
      </c>
    </row>
    <row r="1118" ht="23.25" customHeight="1">
      <c r="A1118" s="20" t="str">
        <f>IF(COUNTIF('Icon Lookup'!C:C,B1118)&gt;0,LOOKUP(B1118,'Icon Lookup'!C:C,'Icon Lookup'!B:B),"")</f>
        <v/>
      </c>
      <c r="B1118" s="21" t="s">
        <v>921</v>
      </c>
      <c r="C1118" s="20"/>
      <c r="D1118" s="20">
        <v>49.0</v>
      </c>
      <c r="E1118" s="20" t="str">
        <f>IMAGE("https://www.serebii.net/itemdex/sprites/quickclaw.png")</f>
        <v/>
      </c>
      <c r="F1118" s="20" t="s">
        <v>44</v>
      </c>
      <c r="G1118" s="20" t="s">
        <v>1371</v>
      </c>
      <c r="H1118" s="23" t="s">
        <v>1517</v>
      </c>
      <c r="I1118" s="20" t="s">
        <v>22</v>
      </c>
      <c r="J1118" s="20">
        <v>40.0</v>
      </c>
      <c r="K1118" s="20">
        <v>104.0</v>
      </c>
      <c r="L1118" s="20">
        <v>40.0</v>
      </c>
      <c r="M1118" s="20">
        <v>0.0</v>
      </c>
      <c r="N1118" s="20">
        <v>40.0</v>
      </c>
      <c r="O1118" s="20">
        <v>160.0</v>
      </c>
      <c r="P1118" s="20">
        <v>6.0</v>
      </c>
      <c r="Q1118" s="20">
        <v>6.0</v>
      </c>
      <c r="R1118" s="20">
        <v>6.0</v>
      </c>
      <c r="S1118" s="20">
        <v>6.0</v>
      </c>
      <c r="T1118" s="20">
        <v>6.0</v>
      </c>
      <c r="U1118" s="20">
        <v>6.0</v>
      </c>
    </row>
    <row r="1119" ht="23.25" customHeight="1">
      <c r="A1119" s="17" t="str">
        <f>IF(COUNTIF('Icon Lookup'!C:C,B1119)&gt;0,LOOKUP(B1119,'Icon Lookup'!C:C,'Icon Lookup'!B:B),"")</f>
        <v/>
      </c>
      <c r="B1119" s="18" t="s">
        <v>851</v>
      </c>
      <c r="C1119" s="17"/>
      <c r="D1119" s="17">
        <v>51.0</v>
      </c>
      <c r="E1119" s="17" t="s">
        <v>258</v>
      </c>
      <c r="G1119" s="19"/>
      <c r="H1119" s="20" t="s">
        <v>1518</v>
      </c>
      <c r="I1119" s="17" t="s">
        <v>22</v>
      </c>
      <c r="J1119" s="17">
        <v>44.0</v>
      </c>
      <c r="K1119" s="17">
        <v>104.0</v>
      </c>
      <c r="L1119" s="17">
        <v>44.0</v>
      </c>
      <c r="M1119" s="17">
        <v>0.0</v>
      </c>
      <c r="N1119" s="17">
        <v>44.0</v>
      </c>
      <c r="O1119" s="17">
        <v>156.0</v>
      </c>
      <c r="P1119" s="17">
        <v>9.0</v>
      </c>
      <c r="Q1119" s="17">
        <v>9.0</v>
      </c>
      <c r="R1119" s="17">
        <v>9.0</v>
      </c>
      <c r="S1119" s="17">
        <v>9.0</v>
      </c>
      <c r="T1119" s="17">
        <v>9.0</v>
      </c>
      <c r="U1119" s="17">
        <v>9.0</v>
      </c>
    </row>
    <row r="1120" ht="23.25" customHeight="1">
      <c r="A1120" s="20" t="str">
        <f>IF(COUNTIF('Icon Lookup'!C:C,B1120)&gt;0,LOOKUP(B1120,'Icon Lookup'!C:C,'Icon Lookup'!B:B),"")</f>
        <v/>
      </c>
      <c r="B1120" s="21" t="s">
        <v>906</v>
      </c>
      <c r="C1120" s="20"/>
      <c r="D1120" s="20">
        <v>49.0</v>
      </c>
      <c r="E1120" s="20" t="str">
        <f>IMAGE("https://www.serebii.net/itemdex/sprites/bigroot.png")</f>
        <v/>
      </c>
      <c r="F1120" s="20" t="s">
        <v>50</v>
      </c>
      <c r="G1120" s="20" t="s">
        <v>1122</v>
      </c>
      <c r="H1120" s="23" t="s">
        <v>1525</v>
      </c>
      <c r="I1120" s="20" t="s">
        <v>52</v>
      </c>
      <c r="J1120" s="20">
        <v>48.0</v>
      </c>
      <c r="K1120" s="20">
        <v>0.0</v>
      </c>
      <c r="L1120" s="20">
        <v>48.0</v>
      </c>
      <c r="M1120" s="20">
        <v>116.0</v>
      </c>
      <c r="N1120" s="20">
        <v>48.0</v>
      </c>
      <c r="O1120" s="20">
        <v>172.0</v>
      </c>
      <c r="P1120" s="20">
        <v>7.0</v>
      </c>
      <c r="Q1120" s="20">
        <v>7.0</v>
      </c>
      <c r="R1120" s="20">
        <v>7.0</v>
      </c>
      <c r="S1120" s="20">
        <v>7.0</v>
      </c>
      <c r="T1120" s="20">
        <v>7.0</v>
      </c>
      <c r="U1120" s="20">
        <v>7.0</v>
      </c>
    </row>
    <row r="1121" ht="23.25" customHeight="1">
      <c r="A1121" s="17" t="str">
        <f>IF(COUNTIF('Icon Lookup'!C:C,B1121)&gt;0,LOOKUP(B1121,'Icon Lookup'!C:C,'Icon Lookup'!B:B),"")</f>
        <v/>
      </c>
      <c r="B1121" s="18" t="s">
        <v>1520</v>
      </c>
      <c r="C1121" s="17"/>
      <c r="D1121" s="17">
        <v>52.0</v>
      </c>
      <c r="E1121" s="17" t="s">
        <v>382</v>
      </c>
      <c r="G1121" s="19"/>
      <c r="H1121" s="20" t="s">
        <v>1526</v>
      </c>
      <c r="I1121" s="17" t="s">
        <v>550</v>
      </c>
      <c r="J1121" s="17">
        <v>96.0</v>
      </c>
      <c r="K1121" s="17">
        <v>120.0</v>
      </c>
      <c r="L1121" s="17">
        <v>96.0</v>
      </c>
      <c r="M1121" s="17">
        <v>0.0</v>
      </c>
      <c r="N1121" s="17">
        <v>88.0</v>
      </c>
      <c r="O1121" s="17">
        <v>0.0</v>
      </c>
      <c r="P1121" s="17">
        <v>9.0</v>
      </c>
      <c r="Q1121" s="17">
        <v>9.0</v>
      </c>
      <c r="R1121" s="17">
        <v>9.0</v>
      </c>
      <c r="S1121" s="17">
        <v>9.0</v>
      </c>
      <c r="T1121" s="17">
        <v>9.0</v>
      </c>
      <c r="U1121" s="17">
        <v>9.0</v>
      </c>
    </row>
    <row r="1122" ht="23.25" customHeight="1">
      <c r="A1122" s="24" t="str">
        <f>IF(COUNTIF('Icon Lookup'!C:C,B1122)&gt;0,LOOKUP(B1122,'Icon Lookup'!C:C,'Icon Lookup'!B:B),"")</f>
        <v/>
      </c>
      <c r="B1122" s="25" t="s">
        <v>879</v>
      </c>
      <c r="C1122" s="24" t="s">
        <v>804</v>
      </c>
      <c r="D1122" s="24">
        <v>55.0</v>
      </c>
      <c r="E1122" s="24" t="str">
        <f>IMAGE("https://www.serebii.net/itemdex/sprites/expertbelt.png")</f>
        <v/>
      </c>
      <c r="F1122" s="24" t="s">
        <v>145</v>
      </c>
      <c r="G1122" s="20" t="s">
        <v>907</v>
      </c>
      <c r="H1122" s="23" t="s">
        <v>1527</v>
      </c>
      <c r="I1122" s="24" t="s">
        <v>22</v>
      </c>
      <c r="J1122" s="24">
        <v>52.0</v>
      </c>
      <c r="K1122" s="24">
        <v>156.0</v>
      </c>
      <c r="L1122" s="24">
        <v>52.0</v>
      </c>
      <c r="M1122" s="24">
        <v>0.0</v>
      </c>
      <c r="N1122" s="24">
        <v>52.0</v>
      </c>
      <c r="O1122" s="24">
        <v>164.0</v>
      </c>
      <c r="P1122" s="24">
        <v>11.0</v>
      </c>
      <c r="Q1122" s="24">
        <v>11.0</v>
      </c>
      <c r="R1122" s="24">
        <v>11.0</v>
      </c>
      <c r="S1122" s="24">
        <v>11.0</v>
      </c>
      <c r="T1122" s="24">
        <v>11.0</v>
      </c>
      <c r="U1122" s="24">
        <v>11.0</v>
      </c>
    </row>
    <row r="1123" ht="23.25" customHeight="1">
      <c r="A1123" s="1"/>
      <c r="B1123" s="15" t="s">
        <v>1528</v>
      </c>
      <c r="C1123" s="1" t="s">
        <v>17</v>
      </c>
      <c r="D1123" s="1" t="s">
        <v>807</v>
      </c>
      <c r="G1123" s="16"/>
      <c r="H1123" s="26" t="s">
        <v>808</v>
      </c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</row>
    <row r="1124" ht="23.25" customHeight="1">
      <c r="A1124" s="17" t="str">
        <f>IF(COUNTIF('Icon Lookup'!C:C,B1124)&gt;0,LOOKUP(B1124,'Icon Lookup'!C:C,'Icon Lookup'!B:B),"")</f>
        <v/>
      </c>
      <c r="B1124" s="18" t="s">
        <v>741</v>
      </c>
      <c r="C1124" s="17"/>
      <c r="D1124" s="17">
        <v>49.0</v>
      </c>
      <c r="E1124" s="17" t="str">
        <f>IMAGE("https://www.serebii.net/itemdex/sprites/focussash.png")</f>
        <v/>
      </c>
      <c r="F1124" s="17" t="s">
        <v>26</v>
      </c>
      <c r="G1124" s="17" t="s">
        <v>881</v>
      </c>
      <c r="H1124" s="20" t="s">
        <v>1529</v>
      </c>
      <c r="I1124" s="17" t="s">
        <v>22</v>
      </c>
      <c r="J1124" s="17">
        <v>56.0</v>
      </c>
      <c r="K1124" s="17">
        <v>148.0</v>
      </c>
      <c r="L1124" s="17">
        <v>36.0</v>
      </c>
      <c r="M1124" s="17">
        <v>0.0</v>
      </c>
      <c r="N1124" s="17">
        <v>36.0</v>
      </c>
      <c r="O1124" s="17">
        <v>148.0</v>
      </c>
      <c r="P1124" s="17">
        <v>5.0</v>
      </c>
      <c r="Q1124" s="17">
        <v>5.0</v>
      </c>
      <c r="R1124" s="17">
        <v>5.0</v>
      </c>
      <c r="S1124" s="17">
        <v>5.0</v>
      </c>
      <c r="T1124" s="17">
        <v>5.0</v>
      </c>
      <c r="U1124" s="17">
        <v>5.0</v>
      </c>
    </row>
    <row r="1125" ht="23.25" customHeight="1">
      <c r="A1125" s="20" t="str">
        <f>IF(COUNTIF('Icon Lookup'!C:C,B1125)&gt;0,LOOKUP(B1125,'Icon Lookup'!C:C,'Icon Lookup'!B:B),"")</f>
        <v/>
      </c>
      <c r="B1125" s="21" t="s">
        <v>906</v>
      </c>
      <c r="C1125" s="20"/>
      <c r="D1125" s="20">
        <v>49.0</v>
      </c>
      <c r="E1125" s="20" t="str">
        <f>IMAGE("https://www.serebii.net/itemdex/sprites/blacksludge.png")</f>
        <v/>
      </c>
      <c r="F1125" s="20" t="s">
        <v>959</v>
      </c>
      <c r="G1125" s="20" t="s">
        <v>844</v>
      </c>
      <c r="H1125" s="23" t="s">
        <v>1530</v>
      </c>
      <c r="I1125" s="20" t="s">
        <v>52</v>
      </c>
      <c r="J1125" s="20">
        <v>40.0</v>
      </c>
      <c r="K1125" s="20">
        <v>0.0</v>
      </c>
      <c r="L1125" s="20">
        <v>40.0</v>
      </c>
      <c r="M1125" s="20">
        <v>104.0</v>
      </c>
      <c r="N1125" s="20">
        <v>40.0</v>
      </c>
      <c r="O1125" s="20">
        <v>160.0</v>
      </c>
      <c r="P1125" s="20">
        <v>6.0</v>
      </c>
      <c r="Q1125" s="20">
        <v>6.0</v>
      </c>
      <c r="R1125" s="20">
        <v>6.0</v>
      </c>
      <c r="S1125" s="20">
        <v>6.0</v>
      </c>
      <c r="T1125" s="20">
        <v>6.0</v>
      </c>
      <c r="U1125" s="20">
        <v>6.0</v>
      </c>
    </row>
    <row r="1126" ht="23.25" customHeight="1">
      <c r="A1126" s="17" t="str">
        <f>IF(COUNTIF('Icon Lookup'!C:C,B1126)&gt;0,LOOKUP(B1126,'Icon Lookup'!C:C,'Icon Lookup'!B:B),"")</f>
        <v/>
      </c>
      <c r="B1126" s="18" t="s">
        <v>851</v>
      </c>
      <c r="C1126" s="17"/>
      <c r="D1126" s="17">
        <v>51.0</v>
      </c>
      <c r="E1126" s="17" t="s">
        <v>258</v>
      </c>
      <c r="G1126" s="19"/>
      <c r="H1126" s="20" t="s">
        <v>1518</v>
      </c>
      <c r="I1126" s="17" t="s">
        <v>22</v>
      </c>
      <c r="J1126" s="17">
        <v>44.0</v>
      </c>
      <c r="K1126" s="17">
        <v>104.0</v>
      </c>
      <c r="L1126" s="17">
        <v>44.0</v>
      </c>
      <c r="M1126" s="17">
        <v>0.0</v>
      </c>
      <c r="N1126" s="17">
        <v>44.0</v>
      </c>
      <c r="O1126" s="17">
        <v>156.0</v>
      </c>
      <c r="P1126" s="17">
        <v>9.0</v>
      </c>
      <c r="Q1126" s="17">
        <v>9.0</v>
      </c>
      <c r="R1126" s="17">
        <v>9.0</v>
      </c>
      <c r="S1126" s="17">
        <v>9.0</v>
      </c>
      <c r="T1126" s="17">
        <v>9.0</v>
      </c>
      <c r="U1126" s="17">
        <v>9.0</v>
      </c>
    </row>
    <row r="1127" ht="23.25" customHeight="1">
      <c r="A1127" s="20" t="str">
        <f>IF(COUNTIF('Icon Lookup'!C:C,B1127)&gt;0,LOOKUP(B1127,'Icon Lookup'!C:C,'Icon Lookup'!B:B),"")</f>
        <v/>
      </c>
      <c r="B1127" s="21" t="s">
        <v>710</v>
      </c>
      <c r="C1127" s="20"/>
      <c r="D1127" s="20">
        <v>49.0</v>
      </c>
      <c r="E1127" s="20" t="str">
        <f>IMAGE("https://www.serebii.net/itemdex/sprites/expertbelt.png")</f>
        <v/>
      </c>
      <c r="F1127" s="20" t="s">
        <v>79</v>
      </c>
      <c r="G1127" s="20" t="s">
        <v>907</v>
      </c>
      <c r="H1127" s="23" t="s">
        <v>1519</v>
      </c>
      <c r="I1127" s="20" t="s">
        <v>22</v>
      </c>
      <c r="J1127" s="20">
        <v>48.0</v>
      </c>
      <c r="K1127" s="20">
        <v>116.0</v>
      </c>
      <c r="L1127" s="20">
        <v>48.0</v>
      </c>
      <c r="M1127" s="20">
        <v>0.0</v>
      </c>
      <c r="N1127" s="20">
        <v>48.0</v>
      </c>
      <c r="O1127" s="20">
        <v>172.0</v>
      </c>
      <c r="P1127" s="20">
        <v>7.0</v>
      </c>
      <c r="Q1127" s="20">
        <v>7.0</v>
      </c>
      <c r="R1127" s="20">
        <v>7.0</v>
      </c>
      <c r="S1127" s="20">
        <v>7.0</v>
      </c>
      <c r="T1127" s="20">
        <v>7.0</v>
      </c>
      <c r="U1127" s="20">
        <v>7.0</v>
      </c>
    </row>
    <row r="1128" ht="23.25" customHeight="1">
      <c r="A1128" s="17" t="str">
        <f>IF(COUNTIF('Icon Lookup'!C:C,B1128)&gt;0,LOOKUP(B1128,'Icon Lookup'!C:C,'Icon Lookup'!B:B),"")</f>
        <v/>
      </c>
      <c r="B1128" s="18" t="s">
        <v>1520</v>
      </c>
      <c r="C1128" s="17"/>
      <c r="D1128" s="17">
        <v>52.0</v>
      </c>
      <c r="E1128" s="17" t="s">
        <v>382</v>
      </c>
      <c r="G1128" s="19"/>
      <c r="H1128" s="20" t="s">
        <v>1521</v>
      </c>
      <c r="I1128" s="17" t="s">
        <v>550</v>
      </c>
      <c r="J1128" s="17">
        <v>96.0</v>
      </c>
      <c r="K1128" s="17">
        <v>120.0</v>
      </c>
      <c r="L1128" s="17">
        <v>96.0</v>
      </c>
      <c r="M1128" s="17">
        <v>0.0</v>
      </c>
      <c r="N1128" s="17">
        <v>88.0</v>
      </c>
      <c r="O1128" s="17">
        <v>0.0</v>
      </c>
      <c r="P1128" s="17">
        <v>9.0</v>
      </c>
      <c r="Q1128" s="17">
        <v>9.0</v>
      </c>
      <c r="R1128" s="17">
        <v>9.0</v>
      </c>
      <c r="S1128" s="17">
        <v>9.0</v>
      </c>
      <c r="T1128" s="17">
        <v>9.0</v>
      </c>
      <c r="U1128" s="17">
        <v>9.0</v>
      </c>
    </row>
    <row r="1129" ht="23.25" customHeight="1">
      <c r="A1129" s="24" t="str">
        <f>IF(COUNTIF('Icon Lookup'!C:C,B1129)&gt;0,LOOKUP(B1129,'Icon Lookup'!C:C,'Icon Lookup'!B:B),"")</f>
        <v/>
      </c>
      <c r="B1129" s="25" t="s">
        <v>737</v>
      </c>
      <c r="C1129" s="24" t="s">
        <v>804</v>
      </c>
      <c r="D1129" s="24">
        <v>55.0</v>
      </c>
      <c r="E1129" s="24" t="str">
        <f>IMAGE("https://www.serebii.net/itemdex/sprites/quickclaw.png")</f>
        <v/>
      </c>
      <c r="F1129" s="24" t="s">
        <v>374</v>
      </c>
      <c r="G1129" s="20" t="s">
        <v>1371</v>
      </c>
      <c r="H1129" s="23" t="s">
        <v>1531</v>
      </c>
      <c r="I1129" s="24" t="s">
        <v>52</v>
      </c>
      <c r="J1129" s="24">
        <v>52.0</v>
      </c>
      <c r="K1129" s="24">
        <v>0.0</v>
      </c>
      <c r="L1129" s="24">
        <v>52.0</v>
      </c>
      <c r="M1129" s="24">
        <v>156.0</v>
      </c>
      <c r="N1129" s="24">
        <v>52.0</v>
      </c>
      <c r="O1129" s="24">
        <v>164.0</v>
      </c>
      <c r="P1129" s="24">
        <v>11.0</v>
      </c>
      <c r="Q1129" s="24">
        <v>11.0</v>
      </c>
      <c r="R1129" s="24">
        <v>11.0</v>
      </c>
      <c r="S1129" s="24">
        <v>11.0</v>
      </c>
      <c r="T1129" s="24">
        <v>11.0</v>
      </c>
      <c r="U1129" s="24">
        <v>11.0</v>
      </c>
    </row>
    <row r="1130" ht="23.25" customHeight="1">
      <c r="A1130" s="1"/>
      <c r="B1130" s="15" t="s">
        <v>1532</v>
      </c>
      <c r="C1130" s="1" t="s">
        <v>17</v>
      </c>
      <c r="D1130" s="1" t="s">
        <v>1533</v>
      </c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</row>
    <row r="1131" ht="23.25" customHeight="1">
      <c r="A1131" s="17" t="str">
        <f>IF(COUNTIF('Icon Lookup'!C:C,B1131)&gt;0,LOOKUP(B1131,'Icon Lookup'!C:C,'Icon Lookup'!B:B),"")</f>
        <v/>
      </c>
      <c r="B1131" s="18" t="s">
        <v>410</v>
      </c>
      <c r="C1131" s="17"/>
      <c r="D1131" s="17">
        <v>38.0</v>
      </c>
      <c r="E1131" s="17" t="s">
        <v>411</v>
      </c>
      <c r="G1131" s="19"/>
      <c r="H1131" s="20" t="s">
        <v>509</v>
      </c>
      <c r="I1131" s="17" t="s">
        <v>205</v>
      </c>
      <c r="J1131" s="17">
        <v>0.0</v>
      </c>
      <c r="K1131" s="17">
        <v>0.0</v>
      </c>
      <c r="L1131" s="17">
        <v>0.0</v>
      </c>
      <c r="M1131" s="17">
        <v>0.0</v>
      </c>
      <c r="N1131" s="17">
        <v>0.0</v>
      </c>
      <c r="O1131" s="17">
        <v>0.0</v>
      </c>
      <c r="P1131" s="17">
        <v>0.0</v>
      </c>
      <c r="Q1131" s="17">
        <v>0.0</v>
      </c>
      <c r="R1131" s="17">
        <v>0.0</v>
      </c>
      <c r="S1131" s="17">
        <v>0.0</v>
      </c>
      <c r="T1131" s="17">
        <v>0.0</v>
      </c>
      <c r="U1131" s="17">
        <v>0.0</v>
      </c>
    </row>
    <row r="1132" ht="23.25" customHeight="1">
      <c r="A1132" s="20" t="str">
        <f>IF(COUNTIF('Icon Lookup'!C:C,B1132)&gt;0,LOOKUP(B1132,'Icon Lookup'!C:C,'Icon Lookup'!B:B),"")</f>
        <v/>
      </c>
      <c r="B1132" s="21" t="s">
        <v>275</v>
      </c>
      <c r="C1132" s="20"/>
      <c r="D1132" s="20">
        <v>38.0</v>
      </c>
      <c r="E1132" s="20" t="s">
        <v>91</v>
      </c>
      <c r="G1132" s="22"/>
      <c r="H1132" s="23" t="s">
        <v>623</v>
      </c>
      <c r="I1132" s="20" t="s">
        <v>550</v>
      </c>
      <c r="J1132" s="20">
        <v>0.0</v>
      </c>
      <c r="K1132" s="20">
        <v>0.0</v>
      </c>
      <c r="L1132" s="20">
        <v>0.0</v>
      </c>
      <c r="M1132" s="20">
        <v>0.0</v>
      </c>
      <c r="N1132" s="20">
        <v>0.0</v>
      </c>
      <c r="O1132" s="20">
        <v>0.0</v>
      </c>
      <c r="P1132" s="20">
        <v>0.0</v>
      </c>
      <c r="Q1132" s="20">
        <v>0.0</v>
      </c>
      <c r="R1132" s="20">
        <v>0.0</v>
      </c>
      <c r="S1132" s="20">
        <v>0.0</v>
      </c>
      <c r="T1132" s="20">
        <v>0.0</v>
      </c>
      <c r="U1132" s="20">
        <v>0.0</v>
      </c>
    </row>
    <row r="1133" ht="23.25" customHeight="1">
      <c r="A1133" s="17" t="str">
        <f>IF(COUNTIF('Icon Lookup'!C:C,B1133)&gt;0,LOOKUP(B1133,'Icon Lookup'!C:C,'Icon Lookup'!B:B),"")</f>
        <v/>
      </c>
      <c r="B1133" s="18" t="s">
        <v>586</v>
      </c>
      <c r="C1133" s="17"/>
      <c r="D1133" s="17">
        <v>44.0</v>
      </c>
      <c r="E1133" s="17" t="s">
        <v>366</v>
      </c>
      <c r="G1133" s="19"/>
      <c r="H1133" s="20" t="s">
        <v>1534</v>
      </c>
      <c r="I1133" s="17" t="s">
        <v>612</v>
      </c>
      <c r="J1133" s="17">
        <v>0.0</v>
      </c>
      <c r="K1133" s="17">
        <v>0.0</v>
      </c>
      <c r="L1133" s="17">
        <v>0.0</v>
      </c>
      <c r="M1133" s="17">
        <v>0.0</v>
      </c>
      <c r="N1133" s="17">
        <v>0.0</v>
      </c>
      <c r="O1133" s="17">
        <v>0.0</v>
      </c>
      <c r="P1133" s="17">
        <v>0.0</v>
      </c>
      <c r="Q1133" s="17">
        <v>0.0</v>
      </c>
      <c r="R1133" s="17">
        <v>0.0</v>
      </c>
      <c r="S1133" s="17">
        <v>0.0</v>
      </c>
      <c r="T1133" s="17">
        <v>0.0</v>
      </c>
      <c r="U1133" s="17">
        <v>0.0</v>
      </c>
    </row>
    <row r="1134" ht="23.25" customHeight="1">
      <c r="A1134" s="1"/>
      <c r="B1134" s="15" t="s">
        <v>1535</v>
      </c>
      <c r="C1134" s="1" t="s">
        <v>17</v>
      </c>
      <c r="D1134" s="1" t="s">
        <v>1536</v>
      </c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</row>
    <row r="1135" ht="23.25" customHeight="1">
      <c r="A1135" s="20" t="str">
        <f>IF(COUNTIF('Icon Lookup'!C:C,B1135)&gt;0,LOOKUP(B1135,'Icon Lookup'!C:C,'Icon Lookup'!B:B),"")</f>
        <v/>
      </c>
      <c r="B1135" s="21" t="s">
        <v>365</v>
      </c>
      <c r="C1135" s="20"/>
      <c r="D1135" s="20">
        <v>24.0</v>
      </c>
      <c r="E1135" s="20" t="s">
        <v>366</v>
      </c>
      <c r="G1135" s="22"/>
      <c r="H1135" s="23" t="s">
        <v>1537</v>
      </c>
      <c r="I1135" s="20" t="s">
        <v>52</v>
      </c>
      <c r="J1135" s="20">
        <v>0.0</v>
      </c>
      <c r="K1135" s="20">
        <v>0.0</v>
      </c>
      <c r="L1135" s="20">
        <v>0.0</v>
      </c>
      <c r="M1135" s="20">
        <v>0.0</v>
      </c>
      <c r="N1135" s="20">
        <v>0.0</v>
      </c>
      <c r="O1135" s="20">
        <v>0.0</v>
      </c>
      <c r="P1135" s="20">
        <v>0.0</v>
      </c>
      <c r="Q1135" s="20">
        <v>0.0</v>
      </c>
      <c r="R1135" s="20">
        <v>0.0</v>
      </c>
      <c r="S1135" s="20">
        <v>0.0</v>
      </c>
      <c r="T1135" s="20">
        <v>0.0</v>
      </c>
      <c r="U1135" s="20">
        <v>0.0</v>
      </c>
    </row>
    <row r="1136" ht="23.25" customHeight="1">
      <c r="A1136" s="17" t="str">
        <f>IF(COUNTIF('Icon Lookup'!C:C,B1136)&gt;0,LOOKUP(B1136,'Icon Lookup'!C:C,'Icon Lookup'!B:B),"")</f>
        <v/>
      </c>
      <c r="B1136" s="18" t="s">
        <v>640</v>
      </c>
      <c r="C1136" s="17"/>
      <c r="D1136" s="17">
        <v>24.0</v>
      </c>
      <c r="E1136" s="17" t="s">
        <v>641</v>
      </c>
      <c r="G1136" s="19"/>
      <c r="H1136" s="20" t="s">
        <v>1538</v>
      </c>
      <c r="I1136" s="17" t="s">
        <v>550</v>
      </c>
      <c r="J1136" s="17">
        <v>0.0</v>
      </c>
      <c r="K1136" s="17">
        <v>0.0</v>
      </c>
      <c r="L1136" s="17">
        <v>0.0</v>
      </c>
      <c r="M1136" s="17">
        <v>0.0</v>
      </c>
      <c r="N1136" s="17">
        <v>0.0</v>
      </c>
      <c r="O1136" s="17">
        <v>0.0</v>
      </c>
      <c r="P1136" s="17">
        <v>0.0</v>
      </c>
      <c r="Q1136" s="17">
        <v>0.0</v>
      </c>
      <c r="R1136" s="17">
        <v>0.0</v>
      </c>
      <c r="S1136" s="17">
        <v>0.0</v>
      </c>
      <c r="T1136" s="17">
        <v>0.0</v>
      </c>
      <c r="U1136" s="17">
        <v>0.0</v>
      </c>
    </row>
    <row r="1137" ht="23.25" customHeight="1">
      <c r="A1137" s="20" t="str">
        <f>IMAGE("https://www.smogon.com/forums//media/minisprites/shellos-east.png",3)</f>
        <v/>
      </c>
      <c r="B1137" s="21" t="s">
        <v>415</v>
      </c>
      <c r="C1137" s="20"/>
      <c r="D1137" s="20">
        <v>24.0</v>
      </c>
      <c r="E1137" s="20" t="s">
        <v>366</v>
      </c>
      <c r="G1137" s="22"/>
      <c r="H1137" s="23" t="s">
        <v>367</v>
      </c>
      <c r="I1137" s="20" t="s">
        <v>89</v>
      </c>
      <c r="J1137" s="20">
        <v>0.0</v>
      </c>
      <c r="K1137" s="20">
        <v>0.0</v>
      </c>
      <c r="L1137" s="20">
        <v>0.0</v>
      </c>
      <c r="M1137" s="20">
        <v>0.0</v>
      </c>
      <c r="N1137" s="20">
        <v>0.0</v>
      </c>
      <c r="O1137" s="20">
        <v>0.0</v>
      </c>
      <c r="P1137" s="20">
        <v>0.0</v>
      </c>
      <c r="Q1137" s="20">
        <v>0.0</v>
      </c>
      <c r="R1137" s="20">
        <v>0.0</v>
      </c>
      <c r="S1137" s="20">
        <v>0.0</v>
      </c>
      <c r="T1137" s="20">
        <v>0.0</v>
      </c>
      <c r="U1137" s="20">
        <v>0.0</v>
      </c>
    </row>
    <row r="1138" ht="23.25" customHeight="1">
      <c r="A1138" s="1"/>
      <c r="B1138" s="15" t="s">
        <v>1539</v>
      </c>
      <c r="C1138" s="1" t="s">
        <v>17</v>
      </c>
      <c r="D1138" s="1" t="s">
        <v>1540</v>
      </c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</row>
    <row r="1139" ht="23.25" customHeight="1">
      <c r="A1139" s="17" t="str">
        <f>IF(COUNTIF('Icon Lookup'!C:C,B1139)&gt;0,LOOKUP(B1139,'Icon Lookup'!C:C,'Icon Lookup'!B:B),"")</f>
        <v/>
      </c>
      <c r="B1139" s="18" t="s">
        <v>704</v>
      </c>
      <c r="C1139" s="17"/>
      <c r="D1139" s="17">
        <v>19.0</v>
      </c>
      <c r="E1139" s="17" t="s">
        <v>38</v>
      </c>
      <c r="G1139" s="19"/>
      <c r="H1139" s="20" t="s">
        <v>1541</v>
      </c>
      <c r="I1139" s="17" t="s">
        <v>52</v>
      </c>
      <c r="J1139" s="17">
        <v>0.0</v>
      </c>
      <c r="K1139" s="17">
        <v>0.0</v>
      </c>
      <c r="L1139" s="17">
        <v>0.0</v>
      </c>
      <c r="M1139" s="17">
        <v>0.0</v>
      </c>
      <c r="N1139" s="17">
        <v>0.0</v>
      </c>
      <c r="O1139" s="17">
        <v>0.0</v>
      </c>
      <c r="P1139" s="17">
        <v>0.0</v>
      </c>
      <c r="Q1139" s="17">
        <v>0.0</v>
      </c>
      <c r="R1139" s="17">
        <v>0.0</v>
      </c>
      <c r="S1139" s="17">
        <v>0.0</v>
      </c>
      <c r="T1139" s="17">
        <v>0.0</v>
      </c>
      <c r="U1139" s="17">
        <v>0.0</v>
      </c>
    </row>
    <row r="1140" ht="23.25" customHeight="1">
      <c r="A1140" s="20" t="str">
        <f>IF(COUNTIF('Icon Lookup'!C:C,B1140)&gt;0,LOOKUP(B1140,'Icon Lookup'!C:C,'Icon Lookup'!B:B),"")</f>
        <v/>
      </c>
      <c r="B1140" s="21" t="s">
        <v>386</v>
      </c>
      <c r="C1140" s="20"/>
      <c r="D1140" s="20">
        <v>19.0</v>
      </c>
      <c r="E1140" s="20" t="s">
        <v>387</v>
      </c>
      <c r="G1140" s="22"/>
      <c r="H1140" s="23" t="s">
        <v>1542</v>
      </c>
      <c r="I1140" s="20" t="s">
        <v>52</v>
      </c>
      <c r="J1140" s="20">
        <v>0.0</v>
      </c>
      <c r="K1140" s="20">
        <v>0.0</v>
      </c>
      <c r="L1140" s="20">
        <v>0.0</v>
      </c>
      <c r="M1140" s="20">
        <v>0.0</v>
      </c>
      <c r="N1140" s="20">
        <v>0.0</v>
      </c>
      <c r="O1140" s="20">
        <v>0.0</v>
      </c>
      <c r="P1140" s="20">
        <v>0.0</v>
      </c>
      <c r="Q1140" s="20">
        <v>0.0</v>
      </c>
      <c r="R1140" s="20">
        <v>0.0</v>
      </c>
      <c r="S1140" s="20">
        <v>0.0</v>
      </c>
      <c r="T1140" s="20">
        <v>0.0</v>
      </c>
      <c r="U1140" s="20">
        <v>0.0</v>
      </c>
    </row>
    <row r="1141" ht="23.25" customHeight="1">
      <c r="A1141" s="1"/>
      <c r="B1141" s="15" t="s">
        <v>1543</v>
      </c>
      <c r="C1141" s="1" t="s">
        <v>17</v>
      </c>
      <c r="D1141" s="1" t="s">
        <v>1544</v>
      </c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</row>
    <row r="1142" ht="23.25" customHeight="1">
      <c r="A1142" s="17" t="str">
        <f>IF(COUNTIF('Icon Lookup'!C:C,B1142)&gt;0,LOOKUP(B1142,'Icon Lookup'!C:C,'Icon Lookup'!B:B),"")</f>
        <v/>
      </c>
      <c r="B1142" s="18" t="s">
        <v>86</v>
      </c>
      <c r="C1142" s="17"/>
      <c r="D1142" s="17">
        <v>23.0</v>
      </c>
      <c r="E1142" s="17" t="s">
        <v>87</v>
      </c>
      <c r="G1142" s="19"/>
      <c r="H1142" s="20" t="s">
        <v>1545</v>
      </c>
      <c r="I1142" s="17" t="s">
        <v>46</v>
      </c>
      <c r="J1142" s="17">
        <v>0.0</v>
      </c>
      <c r="K1142" s="17">
        <v>0.0</v>
      </c>
      <c r="L1142" s="17">
        <v>0.0</v>
      </c>
      <c r="M1142" s="17">
        <v>0.0</v>
      </c>
      <c r="N1142" s="17">
        <v>0.0</v>
      </c>
      <c r="O1142" s="17">
        <v>0.0</v>
      </c>
      <c r="P1142" s="17">
        <v>0.0</v>
      </c>
      <c r="Q1142" s="17">
        <v>0.0</v>
      </c>
      <c r="R1142" s="17">
        <v>0.0</v>
      </c>
      <c r="S1142" s="17">
        <v>0.0</v>
      </c>
      <c r="T1142" s="17">
        <v>0.0</v>
      </c>
      <c r="U1142" s="17">
        <v>0.0</v>
      </c>
    </row>
    <row r="1143" ht="23.25" customHeight="1">
      <c r="A1143" s="20" t="str">
        <f>IF(COUNTIF('Icon Lookup'!C:C,B1143)&gt;0,LOOKUP(B1143,'Icon Lookup'!C:C,'Icon Lookup'!B:B),"")</f>
        <v/>
      </c>
      <c r="B1143" s="21" t="s">
        <v>86</v>
      </c>
      <c r="C1143" s="20"/>
      <c r="D1143" s="20">
        <v>23.0</v>
      </c>
      <c r="E1143" s="20" t="s">
        <v>87</v>
      </c>
      <c r="G1143" s="22"/>
      <c r="H1143" s="23" t="s">
        <v>1546</v>
      </c>
      <c r="I1143" s="20" t="s">
        <v>46</v>
      </c>
      <c r="J1143" s="20">
        <v>0.0</v>
      </c>
      <c r="K1143" s="20">
        <v>0.0</v>
      </c>
      <c r="L1143" s="20">
        <v>0.0</v>
      </c>
      <c r="M1143" s="20">
        <v>0.0</v>
      </c>
      <c r="N1143" s="20">
        <v>0.0</v>
      </c>
      <c r="O1143" s="20">
        <v>0.0</v>
      </c>
      <c r="P1143" s="20">
        <v>0.0</v>
      </c>
      <c r="Q1143" s="20">
        <v>0.0</v>
      </c>
      <c r="R1143" s="20">
        <v>0.0</v>
      </c>
      <c r="S1143" s="20">
        <v>0.0</v>
      </c>
      <c r="T1143" s="20">
        <v>0.0</v>
      </c>
      <c r="U1143" s="20">
        <v>0.0</v>
      </c>
    </row>
    <row r="1144" ht="23.25" customHeight="1">
      <c r="A1144" s="17" t="str">
        <f>IF(COUNTIF('Icon Lookup'!C:C,B1144)&gt;0,LOOKUP(B1144,'Icon Lookup'!C:C,'Icon Lookup'!B:B),"")</f>
        <v/>
      </c>
      <c r="B1144" s="18" t="s">
        <v>86</v>
      </c>
      <c r="C1144" s="17"/>
      <c r="D1144" s="17">
        <v>26.0</v>
      </c>
      <c r="E1144" s="17" t="s">
        <v>87</v>
      </c>
      <c r="G1144" s="19"/>
      <c r="H1144" s="20" t="s">
        <v>1547</v>
      </c>
      <c r="I1144" s="17" t="s">
        <v>46</v>
      </c>
      <c r="J1144" s="17">
        <v>0.0</v>
      </c>
      <c r="K1144" s="17">
        <v>0.0</v>
      </c>
      <c r="L1144" s="17">
        <v>0.0</v>
      </c>
      <c r="M1144" s="17">
        <v>0.0</v>
      </c>
      <c r="N1144" s="17">
        <v>0.0</v>
      </c>
      <c r="O1144" s="17">
        <v>0.0</v>
      </c>
      <c r="P1144" s="17">
        <v>0.0</v>
      </c>
      <c r="Q1144" s="17">
        <v>0.0</v>
      </c>
      <c r="R1144" s="17">
        <v>0.0</v>
      </c>
      <c r="S1144" s="17">
        <v>0.0</v>
      </c>
      <c r="T1144" s="17">
        <v>0.0</v>
      </c>
      <c r="U1144" s="17">
        <v>0.0</v>
      </c>
    </row>
    <row r="1145" ht="23.25" customHeight="1">
      <c r="A1145" s="1"/>
      <c r="B1145" s="15" t="s">
        <v>1548</v>
      </c>
      <c r="C1145" s="1" t="s">
        <v>17</v>
      </c>
      <c r="D1145" s="1" t="s">
        <v>1549</v>
      </c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</row>
    <row r="1146" ht="23.25" customHeight="1">
      <c r="A1146" s="20" t="str">
        <f>IF(COUNTIF('Icon Lookup'!C:C,B1146)&gt;0,LOOKUP(B1146,'Icon Lookup'!C:C,'Icon Lookup'!B:B),"")</f>
        <v/>
      </c>
      <c r="B1146" s="21" t="s">
        <v>37</v>
      </c>
      <c r="C1146" s="20"/>
      <c r="D1146" s="20">
        <v>25.0</v>
      </c>
      <c r="E1146" s="20" t="s">
        <v>38</v>
      </c>
      <c r="G1146" s="22"/>
      <c r="H1146" s="23" t="s">
        <v>1550</v>
      </c>
      <c r="I1146" s="20" t="s">
        <v>40</v>
      </c>
      <c r="J1146" s="20">
        <v>0.0</v>
      </c>
      <c r="K1146" s="20">
        <v>0.0</v>
      </c>
      <c r="L1146" s="20">
        <v>0.0</v>
      </c>
      <c r="M1146" s="20">
        <v>0.0</v>
      </c>
      <c r="N1146" s="20">
        <v>0.0</v>
      </c>
      <c r="O1146" s="20">
        <v>0.0</v>
      </c>
      <c r="P1146" s="20">
        <v>0.0</v>
      </c>
      <c r="Q1146" s="20">
        <v>0.0</v>
      </c>
      <c r="R1146" s="20">
        <v>0.0</v>
      </c>
      <c r="S1146" s="20">
        <v>0.0</v>
      </c>
      <c r="T1146" s="20">
        <v>0.0</v>
      </c>
      <c r="U1146" s="20">
        <v>0.0</v>
      </c>
    </row>
    <row r="1147" ht="23.25" customHeight="1">
      <c r="A1147" s="17" t="str">
        <f>IF(COUNTIF('Icon Lookup'!C:C,B1147)&gt;0,LOOKUP(B1147,'Icon Lookup'!C:C,'Icon Lookup'!B:B),"")</f>
        <v/>
      </c>
      <c r="B1147" s="18" t="s">
        <v>282</v>
      </c>
      <c r="C1147" s="17"/>
      <c r="D1147" s="17">
        <v>25.0</v>
      </c>
      <c r="E1147" s="17" t="s">
        <v>283</v>
      </c>
      <c r="G1147" s="19"/>
      <c r="H1147" s="20" t="s">
        <v>1551</v>
      </c>
      <c r="I1147" s="17" t="s">
        <v>46</v>
      </c>
      <c r="J1147" s="17">
        <v>0.0</v>
      </c>
      <c r="K1147" s="17">
        <v>0.0</v>
      </c>
      <c r="L1147" s="17">
        <v>0.0</v>
      </c>
      <c r="M1147" s="17">
        <v>0.0</v>
      </c>
      <c r="N1147" s="17">
        <v>0.0</v>
      </c>
      <c r="O1147" s="17">
        <v>0.0</v>
      </c>
      <c r="P1147" s="17">
        <v>0.0</v>
      </c>
      <c r="Q1147" s="17">
        <v>0.0</v>
      </c>
      <c r="R1147" s="17">
        <v>0.0</v>
      </c>
      <c r="S1147" s="17">
        <v>0.0</v>
      </c>
      <c r="T1147" s="17">
        <v>0.0</v>
      </c>
      <c r="U1147" s="17">
        <v>0.0</v>
      </c>
    </row>
    <row r="1148" ht="23.25" customHeight="1">
      <c r="A1148" s="1"/>
      <c r="B1148" s="15" t="s">
        <v>1552</v>
      </c>
      <c r="C1148" s="1" t="s">
        <v>17</v>
      </c>
      <c r="D1148" s="1" t="s">
        <v>1553</v>
      </c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</row>
    <row r="1149" ht="23.25" customHeight="1">
      <c r="A1149" s="20" t="str">
        <f>IF(COUNTIF('Icon Lookup'!C:C,B1149)&gt;0,LOOKUP(B1149,'Icon Lookup'!C:C,'Icon Lookup'!B:B),"")</f>
        <v/>
      </c>
      <c r="B1149" s="21" t="s">
        <v>1017</v>
      </c>
      <c r="C1149" s="20"/>
      <c r="D1149" s="20">
        <v>27.0</v>
      </c>
      <c r="E1149" s="20" t="s">
        <v>1018</v>
      </c>
      <c r="G1149" s="22"/>
      <c r="H1149" s="23" t="s">
        <v>1554</v>
      </c>
      <c r="I1149" s="20" t="s">
        <v>46</v>
      </c>
      <c r="J1149" s="20">
        <v>0.0</v>
      </c>
      <c r="K1149" s="20">
        <v>0.0</v>
      </c>
      <c r="L1149" s="20">
        <v>0.0</v>
      </c>
      <c r="M1149" s="20">
        <v>0.0</v>
      </c>
      <c r="N1149" s="20">
        <v>0.0</v>
      </c>
      <c r="O1149" s="20">
        <v>0.0</v>
      </c>
      <c r="P1149" s="20">
        <v>0.0</v>
      </c>
      <c r="Q1149" s="20">
        <v>0.0</v>
      </c>
      <c r="R1149" s="20">
        <v>0.0</v>
      </c>
      <c r="S1149" s="20">
        <v>0.0</v>
      </c>
      <c r="T1149" s="20">
        <v>0.0</v>
      </c>
      <c r="U1149" s="20">
        <v>0.0</v>
      </c>
    </row>
    <row r="1150" ht="23.25" customHeight="1">
      <c r="A1150" s="1"/>
      <c r="B1150" s="15" t="s">
        <v>1555</v>
      </c>
      <c r="C1150" s="1" t="s">
        <v>17</v>
      </c>
      <c r="D1150" s="1" t="s">
        <v>1556</v>
      </c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</row>
    <row r="1151" ht="23.25" customHeight="1">
      <c r="A1151" s="17" t="str">
        <f>IF(COUNTIF('Icon Lookup'!C:C,B1151)&gt;0,LOOKUP(B1151,'Icon Lookup'!C:C,'Icon Lookup'!B:B),"")</f>
        <v/>
      </c>
      <c r="B1151" s="18" t="s">
        <v>1557</v>
      </c>
      <c r="C1151" s="17"/>
      <c r="D1151" s="17">
        <v>25.0</v>
      </c>
      <c r="E1151" s="17" t="s">
        <v>289</v>
      </c>
      <c r="G1151" s="19"/>
      <c r="H1151" s="20" t="s">
        <v>1558</v>
      </c>
      <c r="I1151" s="17" t="s">
        <v>105</v>
      </c>
      <c r="J1151" s="17">
        <v>0.0</v>
      </c>
      <c r="K1151" s="17">
        <v>0.0</v>
      </c>
      <c r="L1151" s="17">
        <v>0.0</v>
      </c>
      <c r="M1151" s="17">
        <v>0.0</v>
      </c>
      <c r="N1151" s="17">
        <v>0.0</v>
      </c>
      <c r="O1151" s="17">
        <v>0.0</v>
      </c>
      <c r="P1151" s="17">
        <v>0.0</v>
      </c>
      <c r="Q1151" s="17">
        <v>0.0</v>
      </c>
      <c r="R1151" s="17">
        <v>0.0</v>
      </c>
      <c r="S1151" s="17">
        <v>0.0</v>
      </c>
      <c r="T1151" s="17">
        <v>0.0</v>
      </c>
      <c r="U1151" s="17">
        <v>0.0</v>
      </c>
    </row>
    <row r="1152" ht="23.25" customHeight="1">
      <c r="A1152" s="1"/>
      <c r="B1152" s="15" t="s">
        <v>1559</v>
      </c>
      <c r="C1152" s="1" t="s">
        <v>17</v>
      </c>
      <c r="D1152" s="1" t="s">
        <v>1560</v>
      </c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</row>
    <row r="1153" ht="23.25" customHeight="1">
      <c r="A1153" s="20" t="str">
        <f>IF(COUNTIF('Icon Lookup'!C:C,B1153)&gt;0,LOOKUP(B1153,'Icon Lookup'!C:C,'Icon Lookup'!B:B),"")</f>
        <v/>
      </c>
      <c r="B1153" s="21" t="s">
        <v>482</v>
      </c>
      <c r="C1153" s="20"/>
      <c r="D1153" s="20">
        <v>43.0</v>
      </c>
      <c r="E1153" s="20" t="s">
        <v>218</v>
      </c>
      <c r="G1153" s="22"/>
      <c r="H1153" s="23" t="s">
        <v>605</v>
      </c>
      <c r="I1153" s="20" t="s">
        <v>265</v>
      </c>
      <c r="J1153" s="20">
        <v>0.0</v>
      </c>
      <c r="K1153" s="20">
        <v>0.0</v>
      </c>
      <c r="L1153" s="20">
        <v>0.0</v>
      </c>
      <c r="M1153" s="20">
        <v>0.0</v>
      </c>
      <c r="N1153" s="20">
        <v>0.0</v>
      </c>
      <c r="O1153" s="20">
        <v>0.0</v>
      </c>
      <c r="P1153" s="20">
        <v>0.0</v>
      </c>
      <c r="Q1153" s="20">
        <v>0.0</v>
      </c>
      <c r="R1153" s="20">
        <v>0.0</v>
      </c>
      <c r="S1153" s="20">
        <v>0.0</v>
      </c>
      <c r="T1153" s="20">
        <v>0.0</v>
      </c>
      <c r="U1153" s="20">
        <v>0.0</v>
      </c>
    </row>
    <row r="1154" ht="23.25" customHeight="1">
      <c r="A1154" s="1"/>
      <c r="B1154" s="15" t="s">
        <v>1561</v>
      </c>
      <c r="C1154" s="1" t="s">
        <v>17</v>
      </c>
      <c r="D1154" s="1" t="s">
        <v>1562</v>
      </c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</row>
    <row r="1155" ht="23.25" customHeight="1">
      <c r="A1155" s="17" t="str">
        <f>IF(COUNTIF('Icon Lookup'!C:C,B1155)&gt;0,LOOKUP(B1155,'Icon Lookup'!C:C,'Icon Lookup'!B:B),"")</f>
        <v/>
      </c>
      <c r="B1155" s="18" t="s">
        <v>271</v>
      </c>
      <c r="C1155" s="17"/>
      <c r="D1155" s="17">
        <v>31.0</v>
      </c>
      <c r="E1155" s="17" t="s">
        <v>44</v>
      </c>
      <c r="G1155" s="19"/>
      <c r="H1155" s="20" t="s">
        <v>581</v>
      </c>
      <c r="I1155" s="17" t="s">
        <v>211</v>
      </c>
      <c r="J1155" s="17">
        <v>0.0</v>
      </c>
      <c r="K1155" s="17">
        <v>0.0</v>
      </c>
      <c r="L1155" s="17">
        <v>0.0</v>
      </c>
      <c r="M1155" s="17">
        <v>0.0</v>
      </c>
      <c r="N1155" s="17">
        <v>0.0</v>
      </c>
      <c r="O1155" s="17">
        <v>0.0</v>
      </c>
      <c r="P1155" s="17">
        <v>0.0</v>
      </c>
      <c r="Q1155" s="17">
        <v>0.0</v>
      </c>
      <c r="R1155" s="17">
        <v>0.0</v>
      </c>
      <c r="S1155" s="17">
        <v>0.0</v>
      </c>
      <c r="T1155" s="17">
        <v>0.0</v>
      </c>
      <c r="U1155" s="17">
        <v>0.0</v>
      </c>
    </row>
    <row r="1156" ht="23.25" customHeight="1">
      <c r="A1156" s="1"/>
      <c r="B1156" s="15" t="s">
        <v>1563</v>
      </c>
      <c r="C1156" s="1" t="s">
        <v>17</v>
      </c>
      <c r="D1156" s="1" t="s">
        <v>1564</v>
      </c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</row>
    <row r="1157" ht="23.25" customHeight="1">
      <c r="A1157" s="20" t="str">
        <f>IF(COUNTIF('Icon Lookup'!C:C,B1157)&gt;0,LOOKUP(B1157,'Icon Lookup'!C:C,'Icon Lookup'!B:B),"")</f>
        <v/>
      </c>
      <c r="B1157" s="21" t="s">
        <v>30</v>
      </c>
      <c r="C1157" s="20"/>
      <c r="D1157" s="20">
        <v>13.0</v>
      </c>
      <c r="E1157" s="20" t="s">
        <v>31</v>
      </c>
      <c r="G1157" s="22"/>
      <c r="H1157" s="23" t="s">
        <v>222</v>
      </c>
      <c r="I1157" s="20" t="s">
        <v>36</v>
      </c>
      <c r="J1157" s="20">
        <v>0.0</v>
      </c>
      <c r="K1157" s="20">
        <v>0.0</v>
      </c>
      <c r="L1157" s="20">
        <v>0.0</v>
      </c>
      <c r="M1157" s="20">
        <v>0.0</v>
      </c>
      <c r="N1157" s="20">
        <v>0.0</v>
      </c>
      <c r="O1157" s="20">
        <v>0.0</v>
      </c>
      <c r="P1157" s="20">
        <v>0.0</v>
      </c>
      <c r="Q1157" s="20">
        <v>0.0</v>
      </c>
      <c r="R1157" s="20">
        <v>0.0</v>
      </c>
      <c r="S1157" s="20">
        <v>0.0</v>
      </c>
      <c r="T1157" s="20">
        <v>0.0</v>
      </c>
      <c r="U1157" s="20">
        <v>0.0</v>
      </c>
    </row>
    <row r="1158" ht="23.25" customHeight="1">
      <c r="A1158" s="17" t="str">
        <f>IF(COUNTIF('Icon Lookup'!C:C,B1158)&gt;0,LOOKUP(B1158,'Icon Lookup'!C:C,'Icon Lookup'!B:B),"")</f>
        <v/>
      </c>
      <c r="B1158" s="18" t="s">
        <v>37</v>
      </c>
      <c r="C1158" s="17"/>
      <c r="D1158" s="17">
        <v>14.0</v>
      </c>
      <c r="E1158" s="17" t="s">
        <v>38</v>
      </c>
      <c r="G1158" s="19"/>
      <c r="H1158" s="20" t="s">
        <v>318</v>
      </c>
      <c r="I1158" s="17" t="s">
        <v>40</v>
      </c>
      <c r="J1158" s="17">
        <v>0.0</v>
      </c>
      <c r="K1158" s="17">
        <v>0.0</v>
      </c>
      <c r="L1158" s="17">
        <v>0.0</v>
      </c>
      <c r="M1158" s="17">
        <v>0.0</v>
      </c>
      <c r="N1158" s="17">
        <v>0.0</v>
      </c>
      <c r="O1158" s="17">
        <v>0.0</v>
      </c>
      <c r="P1158" s="17">
        <v>0.0</v>
      </c>
      <c r="Q1158" s="17">
        <v>0.0</v>
      </c>
      <c r="R1158" s="17">
        <v>0.0</v>
      </c>
      <c r="S1158" s="17">
        <v>0.0</v>
      </c>
      <c r="T1158" s="17">
        <v>0.0</v>
      </c>
      <c r="U1158" s="17">
        <v>0.0</v>
      </c>
    </row>
    <row r="1159" ht="23.25" customHeight="1">
      <c r="A1159" s="20" t="str">
        <f>IF(COUNTIF('Icon Lookup'!C:C,B1159)&gt;0,LOOKUP(B1159,'Icon Lookup'!C:C,'Icon Lookup'!B:B),"")</f>
        <v/>
      </c>
      <c r="B1159" s="21" t="s">
        <v>379</v>
      </c>
      <c r="C1159" s="20"/>
      <c r="D1159" s="20">
        <v>15.0</v>
      </c>
      <c r="E1159" s="20" t="s">
        <v>121</v>
      </c>
      <c r="G1159" s="22"/>
      <c r="H1159" s="23" t="s">
        <v>1565</v>
      </c>
      <c r="I1159" s="20" t="s">
        <v>36</v>
      </c>
      <c r="J1159" s="20">
        <v>0.0</v>
      </c>
      <c r="K1159" s="20">
        <v>0.0</v>
      </c>
      <c r="L1159" s="20">
        <v>0.0</v>
      </c>
      <c r="M1159" s="20">
        <v>0.0</v>
      </c>
      <c r="N1159" s="20">
        <v>0.0</v>
      </c>
      <c r="O1159" s="20">
        <v>0.0</v>
      </c>
      <c r="P1159" s="20">
        <v>0.0</v>
      </c>
      <c r="Q1159" s="20">
        <v>0.0</v>
      </c>
      <c r="R1159" s="20">
        <v>0.0</v>
      </c>
      <c r="S1159" s="20">
        <v>0.0</v>
      </c>
      <c r="T1159" s="20">
        <v>0.0</v>
      </c>
      <c r="U1159" s="20">
        <v>0.0</v>
      </c>
    </row>
    <row r="1160" ht="23.25" customHeight="1">
      <c r="A1160" s="1"/>
      <c r="B1160" s="15" t="s">
        <v>1566</v>
      </c>
      <c r="C1160" s="1" t="s">
        <v>17</v>
      </c>
      <c r="D1160" s="1" t="s">
        <v>1567</v>
      </c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</row>
    <row r="1161" ht="23.25" customHeight="1">
      <c r="A1161" s="17" t="str">
        <f>IF(COUNTIF('Icon Lookup'!C:C,B1161)&gt;0,LOOKUP(B1161,'Icon Lookup'!C:C,'Icon Lookup'!B:B),"")</f>
        <v/>
      </c>
      <c r="B1161" s="18" t="s">
        <v>271</v>
      </c>
      <c r="C1161" s="17"/>
      <c r="D1161" s="17">
        <v>26.0</v>
      </c>
      <c r="E1161" s="17" t="s">
        <v>111</v>
      </c>
      <c r="G1161" s="19"/>
      <c r="H1161" s="20" t="s">
        <v>1568</v>
      </c>
      <c r="I1161" s="17" t="s">
        <v>22</v>
      </c>
      <c r="J1161" s="17">
        <v>0.0</v>
      </c>
      <c r="K1161" s="17">
        <v>0.0</v>
      </c>
      <c r="L1161" s="17">
        <v>0.0</v>
      </c>
      <c r="M1161" s="17">
        <v>0.0</v>
      </c>
      <c r="N1161" s="17">
        <v>0.0</v>
      </c>
      <c r="O1161" s="17">
        <v>0.0</v>
      </c>
      <c r="P1161" s="17">
        <v>0.0</v>
      </c>
      <c r="Q1161" s="17">
        <v>0.0</v>
      </c>
      <c r="R1161" s="17">
        <v>0.0</v>
      </c>
      <c r="S1161" s="17">
        <v>0.0</v>
      </c>
      <c r="T1161" s="17">
        <v>0.0</v>
      </c>
      <c r="U1161" s="17">
        <v>0.0</v>
      </c>
    </row>
    <row r="1162" ht="23.25" customHeight="1">
      <c r="A1162" s="1"/>
      <c r="B1162" s="15" t="s">
        <v>1569</v>
      </c>
      <c r="C1162" s="1" t="s">
        <v>17</v>
      </c>
      <c r="D1162" s="1" t="s">
        <v>1570</v>
      </c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</row>
    <row r="1163" ht="23.25" customHeight="1">
      <c r="A1163" s="20" t="str">
        <f>IF(COUNTIF('Icon Lookup'!C:C,B1163)&gt;0,LOOKUP(B1163,'Icon Lookup'!C:C,'Icon Lookup'!B:B),"")</f>
        <v/>
      </c>
      <c r="B1163" s="21" t="s">
        <v>661</v>
      </c>
      <c r="C1163" s="20"/>
      <c r="D1163" s="20">
        <v>24.0</v>
      </c>
      <c r="E1163" s="20" t="s">
        <v>887</v>
      </c>
      <c r="G1163" s="22"/>
      <c r="H1163" s="23" t="s">
        <v>1571</v>
      </c>
      <c r="I1163" s="20" t="s">
        <v>52</v>
      </c>
      <c r="J1163" s="20">
        <v>0.0</v>
      </c>
      <c r="K1163" s="20">
        <v>0.0</v>
      </c>
      <c r="L1163" s="20">
        <v>0.0</v>
      </c>
      <c r="M1163" s="20">
        <v>0.0</v>
      </c>
      <c r="N1163" s="20">
        <v>0.0</v>
      </c>
      <c r="O1163" s="20">
        <v>0.0</v>
      </c>
      <c r="P1163" s="20">
        <v>0.0</v>
      </c>
      <c r="Q1163" s="20">
        <v>0.0</v>
      </c>
      <c r="R1163" s="20">
        <v>0.0</v>
      </c>
      <c r="S1163" s="20">
        <v>0.0</v>
      </c>
      <c r="T1163" s="20">
        <v>0.0</v>
      </c>
      <c r="U1163" s="20">
        <v>0.0</v>
      </c>
    </row>
    <row r="1164" ht="23.25" customHeight="1">
      <c r="A1164" s="17" t="str">
        <f>IF(COUNTIF('Icon Lookup'!C:C,B1164)&gt;0,LOOKUP(B1164,'Icon Lookup'!C:C,'Icon Lookup'!B:B),"")</f>
        <v/>
      </c>
      <c r="B1164" s="18" t="s">
        <v>381</v>
      </c>
      <c r="C1164" s="17"/>
      <c r="D1164" s="17">
        <v>24.0</v>
      </c>
      <c r="E1164" s="17" t="s">
        <v>603</v>
      </c>
      <c r="G1164" s="19"/>
      <c r="H1164" s="20" t="s">
        <v>1572</v>
      </c>
      <c r="I1164" s="17" t="s">
        <v>550</v>
      </c>
      <c r="J1164" s="17">
        <v>0.0</v>
      </c>
      <c r="K1164" s="17">
        <v>0.0</v>
      </c>
      <c r="L1164" s="17">
        <v>0.0</v>
      </c>
      <c r="M1164" s="17">
        <v>0.0</v>
      </c>
      <c r="N1164" s="17">
        <v>0.0</v>
      </c>
      <c r="O1164" s="17">
        <v>0.0</v>
      </c>
      <c r="P1164" s="17">
        <v>0.0</v>
      </c>
      <c r="Q1164" s="17">
        <v>0.0</v>
      </c>
      <c r="R1164" s="17">
        <v>0.0</v>
      </c>
      <c r="S1164" s="17">
        <v>0.0</v>
      </c>
      <c r="T1164" s="17">
        <v>0.0</v>
      </c>
      <c r="U1164" s="17">
        <v>0.0</v>
      </c>
    </row>
    <row r="1165" ht="23.25" customHeight="1">
      <c r="A1165" s="1"/>
      <c r="B1165" s="15" t="s">
        <v>1573</v>
      </c>
      <c r="C1165" s="1" t="s">
        <v>17</v>
      </c>
      <c r="D1165" s="1" t="s">
        <v>1574</v>
      </c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</row>
    <row r="1166" ht="23.25" customHeight="1">
      <c r="A1166" s="20" t="str">
        <f>IF(COUNTIF('Icon Lookup'!C:C,B1166)&gt;0,LOOKUP(B1166,'Icon Lookup'!C:C,'Icon Lookup'!B:B),"")</f>
        <v/>
      </c>
      <c r="B1166" s="21" t="s">
        <v>697</v>
      </c>
      <c r="C1166" s="20"/>
      <c r="D1166" s="20">
        <v>54.0</v>
      </c>
      <c r="E1166" s="20" t="s">
        <v>258</v>
      </c>
      <c r="G1166" s="22"/>
      <c r="H1166" s="23" t="s">
        <v>1575</v>
      </c>
      <c r="I1166" s="20" t="s">
        <v>94</v>
      </c>
      <c r="J1166" s="20">
        <v>0.0</v>
      </c>
      <c r="K1166" s="20">
        <v>0.0</v>
      </c>
      <c r="L1166" s="20">
        <v>0.0</v>
      </c>
      <c r="M1166" s="20">
        <v>0.0</v>
      </c>
      <c r="N1166" s="20">
        <v>0.0</v>
      </c>
      <c r="O1166" s="20">
        <v>0.0</v>
      </c>
      <c r="P1166" s="20">
        <v>0.0</v>
      </c>
      <c r="Q1166" s="20">
        <v>0.0</v>
      </c>
      <c r="R1166" s="20">
        <v>0.0</v>
      </c>
      <c r="S1166" s="20">
        <v>0.0</v>
      </c>
      <c r="T1166" s="20">
        <v>0.0</v>
      </c>
      <c r="U1166" s="20">
        <v>0.0</v>
      </c>
    </row>
    <row r="1167" ht="23.25" customHeight="1">
      <c r="A1167" s="17" t="str">
        <f>IF(COUNTIF('Icon Lookup'!C:C,B1167)&gt;0,LOOKUP(B1167,'Icon Lookup'!C:C,'Icon Lookup'!B:B),"")</f>
        <v/>
      </c>
      <c r="B1167" s="18" t="s">
        <v>643</v>
      </c>
      <c r="C1167" s="17"/>
      <c r="D1167" s="17">
        <v>54.0</v>
      </c>
      <c r="E1167" s="17" t="s">
        <v>525</v>
      </c>
      <c r="G1167" s="19"/>
      <c r="H1167" s="20" t="s">
        <v>1576</v>
      </c>
      <c r="I1167" s="17" t="s">
        <v>89</v>
      </c>
      <c r="J1167" s="17">
        <v>0.0</v>
      </c>
      <c r="K1167" s="17">
        <v>0.0</v>
      </c>
      <c r="L1167" s="17">
        <v>0.0</v>
      </c>
      <c r="M1167" s="17">
        <v>0.0</v>
      </c>
      <c r="N1167" s="17">
        <v>0.0</v>
      </c>
      <c r="O1167" s="17">
        <v>0.0</v>
      </c>
      <c r="P1167" s="17">
        <v>0.0</v>
      </c>
      <c r="Q1167" s="17">
        <v>0.0</v>
      </c>
      <c r="R1167" s="17">
        <v>0.0</v>
      </c>
      <c r="S1167" s="17">
        <v>0.0</v>
      </c>
      <c r="T1167" s="17">
        <v>0.0</v>
      </c>
      <c r="U1167" s="17">
        <v>0.0</v>
      </c>
    </row>
    <row r="1168" ht="23.25" customHeight="1">
      <c r="A1168" s="20" t="str">
        <f>IF(COUNTIF('Icon Lookup'!C:C,B1168)&gt;0,LOOKUP(B1168,'Icon Lookup'!C:C,'Icon Lookup'!B:B),"")</f>
        <v/>
      </c>
      <c r="B1168" s="21" t="s">
        <v>767</v>
      </c>
      <c r="C1168" s="20"/>
      <c r="D1168" s="20">
        <v>54.0</v>
      </c>
      <c r="E1168" s="20" t="s">
        <v>768</v>
      </c>
      <c r="G1168" s="22"/>
      <c r="H1168" s="23" t="s">
        <v>1577</v>
      </c>
      <c r="I1168" s="20" t="s">
        <v>156</v>
      </c>
      <c r="J1168" s="20">
        <v>0.0</v>
      </c>
      <c r="K1168" s="20">
        <v>0.0</v>
      </c>
      <c r="L1168" s="20">
        <v>0.0</v>
      </c>
      <c r="M1168" s="20">
        <v>0.0</v>
      </c>
      <c r="N1168" s="20">
        <v>0.0</v>
      </c>
      <c r="O1168" s="20">
        <v>0.0</v>
      </c>
      <c r="P1168" s="20">
        <v>0.0</v>
      </c>
      <c r="Q1168" s="20">
        <v>0.0</v>
      </c>
      <c r="R1168" s="20">
        <v>0.0</v>
      </c>
      <c r="S1168" s="20">
        <v>0.0</v>
      </c>
      <c r="T1168" s="20">
        <v>0.0</v>
      </c>
      <c r="U1168" s="20">
        <v>0.0</v>
      </c>
    </row>
    <row r="1169" ht="23.25" customHeight="1">
      <c r="A1169" s="1"/>
      <c r="B1169" s="15" t="s">
        <v>1578</v>
      </c>
      <c r="C1169" s="1" t="s">
        <v>17</v>
      </c>
      <c r="D1169" s="1" t="s">
        <v>1579</v>
      </c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</row>
    <row r="1170" ht="23.25" customHeight="1">
      <c r="A1170" s="17" t="str">
        <f>IF(COUNTIF('Icon Lookup'!C:C,B1170)&gt;0,LOOKUP(B1170,'Icon Lookup'!C:C,'Icon Lookup'!B:B),"")</f>
        <v/>
      </c>
      <c r="B1170" s="18" t="s">
        <v>1040</v>
      </c>
      <c r="C1170" s="17"/>
      <c r="D1170" s="17">
        <v>54.0</v>
      </c>
      <c r="E1170" s="17" t="s">
        <v>382</v>
      </c>
      <c r="G1170" s="19"/>
      <c r="H1170" s="20" t="s">
        <v>1580</v>
      </c>
      <c r="I1170" s="17" t="s">
        <v>89</v>
      </c>
      <c r="J1170" s="17">
        <v>0.0</v>
      </c>
      <c r="K1170" s="17">
        <v>0.0</v>
      </c>
      <c r="L1170" s="17">
        <v>0.0</v>
      </c>
      <c r="M1170" s="17">
        <v>0.0</v>
      </c>
      <c r="N1170" s="17">
        <v>0.0</v>
      </c>
      <c r="O1170" s="17">
        <v>0.0</v>
      </c>
      <c r="P1170" s="17">
        <v>0.0</v>
      </c>
      <c r="Q1170" s="17">
        <v>0.0</v>
      </c>
      <c r="R1170" s="17">
        <v>0.0</v>
      </c>
      <c r="S1170" s="17">
        <v>0.0</v>
      </c>
      <c r="T1170" s="17">
        <v>0.0</v>
      </c>
      <c r="U1170" s="17">
        <v>0.0</v>
      </c>
    </row>
    <row r="1171" ht="23.25" customHeight="1">
      <c r="A1171" s="20" t="str">
        <f>IF(COUNTIF('Icon Lookup'!C:C,B1171)&gt;0,LOOKUP(B1171,'Icon Lookup'!C:C,'Icon Lookup'!B:B),"")</f>
        <v/>
      </c>
      <c r="B1171" s="21" t="s">
        <v>176</v>
      </c>
      <c r="C1171" s="20"/>
      <c r="D1171" s="20">
        <v>54.0</v>
      </c>
      <c r="E1171" s="20" t="s">
        <v>98</v>
      </c>
      <c r="G1171" s="22"/>
      <c r="H1171" s="23" t="s">
        <v>1581</v>
      </c>
      <c r="I1171" s="20" t="s">
        <v>89</v>
      </c>
      <c r="J1171" s="20">
        <v>0.0</v>
      </c>
      <c r="K1171" s="20">
        <v>0.0</v>
      </c>
      <c r="L1171" s="20">
        <v>0.0</v>
      </c>
      <c r="M1171" s="20">
        <v>0.0</v>
      </c>
      <c r="N1171" s="20">
        <v>0.0</v>
      </c>
      <c r="O1171" s="20">
        <v>0.0</v>
      </c>
      <c r="P1171" s="20">
        <v>0.0</v>
      </c>
      <c r="Q1171" s="20">
        <v>0.0</v>
      </c>
      <c r="R1171" s="20">
        <v>0.0</v>
      </c>
      <c r="S1171" s="20">
        <v>0.0</v>
      </c>
      <c r="T1171" s="20">
        <v>0.0</v>
      </c>
      <c r="U1171" s="20">
        <v>0.0</v>
      </c>
    </row>
    <row r="1172" ht="23.25" customHeight="1">
      <c r="A1172" s="17" t="str">
        <f>IF(COUNTIF('Icon Lookup'!C:C,B1172)&gt;0,LOOKUP(B1172,'Icon Lookup'!C:C,'Icon Lookup'!B:B),"")</f>
        <v/>
      </c>
      <c r="B1172" s="18" t="s">
        <v>174</v>
      </c>
      <c r="C1172" s="17"/>
      <c r="D1172" s="17">
        <v>54.0</v>
      </c>
      <c r="E1172" s="17" t="s">
        <v>38</v>
      </c>
      <c r="G1172" s="19"/>
      <c r="H1172" s="20" t="s">
        <v>1429</v>
      </c>
      <c r="I1172" s="17" t="s">
        <v>156</v>
      </c>
      <c r="J1172" s="17">
        <v>0.0</v>
      </c>
      <c r="K1172" s="17">
        <v>0.0</v>
      </c>
      <c r="L1172" s="17">
        <v>0.0</v>
      </c>
      <c r="M1172" s="17">
        <v>0.0</v>
      </c>
      <c r="N1172" s="17">
        <v>0.0</v>
      </c>
      <c r="O1172" s="17">
        <v>0.0</v>
      </c>
      <c r="P1172" s="17">
        <v>0.0</v>
      </c>
      <c r="Q1172" s="17">
        <v>0.0</v>
      </c>
      <c r="R1172" s="17">
        <v>0.0</v>
      </c>
      <c r="S1172" s="17">
        <v>0.0</v>
      </c>
      <c r="T1172" s="17">
        <v>0.0</v>
      </c>
      <c r="U1172" s="17">
        <v>0.0</v>
      </c>
    </row>
    <row r="1173" ht="23.25" customHeight="1">
      <c r="A1173" s="1"/>
      <c r="B1173" s="15" t="s">
        <v>1582</v>
      </c>
      <c r="C1173" s="1" t="s">
        <v>17</v>
      </c>
      <c r="D1173" s="1" t="s">
        <v>1583</v>
      </c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</row>
    <row r="1174" ht="23.25" customHeight="1">
      <c r="A1174" s="20" t="str">
        <f>IF(COUNTIF('Icon Lookup'!C:C,B1174)&gt;0,LOOKUP(B1174,'Icon Lookup'!C:C,'Icon Lookup'!B:B),"")</f>
        <v/>
      </c>
      <c r="B1174" s="21" t="s">
        <v>97</v>
      </c>
      <c r="C1174" s="20"/>
      <c r="D1174" s="20">
        <v>31.0</v>
      </c>
      <c r="E1174" s="20" t="s">
        <v>87</v>
      </c>
      <c r="G1174" s="22"/>
      <c r="H1174" s="23" t="s">
        <v>178</v>
      </c>
      <c r="I1174" s="20" t="s">
        <v>89</v>
      </c>
      <c r="J1174" s="20">
        <v>0.0</v>
      </c>
      <c r="K1174" s="20">
        <v>0.0</v>
      </c>
      <c r="L1174" s="20">
        <v>0.0</v>
      </c>
      <c r="M1174" s="20">
        <v>0.0</v>
      </c>
      <c r="N1174" s="20">
        <v>0.0</v>
      </c>
      <c r="O1174" s="20">
        <v>0.0</v>
      </c>
      <c r="P1174" s="20">
        <v>0.0</v>
      </c>
      <c r="Q1174" s="20">
        <v>0.0</v>
      </c>
      <c r="R1174" s="20">
        <v>0.0</v>
      </c>
      <c r="S1174" s="20">
        <v>0.0</v>
      </c>
      <c r="T1174" s="20">
        <v>0.0</v>
      </c>
      <c r="U1174" s="20">
        <v>0.0</v>
      </c>
    </row>
    <row r="1175" ht="23.25" customHeight="1">
      <c r="A1175" s="17" t="str">
        <f>IF(COUNTIF('Icon Lookup'!C:C,B1175)&gt;0,LOOKUP(B1175,'Icon Lookup'!C:C,'Icon Lookup'!B:B),"")</f>
        <v/>
      </c>
      <c r="B1175" s="18" t="s">
        <v>176</v>
      </c>
      <c r="C1175" s="17"/>
      <c r="D1175" s="17">
        <v>31.0</v>
      </c>
      <c r="E1175" s="17" t="s">
        <v>87</v>
      </c>
      <c r="G1175" s="19"/>
      <c r="H1175" s="20" t="s">
        <v>177</v>
      </c>
      <c r="I1175" s="17" t="s">
        <v>89</v>
      </c>
      <c r="J1175" s="17">
        <v>0.0</v>
      </c>
      <c r="K1175" s="17">
        <v>0.0</v>
      </c>
      <c r="L1175" s="17">
        <v>0.0</v>
      </c>
      <c r="M1175" s="17">
        <v>0.0</v>
      </c>
      <c r="N1175" s="17">
        <v>0.0</v>
      </c>
      <c r="O1175" s="17">
        <v>0.0</v>
      </c>
      <c r="P1175" s="17">
        <v>0.0</v>
      </c>
      <c r="Q1175" s="17">
        <v>0.0</v>
      </c>
      <c r="R1175" s="17">
        <v>0.0</v>
      </c>
      <c r="S1175" s="17">
        <v>0.0</v>
      </c>
      <c r="T1175" s="17">
        <v>0.0</v>
      </c>
      <c r="U1175" s="17">
        <v>0.0</v>
      </c>
    </row>
    <row r="1176" ht="23.25" customHeight="1">
      <c r="A1176" s="1"/>
      <c r="B1176" s="15" t="s">
        <v>1584</v>
      </c>
      <c r="C1176" s="1" t="s">
        <v>17</v>
      </c>
      <c r="D1176" s="1" t="s">
        <v>1585</v>
      </c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</row>
    <row r="1177" ht="23.25" customHeight="1">
      <c r="A1177" s="20" t="str">
        <f>IF(COUNTIF('Icon Lookup'!C:C,B1177)&gt;0,LOOKUP(B1177,'Icon Lookup'!C:C,'Icon Lookup'!B:B),"")</f>
        <v/>
      </c>
      <c r="B1177" s="21" t="s">
        <v>176</v>
      </c>
      <c r="C1177" s="20"/>
      <c r="D1177" s="20">
        <v>33.0</v>
      </c>
      <c r="E1177" s="20" t="s">
        <v>98</v>
      </c>
      <c r="G1177" s="22"/>
      <c r="H1177" s="23" t="s">
        <v>1586</v>
      </c>
      <c r="I1177" s="20" t="s">
        <v>89</v>
      </c>
      <c r="J1177" s="20">
        <v>0.0</v>
      </c>
      <c r="K1177" s="20">
        <v>0.0</v>
      </c>
      <c r="L1177" s="20">
        <v>0.0</v>
      </c>
      <c r="M1177" s="20">
        <v>0.0</v>
      </c>
      <c r="N1177" s="20">
        <v>0.0</v>
      </c>
      <c r="O1177" s="20">
        <v>0.0</v>
      </c>
      <c r="P1177" s="20">
        <v>0.0</v>
      </c>
      <c r="Q1177" s="20">
        <v>0.0</v>
      </c>
      <c r="R1177" s="20">
        <v>0.0</v>
      </c>
      <c r="S1177" s="20">
        <v>0.0</v>
      </c>
      <c r="T1177" s="20">
        <v>0.0</v>
      </c>
      <c r="U1177" s="20">
        <v>0.0</v>
      </c>
    </row>
    <row r="1178" ht="23.25" customHeight="1">
      <c r="A1178" s="1"/>
      <c r="B1178" s="15" t="s">
        <v>1587</v>
      </c>
      <c r="C1178" s="1" t="s">
        <v>17</v>
      </c>
      <c r="D1178" s="1" t="s">
        <v>1588</v>
      </c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</row>
    <row r="1179" ht="23.25" customHeight="1">
      <c r="A1179" s="17" t="str">
        <f>IF(COUNTIF('Icon Lookup'!C:C,B1179)&gt;0,LOOKUP(B1179,'Icon Lookup'!C:C,'Icon Lookup'!B:B),"")</f>
        <v/>
      </c>
      <c r="B1179" s="18" t="s">
        <v>97</v>
      </c>
      <c r="C1179" s="17"/>
      <c r="D1179" s="17">
        <v>29.0</v>
      </c>
      <c r="E1179" s="17" t="s">
        <v>87</v>
      </c>
      <c r="G1179" s="19"/>
      <c r="H1179" s="20" t="s">
        <v>1589</v>
      </c>
      <c r="I1179" s="17" t="s">
        <v>89</v>
      </c>
      <c r="J1179" s="17">
        <v>0.0</v>
      </c>
      <c r="K1179" s="17">
        <v>0.0</v>
      </c>
      <c r="L1179" s="17">
        <v>0.0</v>
      </c>
      <c r="M1179" s="17">
        <v>0.0</v>
      </c>
      <c r="N1179" s="17">
        <v>0.0</v>
      </c>
      <c r="O1179" s="17">
        <v>0.0</v>
      </c>
      <c r="P1179" s="17">
        <v>0.0</v>
      </c>
      <c r="Q1179" s="17">
        <v>0.0</v>
      </c>
      <c r="R1179" s="17">
        <v>0.0</v>
      </c>
      <c r="S1179" s="17">
        <v>0.0</v>
      </c>
      <c r="T1179" s="17">
        <v>0.0</v>
      </c>
      <c r="U1179" s="17">
        <v>0.0</v>
      </c>
    </row>
    <row r="1180" ht="23.25" customHeight="1">
      <c r="A1180" s="20" t="str">
        <f>IF(COUNTIF('Icon Lookup'!C:C,B1180)&gt;0,LOOKUP(B1180,'Icon Lookup'!C:C,'Icon Lookup'!B:B),"")</f>
        <v/>
      </c>
      <c r="B1180" s="21" t="s">
        <v>756</v>
      </c>
      <c r="C1180" s="20"/>
      <c r="D1180" s="20">
        <v>33.0</v>
      </c>
      <c r="E1180" s="20" t="s">
        <v>87</v>
      </c>
      <c r="G1180" s="22"/>
      <c r="H1180" s="23" t="s">
        <v>1590</v>
      </c>
      <c r="I1180" s="20" t="s">
        <v>89</v>
      </c>
      <c r="J1180" s="20">
        <v>0.0</v>
      </c>
      <c r="K1180" s="20">
        <v>0.0</v>
      </c>
      <c r="L1180" s="20">
        <v>0.0</v>
      </c>
      <c r="M1180" s="20">
        <v>0.0</v>
      </c>
      <c r="N1180" s="20">
        <v>0.0</v>
      </c>
      <c r="O1180" s="20">
        <v>0.0</v>
      </c>
      <c r="P1180" s="20">
        <v>0.0</v>
      </c>
      <c r="Q1180" s="20">
        <v>0.0</v>
      </c>
      <c r="R1180" s="20">
        <v>0.0</v>
      </c>
      <c r="S1180" s="20">
        <v>0.0</v>
      </c>
      <c r="T1180" s="20">
        <v>0.0</v>
      </c>
      <c r="U1180" s="20">
        <v>0.0</v>
      </c>
    </row>
    <row r="1181" ht="23.25" customHeight="1">
      <c r="A1181" s="1"/>
      <c r="B1181" s="15" t="s">
        <v>1591</v>
      </c>
      <c r="C1181" s="1" t="s">
        <v>17</v>
      </c>
      <c r="D1181" s="1" t="s">
        <v>1592</v>
      </c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</row>
    <row r="1182" ht="23.25" customHeight="1">
      <c r="A1182" s="17" t="str">
        <f>IF(COUNTIF('Icon Lookup'!C:C,B1182)&gt;0,LOOKUP(B1182,'Icon Lookup'!C:C,'Icon Lookup'!B:B),"")</f>
        <v/>
      </c>
      <c r="B1182" s="18" t="s">
        <v>86</v>
      </c>
      <c r="C1182" s="17"/>
      <c r="D1182" s="17">
        <v>27.0</v>
      </c>
      <c r="E1182" s="17" t="s">
        <v>87</v>
      </c>
      <c r="G1182" s="19"/>
      <c r="H1182" s="20" t="s">
        <v>1299</v>
      </c>
      <c r="I1182" s="17" t="s">
        <v>89</v>
      </c>
      <c r="J1182" s="17">
        <v>0.0</v>
      </c>
      <c r="K1182" s="17">
        <v>0.0</v>
      </c>
      <c r="L1182" s="17">
        <v>0.0</v>
      </c>
      <c r="M1182" s="17">
        <v>0.0</v>
      </c>
      <c r="N1182" s="17">
        <v>0.0</v>
      </c>
      <c r="O1182" s="17">
        <v>0.0</v>
      </c>
      <c r="P1182" s="17">
        <v>0.0</v>
      </c>
      <c r="Q1182" s="17">
        <v>0.0</v>
      </c>
      <c r="R1182" s="17">
        <v>0.0</v>
      </c>
      <c r="S1182" s="17">
        <v>0.0</v>
      </c>
      <c r="T1182" s="17">
        <v>0.0</v>
      </c>
      <c r="U1182" s="17">
        <v>0.0</v>
      </c>
    </row>
    <row r="1183" ht="23.25" customHeight="1">
      <c r="A1183" s="20" t="str">
        <f>IF(COUNTIF('Icon Lookup'!C:C,B1183)&gt;0,LOOKUP(B1183,'Icon Lookup'!C:C,'Icon Lookup'!B:B),"")</f>
        <v/>
      </c>
      <c r="B1183" s="21" t="s">
        <v>176</v>
      </c>
      <c r="C1183" s="20"/>
      <c r="D1183" s="20">
        <v>31.0</v>
      </c>
      <c r="E1183" s="20" t="s">
        <v>87</v>
      </c>
      <c r="G1183" s="22"/>
      <c r="H1183" s="23" t="s">
        <v>1593</v>
      </c>
      <c r="I1183" s="20" t="s">
        <v>89</v>
      </c>
      <c r="J1183" s="20">
        <v>0.0</v>
      </c>
      <c r="K1183" s="20">
        <v>0.0</v>
      </c>
      <c r="L1183" s="20">
        <v>0.0</v>
      </c>
      <c r="M1183" s="20">
        <v>0.0</v>
      </c>
      <c r="N1183" s="20">
        <v>0.0</v>
      </c>
      <c r="O1183" s="20">
        <v>0.0</v>
      </c>
      <c r="P1183" s="20">
        <v>0.0</v>
      </c>
      <c r="Q1183" s="20">
        <v>0.0</v>
      </c>
      <c r="R1183" s="20">
        <v>0.0</v>
      </c>
      <c r="S1183" s="20">
        <v>0.0</v>
      </c>
      <c r="T1183" s="20">
        <v>0.0</v>
      </c>
      <c r="U1183" s="20">
        <v>0.0</v>
      </c>
    </row>
    <row r="1184" ht="23.25" customHeight="1">
      <c r="A1184" s="17" t="str">
        <f>IF(COUNTIF('Icon Lookup'!C:C,B1184)&gt;0,LOOKUP(B1184,'Icon Lookup'!C:C,'Icon Lookup'!B:B),"")</f>
        <v/>
      </c>
      <c r="B1184" s="18" t="s">
        <v>97</v>
      </c>
      <c r="C1184" s="17"/>
      <c r="D1184" s="17">
        <v>31.0</v>
      </c>
      <c r="E1184" s="17" t="s">
        <v>87</v>
      </c>
      <c r="G1184" s="19"/>
      <c r="H1184" s="20" t="s">
        <v>1594</v>
      </c>
      <c r="I1184" s="17" t="s">
        <v>89</v>
      </c>
      <c r="J1184" s="17">
        <v>0.0</v>
      </c>
      <c r="K1184" s="17">
        <v>0.0</v>
      </c>
      <c r="L1184" s="17">
        <v>0.0</v>
      </c>
      <c r="M1184" s="17">
        <v>0.0</v>
      </c>
      <c r="N1184" s="17">
        <v>0.0</v>
      </c>
      <c r="O1184" s="17">
        <v>0.0</v>
      </c>
      <c r="P1184" s="17">
        <v>0.0</v>
      </c>
      <c r="Q1184" s="17">
        <v>0.0</v>
      </c>
      <c r="R1184" s="17">
        <v>0.0</v>
      </c>
      <c r="S1184" s="17">
        <v>0.0</v>
      </c>
      <c r="T1184" s="17">
        <v>0.0</v>
      </c>
      <c r="U1184" s="17">
        <v>0.0</v>
      </c>
    </row>
    <row r="1185" ht="23.25" customHeight="1">
      <c r="A1185" s="1"/>
      <c r="B1185" s="15" t="s">
        <v>1595</v>
      </c>
      <c r="C1185" s="1" t="s">
        <v>17</v>
      </c>
      <c r="D1185" s="1" t="s">
        <v>1044</v>
      </c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</row>
    <row r="1186" ht="23.25" customHeight="1">
      <c r="A1186" s="20" t="str">
        <f>IF(COUNTIF('Icon Lookup'!C:C,B1186)&gt;0,LOOKUP(B1186,'Icon Lookup'!C:C,'Icon Lookup'!B:B),"")</f>
        <v/>
      </c>
      <c r="B1186" s="21" t="s">
        <v>174</v>
      </c>
      <c r="C1186" s="20"/>
      <c r="D1186" s="20">
        <v>37.0</v>
      </c>
      <c r="E1186" s="20" t="s">
        <v>38</v>
      </c>
      <c r="G1186" s="22"/>
      <c r="H1186" s="23" t="s">
        <v>542</v>
      </c>
      <c r="I1186" s="20" t="s">
        <v>197</v>
      </c>
      <c r="J1186" s="20">
        <v>0.0</v>
      </c>
      <c r="K1186" s="20">
        <v>0.0</v>
      </c>
      <c r="L1186" s="20">
        <v>0.0</v>
      </c>
      <c r="M1186" s="20">
        <v>0.0</v>
      </c>
      <c r="N1186" s="20">
        <v>0.0</v>
      </c>
      <c r="O1186" s="20">
        <v>0.0</v>
      </c>
      <c r="P1186" s="20">
        <v>0.0</v>
      </c>
      <c r="Q1186" s="20">
        <v>0.0</v>
      </c>
      <c r="R1186" s="20">
        <v>0.0</v>
      </c>
      <c r="S1186" s="20">
        <v>0.0</v>
      </c>
      <c r="T1186" s="20">
        <v>0.0</v>
      </c>
      <c r="U1186" s="20">
        <v>0.0</v>
      </c>
    </row>
    <row r="1187" ht="23.25" customHeight="1">
      <c r="A1187" s="1"/>
      <c r="B1187" s="15" t="s">
        <v>1596</v>
      </c>
      <c r="C1187" s="1" t="s">
        <v>17</v>
      </c>
      <c r="D1187" s="1" t="s">
        <v>1044</v>
      </c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</row>
    <row r="1188" ht="23.25" customHeight="1">
      <c r="A1188" s="17" t="str">
        <f>IF(COUNTIF('Icon Lookup'!C:C,B1188)&gt;0,LOOKUP(B1188,'Icon Lookup'!C:C,'Icon Lookup'!B:B),"")</f>
        <v/>
      </c>
      <c r="B1188" s="18" t="s">
        <v>293</v>
      </c>
      <c r="C1188" s="17"/>
      <c r="D1188" s="17">
        <v>35.0</v>
      </c>
      <c r="E1188" s="17" t="s">
        <v>61</v>
      </c>
      <c r="G1188" s="19"/>
      <c r="H1188" s="20" t="s">
        <v>1597</v>
      </c>
      <c r="I1188" s="17" t="s">
        <v>73</v>
      </c>
      <c r="J1188" s="17">
        <v>0.0</v>
      </c>
      <c r="K1188" s="17">
        <v>0.0</v>
      </c>
      <c r="L1188" s="17">
        <v>0.0</v>
      </c>
      <c r="M1188" s="17">
        <v>0.0</v>
      </c>
      <c r="N1188" s="17">
        <v>0.0</v>
      </c>
      <c r="O1188" s="17">
        <v>0.0</v>
      </c>
      <c r="P1188" s="17">
        <v>0.0</v>
      </c>
      <c r="Q1188" s="17">
        <v>0.0</v>
      </c>
      <c r="R1188" s="17">
        <v>0.0</v>
      </c>
      <c r="S1188" s="17">
        <v>0.0</v>
      </c>
      <c r="T1188" s="17">
        <v>0.0</v>
      </c>
      <c r="U1188" s="17">
        <v>0.0</v>
      </c>
    </row>
    <row r="1189" ht="23.25" customHeight="1">
      <c r="A1189" s="20" t="str">
        <f>IF(COUNTIF('Icon Lookup'!C:C,B1189)&gt;0,LOOKUP(B1189,'Icon Lookup'!C:C,'Icon Lookup'!B:B),"")</f>
        <v/>
      </c>
      <c r="B1189" s="21" t="s">
        <v>160</v>
      </c>
      <c r="C1189" s="20"/>
      <c r="D1189" s="20">
        <v>35.0</v>
      </c>
      <c r="E1189" s="20" t="s">
        <v>1434</v>
      </c>
      <c r="G1189" s="22"/>
      <c r="H1189" s="23" t="s">
        <v>1598</v>
      </c>
      <c r="I1189" s="20" t="s">
        <v>94</v>
      </c>
      <c r="J1189" s="20">
        <v>0.0</v>
      </c>
      <c r="K1189" s="20">
        <v>0.0</v>
      </c>
      <c r="L1189" s="20">
        <v>0.0</v>
      </c>
      <c r="M1189" s="20">
        <v>0.0</v>
      </c>
      <c r="N1189" s="20">
        <v>0.0</v>
      </c>
      <c r="O1189" s="20">
        <v>0.0</v>
      </c>
      <c r="P1189" s="20">
        <v>0.0</v>
      </c>
      <c r="Q1189" s="20">
        <v>0.0</v>
      </c>
      <c r="R1189" s="20">
        <v>0.0</v>
      </c>
      <c r="S1189" s="20">
        <v>0.0</v>
      </c>
      <c r="T1189" s="20">
        <v>0.0</v>
      </c>
      <c r="U1189" s="20">
        <v>0.0</v>
      </c>
    </row>
    <row r="1190" ht="23.25" customHeight="1">
      <c r="A1190" s="1"/>
      <c r="B1190" s="15" t="s">
        <v>1599</v>
      </c>
      <c r="C1190" s="1" t="s">
        <v>17</v>
      </c>
      <c r="D1190" s="1" t="s">
        <v>1044</v>
      </c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</row>
    <row r="1191" ht="23.25" customHeight="1">
      <c r="A1191" s="17" t="str">
        <f>IF(COUNTIF('Icon Lookup'!C:C,B1191)&gt;0,LOOKUP(B1191,'Icon Lookup'!C:C,'Icon Lookup'!B:B),"")</f>
        <v/>
      </c>
      <c r="B1191" s="18" t="s">
        <v>1017</v>
      </c>
      <c r="C1191" s="17"/>
      <c r="D1191" s="17">
        <v>37.0</v>
      </c>
      <c r="E1191" s="17" t="s">
        <v>1126</v>
      </c>
      <c r="G1191" s="19"/>
      <c r="H1191" s="20" t="s">
        <v>1600</v>
      </c>
      <c r="I1191" s="17" t="s">
        <v>36</v>
      </c>
      <c r="J1191" s="17">
        <v>0.0</v>
      </c>
      <c r="K1191" s="17">
        <v>0.0</v>
      </c>
      <c r="L1191" s="17">
        <v>0.0</v>
      </c>
      <c r="M1191" s="17">
        <v>0.0</v>
      </c>
      <c r="N1191" s="17">
        <v>0.0</v>
      </c>
      <c r="O1191" s="17">
        <v>0.0</v>
      </c>
      <c r="P1191" s="17">
        <v>0.0</v>
      </c>
      <c r="Q1191" s="17">
        <v>0.0</v>
      </c>
      <c r="R1191" s="17">
        <v>0.0</v>
      </c>
      <c r="S1191" s="17">
        <v>0.0</v>
      </c>
      <c r="T1191" s="17">
        <v>0.0</v>
      </c>
      <c r="U1191" s="17">
        <v>0.0</v>
      </c>
    </row>
    <row r="1192" ht="23.25" customHeight="1">
      <c r="A1192" s="1"/>
      <c r="B1192" s="15" t="s">
        <v>1601</v>
      </c>
      <c r="C1192" s="1" t="s">
        <v>17</v>
      </c>
      <c r="D1192" s="1" t="s">
        <v>1044</v>
      </c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</row>
    <row r="1193" ht="23.25" customHeight="1">
      <c r="A1193" s="20" t="str">
        <f>IF(COUNTIF('Icon Lookup'!C:C,B1193)&gt;0,LOOKUP(B1193,'Icon Lookup'!C:C,'Icon Lookup'!B:B),"")</f>
        <v/>
      </c>
      <c r="B1193" s="21" t="s">
        <v>60</v>
      </c>
      <c r="C1193" s="20"/>
      <c r="D1193" s="20">
        <v>32.0</v>
      </c>
      <c r="E1193" s="20" t="s">
        <v>61</v>
      </c>
      <c r="G1193" s="22"/>
      <c r="H1193" s="23" t="s">
        <v>1602</v>
      </c>
      <c r="I1193" s="20" t="s">
        <v>1045</v>
      </c>
      <c r="J1193" s="20">
        <v>0.0</v>
      </c>
      <c r="K1193" s="20">
        <v>0.0</v>
      </c>
      <c r="L1193" s="20">
        <v>0.0</v>
      </c>
      <c r="M1193" s="20">
        <v>0.0</v>
      </c>
      <c r="N1193" s="20">
        <v>0.0</v>
      </c>
      <c r="O1193" s="20">
        <v>0.0</v>
      </c>
      <c r="P1193" s="20">
        <v>0.0</v>
      </c>
      <c r="Q1193" s="20">
        <v>0.0</v>
      </c>
      <c r="R1193" s="20">
        <v>0.0</v>
      </c>
      <c r="S1193" s="20">
        <v>0.0</v>
      </c>
      <c r="T1193" s="20">
        <v>0.0</v>
      </c>
      <c r="U1193" s="20">
        <v>0.0</v>
      </c>
    </row>
    <row r="1194" ht="23.25" customHeight="1">
      <c r="A1194" s="17" t="str">
        <f>IF(COUNTIF('Icon Lookup'!C:C,B1194)&gt;0,LOOKUP(B1194,'Icon Lookup'!C:C,'Icon Lookup'!B:B),"")</f>
        <v/>
      </c>
      <c r="B1194" s="18" t="s">
        <v>691</v>
      </c>
      <c r="C1194" s="17"/>
      <c r="D1194" s="17">
        <v>34.0</v>
      </c>
      <c r="E1194" s="17" t="s">
        <v>58</v>
      </c>
      <c r="G1194" s="19"/>
      <c r="H1194" s="20" t="s">
        <v>1603</v>
      </c>
      <c r="I1194" s="17" t="s">
        <v>197</v>
      </c>
      <c r="J1194" s="17">
        <v>0.0</v>
      </c>
      <c r="K1194" s="17">
        <v>0.0</v>
      </c>
      <c r="L1194" s="17">
        <v>0.0</v>
      </c>
      <c r="M1194" s="17">
        <v>0.0</v>
      </c>
      <c r="N1194" s="17">
        <v>0.0</v>
      </c>
      <c r="O1194" s="17">
        <v>0.0</v>
      </c>
      <c r="P1194" s="17">
        <v>0.0</v>
      </c>
      <c r="Q1194" s="17">
        <v>0.0</v>
      </c>
      <c r="R1194" s="17">
        <v>0.0</v>
      </c>
      <c r="S1194" s="17">
        <v>0.0</v>
      </c>
      <c r="T1194" s="17">
        <v>0.0</v>
      </c>
      <c r="U1194" s="17">
        <v>0.0</v>
      </c>
    </row>
    <row r="1195" ht="23.25" customHeight="1">
      <c r="A1195" s="20" t="str">
        <f>IF(COUNTIF('Icon Lookup'!C:C,B1195)&gt;0,LOOKUP(B1195,'Icon Lookup'!C:C,'Icon Lookup'!B:B),"")</f>
        <v/>
      </c>
      <c r="B1195" s="21" t="s">
        <v>293</v>
      </c>
      <c r="C1195" s="20"/>
      <c r="D1195" s="20">
        <v>36.0</v>
      </c>
      <c r="E1195" s="20" t="s">
        <v>61</v>
      </c>
      <c r="G1195" s="22"/>
      <c r="H1195" s="23" t="s">
        <v>1604</v>
      </c>
      <c r="I1195" s="20" t="s">
        <v>73</v>
      </c>
      <c r="J1195" s="20">
        <v>0.0</v>
      </c>
      <c r="K1195" s="20">
        <v>0.0</v>
      </c>
      <c r="L1195" s="20">
        <v>0.0</v>
      </c>
      <c r="M1195" s="20">
        <v>0.0</v>
      </c>
      <c r="N1195" s="20">
        <v>0.0</v>
      </c>
      <c r="O1195" s="20">
        <v>0.0</v>
      </c>
      <c r="P1195" s="20">
        <v>0.0</v>
      </c>
      <c r="Q1195" s="20">
        <v>0.0</v>
      </c>
      <c r="R1195" s="20">
        <v>0.0</v>
      </c>
      <c r="S1195" s="20">
        <v>0.0</v>
      </c>
      <c r="T1195" s="20">
        <v>0.0</v>
      </c>
      <c r="U1195" s="20">
        <v>0.0</v>
      </c>
    </row>
    <row r="1196" ht="23.25" customHeight="1">
      <c r="A1196" s="1"/>
      <c r="B1196" s="15" t="s">
        <v>1605</v>
      </c>
      <c r="C1196" s="1" t="s">
        <v>17</v>
      </c>
      <c r="D1196" s="1" t="s">
        <v>1044</v>
      </c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</row>
    <row r="1197" ht="23.25" customHeight="1">
      <c r="A1197" s="17" t="str">
        <f>IF(COUNTIF('Icon Lookup'!C:C,B1197)&gt;0,LOOKUP(B1197,'Icon Lookup'!C:C,'Icon Lookup'!B:B),"")</f>
        <v/>
      </c>
      <c r="B1197" s="18" t="s">
        <v>160</v>
      </c>
      <c r="C1197" s="17"/>
      <c r="D1197" s="17">
        <v>36.0</v>
      </c>
      <c r="E1197" s="17" t="s">
        <v>1434</v>
      </c>
      <c r="G1197" s="19"/>
      <c r="H1197" s="20" t="s">
        <v>1606</v>
      </c>
      <c r="I1197" s="17" t="s">
        <v>94</v>
      </c>
      <c r="J1197" s="17">
        <v>0.0</v>
      </c>
      <c r="K1197" s="17">
        <v>0.0</v>
      </c>
      <c r="L1197" s="17">
        <v>0.0</v>
      </c>
      <c r="M1197" s="17">
        <v>0.0</v>
      </c>
      <c r="N1197" s="17">
        <v>0.0</v>
      </c>
      <c r="O1197" s="17">
        <v>0.0</v>
      </c>
      <c r="P1197" s="17">
        <v>0.0</v>
      </c>
      <c r="Q1197" s="17">
        <v>0.0</v>
      </c>
      <c r="R1197" s="17">
        <v>0.0</v>
      </c>
      <c r="S1197" s="17">
        <v>0.0</v>
      </c>
      <c r="T1197" s="17">
        <v>0.0</v>
      </c>
      <c r="U1197" s="17">
        <v>0.0</v>
      </c>
    </row>
    <row r="1198" ht="23.25" customHeight="1">
      <c r="A1198" s="20" t="str">
        <f>IF(COUNTIF('Icon Lookup'!C:C,B1198)&gt;0,LOOKUP(B1198,'Icon Lookup'!C:C,'Icon Lookup'!B:B),"")</f>
        <v/>
      </c>
      <c r="B1198" s="21" t="s">
        <v>1017</v>
      </c>
      <c r="C1198" s="20"/>
      <c r="D1198" s="20">
        <v>36.0</v>
      </c>
      <c r="E1198" s="20" t="s">
        <v>1126</v>
      </c>
      <c r="G1198" s="22"/>
      <c r="H1198" s="23" t="s">
        <v>1607</v>
      </c>
      <c r="I1198" s="20" t="s">
        <v>36</v>
      </c>
      <c r="J1198" s="20">
        <v>0.0</v>
      </c>
      <c r="K1198" s="20">
        <v>0.0</v>
      </c>
      <c r="L1198" s="20">
        <v>0.0</v>
      </c>
      <c r="M1198" s="20">
        <v>0.0</v>
      </c>
      <c r="N1198" s="20">
        <v>0.0</v>
      </c>
      <c r="O1198" s="20">
        <v>0.0</v>
      </c>
      <c r="P1198" s="20">
        <v>0.0</v>
      </c>
      <c r="Q1198" s="20">
        <v>0.0</v>
      </c>
      <c r="R1198" s="20">
        <v>0.0</v>
      </c>
      <c r="S1198" s="20">
        <v>0.0</v>
      </c>
      <c r="T1198" s="20">
        <v>0.0</v>
      </c>
      <c r="U1198" s="20">
        <v>0.0</v>
      </c>
    </row>
    <row r="1199" ht="23.25" customHeight="1">
      <c r="A1199" s="1"/>
      <c r="B1199" s="15" t="s">
        <v>1608</v>
      </c>
      <c r="C1199" s="1" t="s">
        <v>17</v>
      </c>
      <c r="D1199" s="1" t="s">
        <v>1044</v>
      </c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</row>
    <row r="1200" ht="23.25" customHeight="1">
      <c r="A1200" s="17" t="str">
        <f>IF(COUNTIF('Icon Lookup'!C:C,B1200)&gt;0,LOOKUP(B1200,'Icon Lookup'!C:C,'Icon Lookup'!B:B),"")</f>
        <v/>
      </c>
      <c r="B1200" s="18" t="s">
        <v>174</v>
      </c>
      <c r="C1200" s="17"/>
      <c r="D1200" s="17">
        <v>36.0</v>
      </c>
      <c r="E1200" s="17" t="s">
        <v>38</v>
      </c>
      <c r="G1200" s="19"/>
      <c r="H1200" s="20" t="s">
        <v>542</v>
      </c>
      <c r="I1200" s="17" t="s">
        <v>1045</v>
      </c>
      <c r="J1200" s="17">
        <v>0.0</v>
      </c>
      <c r="K1200" s="17">
        <v>0.0</v>
      </c>
      <c r="L1200" s="17">
        <v>0.0</v>
      </c>
      <c r="M1200" s="17">
        <v>0.0</v>
      </c>
      <c r="N1200" s="17">
        <v>0.0</v>
      </c>
      <c r="O1200" s="17">
        <v>0.0</v>
      </c>
      <c r="P1200" s="17">
        <v>0.0</v>
      </c>
      <c r="Q1200" s="17">
        <v>0.0</v>
      </c>
      <c r="R1200" s="17">
        <v>0.0</v>
      </c>
      <c r="S1200" s="17">
        <v>0.0</v>
      </c>
      <c r="T1200" s="17">
        <v>0.0</v>
      </c>
      <c r="U1200" s="17">
        <v>0.0</v>
      </c>
    </row>
    <row r="1201" ht="23.25" customHeight="1">
      <c r="A1201" s="20" t="str">
        <f>IF(COUNTIF('Icon Lookup'!C:C,B1201)&gt;0,LOOKUP(B1201,'Icon Lookup'!C:C,'Icon Lookup'!B:B),"")</f>
        <v/>
      </c>
      <c r="B1201" s="21" t="s">
        <v>174</v>
      </c>
      <c r="C1201" s="20"/>
      <c r="D1201" s="20">
        <v>36.0</v>
      </c>
      <c r="E1201" s="20" t="s">
        <v>38</v>
      </c>
      <c r="G1201" s="22"/>
      <c r="H1201" s="23" t="s">
        <v>542</v>
      </c>
      <c r="I1201" s="20" t="s">
        <v>197</v>
      </c>
      <c r="J1201" s="20">
        <v>0.0</v>
      </c>
      <c r="K1201" s="20">
        <v>0.0</v>
      </c>
      <c r="L1201" s="20">
        <v>0.0</v>
      </c>
      <c r="M1201" s="20">
        <v>0.0</v>
      </c>
      <c r="N1201" s="20">
        <v>0.0</v>
      </c>
      <c r="O1201" s="20">
        <v>0.0</v>
      </c>
      <c r="P1201" s="20">
        <v>0.0</v>
      </c>
      <c r="Q1201" s="20">
        <v>0.0</v>
      </c>
      <c r="R1201" s="20">
        <v>0.0</v>
      </c>
      <c r="S1201" s="20">
        <v>0.0</v>
      </c>
      <c r="T1201" s="20">
        <v>0.0</v>
      </c>
      <c r="U1201" s="20">
        <v>0.0</v>
      </c>
    </row>
    <row r="1202" ht="23.25" customHeight="1">
      <c r="A1202" s="1"/>
      <c r="B1202" s="15" t="s">
        <v>1609</v>
      </c>
      <c r="C1202" s="1" t="s">
        <v>17</v>
      </c>
      <c r="D1202" s="1" t="s">
        <v>1044</v>
      </c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</row>
    <row r="1203" ht="23.25" customHeight="1">
      <c r="A1203" s="17" t="str">
        <f>IF(COUNTIF('Icon Lookup'!C:C,B1203)&gt;0,LOOKUP(B1203,'Icon Lookup'!C:C,'Icon Lookup'!B:B),"")</f>
        <v/>
      </c>
      <c r="B1203" s="18" t="s">
        <v>1017</v>
      </c>
      <c r="C1203" s="17"/>
      <c r="D1203" s="17">
        <v>36.0</v>
      </c>
      <c r="E1203" s="17" t="s">
        <v>1126</v>
      </c>
      <c r="G1203" s="19"/>
      <c r="H1203" s="20" t="s">
        <v>1610</v>
      </c>
      <c r="I1203" s="17" t="s">
        <v>73</v>
      </c>
      <c r="J1203" s="17">
        <v>0.0</v>
      </c>
      <c r="K1203" s="17">
        <v>0.0</v>
      </c>
      <c r="L1203" s="17">
        <v>0.0</v>
      </c>
      <c r="M1203" s="17">
        <v>0.0</v>
      </c>
      <c r="N1203" s="17">
        <v>0.0</v>
      </c>
      <c r="O1203" s="17">
        <v>0.0</v>
      </c>
      <c r="P1203" s="17">
        <v>0.0</v>
      </c>
      <c r="Q1203" s="17">
        <v>0.0</v>
      </c>
      <c r="R1203" s="17">
        <v>0.0</v>
      </c>
      <c r="S1203" s="17">
        <v>0.0</v>
      </c>
      <c r="T1203" s="17">
        <v>0.0</v>
      </c>
      <c r="U1203" s="17">
        <v>0.0</v>
      </c>
    </row>
    <row r="1204" ht="23.25" customHeight="1">
      <c r="A1204" s="20" t="str">
        <f>IF(COUNTIF('Icon Lookup'!C:C,B1204)&gt;0,LOOKUP(B1204,'Icon Lookup'!C:C,'Icon Lookup'!B:B),"")</f>
        <v/>
      </c>
      <c r="B1204" s="21" t="s">
        <v>288</v>
      </c>
      <c r="C1204" s="20"/>
      <c r="D1204" s="20">
        <v>36.0</v>
      </c>
      <c r="E1204" s="20" t="s">
        <v>289</v>
      </c>
      <c r="G1204" s="22"/>
      <c r="H1204" s="23" t="s">
        <v>1611</v>
      </c>
      <c r="I1204" s="20" t="s">
        <v>94</v>
      </c>
      <c r="J1204" s="20">
        <v>0.0</v>
      </c>
      <c r="K1204" s="20">
        <v>0.0</v>
      </c>
      <c r="L1204" s="20">
        <v>0.0</v>
      </c>
      <c r="M1204" s="20">
        <v>0.0</v>
      </c>
      <c r="N1204" s="20">
        <v>0.0</v>
      </c>
      <c r="O1204" s="20">
        <v>0.0</v>
      </c>
      <c r="P1204" s="20">
        <v>0.0</v>
      </c>
      <c r="Q1204" s="20">
        <v>0.0</v>
      </c>
      <c r="R1204" s="20">
        <v>0.0</v>
      </c>
      <c r="S1204" s="20">
        <v>0.0</v>
      </c>
      <c r="T1204" s="20">
        <v>0.0</v>
      </c>
      <c r="U1204" s="20">
        <v>0.0</v>
      </c>
    </row>
    <row r="1205" ht="23.25" customHeight="1">
      <c r="A1205" s="1"/>
      <c r="B1205" s="15" t="s">
        <v>1612</v>
      </c>
      <c r="C1205" s="1" t="s">
        <v>17</v>
      </c>
      <c r="D1205" s="1" t="s">
        <v>1044</v>
      </c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</row>
    <row r="1206" ht="23.25" customHeight="1">
      <c r="A1206" s="17" t="str">
        <f>IF(COUNTIF('Icon Lookup'!C:C,B1206)&gt;0,LOOKUP(B1206,'Icon Lookup'!C:C,'Icon Lookup'!B:B),"")</f>
        <v/>
      </c>
      <c r="B1206" s="18" t="s">
        <v>160</v>
      </c>
      <c r="C1206" s="17"/>
      <c r="D1206" s="17">
        <v>39.0</v>
      </c>
      <c r="E1206" s="17" t="s">
        <v>1434</v>
      </c>
      <c r="G1206" s="19"/>
      <c r="H1206" s="20" t="s">
        <v>1613</v>
      </c>
      <c r="I1206" s="17" t="s">
        <v>1045</v>
      </c>
      <c r="J1206" s="17">
        <v>0.0</v>
      </c>
      <c r="K1206" s="17">
        <v>0.0</v>
      </c>
      <c r="L1206" s="17">
        <v>0.0</v>
      </c>
      <c r="M1206" s="17">
        <v>0.0</v>
      </c>
      <c r="N1206" s="17">
        <v>0.0</v>
      </c>
      <c r="O1206" s="17">
        <v>0.0</v>
      </c>
      <c r="P1206" s="17">
        <v>0.0</v>
      </c>
      <c r="Q1206" s="17">
        <v>0.0</v>
      </c>
      <c r="R1206" s="17">
        <v>0.0</v>
      </c>
      <c r="S1206" s="17">
        <v>0.0</v>
      </c>
      <c r="T1206" s="17">
        <v>0.0</v>
      </c>
      <c r="U1206" s="17">
        <v>0.0</v>
      </c>
    </row>
    <row r="1207" ht="23.25" customHeight="1">
      <c r="A1207" s="1"/>
      <c r="B1207" s="15" t="s">
        <v>1614</v>
      </c>
      <c r="C1207" s="1" t="s">
        <v>17</v>
      </c>
      <c r="D1207" s="1" t="s">
        <v>1044</v>
      </c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</row>
    <row r="1208" ht="23.25" customHeight="1">
      <c r="A1208" s="20" t="str">
        <f>IF(COUNTIF('Icon Lookup'!C:C,B1208)&gt;0,LOOKUP(B1208,'Icon Lookup'!C:C,'Icon Lookup'!B:B),"")</f>
        <v/>
      </c>
      <c r="B1208" s="21" t="s">
        <v>293</v>
      </c>
      <c r="C1208" s="20"/>
      <c r="D1208" s="20">
        <v>35.0</v>
      </c>
      <c r="E1208" s="20" t="s">
        <v>61</v>
      </c>
      <c r="G1208" s="22"/>
      <c r="H1208" s="23" t="s">
        <v>1615</v>
      </c>
      <c r="I1208" s="20" t="s">
        <v>197</v>
      </c>
      <c r="J1208" s="20">
        <v>0.0</v>
      </c>
      <c r="K1208" s="20">
        <v>0.0</v>
      </c>
      <c r="L1208" s="20">
        <v>0.0</v>
      </c>
      <c r="M1208" s="20">
        <v>0.0</v>
      </c>
      <c r="N1208" s="20">
        <v>0.0</v>
      </c>
      <c r="O1208" s="20">
        <v>0.0</v>
      </c>
      <c r="P1208" s="20">
        <v>0.0</v>
      </c>
      <c r="Q1208" s="20">
        <v>0.0</v>
      </c>
      <c r="R1208" s="20">
        <v>0.0</v>
      </c>
      <c r="S1208" s="20">
        <v>0.0</v>
      </c>
      <c r="T1208" s="20">
        <v>0.0</v>
      </c>
      <c r="U1208" s="20">
        <v>0.0</v>
      </c>
    </row>
    <row r="1209" ht="23.25" customHeight="1">
      <c r="A1209" s="17" t="str">
        <f>IF(COUNTIF('Icon Lookup'!C:C,B1209)&gt;0,LOOKUP(B1209,'Icon Lookup'!C:C,'Icon Lookup'!B:B),"")</f>
        <v/>
      </c>
      <c r="B1209" s="18" t="s">
        <v>174</v>
      </c>
      <c r="C1209" s="17"/>
      <c r="D1209" s="17">
        <v>38.0</v>
      </c>
      <c r="E1209" s="17" t="s">
        <v>38</v>
      </c>
      <c r="G1209" s="19"/>
      <c r="H1209" s="20" t="s">
        <v>536</v>
      </c>
      <c r="I1209" s="17" t="s">
        <v>94</v>
      </c>
      <c r="J1209" s="17">
        <v>0.0</v>
      </c>
      <c r="K1209" s="17">
        <v>0.0</v>
      </c>
      <c r="L1209" s="17">
        <v>0.0</v>
      </c>
      <c r="M1209" s="17">
        <v>0.0</v>
      </c>
      <c r="N1209" s="17">
        <v>0.0</v>
      </c>
      <c r="O1209" s="17">
        <v>0.0</v>
      </c>
      <c r="P1209" s="17">
        <v>0.0</v>
      </c>
      <c r="Q1209" s="17">
        <v>0.0</v>
      </c>
      <c r="R1209" s="17">
        <v>0.0</v>
      </c>
      <c r="S1209" s="17">
        <v>0.0</v>
      </c>
      <c r="T1209" s="17">
        <v>0.0</v>
      </c>
      <c r="U1209" s="17">
        <v>0.0</v>
      </c>
    </row>
    <row r="1210" ht="23.25" customHeight="1">
      <c r="A1210" s="20" t="str">
        <f>IF(COUNTIF('Icon Lookup'!C:C,B1210)&gt;0,LOOKUP(B1210,'Icon Lookup'!C:C,'Icon Lookup'!B:B),"")</f>
        <v/>
      </c>
      <c r="B1210" s="21" t="s">
        <v>293</v>
      </c>
      <c r="C1210" s="20"/>
      <c r="D1210" s="20">
        <v>35.0</v>
      </c>
      <c r="E1210" s="20" t="s">
        <v>61</v>
      </c>
      <c r="G1210" s="22"/>
      <c r="H1210" s="23" t="s">
        <v>1604</v>
      </c>
      <c r="I1210" s="20" t="s">
        <v>73</v>
      </c>
      <c r="J1210" s="20">
        <v>0.0</v>
      </c>
      <c r="K1210" s="20">
        <v>0.0</v>
      </c>
      <c r="L1210" s="20">
        <v>0.0</v>
      </c>
      <c r="M1210" s="20">
        <v>0.0</v>
      </c>
      <c r="N1210" s="20">
        <v>0.0</v>
      </c>
      <c r="O1210" s="20">
        <v>0.0</v>
      </c>
      <c r="P1210" s="20">
        <v>0.0</v>
      </c>
      <c r="Q1210" s="20">
        <v>0.0</v>
      </c>
      <c r="R1210" s="20">
        <v>0.0</v>
      </c>
      <c r="S1210" s="20">
        <v>0.0</v>
      </c>
      <c r="T1210" s="20">
        <v>0.0</v>
      </c>
      <c r="U1210" s="20">
        <v>0.0</v>
      </c>
    </row>
    <row r="1211" ht="23.25" customHeight="1">
      <c r="A1211" s="1"/>
      <c r="B1211" s="15" t="s">
        <v>1616</v>
      </c>
      <c r="C1211" s="1" t="s">
        <v>17</v>
      </c>
      <c r="D1211" s="1" t="s">
        <v>1044</v>
      </c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</row>
    <row r="1212" ht="23.25" customHeight="1">
      <c r="A1212" s="17" t="str">
        <f>IF(COUNTIF('Icon Lookup'!C:C,B1212)&gt;0,LOOKUP(B1212,'Icon Lookup'!C:C,'Icon Lookup'!B:B),"")</f>
        <v/>
      </c>
      <c r="B1212" s="18" t="s">
        <v>1017</v>
      </c>
      <c r="C1212" s="17"/>
      <c r="D1212" s="17">
        <v>38.0</v>
      </c>
      <c r="E1212" s="17" t="s">
        <v>1126</v>
      </c>
      <c r="G1212" s="19"/>
      <c r="H1212" s="20" t="s">
        <v>1610</v>
      </c>
      <c r="I1212" s="17" t="s">
        <v>36</v>
      </c>
      <c r="J1212" s="17">
        <v>0.0</v>
      </c>
      <c r="K1212" s="17">
        <v>0.0</v>
      </c>
      <c r="L1212" s="17">
        <v>0.0</v>
      </c>
      <c r="M1212" s="17">
        <v>0.0</v>
      </c>
      <c r="N1212" s="17">
        <v>0.0</v>
      </c>
      <c r="O1212" s="17">
        <v>0.0</v>
      </c>
      <c r="P1212" s="17">
        <v>0.0</v>
      </c>
      <c r="Q1212" s="17">
        <v>0.0</v>
      </c>
      <c r="R1212" s="17">
        <v>0.0</v>
      </c>
      <c r="S1212" s="17">
        <v>0.0</v>
      </c>
      <c r="T1212" s="17">
        <v>0.0</v>
      </c>
      <c r="U1212" s="17">
        <v>0.0</v>
      </c>
    </row>
    <row r="1213" ht="23.25" customHeight="1">
      <c r="A1213" s="20" t="str">
        <f>IF(COUNTIF('Icon Lookup'!C:C,B1213)&gt;0,LOOKUP(B1213,'Icon Lookup'!C:C,'Icon Lookup'!B:B),"")</f>
        <v/>
      </c>
      <c r="B1213" s="21" t="s">
        <v>174</v>
      </c>
      <c r="C1213" s="20"/>
      <c r="D1213" s="20">
        <v>38.0</v>
      </c>
      <c r="E1213" s="20" t="s">
        <v>38</v>
      </c>
      <c r="G1213" s="22"/>
      <c r="H1213" s="23" t="s">
        <v>1617</v>
      </c>
      <c r="I1213" s="20" t="s">
        <v>1045</v>
      </c>
      <c r="J1213" s="20">
        <v>0.0</v>
      </c>
      <c r="K1213" s="20">
        <v>0.0</v>
      </c>
      <c r="L1213" s="20">
        <v>0.0</v>
      </c>
      <c r="M1213" s="20">
        <v>0.0</v>
      </c>
      <c r="N1213" s="20">
        <v>0.0</v>
      </c>
      <c r="O1213" s="20">
        <v>0.0</v>
      </c>
      <c r="P1213" s="20">
        <v>0.0</v>
      </c>
      <c r="Q1213" s="20">
        <v>0.0</v>
      </c>
      <c r="R1213" s="20">
        <v>0.0</v>
      </c>
      <c r="S1213" s="20">
        <v>0.0</v>
      </c>
      <c r="T1213" s="20">
        <v>0.0</v>
      </c>
      <c r="U1213" s="20">
        <v>0.0</v>
      </c>
    </row>
    <row r="1214" ht="23.25" customHeight="1">
      <c r="A1214" s="1"/>
      <c r="B1214" s="15" t="s">
        <v>1618</v>
      </c>
      <c r="C1214" s="1" t="s">
        <v>17</v>
      </c>
      <c r="D1214" s="1" t="s">
        <v>1044</v>
      </c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</row>
    <row r="1215" ht="23.25" customHeight="1">
      <c r="A1215" s="17" t="str">
        <f>IF(COUNTIF('Icon Lookup'!C:C,B1215)&gt;0,LOOKUP(B1215,'Icon Lookup'!C:C,'Icon Lookup'!B:B),"")</f>
        <v/>
      </c>
      <c r="B1215" s="18" t="s">
        <v>288</v>
      </c>
      <c r="C1215" s="17"/>
      <c r="D1215" s="17">
        <v>35.0</v>
      </c>
      <c r="E1215" s="17" t="s">
        <v>289</v>
      </c>
      <c r="G1215" s="19"/>
      <c r="H1215" s="20" t="s">
        <v>1407</v>
      </c>
      <c r="I1215" s="17" t="s">
        <v>197</v>
      </c>
      <c r="J1215" s="17">
        <v>0.0</v>
      </c>
      <c r="K1215" s="17">
        <v>0.0</v>
      </c>
      <c r="L1215" s="17">
        <v>0.0</v>
      </c>
      <c r="M1215" s="17">
        <v>0.0</v>
      </c>
      <c r="N1215" s="17">
        <v>0.0</v>
      </c>
      <c r="O1215" s="17">
        <v>0.0</v>
      </c>
      <c r="P1215" s="17">
        <v>0.0</v>
      </c>
      <c r="Q1215" s="17">
        <v>0.0</v>
      </c>
      <c r="R1215" s="17">
        <v>0.0</v>
      </c>
      <c r="S1215" s="17">
        <v>0.0</v>
      </c>
      <c r="T1215" s="17">
        <v>0.0</v>
      </c>
      <c r="U1215" s="17">
        <v>0.0</v>
      </c>
    </row>
    <row r="1216" ht="23.25" customHeight="1">
      <c r="A1216" s="20" t="str">
        <f>IF(COUNTIF('Icon Lookup'!C:C,B1216)&gt;0,LOOKUP(B1216,'Icon Lookup'!C:C,'Icon Lookup'!B:B),"")</f>
        <v/>
      </c>
      <c r="B1216" s="21" t="s">
        <v>1017</v>
      </c>
      <c r="C1216" s="20"/>
      <c r="D1216" s="20">
        <v>38.0</v>
      </c>
      <c r="E1216" s="20" t="s">
        <v>1126</v>
      </c>
      <c r="G1216" s="22"/>
      <c r="H1216" s="23" t="s">
        <v>1619</v>
      </c>
      <c r="I1216" s="20" t="s">
        <v>94</v>
      </c>
      <c r="J1216" s="20">
        <v>0.0</v>
      </c>
      <c r="K1216" s="20">
        <v>0.0</v>
      </c>
      <c r="L1216" s="20">
        <v>0.0</v>
      </c>
      <c r="M1216" s="20">
        <v>0.0</v>
      </c>
      <c r="N1216" s="20">
        <v>0.0</v>
      </c>
      <c r="O1216" s="20">
        <v>0.0</v>
      </c>
      <c r="P1216" s="20">
        <v>0.0</v>
      </c>
      <c r="Q1216" s="20">
        <v>0.0</v>
      </c>
      <c r="R1216" s="20">
        <v>0.0</v>
      </c>
      <c r="S1216" s="20">
        <v>0.0</v>
      </c>
      <c r="T1216" s="20">
        <v>0.0</v>
      </c>
      <c r="U1216" s="20">
        <v>0.0</v>
      </c>
    </row>
    <row r="1217" ht="23.25" customHeight="1">
      <c r="A1217" s="17" t="str">
        <f>IF(COUNTIF('Icon Lookup'!C:C,B1217)&gt;0,LOOKUP(B1217,'Icon Lookup'!C:C,'Icon Lookup'!B:B),"")</f>
        <v/>
      </c>
      <c r="B1217" s="18" t="s">
        <v>288</v>
      </c>
      <c r="C1217" s="17"/>
      <c r="D1217" s="17">
        <v>38.0</v>
      </c>
      <c r="E1217" s="17" t="s">
        <v>289</v>
      </c>
      <c r="G1217" s="19"/>
      <c r="H1217" s="20" t="s">
        <v>538</v>
      </c>
      <c r="I1217" s="17" t="s">
        <v>73</v>
      </c>
      <c r="J1217" s="17">
        <v>0.0</v>
      </c>
      <c r="K1217" s="17">
        <v>0.0</v>
      </c>
      <c r="L1217" s="17">
        <v>0.0</v>
      </c>
      <c r="M1217" s="17">
        <v>0.0</v>
      </c>
      <c r="N1217" s="17">
        <v>0.0</v>
      </c>
      <c r="O1217" s="17">
        <v>0.0</v>
      </c>
      <c r="P1217" s="17">
        <v>0.0</v>
      </c>
      <c r="Q1217" s="17">
        <v>0.0</v>
      </c>
      <c r="R1217" s="17">
        <v>0.0</v>
      </c>
      <c r="S1217" s="17">
        <v>0.0</v>
      </c>
      <c r="T1217" s="17">
        <v>0.0</v>
      </c>
      <c r="U1217" s="17">
        <v>0.0</v>
      </c>
    </row>
    <row r="1218" ht="23.25" customHeight="1">
      <c r="A1218" s="1"/>
      <c r="B1218" s="15" t="s">
        <v>1620</v>
      </c>
      <c r="C1218" s="1" t="s">
        <v>17</v>
      </c>
      <c r="D1218" s="1" t="s">
        <v>1044</v>
      </c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</row>
    <row r="1219" ht="23.25" customHeight="1">
      <c r="A1219" s="20" t="str">
        <f>IF(COUNTIF('Icon Lookup'!C:C,B1219)&gt;0,LOOKUP(B1219,'Icon Lookup'!C:C,'Icon Lookup'!B:B),"")</f>
        <v/>
      </c>
      <c r="B1219" s="21" t="s">
        <v>174</v>
      </c>
      <c r="C1219" s="20"/>
      <c r="D1219" s="20">
        <v>40.0</v>
      </c>
      <c r="E1219" s="20" t="s">
        <v>38</v>
      </c>
      <c r="G1219" s="22"/>
      <c r="H1219" s="23" t="s">
        <v>1621</v>
      </c>
      <c r="I1219" s="20" t="s">
        <v>36</v>
      </c>
      <c r="J1219" s="20">
        <v>0.0</v>
      </c>
      <c r="K1219" s="20">
        <v>0.0</v>
      </c>
      <c r="L1219" s="20">
        <v>0.0</v>
      </c>
      <c r="M1219" s="20">
        <v>0.0</v>
      </c>
      <c r="N1219" s="20">
        <v>0.0</v>
      </c>
      <c r="O1219" s="20">
        <v>0.0</v>
      </c>
      <c r="P1219" s="20">
        <v>0.0</v>
      </c>
      <c r="Q1219" s="20">
        <v>0.0</v>
      </c>
      <c r="R1219" s="20">
        <v>0.0</v>
      </c>
      <c r="S1219" s="20">
        <v>0.0</v>
      </c>
      <c r="T1219" s="20">
        <v>0.0</v>
      </c>
      <c r="U1219" s="20">
        <v>0.0</v>
      </c>
    </row>
    <row r="1220" ht="23.25" customHeight="1">
      <c r="A1220" s="1"/>
      <c r="B1220" s="15" t="s">
        <v>1622</v>
      </c>
      <c r="C1220" s="1" t="s">
        <v>17</v>
      </c>
      <c r="D1220" s="1" t="s">
        <v>1044</v>
      </c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</row>
    <row r="1221" ht="23.25" customHeight="1">
      <c r="A1221" s="17" t="str">
        <f>IF(COUNTIF('Icon Lookup'!C:C,B1221)&gt;0,LOOKUP(B1221,'Icon Lookup'!C:C,'Icon Lookup'!B:B),"")</f>
        <v/>
      </c>
      <c r="B1221" s="18" t="s">
        <v>160</v>
      </c>
      <c r="C1221" s="17"/>
      <c r="D1221" s="17">
        <v>37.0</v>
      </c>
      <c r="E1221" s="17" t="s">
        <v>1434</v>
      </c>
      <c r="G1221" s="19"/>
      <c r="H1221" s="20" t="s">
        <v>1623</v>
      </c>
      <c r="I1221" s="17" t="s">
        <v>1045</v>
      </c>
      <c r="J1221" s="17">
        <v>0.0</v>
      </c>
      <c r="K1221" s="17">
        <v>0.0</v>
      </c>
      <c r="L1221" s="17">
        <v>0.0</v>
      </c>
      <c r="M1221" s="17">
        <v>0.0</v>
      </c>
      <c r="N1221" s="17">
        <v>0.0</v>
      </c>
      <c r="O1221" s="17">
        <v>0.0</v>
      </c>
      <c r="P1221" s="17">
        <v>0.0</v>
      </c>
      <c r="Q1221" s="17">
        <v>0.0</v>
      </c>
      <c r="R1221" s="17">
        <v>0.0</v>
      </c>
      <c r="S1221" s="17">
        <v>0.0</v>
      </c>
      <c r="T1221" s="17">
        <v>0.0</v>
      </c>
      <c r="U1221" s="17">
        <v>0.0</v>
      </c>
    </row>
    <row r="1222" ht="23.25" customHeight="1">
      <c r="A1222" s="20" t="str">
        <f>IF(COUNTIF('Icon Lookup'!C:C,B1222)&gt;0,LOOKUP(B1222,'Icon Lookup'!C:C,'Icon Lookup'!B:B),"")</f>
        <v/>
      </c>
      <c r="B1222" s="21" t="s">
        <v>174</v>
      </c>
      <c r="C1222" s="20"/>
      <c r="D1222" s="20">
        <v>37.0</v>
      </c>
      <c r="E1222" s="20" t="s">
        <v>38</v>
      </c>
      <c r="G1222" s="22"/>
      <c r="H1222" s="23" t="s">
        <v>1617</v>
      </c>
      <c r="I1222" s="20" t="s">
        <v>197</v>
      </c>
      <c r="J1222" s="20">
        <v>0.0</v>
      </c>
      <c r="K1222" s="20">
        <v>0.0</v>
      </c>
      <c r="L1222" s="20">
        <v>0.0</v>
      </c>
      <c r="M1222" s="20">
        <v>0.0</v>
      </c>
      <c r="N1222" s="20">
        <v>0.0</v>
      </c>
      <c r="O1222" s="20">
        <v>0.0</v>
      </c>
      <c r="P1222" s="20">
        <v>0.0</v>
      </c>
      <c r="Q1222" s="20">
        <v>0.0</v>
      </c>
      <c r="R1222" s="20">
        <v>0.0</v>
      </c>
      <c r="S1222" s="20">
        <v>0.0</v>
      </c>
      <c r="T1222" s="20">
        <v>0.0</v>
      </c>
      <c r="U1222" s="20">
        <v>0.0</v>
      </c>
    </row>
    <row r="1223" ht="23.25" customHeight="1">
      <c r="A1223" s="1"/>
      <c r="B1223" s="15" t="s">
        <v>1624</v>
      </c>
      <c r="C1223" s="1" t="s">
        <v>17</v>
      </c>
      <c r="D1223" s="1" t="s">
        <v>1044</v>
      </c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</row>
    <row r="1224" ht="23.25" customHeight="1">
      <c r="A1224" s="17" t="str">
        <f>IF(COUNTIF('Icon Lookup'!C:C,B1224)&gt;0,LOOKUP(B1224,'Icon Lookup'!C:C,'Icon Lookup'!B:B),"")</f>
        <v/>
      </c>
      <c r="B1224" s="18" t="s">
        <v>293</v>
      </c>
      <c r="C1224" s="17"/>
      <c r="D1224" s="17">
        <v>38.0</v>
      </c>
      <c r="E1224" s="17" t="s">
        <v>61</v>
      </c>
      <c r="G1224" s="19"/>
      <c r="H1224" s="20" t="s">
        <v>1625</v>
      </c>
      <c r="I1224" s="17" t="s">
        <v>73</v>
      </c>
      <c r="J1224" s="17">
        <v>0.0</v>
      </c>
      <c r="K1224" s="17">
        <v>0.0</v>
      </c>
      <c r="L1224" s="17">
        <v>0.0</v>
      </c>
      <c r="M1224" s="17">
        <v>0.0</v>
      </c>
      <c r="N1224" s="17">
        <v>0.0</v>
      </c>
      <c r="O1224" s="17">
        <v>0.0</v>
      </c>
      <c r="P1224" s="17">
        <v>0.0</v>
      </c>
      <c r="Q1224" s="17">
        <v>0.0</v>
      </c>
      <c r="R1224" s="17">
        <v>0.0</v>
      </c>
      <c r="S1224" s="17">
        <v>0.0</v>
      </c>
      <c r="T1224" s="17">
        <v>0.0</v>
      </c>
      <c r="U1224" s="17">
        <v>0.0</v>
      </c>
    </row>
    <row r="1225" ht="23.25" customHeight="1">
      <c r="A1225" s="20" t="str">
        <f>IF(COUNTIF('Icon Lookup'!C:C,B1225)&gt;0,LOOKUP(B1225,'Icon Lookup'!C:C,'Icon Lookup'!B:B),"")</f>
        <v/>
      </c>
      <c r="B1225" s="21" t="s">
        <v>288</v>
      </c>
      <c r="C1225" s="20"/>
      <c r="D1225" s="20">
        <v>38.0</v>
      </c>
      <c r="E1225" s="20" t="s">
        <v>289</v>
      </c>
      <c r="G1225" s="22"/>
      <c r="H1225" s="23" t="s">
        <v>538</v>
      </c>
      <c r="I1225" s="20" t="s">
        <v>94</v>
      </c>
      <c r="J1225" s="20">
        <v>0.0</v>
      </c>
      <c r="K1225" s="20">
        <v>0.0</v>
      </c>
      <c r="L1225" s="20">
        <v>0.0</v>
      </c>
      <c r="M1225" s="20">
        <v>0.0</v>
      </c>
      <c r="N1225" s="20">
        <v>0.0</v>
      </c>
      <c r="O1225" s="20">
        <v>0.0</v>
      </c>
      <c r="P1225" s="20">
        <v>0.0</v>
      </c>
      <c r="Q1225" s="20">
        <v>0.0</v>
      </c>
      <c r="R1225" s="20">
        <v>0.0</v>
      </c>
      <c r="S1225" s="20">
        <v>0.0</v>
      </c>
      <c r="T1225" s="20">
        <v>0.0</v>
      </c>
      <c r="U1225" s="20">
        <v>0.0</v>
      </c>
    </row>
    <row r="1226" ht="23.25" customHeight="1">
      <c r="A1226" s="1"/>
      <c r="B1226" s="15" t="s">
        <v>1626</v>
      </c>
      <c r="C1226" s="1" t="s">
        <v>17</v>
      </c>
      <c r="D1226" s="1" t="s">
        <v>1044</v>
      </c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</row>
    <row r="1227" ht="23.25" customHeight="1">
      <c r="A1227" s="17" t="str">
        <f>IF(COUNTIF('Icon Lookup'!C:C,B1227)&gt;0,LOOKUP(B1227,'Icon Lookup'!C:C,'Icon Lookup'!B:B),"")</f>
        <v/>
      </c>
      <c r="B1227" s="18" t="s">
        <v>288</v>
      </c>
      <c r="C1227" s="17"/>
      <c r="D1227" s="17">
        <v>35.0</v>
      </c>
      <c r="E1227" s="17" t="s">
        <v>289</v>
      </c>
      <c r="G1227" s="19"/>
      <c r="H1227" s="20" t="s">
        <v>1407</v>
      </c>
      <c r="I1227" s="17" t="s">
        <v>73</v>
      </c>
      <c r="J1227" s="17">
        <v>0.0</v>
      </c>
      <c r="K1227" s="17">
        <v>0.0</v>
      </c>
      <c r="L1227" s="17">
        <v>0.0</v>
      </c>
      <c r="M1227" s="17">
        <v>0.0</v>
      </c>
      <c r="N1227" s="17">
        <v>0.0</v>
      </c>
      <c r="O1227" s="17">
        <v>0.0</v>
      </c>
      <c r="P1227" s="17">
        <v>0.0</v>
      </c>
      <c r="Q1227" s="17">
        <v>0.0</v>
      </c>
      <c r="R1227" s="17">
        <v>0.0</v>
      </c>
      <c r="S1227" s="17">
        <v>0.0</v>
      </c>
      <c r="T1227" s="17">
        <v>0.0</v>
      </c>
      <c r="U1227" s="17">
        <v>0.0</v>
      </c>
    </row>
    <row r="1228" ht="23.25" customHeight="1">
      <c r="A1228" s="20" t="str">
        <f>IF(COUNTIF('Icon Lookup'!C:C,B1228)&gt;0,LOOKUP(B1228,'Icon Lookup'!C:C,'Icon Lookup'!B:B),"")</f>
        <v/>
      </c>
      <c r="B1228" s="21" t="s">
        <v>1017</v>
      </c>
      <c r="C1228" s="20"/>
      <c r="D1228" s="20">
        <v>35.0</v>
      </c>
      <c r="E1228" s="20" t="s">
        <v>1126</v>
      </c>
      <c r="G1228" s="22"/>
      <c r="H1228" s="23" t="s">
        <v>1019</v>
      </c>
      <c r="I1228" s="20" t="s">
        <v>94</v>
      </c>
      <c r="J1228" s="20">
        <v>0.0</v>
      </c>
      <c r="K1228" s="20">
        <v>0.0</v>
      </c>
      <c r="L1228" s="20">
        <v>0.0</v>
      </c>
      <c r="M1228" s="20">
        <v>0.0</v>
      </c>
      <c r="N1228" s="20">
        <v>0.0</v>
      </c>
      <c r="O1228" s="20">
        <v>0.0</v>
      </c>
      <c r="P1228" s="20">
        <v>0.0</v>
      </c>
      <c r="Q1228" s="20">
        <v>0.0</v>
      </c>
      <c r="R1228" s="20">
        <v>0.0</v>
      </c>
      <c r="S1228" s="20">
        <v>0.0</v>
      </c>
      <c r="T1228" s="20">
        <v>0.0</v>
      </c>
      <c r="U1228" s="20">
        <v>0.0</v>
      </c>
    </row>
    <row r="1229" ht="23.25" customHeight="1">
      <c r="A1229" s="17" t="str">
        <f>IF(COUNTIF('Icon Lookup'!C:C,B1229)&gt;0,LOOKUP(B1229,'Icon Lookup'!C:C,'Icon Lookup'!B:B),"")</f>
        <v/>
      </c>
      <c r="B1229" s="18" t="s">
        <v>1003</v>
      </c>
      <c r="C1229" s="17"/>
      <c r="D1229" s="17">
        <v>35.0</v>
      </c>
      <c r="E1229" s="17" t="s">
        <v>1004</v>
      </c>
      <c r="G1229" s="19"/>
      <c r="H1229" s="20" t="s">
        <v>1627</v>
      </c>
      <c r="I1229" s="17" t="s">
        <v>36</v>
      </c>
      <c r="J1229" s="17">
        <v>0.0</v>
      </c>
      <c r="K1229" s="17">
        <v>0.0</v>
      </c>
      <c r="L1229" s="17">
        <v>0.0</v>
      </c>
      <c r="M1229" s="17">
        <v>0.0</v>
      </c>
      <c r="N1229" s="17">
        <v>0.0</v>
      </c>
      <c r="O1229" s="17">
        <v>0.0</v>
      </c>
      <c r="P1229" s="17">
        <v>0.0</v>
      </c>
      <c r="Q1229" s="17">
        <v>0.0</v>
      </c>
      <c r="R1229" s="17">
        <v>0.0</v>
      </c>
      <c r="S1229" s="17">
        <v>0.0</v>
      </c>
      <c r="T1229" s="17">
        <v>0.0</v>
      </c>
      <c r="U1229" s="17">
        <v>0.0</v>
      </c>
    </row>
    <row r="1230" ht="23.25" customHeight="1">
      <c r="A1230" s="1"/>
      <c r="B1230" s="15" t="s">
        <v>1628</v>
      </c>
      <c r="C1230" s="1" t="s">
        <v>17</v>
      </c>
      <c r="D1230" s="1" t="s">
        <v>1044</v>
      </c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</row>
    <row r="1231" ht="23.25" customHeight="1">
      <c r="A1231" s="20" t="str">
        <f>IF(COUNTIF('Icon Lookup'!C:C,B1231)&gt;0,LOOKUP(B1231,'Icon Lookup'!C:C,'Icon Lookup'!B:B),"")</f>
        <v/>
      </c>
      <c r="B1231" s="21" t="s">
        <v>687</v>
      </c>
      <c r="C1231" s="20"/>
      <c r="D1231" s="20">
        <v>40.0</v>
      </c>
      <c r="E1231" s="20" t="s">
        <v>258</v>
      </c>
      <c r="G1231" s="22"/>
      <c r="H1231" s="23" t="s">
        <v>1629</v>
      </c>
      <c r="I1231" s="20" t="s">
        <v>36</v>
      </c>
      <c r="J1231" s="20">
        <v>0.0</v>
      </c>
      <c r="K1231" s="20">
        <v>0.0</v>
      </c>
      <c r="L1231" s="20">
        <v>0.0</v>
      </c>
      <c r="M1231" s="20">
        <v>0.0</v>
      </c>
      <c r="N1231" s="20">
        <v>0.0</v>
      </c>
      <c r="O1231" s="20">
        <v>0.0</v>
      </c>
      <c r="P1231" s="20">
        <v>0.0</v>
      </c>
      <c r="Q1231" s="20">
        <v>0.0</v>
      </c>
      <c r="R1231" s="20">
        <v>0.0</v>
      </c>
      <c r="S1231" s="20">
        <v>0.0</v>
      </c>
      <c r="T1231" s="20">
        <v>0.0</v>
      </c>
      <c r="U1231" s="20">
        <v>0.0</v>
      </c>
    </row>
    <row r="1232" ht="23.25" customHeight="1">
      <c r="A1232" s="1"/>
      <c r="B1232" s="15" t="s">
        <v>1630</v>
      </c>
      <c r="C1232" s="1" t="s">
        <v>17</v>
      </c>
      <c r="D1232" s="1" t="s">
        <v>1044</v>
      </c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</row>
    <row r="1233" ht="23.25" customHeight="1">
      <c r="A1233" s="17" t="str">
        <f>IF(COUNTIF('Icon Lookup'!C:C,B1233)&gt;0,LOOKUP(B1233,'Icon Lookup'!C:C,'Icon Lookup'!B:B),"")</f>
        <v/>
      </c>
      <c r="B1233" s="18" t="s">
        <v>60</v>
      </c>
      <c r="C1233" s="17"/>
      <c r="D1233" s="17">
        <v>34.0</v>
      </c>
      <c r="E1233" s="17" t="s">
        <v>61</v>
      </c>
      <c r="G1233" s="19"/>
      <c r="H1233" s="20" t="s">
        <v>1602</v>
      </c>
      <c r="I1233" s="17" t="s">
        <v>1045</v>
      </c>
      <c r="J1233" s="17">
        <v>0.0</v>
      </c>
      <c r="K1233" s="17">
        <v>0.0</v>
      </c>
      <c r="L1233" s="17">
        <v>0.0</v>
      </c>
      <c r="M1233" s="17">
        <v>0.0</v>
      </c>
      <c r="N1233" s="17">
        <v>0.0</v>
      </c>
      <c r="O1233" s="17">
        <v>0.0</v>
      </c>
      <c r="P1233" s="17">
        <v>0.0</v>
      </c>
      <c r="Q1233" s="17">
        <v>0.0</v>
      </c>
      <c r="R1233" s="17">
        <v>0.0</v>
      </c>
      <c r="S1233" s="17">
        <v>0.0</v>
      </c>
      <c r="T1233" s="17">
        <v>0.0</v>
      </c>
      <c r="U1233" s="17">
        <v>0.0</v>
      </c>
    </row>
    <row r="1234" ht="23.25" customHeight="1">
      <c r="A1234" s="20" t="str">
        <f>IF(COUNTIF('Icon Lookup'!C:C,B1234)&gt;0,LOOKUP(B1234,'Icon Lookup'!C:C,'Icon Lookup'!B:B),"")</f>
        <v/>
      </c>
      <c r="B1234" s="21" t="s">
        <v>685</v>
      </c>
      <c r="C1234" s="20"/>
      <c r="D1234" s="20">
        <v>36.0</v>
      </c>
      <c r="E1234" s="20" t="s">
        <v>58</v>
      </c>
      <c r="G1234" s="22"/>
      <c r="H1234" s="23" t="s">
        <v>1421</v>
      </c>
      <c r="I1234" s="20" t="s">
        <v>197</v>
      </c>
      <c r="J1234" s="20">
        <v>0.0</v>
      </c>
      <c r="K1234" s="20">
        <v>0.0</v>
      </c>
      <c r="L1234" s="20">
        <v>0.0</v>
      </c>
      <c r="M1234" s="20">
        <v>0.0</v>
      </c>
      <c r="N1234" s="20">
        <v>0.0</v>
      </c>
      <c r="O1234" s="20">
        <v>0.0</v>
      </c>
      <c r="P1234" s="20">
        <v>0.0</v>
      </c>
      <c r="Q1234" s="20">
        <v>0.0</v>
      </c>
      <c r="R1234" s="20">
        <v>0.0</v>
      </c>
      <c r="S1234" s="20">
        <v>0.0</v>
      </c>
      <c r="T1234" s="20">
        <v>0.0</v>
      </c>
      <c r="U1234" s="20">
        <v>0.0</v>
      </c>
    </row>
    <row r="1235" ht="23.25" customHeight="1">
      <c r="A1235" s="17" t="str">
        <f>IF(COUNTIF('Icon Lookup'!C:C,B1235)&gt;0,LOOKUP(B1235,'Icon Lookup'!C:C,'Icon Lookup'!B:B),"")</f>
        <v/>
      </c>
      <c r="B1235" s="18" t="s">
        <v>687</v>
      </c>
      <c r="C1235" s="17"/>
      <c r="D1235" s="17">
        <v>38.0</v>
      </c>
      <c r="E1235" s="17" t="s">
        <v>258</v>
      </c>
      <c r="G1235" s="19"/>
      <c r="H1235" s="20" t="s">
        <v>1631</v>
      </c>
      <c r="I1235" s="17" t="s">
        <v>73</v>
      </c>
      <c r="J1235" s="17">
        <v>0.0</v>
      </c>
      <c r="K1235" s="17">
        <v>0.0</v>
      </c>
      <c r="L1235" s="17">
        <v>0.0</v>
      </c>
      <c r="M1235" s="17">
        <v>0.0</v>
      </c>
      <c r="N1235" s="17">
        <v>0.0</v>
      </c>
      <c r="O1235" s="17">
        <v>0.0</v>
      </c>
      <c r="P1235" s="17">
        <v>0.0</v>
      </c>
      <c r="Q1235" s="17">
        <v>0.0</v>
      </c>
      <c r="R1235" s="17">
        <v>0.0</v>
      </c>
      <c r="S1235" s="17">
        <v>0.0</v>
      </c>
      <c r="T1235" s="17">
        <v>0.0</v>
      </c>
      <c r="U1235" s="17">
        <v>0.0</v>
      </c>
    </row>
    <row r="1236" ht="23.25" customHeight="1">
      <c r="A1236" s="1"/>
      <c r="B1236" s="15" t="s">
        <v>1632</v>
      </c>
      <c r="C1236" s="1" t="s">
        <v>17</v>
      </c>
      <c r="D1236" s="1" t="s">
        <v>1044</v>
      </c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</row>
    <row r="1237" ht="23.25" customHeight="1">
      <c r="A1237" s="20" t="str">
        <f>IF(COUNTIF('Icon Lookup'!C:C,B1237)&gt;0,LOOKUP(B1237,'Icon Lookup'!C:C,'Icon Lookup'!B:B),"")</f>
        <v/>
      </c>
      <c r="B1237" s="21" t="s">
        <v>160</v>
      </c>
      <c r="C1237" s="20"/>
      <c r="D1237" s="20">
        <v>38.0</v>
      </c>
      <c r="E1237" s="20" t="s">
        <v>161</v>
      </c>
      <c r="G1237" s="22"/>
      <c r="H1237" s="23" t="s">
        <v>1633</v>
      </c>
      <c r="I1237" s="20" t="s">
        <v>94</v>
      </c>
      <c r="J1237" s="20">
        <v>0.0</v>
      </c>
      <c r="K1237" s="20">
        <v>0.0</v>
      </c>
      <c r="L1237" s="20">
        <v>0.0</v>
      </c>
      <c r="M1237" s="20">
        <v>0.0</v>
      </c>
      <c r="N1237" s="20">
        <v>0.0</v>
      </c>
      <c r="O1237" s="20">
        <v>0.0</v>
      </c>
      <c r="P1237" s="20">
        <v>0.0</v>
      </c>
      <c r="Q1237" s="20">
        <v>0.0</v>
      </c>
      <c r="R1237" s="20">
        <v>0.0</v>
      </c>
      <c r="S1237" s="20">
        <v>0.0</v>
      </c>
      <c r="T1237" s="20">
        <v>0.0</v>
      </c>
      <c r="U1237" s="20">
        <v>0.0</v>
      </c>
    </row>
    <row r="1238" ht="23.25" customHeight="1">
      <c r="A1238" s="17" t="str">
        <f>IF(COUNTIF('Icon Lookup'!C:C,B1238)&gt;0,LOOKUP(B1238,'Icon Lookup'!C:C,'Icon Lookup'!B:B),"")</f>
        <v/>
      </c>
      <c r="B1238" s="18" t="s">
        <v>1003</v>
      </c>
      <c r="C1238" s="17"/>
      <c r="D1238" s="17">
        <v>38.0</v>
      </c>
      <c r="E1238" s="17" t="s">
        <v>1004</v>
      </c>
      <c r="G1238" s="19"/>
      <c r="H1238" s="20" t="s">
        <v>1427</v>
      </c>
      <c r="I1238" s="17" t="s">
        <v>36</v>
      </c>
      <c r="J1238" s="17">
        <v>0.0</v>
      </c>
      <c r="K1238" s="17">
        <v>0.0</v>
      </c>
      <c r="L1238" s="17">
        <v>0.0</v>
      </c>
      <c r="M1238" s="17">
        <v>0.0</v>
      </c>
      <c r="N1238" s="17">
        <v>0.0</v>
      </c>
      <c r="O1238" s="17">
        <v>0.0</v>
      </c>
      <c r="P1238" s="17">
        <v>0.0</v>
      </c>
      <c r="Q1238" s="17">
        <v>0.0</v>
      </c>
      <c r="R1238" s="17">
        <v>0.0</v>
      </c>
      <c r="S1238" s="17">
        <v>0.0</v>
      </c>
      <c r="T1238" s="17">
        <v>0.0</v>
      </c>
      <c r="U1238" s="17">
        <v>0.0</v>
      </c>
    </row>
    <row r="1239" ht="23.25" customHeight="1">
      <c r="A1239" s="1"/>
      <c r="B1239" s="15" t="s">
        <v>1634</v>
      </c>
      <c r="C1239" s="1" t="s">
        <v>17</v>
      </c>
      <c r="D1239" s="1" t="s">
        <v>1044</v>
      </c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</row>
    <row r="1240" ht="23.25" customHeight="1">
      <c r="A1240" s="20" t="str">
        <f>IF(COUNTIF('Icon Lookup'!C:C,B1240)&gt;0,LOOKUP(B1240,'Icon Lookup'!C:C,'Icon Lookup'!B:B),"")</f>
        <v/>
      </c>
      <c r="B1240" s="21" t="s">
        <v>174</v>
      </c>
      <c r="C1240" s="20"/>
      <c r="D1240" s="20">
        <v>37.0</v>
      </c>
      <c r="E1240" s="20" t="s">
        <v>38</v>
      </c>
      <c r="G1240" s="22"/>
      <c r="H1240" s="23" t="s">
        <v>1617</v>
      </c>
      <c r="I1240" s="20" t="s">
        <v>1045</v>
      </c>
      <c r="J1240" s="20">
        <v>0.0</v>
      </c>
      <c r="K1240" s="20">
        <v>0.0</v>
      </c>
      <c r="L1240" s="20">
        <v>0.0</v>
      </c>
      <c r="M1240" s="20">
        <v>0.0</v>
      </c>
      <c r="N1240" s="20">
        <v>0.0</v>
      </c>
      <c r="O1240" s="20">
        <v>0.0</v>
      </c>
      <c r="P1240" s="20">
        <v>0.0</v>
      </c>
      <c r="Q1240" s="20">
        <v>0.0</v>
      </c>
      <c r="R1240" s="20">
        <v>0.0</v>
      </c>
      <c r="S1240" s="20">
        <v>0.0</v>
      </c>
      <c r="T1240" s="20">
        <v>0.0</v>
      </c>
      <c r="U1240" s="20">
        <v>0.0</v>
      </c>
    </row>
    <row r="1241" ht="23.25" customHeight="1">
      <c r="A1241" s="17" t="str">
        <f>IF(COUNTIF('Icon Lookup'!C:C,B1241)&gt;0,LOOKUP(B1241,'Icon Lookup'!C:C,'Icon Lookup'!B:B),"")</f>
        <v/>
      </c>
      <c r="B1241" s="18" t="s">
        <v>1003</v>
      </c>
      <c r="C1241" s="17"/>
      <c r="D1241" s="17">
        <v>37.0</v>
      </c>
      <c r="E1241" s="17" t="s">
        <v>1004</v>
      </c>
      <c r="G1241" s="19"/>
      <c r="H1241" s="20" t="s">
        <v>1635</v>
      </c>
      <c r="I1241" s="17" t="s">
        <v>197</v>
      </c>
      <c r="J1241" s="17">
        <v>0.0</v>
      </c>
      <c r="K1241" s="17">
        <v>0.0</v>
      </c>
      <c r="L1241" s="17">
        <v>0.0</v>
      </c>
      <c r="M1241" s="17">
        <v>0.0</v>
      </c>
      <c r="N1241" s="17">
        <v>0.0</v>
      </c>
      <c r="O1241" s="17">
        <v>0.0</v>
      </c>
      <c r="P1241" s="17">
        <v>0.0</v>
      </c>
      <c r="Q1241" s="17">
        <v>0.0</v>
      </c>
      <c r="R1241" s="17">
        <v>0.0</v>
      </c>
      <c r="S1241" s="17">
        <v>0.0</v>
      </c>
      <c r="T1241" s="17">
        <v>0.0</v>
      </c>
      <c r="U1241" s="17">
        <v>0.0</v>
      </c>
    </row>
    <row r="1242" ht="23.25" customHeight="1">
      <c r="A1242" s="20" t="str">
        <f>IF(COUNTIF('Icon Lookup'!C:C,B1242)&gt;0,LOOKUP(B1242,'Icon Lookup'!C:C,'Icon Lookup'!B:B),"")</f>
        <v/>
      </c>
      <c r="B1242" s="21" t="s">
        <v>160</v>
      </c>
      <c r="C1242" s="20"/>
      <c r="D1242" s="20">
        <v>37.0</v>
      </c>
      <c r="E1242" s="20" t="s">
        <v>161</v>
      </c>
      <c r="G1242" s="22"/>
      <c r="H1242" s="23" t="s">
        <v>1613</v>
      </c>
      <c r="I1242" s="20" t="s">
        <v>73</v>
      </c>
      <c r="J1242" s="20">
        <v>0.0</v>
      </c>
      <c r="K1242" s="20">
        <v>0.0</v>
      </c>
      <c r="L1242" s="20">
        <v>0.0</v>
      </c>
      <c r="M1242" s="20">
        <v>0.0</v>
      </c>
      <c r="N1242" s="20">
        <v>0.0</v>
      </c>
      <c r="O1242" s="20">
        <v>0.0</v>
      </c>
      <c r="P1242" s="20">
        <v>0.0</v>
      </c>
      <c r="Q1242" s="20">
        <v>0.0</v>
      </c>
      <c r="R1242" s="20">
        <v>0.0</v>
      </c>
      <c r="S1242" s="20">
        <v>0.0</v>
      </c>
      <c r="T1242" s="20">
        <v>0.0</v>
      </c>
      <c r="U1242" s="20">
        <v>0.0</v>
      </c>
    </row>
    <row r="1243" ht="23.25" customHeight="1">
      <c r="A1243" s="1"/>
      <c r="B1243" s="15" t="s">
        <v>1636</v>
      </c>
      <c r="C1243" s="1" t="s">
        <v>17</v>
      </c>
      <c r="D1243" s="1" t="s">
        <v>1044</v>
      </c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</row>
    <row r="1244" ht="23.25" customHeight="1">
      <c r="A1244" s="17" t="str">
        <f>IF(COUNTIF('Icon Lookup'!C:C,B1244)&gt;0,LOOKUP(B1244,'Icon Lookup'!C:C,'Icon Lookup'!B:B),"")</f>
        <v/>
      </c>
      <c r="B1244" s="18" t="s">
        <v>1017</v>
      </c>
      <c r="C1244" s="17"/>
      <c r="D1244" s="17">
        <v>38.0</v>
      </c>
      <c r="E1244" s="17" t="s">
        <v>1126</v>
      </c>
      <c r="G1244" s="19"/>
      <c r="H1244" s="20" t="s">
        <v>1610</v>
      </c>
      <c r="I1244" s="17" t="s">
        <v>94</v>
      </c>
      <c r="J1244" s="17">
        <v>0.0</v>
      </c>
      <c r="K1244" s="17">
        <v>0.0</v>
      </c>
      <c r="L1244" s="17">
        <v>0.0</v>
      </c>
      <c r="M1244" s="17">
        <v>0.0</v>
      </c>
      <c r="N1244" s="17">
        <v>0.0</v>
      </c>
      <c r="O1244" s="17">
        <v>0.0</v>
      </c>
      <c r="P1244" s="17">
        <v>0.0</v>
      </c>
      <c r="Q1244" s="17">
        <v>0.0</v>
      </c>
      <c r="R1244" s="17">
        <v>0.0</v>
      </c>
      <c r="S1244" s="17">
        <v>0.0</v>
      </c>
      <c r="T1244" s="17">
        <v>0.0</v>
      </c>
      <c r="U1244" s="17">
        <v>0.0</v>
      </c>
    </row>
    <row r="1245" ht="23.25" customHeight="1">
      <c r="A1245" s="20" t="str">
        <f>IF(COUNTIF('Icon Lookup'!C:C,B1245)&gt;0,LOOKUP(B1245,'Icon Lookup'!C:C,'Icon Lookup'!B:B),"")</f>
        <v/>
      </c>
      <c r="B1245" s="21" t="s">
        <v>1003</v>
      </c>
      <c r="C1245" s="20"/>
      <c r="D1245" s="20">
        <v>38.0</v>
      </c>
      <c r="E1245" s="20" t="s">
        <v>1004</v>
      </c>
      <c r="G1245" s="22"/>
      <c r="H1245" s="23" t="s">
        <v>1425</v>
      </c>
      <c r="I1245" s="20" t="s">
        <v>36</v>
      </c>
      <c r="J1245" s="20">
        <v>0.0</v>
      </c>
      <c r="K1245" s="20">
        <v>0.0</v>
      </c>
      <c r="L1245" s="20">
        <v>0.0</v>
      </c>
      <c r="M1245" s="20">
        <v>0.0</v>
      </c>
      <c r="N1245" s="20">
        <v>0.0</v>
      </c>
      <c r="O1245" s="20">
        <v>0.0</v>
      </c>
      <c r="P1245" s="20">
        <v>0.0</v>
      </c>
      <c r="Q1245" s="20">
        <v>0.0</v>
      </c>
      <c r="R1245" s="20">
        <v>0.0</v>
      </c>
      <c r="S1245" s="20">
        <v>0.0</v>
      </c>
      <c r="T1245" s="20">
        <v>0.0</v>
      </c>
      <c r="U1245" s="20">
        <v>0.0</v>
      </c>
    </row>
    <row r="1246" ht="23.25" customHeight="1">
      <c r="A1246" s="1"/>
      <c r="B1246" s="15" t="s">
        <v>1637</v>
      </c>
      <c r="C1246" s="1" t="s">
        <v>17</v>
      </c>
      <c r="D1246" s="1" t="s">
        <v>1038</v>
      </c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</row>
    <row r="1247" ht="23.25" customHeight="1">
      <c r="A1247" s="17" t="str">
        <f>IF(COUNTIF('Icon Lookup'!C:C,B1247)&gt;0,LOOKUP(B1247,'Icon Lookup'!C:C,'Icon Lookup'!B:B),"")</f>
        <v/>
      </c>
      <c r="B1247" s="18" t="s">
        <v>160</v>
      </c>
      <c r="C1247" s="17"/>
      <c r="D1247" s="17">
        <v>41.0</v>
      </c>
      <c r="E1247" s="17" t="s">
        <v>161</v>
      </c>
      <c r="G1247" s="19"/>
      <c r="H1247" s="20" t="s">
        <v>1638</v>
      </c>
      <c r="I1247" s="17" t="s">
        <v>156</v>
      </c>
      <c r="J1247" s="17">
        <v>68.0</v>
      </c>
      <c r="K1247" s="17">
        <v>0.0</v>
      </c>
      <c r="L1247" s="17">
        <v>68.0</v>
      </c>
      <c r="M1247" s="17">
        <v>0.0</v>
      </c>
      <c r="N1247" s="17">
        <v>68.0</v>
      </c>
      <c r="O1247" s="17">
        <v>0.0</v>
      </c>
      <c r="P1247" s="17">
        <v>15.0</v>
      </c>
      <c r="Q1247" s="17">
        <v>0.0</v>
      </c>
      <c r="R1247" s="17">
        <v>15.0</v>
      </c>
      <c r="S1247" s="17">
        <v>0.0</v>
      </c>
      <c r="T1247" s="17">
        <v>15.0</v>
      </c>
      <c r="U1247" s="17">
        <v>0.0</v>
      </c>
    </row>
    <row r="1248" ht="23.25" customHeight="1">
      <c r="A1248" s="20" t="str">
        <f>IF(COUNTIF('Icon Lookup'!C:C,B1248)&gt;0,LOOKUP(B1248,'Icon Lookup'!C:C,'Icon Lookup'!B:B),"")</f>
        <v/>
      </c>
      <c r="B1248" s="21" t="s">
        <v>174</v>
      </c>
      <c r="C1248" s="20"/>
      <c r="D1248" s="20">
        <v>42.0</v>
      </c>
      <c r="E1248" s="20" t="s">
        <v>38</v>
      </c>
      <c r="G1248" s="22"/>
      <c r="H1248" s="23" t="s">
        <v>1639</v>
      </c>
      <c r="I1248" s="20" t="s">
        <v>22</v>
      </c>
      <c r="J1248" s="20">
        <v>68.0</v>
      </c>
      <c r="K1248" s="20">
        <v>0.0</v>
      </c>
      <c r="L1248" s="20">
        <v>68.0</v>
      </c>
      <c r="M1248" s="20">
        <v>0.0</v>
      </c>
      <c r="N1248" s="20">
        <v>68.0</v>
      </c>
      <c r="O1248" s="20">
        <v>0.0</v>
      </c>
      <c r="P1248" s="20">
        <v>15.0</v>
      </c>
      <c r="Q1248" s="20">
        <v>0.0</v>
      </c>
      <c r="R1248" s="20">
        <v>15.0</v>
      </c>
      <c r="S1248" s="20">
        <v>0.0</v>
      </c>
      <c r="T1248" s="20">
        <v>15.0</v>
      </c>
      <c r="U1248" s="20">
        <v>0.0</v>
      </c>
    </row>
    <row r="1249" ht="23.25" customHeight="1">
      <c r="A1249" s="17" t="str">
        <f>IF(COUNTIF('Icon Lookup'!C:C,B1249)&gt;0,LOOKUP(B1249,'Icon Lookup'!C:C,'Icon Lookup'!B:B),"")</f>
        <v/>
      </c>
      <c r="B1249" s="18" t="s">
        <v>1040</v>
      </c>
      <c r="C1249" s="17"/>
      <c r="D1249" s="17">
        <v>45.0</v>
      </c>
      <c r="E1249" s="17" t="str">
        <f>IMAGE("https://www.serebii.net/itemdex/sprites/sitrusberry.png")</f>
        <v/>
      </c>
      <c r="F1249" s="17" t="s">
        <v>382</v>
      </c>
      <c r="G1249" s="17" t="s">
        <v>824</v>
      </c>
      <c r="H1249" s="20" t="s">
        <v>1640</v>
      </c>
      <c r="I1249" s="17" t="s">
        <v>22</v>
      </c>
      <c r="J1249" s="17">
        <v>68.0</v>
      </c>
      <c r="K1249" s="17">
        <v>0.0</v>
      </c>
      <c r="L1249" s="17">
        <v>68.0</v>
      </c>
      <c r="M1249" s="17">
        <v>0.0</v>
      </c>
      <c r="N1249" s="17">
        <v>68.0</v>
      </c>
      <c r="O1249" s="17">
        <v>0.0</v>
      </c>
      <c r="P1249" s="17">
        <v>15.0</v>
      </c>
      <c r="Q1249" s="17">
        <v>0.0</v>
      </c>
      <c r="R1249" s="17">
        <v>15.0</v>
      </c>
      <c r="S1249" s="17">
        <v>0.0</v>
      </c>
      <c r="T1249" s="17">
        <v>15.0</v>
      </c>
      <c r="U1249" s="17">
        <v>0.0</v>
      </c>
    </row>
    <row r="1250" ht="23.25" customHeight="1">
      <c r="A1250" s="1"/>
      <c r="B1250" s="15" t="s">
        <v>1641</v>
      </c>
      <c r="C1250" s="1" t="s">
        <v>17</v>
      </c>
      <c r="D1250" s="1" t="s">
        <v>1642</v>
      </c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</row>
    <row r="1251" ht="23.25" customHeight="1">
      <c r="A1251" s="20" t="str">
        <f>IF(COUNTIF('Icon Lookup'!C:C,B1251)&gt;0,LOOKUP(B1251,'Icon Lookup'!C:C,'Icon Lookup'!B:B),"")</f>
        <v/>
      </c>
      <c r="B1251" s="21" t="s">
        <v>217</v>
      </c>
      <c r="C1251" s="20"/>
      <c r="D1251" s="20">
        <v>19.0</v>
      </c>
      <c r="E1251" s="20" t="s">
        <v>218</v>
      </c>
      <c r="G1251" s="22"/>
      <c r="H1251" s="23" t="s">
        <v>1643</v>
      </c>
      <c r="I1251" s="20" t="s">
        <v>156</v>
      </c>
      <c r="J1251" s="20">
        <v>0.0</v>
      </c>
      <c r="K1251" s="20">
        <v>0.0</v>
      </c>
      <c r="L1251" s="20">
        <v>0.0</v>
      </c>
      <c r="M1251" s="20">
        <v>0.0</v>
      </c>
      <c r="N1251" s="20">
        <v>0.0</v>
      </c>
      <c r="O1251" s="20">
        <v>0.0</v>
      </c>
      <c r="P1251" s="20">
        <v>0.0</v>
      </c>
      <c r="Q1251" s="20">
        <v>0.0</v>
      </c>
      <c r="R1251" s="20">
        <v>0.0</v>
      </c>
      <c r="S1251" s="20">
        <v>0.0</v>
      </c>
      <c r="T1251" s="20">
        <v>0.0</v>
      </c>
      <c r="U1251" s="20">
        <v>0.0</v>
      </c>
    </row>
    <row r="1252" ht="23.25" customHeight="1">
      <c r="A1252" s="1"/>
      <c r="B1252" s="15" t="s">
        <v>1644</v>
      </c>
      <c r="C1252" s="1" t="s">
        <v>17</v>
      </c>
      <c r="D1252" s="1" t="s">
        <v>1645</v>
      </c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</row>
    <row r="1253" ht="23.25" customHeight="1">
      <c r="A1253" s="17" t="str">
        <f>IF(COUNTIF('Icon Lookup'!C:C,B1253)&gt;0,LOOKUP(B1253,'Icon Lookup'!C:C,'Icon Lookup'!B:B),"")</f>
        <v/>
      </c>
      <c r="B1253" s="18" t="s">
        <v>212</v>
      </c>
      <c r="C1253" s="17"/>
      <c r="D1253" s="17">
        <v>15.0</v>
      </c>
      <c r="E1253" s="17" t="s">
        <v>137</v>
      </c>
      <c r="G1253" s="19"/>
      <c r="H1253" s="20" t="s">
        <v>213</v>
      </c>
      <c r="I1253" s="17" t="s">
        <v>156</v>
      </c>
      <c r="J1253" s="17">
        <v>0.0</v>
      </c>
      <c r="K1253" s="17">
        <v>0.0</v>
      </c>
      <c r="L1253" s="17">
        <v>0.0</v>
      </c>
      <c r="M1253" s="17">
        <v>0.0</v>
      </c>
      <c r="N1253" s="17">
        <v>0.0</v>
      </c>
      <c r="O1253" s="17">
        <v>0.0</v>
      </c>
      <c r="P1253" s="17">
        <v>0.0</v>
      </c>
      <c r="Q1253" s="17">
        <v>0.0</v>
      </c>
      <c r="R1253" s="17">
        <v>0.0</v>
      </c>
      <c r="S1253" s="17">
        <v>0.0</v>
      </c>
      <c r="T1253" s="17">
        <v>0.0</v>
      </c>
      <c r="U1253" s="17">
        <v>0.0</v>
      </c>
    </row>
    <row r="1254" ht="23.25" customHeight="1">
      <c r="A1254" s="20" t="str">
        <f>IF(COUNTIF('Icon Lookup'!C:C,B1254)&gt;0,LOOKUP(B1254,'Icon Lookup'!C:C,'Icon Lookup'!B:B),"")</f>
        <v/>
      </c>
      <c r="B1254" s="21" t="s">
        <v>212</v>
      </c>
      <c r="C1254" s="20"/>
      <c r="D1254" s="20">
        <v>15.0</v>
      </c>
      <c r="E1254" s="20" t="s">
        <v>137</v>
      </c>
      <c r="G1254" s="22"/>
      <c r="H1254" s="23" t="s">
        <v>213</v>
      </c>
      <c r="I1254" s="20" t="s">
        <v>156</v>
      </c>
      <c r="J1254" s="20">
        <v>0.0</v>
      </c>
      <c r="K1254" s="20">
        <v>0.0</v>
      </c>
      <c r="L1254" s="20">
        <v>0.0</v>
      </c>
      <c r="M1254" s="20">
        <v>0.0</v>
      </c>
      <c r="N1254" s="20">
        <v>0.0</v>
      </c>
      <c r="O1254" s="20">
        <v>0.0</v>
      </c>
      <c r="P1254" s="20">
        <v>0.0</v>
      </c>
      <c r="Q1254" s="20">
        <v>0.0</v>
      </c>
      <c r="R1254" s="20">
        <v>0.0</v>
      </c>
      <c r="S1254" s="20">
        <v>0.0</v>
      </c>
      <c r="T1254" s="20">
        <v>0.0</v>
      </c>
      <c r="U1254" s="20">
        <v>0.0</v>
      </c>
    </row>
    <row r="1255" ht="23.25" customHeight="1">
      <c r="A1255" s="17" t="str">
        <f>IF(COUNTIF('Icon Lookup'!C:C,B1255)&gt;0,LOOKUP(B1255,'Icon Lookup'!C:C,'Icon Lookup'!B:B),"")</f>
        <v/>
      </c>
      <c r="B1255" s="18" t="s">
        <v>136</v>
      </c>
      <c r="C1255" s="17"/>
      <c r="D1255" s="17">
        <v>18.0</v>
      </c>
      <c r="E1255" s="17" t="s">
        <v>137</v>
      </c>
      <c r="G1255" s="19"/>
      <c r="H1255" s="20" t="s">
        <v>1646</v>
      </c>
      <c r="I1255" s="17" t="s">
        <v>156</v>
      </c>
      <c r="J1255" s="17">
        <v>0.0</v>
      </c>
      <c r="K1255" s="17">
        <v>0.0</v>
      </c>
      <c r="L1255" s="17">
        <v>0.0</v>
      </c>
      <c r="M1255" s="17">
        <v>0.0</v>
      </c>
      <c r="N1255" s="17">
        <v>0.0</v>
      </c>
      <c r="O1255" s="17">
        <v>0.0</v>
      </c>
      <c r="P1255" s="17">
        <v>0.0</v>
      </c>
      <c r="Q1255" s="17">
        <v>0.0</v>
      </c>
      <c r="R1255" s="17">
        <v>0.0</v>
      </c>
      <c r="S1255" s="17">
        <v>0.0</v>
      </c>
      <c r="T1255" s="17">
        <v>0.0</v>
      </c>
      <c r="U1255" s="17">
        <v>0.0</v>
      </c>
    </row>
    <row r="1256" ht="23.25" customHeight="1">
      <c r="A1256" s="1"/>
      <c r="B1256" s="15" t="s">
        <v>1647</v>
      </c>
      <c r="C1256" s="1" t="s">
        <v>17</v>
      </c>
      <c r="D1256" s="1" t="s">
        <v>1648</v>
      </c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</row>
    <row r="1257" ht="23.25" customHeight="1">
      <c r="A1257" s="20" t="str">
        <f>IF(COUNTIF('Icon Lookup'!C:C,B1257)&gt;0,LOOKUP(B1257,'Icon Lookup'!C:C,'Icon Lookup'!B:B),"")</f>
        <v/>
      </c>
      <c r="B1257" s="21" t="s">
        <v>206</v>
      </c>
      <c r="C1257" s="20"/>
      <c r="D1257" s="20">
        <v>19.0</v>
      </c>
      <c r="E1257" s="20" t="s">
        <v>98</v>
      </c>
      <c r="G1257" s="22"/>
      <c r="H1257" s="23" t="s">
        <v>1034</v>
      </c>
      <c r="I1257" s="20" t="s">
        <v>211</v>
      </c>
      <c r="J1257" s="20">
        <v>0.0</v>
      </c>
      <c r="K1257" s="20">
        <v>0.0</v>
      </c>
      <c r="L1257" s="20">
        <v>0.0</v>
      </c>
      <c r="M1257" s="20">
        <v>0.0</v>
      </c>
      <c r="N1257" s="20">
        <v>0.0</v>
      </c>
      <c r="O1257" s="20">
        <v>0.0</v>
      </c>
      <c r="P1257" s="20">
        <v>0.0</v>
      </c>
      <c r="Q1257" s="20">
        <v>0.0</v>
      </c>
      <c r="R1257" s="20">
        <v>0.0</v>
      </c>
      <c r="S1257" s="20">
        <v>0.0</v>
      </c>
      <c r="T1257" s="20">
        <v>0.0</v>
      </c>
      <c r="U1257" s="20">
        <v>0.0</v>
      </c>
    </row>
    <row r="1258" ht="23.25" customHeight="1">
      <c r="A1258" s="1"/>
      <c r="B1258" s="15" t="s">
        <v>1649</v>
      </c>
      <c r="C1258" s="1" t="s">
        <v>17</v>
      </c>
      <c r="D1258" s="1" t="s">
        <v>1650</v>
      </c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</row>
    <row r="1259" ht="23.25" customHeight="1">
      <c r="A1259" s="17" t="str">
        <f>IF(COUNTIF('Icon Lookup'!C:C,B1259)&gt;0,LOOKUP(B1259,'Icon Lookup'!C:C,'Icon Lookup'!B:B),"")</f>
        <v/>
      </c>
      <c r="B1259" s="18" t="s">
        <v>1017</v>
      </c>
      <c r="C1259" s="17"/>
      <c r="D1259" s="17">
        <v>16.0</v>
      </c>
      <c r="E1259" s="17" t="s">
        <v>1018</v>
      </c>
      <c r="G1259" s="19"/>
      <c r="H1259" s="20" t="s">
        <v>1651</v>
      </c>
      <c r="I1259" s="17" t="s">
        <v>46</v>
      </c>
      <c r="J1259" s="17">
        <v>0.0</v>
      </c>
      <c r="K1259" s="17">
        <v>0.0</v>
      </c>
      <c r="L1259" s="17">
        <v>0.0</v>
      </c>
      <c r="M1259" s="17">
        <v>0.0</v>
      </c>
      <c r="N1259" s="17">
        <v>0.0</v>
      </c>
      <c r="O1259" s="17">
        <v>0.0</v>
      </c>
      <c r="P1259" s="17">
        <v>0.0</v>
      </c>
      <c r="Q1259" s="17">
        <v>0.0</v>
      </c>
      <c r="R1259" s="17">
        <v>0.0</v>
      </c>
      <c r="S1259" s="17">
        <v>0.0</v>
      </c>
      <c r="T1259" s="17">
        <v>0.0</v>
      </c>
      <c r="U1259" s="17">
        <v>0.0</v>
      </c>
    </row>
    <row r="1260" ht="23.25" customHeight="1">
      <c r="A1260" s="20" t="str">
        <f>IF(COUNTIF('Icon Lookup'!C:C,B1260)&gt;0,LOOKUP(B1260,'Icon Lookup'!C:C,'Icon Lookup'!B:B),"")</f>
        <v/>
      </c>
      <c r="B1260" s="21" t="s">
        <v>697</v>
      </c>
      <c r="C1260" s="20"/>
      <c r="D1260" s="20">
        <v>16.0</v>
      </c>
      <c r="E1260" s="20" t="s">
        <v>258</v>
      </c>
      <c r="G1260" s="22"/>
      <c r="H1260" s="23" t="s">
        <v>1652</v>
      </c>
      <c r="I1260" s="20" t="s">
        <v>36</v>
      </c>
      <c r="J1260" s="20">
        <v>0.0</v>
      </c>
      <c r="K1260" s="20">
        <v>0.0</v>
      </c>
      <c r="L1260" s="20">
        <v>0.0</v>
      </c>
      <c r="M1260" s="20">
        <v>0.0</v>
      </c>
      <c r="N1260" s="20">
        <v>0.0</v>
      </c>
      <c r="O1260" s="20">
        <v>0.0</v>
      </c>
      <c r="P1260" s="20">
        <v>0.0</v>
      </c>
      <c r="Q1260" s="20">
        <v>0.0</v>
      </c>
      <c r="R1260" s="20">
        <v>0.0</v>
      </c>
      <c r="S1260" s="20">
        <v>0.0</v>
      </c>
      <c r="T1260" s="20">
        <v>0.0</v>
      </c>
      <c r="U1260" s="20">
        <v>0.0</v>
      </c>
    </row>
    <row r="1261" ht="23.25" customHeight="1">
      <c r="A1261" s="17" t="str">
        <f>IF(COUNTIF('Icon Lookup'!C:C,B1261)&gt;0,LOOKUP(B1261,'Icon Lookup'!C:C,'Icon Lookup'!B:B),"")</f>
        <v/>
      </c>
      <c r="B1261" s="18" t="s">
        <v>365</v>
      </c>
      <c r="C1261" s="17"/>
      <c r="D1261" s="17">
        <v>16.0</v>
      </c>
      <c r="E1261" s="17" t="s">
        <v>366</v>
      </c>
      <c r="G1261" s="19"/>
      <c r="H1261" s="20" t="s">
        <v>367</v>
      </c>
      <c r="I1261" s="17" t="s">
        <v>40</v>
      </c>
      <c r="J1261" s="17">
        <v>0.0</v>
      </c>
      <c r="K1261" s="17">
        <v>0.0</v>
      </c>
      <c r="L1261" s="17">
        <v>0.0</v>
      </c>
      <c r="M1261" s="17">
        <v>0.0</v>
      </c>
      <c r="N1261" s="17">
        <v>0.0</v>
      </c>
      <c r="O1261" s="17">
        <v>0.0</v>
      </c>
      <c r="P1261" s="17">
        <v>0.0</v>
      </c>
      <c r="Q1261" s="17">
        <v>0.0</v>
      </c>
      <c r="R1261" s="17">
        <v>0.0</v>
      </c>
      <c r="S1261" s="17">
        <v>0.0</v>
      </c>
      <c r="T1261" s="17">
        <v>0.0</v>
      </c>
      <c r="U1261" s="17">
        <v>0.0</v>
      </c>
    </row>
    <row r="1262" ht="23.25" customHeight="1">
      <c r="A1262" s="1"/>
      <c r="B1262" s="15" t="s">
        <v>1653</v>
      </c>
      <c r="C1262" s="1" t="s">
        <v>17</v>
      </c>
      <c r="D1262" s="1" t="s">
        <v>1654</v>
      </c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</row>
    <row r="1263" ht="23.25" customHeight="1">
      <c r="A1263" s="20" t="str">
        <f>IF(COUNTIF('Icon Lookup'!C:C,B1263)&gt;0,LOOKUP(B1263,'Icon Lookup'!C:C,'Icon Lookup'!B:B),"")</f>
        <v/>
      </c>
      <c r="B1263" s="21" t="s">
        <v>78</v>
      </c>
      <c r="C1263" s="20"/>
      <c r="D1263" s="20">
        <v>19.0</v>
      </c>
      <c r="E1263" s="20" t="s">
        <v>121</v>
      </c>
      <c r="G1263" s="22"/>
      <c r="H1263" s="23" t="s">
        <v>122</v>
      </c>
      <c r="I1263" s="20" t="s">
        <v>156</v>
      </c>
      <c r="J1263" s="20">
        <v>0.0</v>
      </c>
      <c r="K1263" s="20">
        <v>0.0</v>
      </c>
      <c r="L1263" s="20">
        <v>0.0</v>
      </c>
      <c r="M1263" s="20">
        <v>0.0</v>
      </c>
      <c r="N1263" s="20">
        <v>0.0</v>
      </c>
      <c r="O1263" s="20">
        <v>0.0</v>
      </c>
      <c r="P1263" s="20">
        <v>0.0</v>
      </c>
      <c r="Q1263" s="20">
        <v>0.0</v>
      </c>
      <c r="R1263" s="20">
        <v>0.0</v>
      </c>
      <c r="S1263" s="20">
        <v>0.0</v>
      </c>
      <c r="T1263" s="20">
        <v>0.0</v>
      </c>
      <c r="U1263" s="20">
        <v>0.0</v>
      </c>
    </row>
    <row r="1264" ht="23.25" customHeight="1">
      <c r="A1264" s="1"/>
      <c r="B1264" s="15" t="s">
        <v>1655</v>
      </c>
      <c r="C1264" s="1" t="s">
        <v>17</v>
      </c>
      <c r="D1264" s="1" t="s">
        <v>1656</v>
      </c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</row>
    <row r="1265" ht="23.25" customHeight="1">
      <c r="A1265" s="17" t="str">
        <f>IF(COUNTIF('Icon Lookup'!C:C,B1265)&gt;0,LOOKUP(B1265,'Icon Lookup'!C:C,'Icon Lookup'!B:B),"")</f>
        <v/>
      </c>
      <c r="B1265" s="18" t="s">
        <v>271</v>
      </c>
      <c r="C1265" s="17"/>
      <c r="D1265" s="17">
        <v>19.0</v>
      </c>
      <c r="E1265" s="17" t="s">
        <v>44</v>
      </c>
      <c r="G1265" s="19"/>
      <c r="H1265" s="20" t="s">
        <v>1657</v>
      </c>
      <c r="I1265" s="17" t="s">
        <v>89</v>
      </c>
      <c r="J1265" s="17">
        <v>0.0</v>
      </c>
      <c r="K1265" s="17">
        <v>0.0</v>
      </c>
      <c r="L1265" s="17">
        <v>0.0</v>
      </c>
      <c r="M1265" s="17">
        <v>0.0</v>
      </c>
      <c r="N1265" s="17">
        <v>0.0</v>
      </c>
      <c r="O1265" s="17">
        <v>0.0</v>
      </c>
      <c r="P1265" s="17">
        <v>0.0</v>
      </c>
      <c r="Q1265" s="17">
        <v>0.0</v>
      </c>
      <c r="R1265" s="17">
        <v>0.0</v>
      </c>
      <c r="S1265" s="17">
        <v>0.0</v>
      </c>
      <c r="T1265" s="17">
        <v>0.0</v>
      </c>
      <c r="U1265" s="17">
        <v>0.0</v>
      </c>
    </row>
    <row r="1266" ht="23.25" customHeight="1">
      <c r="A1266" s="1"/>
      <c r="B1266" s="15" t="s">
        <v>1658</v>
      </c>
      <c r="C1266" s="1" t="s">
        <v>17</v>
      </c>
      <c r="D1266" s="1" t="s">
        <v>1659</v>
      </c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</row>
    <row r="1267" ht="23.25" customHeight="1">
      <c r="A1267" s="20" t="str">
        <f>IF(COUNTIF('Icon Lookup'!C:C,B1267)&gt;0,LOOKUP(B1267,'Icon Lookup'!C:C,'Icon Lookup'!B:B),"")</f>
        <v/>
      </c>
      <c r="B1267" s="21" t="s">
        <v>1280</v>
      </c>
      <c r="C1267" s="20"/>
      <c r="D1267" s="20">
        <v>19.0</v>
      </c>
      <c r="E1267" s="20" t="s">
        <v>719</v>
      </c>
      <c r="G1267" s="22"/>
      <c r="H1267" s="23" t="s">
        <v>1660</v>
      </c>
      <c r="I1267" s="20" t="s">
        <v>197</v>
      </c>
      <c r="J1267" s="20">
        <v>0.0</v>
      </c>
      <c r="K1267" s="20">
        <v>0.0</v>
      </c>
      <c r="L1267" s="20">
        <v>0.0</v>
      </c>
      <c r="M1267" s="20">
        <v>0.0</v>
      </c>
      <c r="N1267" s="20">
        <v>0.0</v>
      </c>
      <c r="O1267" s="20">
        <v>0.0</v>
      </c>
      <c r="P1267" s="20">
        <v>0.0</v>
      </c>
      <c r="Q1267" s="20">
        <v>0.0</v>
      </c>
      <c r="R1267" s="20">
        <v>0.0</v>
      </c>
      <c r="S1267" s="20">
        <v>0.0</v>
      </c>
      <c r="T1267" s="20">
        <v>0.0</v>
      </c>
      <c r="U1267" s="20">
        <v>0.0</v>
      </c>
    </row>
    <row r="1268" ht="23.25" customHeight="1">
      <c r="A1268" s="1"/>
      <c r="B1268" s="15" t="s">
        <v>1661</v>
      </c>
      <c r="C1268" s="1" t="s">
        <v>17</v>
      </c>
      <c r="D1268" s="1" t="s">
        <v>1662</v>
      </c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</row>
    <row r="1269" ht="23.25" customHeight="1">
      <c r="A1269" s="17" t="str">
        <f>IF(COUNTIF('Icon Lookup'!C:C,B1269)&gt;0,LOOKUP(B1269,'Icon Lookup'!C:C,'Icon Lookup'!B:B),"")</f>
        <v/>
      </c>
      <c r="B1269" s="18" t="s">
        <v>449</v>
      </c>
      <c r="C1269" s="17"/>
      <c r="D1269" s="17">
        <v>19.0</v>
      </c>
      <c r="E1269" s="17" t="s">
        <v>161</v>
      </c>
      <c r="G1269" s="19"/>
      <c r="H1269" s="20" t="s">
        <v>1663</v>
      </c>
      <c r="I1269" s="17" t="s">
        <v>105</v>
      </c>
      <c r="J1269" s="17">
        <v>0.0</v>
      </c>
      <c r="K1269" s="17">
        <v>0.0</v>
      </c>
      <c r="L1269" s="17">
        <v>0.0</v>
      </c>
      <c r="M1269" s="17">
        <v>0.0</v>
      </c>
      <c r="N1269" s="17">
        <v>0.0</v>
      </c>
      <c r="O1269" s="17">
        <v>0.0</v>
      </c>
      <c r="P1269" s="17">
        <v>0.0</v>
      </c>
      <c r="Q1269" s="17">
        <v>0.0</v>
      </c>
      <c r="R1269" s="17">
        <v>0.0</v>
      </c>
      <c r="S1269" s="17">
        <v>0.0</v>
      </c>
      <c r="T1269" s="17">
        <v>0.0</v>
      </c>
      <c r="U1269" s="17">
        <v>0.0</v>
      </c>
    </row>
    <row r="1270" ht="23.25" customHeight="1">
      <c r="A1270" s="1"/>
      <c r="B1270" s="15" t="s">
        <v>1664</v>
      </c>
      <c r="C1270" s="1" t="s">
        <v>17</v>
      </c>
      <c r="D1270" s="1" t="s">
        <v>1665</v>
      </c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</row>
    <row r="1271" ht="23.25" customHeight="1">
      <c r="A1271" s="20" t="str">
        <f>IF(COUNTIF('Icon Lookup'!C:C,B1271)&gt;0,LOOKUP(B1271,'Icon Lookup'!C:C,'Icon Lookup'!B:B),"")</f>
        <v/>
      </c>
      <c r="B1271" s="21" t="s">
        <v>198</v>
      </c>
      <c r="C1271" s="20"/>
      <c r="D1271" s="20">
        <v>23.0</v>
      </c>
      <c r="E1271" s="20" t="s">
        <v>50</v>
      </c>
      <c r="G1271" s="22"/>
      <c r="H1271" s="23" t="s">
        <v>199</v>
      </c>
      <c r="I1271" s="20" t="s">
        <v>105</v>
      </c>
      <c r="J1271" s="20">
        <v>0.0</v>
      </c>
      <c r="K1271" s="20">
        <v>0.0</v>
      </c>
      <c r="L1271" s="20">
        <v>0.0</v>
      </c>
      <c r="M1271" s="20">
        <v>0.0</v>
      </c>
      <c r="N1271" s="20">
        <v>0.0</v>
      </c>
      <c r="O1271" s="20">
        <v>0.0</v>
      </c>
      <c r="P1271" s="20">
        <v>0.0</v>
      </c>
      <c r="Q1271" s="20">
        <v>0.0</v>
      </c>
      <c r="R1271" s="20">
        <v>0.0</v>
      </c>
      <c r="S1271" s="20">
        <v>0.0</v>
      </c>
      <c r="T1271" s="20">
        <v>0.0</v>
      </c>
      <c r="U1271" s="20">
        <v>0.0</v>
      </c>
    </row>
    <row r="1272" ht="23.25" customHeight="1">
      <c r="A1272" s="1"/>
      <c r="B1272" s="15" t="s">
        <v>1666</v>
      </c>
      <c r="C1272" s="1" t="s">
        <v>17</v>
      </c>
      <c r="D1272" s="1" t="s">
        <v>1667</v>
      </c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</row>
    <row r="1273" ht="23.25" customHeight="1">
      <c r="A1273" s="17" t="str">
        <f>IF(COUNTIF('Icon Lookup'!C:C,B1273)&gt;0,LOOKUP(B1273,'Icon Lookup'!C:C,'Icon Lookup'!B:B),"")</f>
        <v/>
      </c>
      <c r="B1273" s="18" t="s">
        <v>476</v>
      </c>
      <c r="C1273" s="17"/>
      <c r="D1273" s="17">
        <v>23.0</v>
      </c>
      <c r="E1273" s="17" t="s">
        <v>950</v>
      </c>
      <c r="G1273" s="19"/>
      <c r="H1273" s="20" t="s">
        <v>1668</v>
      </c>
      <c r="I1273" s="17" t="s">
        <v>156</v>
      </c>
      <c r="J1273" s="17">
        <v>0.0</v>
      </c>
      <c r="K1273" s="17">
        <v>0.0</v>
      </c>
      <c r="L1273" s="17">
        <v>0.0</v>
      </c>
      <c r="M1273" s="17">
        <v>0.0</v>
      </c>
      <c r="N1273" s="17">
        <v>0.0</v>
      </c>
      <c r="O1273" s="17">
        <v>0.0</v>
      </c>
      <c r="P1273" s="17">
        <v>0.0</v>
      </c>
      <c r="Q1273" s="17">
        <v>0.0</v>
      </c>
      <c r="R1273" s="17">
        <v>0.0</v>
      </c>
      <c r="S1273" s="17">
        <v>0.0</v>
      </c>
      <c r="T1273" s="17">
        <v>0.0</v>
      </c>
      <c r="U1273" s="17">
        <v>0.0</v>
      </c>
    </row>
    <row r="1274" ht="23.25" customHeight="1">
      <c r="A1274" s="1"/>
      <c r="B1274" s="15" t="s">
        <v>1669</v>
      </c>
      <c r="C1274" s="1" t="s">
        <v>17</v>
      </c>
      <c r="D1274" s="1" t="s">
        <v>1670</v>
      </c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</row>
    <row r="1275" ht="23.25" customHeight="1">
      <c r="A1275" s="20" t="str">
        <f>IF(COUNTIF('Icon Lookup'!C:C,B1275)&gt;0,LOOKUP(B1275,'Icon Lookup'!C:C,'Icon Lookup'!B:B),"")</f>
        <v/>
      </c>
      <c r="B1275" s="21" t="s">
        <v>1017</v>
      </c>
      <c r="C1275" s="20"/>
      <c r="D1275" s="20">
        <v>21.0</v>
      </c>
      <c r="E1275" s="20" t="s">
        <v>1018</v>
      </c>
      <c r="G1275" s="22"/>
      <c r="H1275" s="23" t="s">
        <v>1671</v>
      </c>
      <c r="I1275" s="20" t="s">
        <v>211</v>
      </c>
      <c r="J1275" s="20">
        <v>0.0</v>
      </c>
      <c r="K1275" s="20">
        <v>0.0</v>
      </c>
      <c r="L1275" s="20">
        <v>0.0</v>
      </c>
      <c r="M1275" s="20">
        <v>0.0</v>
      </c>
      <c r="N1275" s="20">
        <v>0.0</v>
      </c>
      <c r="O1275" s="20">
        <v>0.0</v>
      </c>
      <c r="P1275" s="20">
        <v>0.0</v>
      </c>
      <c r="Q1275" s="20">
        <v>0.0</v>
      </c>
      <c r="R1275" s="20">
        <v>0.0</v>
      </c>
      <c r="S1275" s="20">
        <v>0.0</v>
      </c>
      <c r="T1275" s="20">
        <v>0.0</v>
      </c>
      <c r="U1275" s="20">
        <v>0.0</v>
      </c>
    </row>
    <row r="1276" ht="23.25" customHeight="1">
      <c r="A1276" s="17" t="str">
        <f>IF(COUNTIF('Icon Lookup'!C:C,B1276)&gt;0,LOOKUP(B1276,'Icon Lookup'!C:C,'Icon Lookup'!B:B),"")</f>
        <v/>
      </c>
      <c r="B1276" s="18" t="s">
        <v>271</v>
      </c>
      <c r="C1276" s="17"/>
      <c r="D1276" s="17">
        <v>21.0</v>
      </c>
      <c r="E1276" s="17" t="s">
        <v>44</v>
      </c>
      <c r="G1276" s="19"/>
      <c r="H1276" s="20" t="s">
        <v>1672</v>
      </c>
      <c r="I1276" s="17" t="s">
        <v>211</v>
      </c>
      <c r="J1276" s="17">
        <v>0.0</v>
      </c>
      <c r="K1276" s="17">
        <v>0.0</v>
      </c>
      <c r="L1276" s="17">
        <v>0.0</v>
      </c>
      <c r="M1276" s="17">
        <v>0.0</v>
      </c>
      <c r="N1276" s="17">
        <v>0.0</v>
      </c>
      <c r="O1276" s="17">
        <v>0.0</v>
      </c>
      <c r="P1276" s="17">
        <v>0.0</v>
      </c>
      <c r="Q1276" s="17">
        <v>0.0</v>
      </c>
      <c r="R1276" s="17">
        <v>0.0</v>
      </c>
      <c r="S1276" s="17">
        <v>0.0</v>
      </c>
      <c r="T1276" s="17">
        <v>0.0</v>
      </c>
      <c r="U1276" s="17">
        <v>0.0</v>
      </c>
    </row>
    <row r="1277" ht="23.25" customHeight="1">
      <c r="A1277" s="1"/>
      <c r="B1277" s="15" t="s">
        <v>1673</v>
      </c>
      <c r="C1277" s="1" t="s">
        <v>17</v>
      </c>
      <c r="D1277" s="1" t="s">
        <v>1674</v>
      </c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</row>
    <row r="1278" ht="23.25" customHeight="1">
      <c r="A1278" s="20" t="str">
        <f>IF(COUNTIF('Icon Lookup'!C:C,B1278)&gt;0,LOOKUP(B1278,'Icon Lookup'!C:C,'Icon Lookup'!B:B),"")</f>
        <v/>
      </c>
      <c r="B1278" s="21" t="s">
        <v>225</v>
      </c>
      <c r="C1278" s="20"/>
      <c r="D1278" s="20">
        <v>21.0</v>
      </c>
      <c r="E1278" s="20" t="s">
        <v>26</v>
      </c>
      <c r="G1278" s="22"/>
      <c r="H1278" s="23" t="s">
        <v>226</v>
      </c>
      <c r="I1278" s="20" t="s">
        <v>94</v>
      </c>
      <c r="J1278" s="20">
        <v>0.0</v>
      </c>
      <c r="K1278" s="20">
        <v>0.0</v>
      </c>
      <c r="L1278" s="20">
        <v>0.0</v>
      </c>
      <c r="M1278" s="20">
        <v>0.0</v>
      </c>
      <c r="N1278" s="20">
        <v>0.0</v>
      </c>
      <c r="O1278" s="20">
        <v>0.0</v>
      </c>
      <c r="P1278" s="20">
        <v>0.0</v>
      </c>
      <c r="Q1278" s="20">
        <v>0.0</v>
      </c>
      <c r="R1278" s="20">
        <v>0.0</v>
      </c>
      <c r="S1278" s="20">
        <v>0.0</v>
      </c>
      <c r="T1278" s="20">
        <v>0.0</v>
      </c>
      <c r="U1278" s="20">
        <v>0.0</v>
      </c>
    </row>
    <row r="1279" ht="23.25" customHeight="1">
      <c r="A1279" s="17" t="str">
        <f>IF(COUNTIF('Icon Lookup'!C:C,B1279)&gt;0,LOOKUP(B1279,'Icon Lookup'!C:C,'Icon Lookup'!B:B),"")</f>
        <v/>
      </c>
      <c r="B1279" s="18" t="s">
        <v>136</v>
      </c>
      <c r="C1279" s="17"/>
      <c r="D1279" s="17">
        <v>21.0</v>
      </c>
      <c r="E1279" s="17" t="s">
        <v>137</v>
      </c>
      <c r="G1279" s="19"/>
      <c r="H1279" s="20" t="s">
        <v>1675</v>
      </c>
      <c r="I1279" s="17" t="s">
        <v>156</v>
      </c>
      <c r="J1279" s="17">
        <v>0.0</v>
      </c>
      <c r="K1279" s="17">
        <v>0.0</v>
      </c>
      <c r="L1279" s="17">
        <v>0.0</v>
      </c>
      <c r="M1279" s="17">
        <v>0.0</v>
      </c>
      <c r="N1279" s="17">
        <v>0.0</v>
      </c>
      <c r="O1279" s="17">
        <v>0.0</v>
      </c>
      <c r="P1279" s="17">
        <v>0.0</v>
      </c>
      <c r="Q1279" s="17">
        <v>0.0</v>
      </c>
      <c r="R1279" s="17">
        <v>0.0</v>
      </c>
      <c r="S1279" s="17">
        <v>0.0</v>
      </c>
      <c r="T1279" s="17">
        <v>0.0</v>
      </c>
      <c r="U1279" s="17">
        <v>0.0</v>
      </c>
    </row>
    <row r="1280" ht="23.25" customHeight="1">
      <c r="A1280" s="1"/>
      <c r="B1280" s="15" t="s">
        <v>1676</v>
      </c>
      <c r="C1280" s="1" t="s">
        <v>17</v>
      </c>
      <c r="D1280" s="1" t="s">
        <v>1677</v>
      </c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</row>
    <row r="1281" ht="23.25" customHeight="1">
      <c r="A1281" s="20" t="str">
        <f>IF(COUNTIF('Icon Lookup'!C:C,B1281)&gt;0,LOOKUP(B1281,'Icon Lookup'!C:C,'Icon Lookup'!B:B),"")</f>
        <v/>
      </c>
      <c r="B1281" s="21" t="s">
        <v>245</v>
      </c>
      <c r="C1281" s="20"/>
      <c r="D1281" s="20">
        <v>20.0</v>
      </c>
      <c r="E1281" s="20" t="s">
        <v>253</v>
      </c>
      <c r="G1281" s="22"/>
      <c r="H1281" s="23" t="s">
        <v>1678</v>
      </c>
      <c r="I1281" s="20" t="s">
        <v>156</v>
      </c>
      <c r="J1281" s="20">
        <v>0.0</v>
      </c>
      <c r="K1281" s="20">
        <v>0.0</v>
      </c>
      <c r="L1281" s="20">
        <v>0.0</v>
      </c>
      <c r="M1281" s="20">
        <v>0.0</v>
      </c>
      <c r="N1281" s="20">
        <v>0.0</v>
      </c>
      <c r="O1281" s="20">
        <v>0.0</v>
      </c>
      <c r="P1281" s="20">
        <v>0.0</v>
      </c>
      <c r="Q1281" s="20">
        <v>0.0</v>
      </c>
      <c r="R1281" s="20">
        <v>0.0</v>
      </c>
      <c r="S1281" s="20">
        <v>0.0</v>
      </c>
      <c r="T1281" s="20">
        <v>0.0</v>
      </c>
      <c r="U1281" s="20">
        <v>0.0</v>
      </c>
    </row>
    <row r="1282" ht="23.25" customHeight="1">
      <c r="A1282" s="17" t="str">
        <f>IF(COUNTIF('Icon Lookup'!C:C,B1282)&gt;0,LOOKUP(B1282,'Icon Lookup'!C:C,'Icon Lookup'!B:B),"")</f>
        <v/>
      </c>
      <c r="B1282" s="18" t="s">
        <v>245</v>
      </c>
      <c r="C1282" s="17"/>
      <c r="D1282" s="17">
        <v>20.0</v>
      </c>
      <c r="E1282" s="17" t="s">
        <v>253</v>
      </c>
      <c r="G1282" s="19"/>
      <c r="H1282" s="20" t="s">
        <v>1679</v>
      </c>
      <c r="I1282" s="17" t="s">
        <v>156</v>
      </c>
      <c r="J1282" s="17">
        <v>0.0</v>
      </c>
      <c r="K1282" s="17">
        <v>0.0</v>
      </c>
      <c r="L1282" s="17">
        <v>0.0</v>
      </c>
      <c r="M1282" s="17">
        <v>0.0</v>
      </c>
      <c r="N1282" s="17">
        <v>0.0</v>
      </c>
      <c r="O1282" s="17">
        <v>0.0</v>
      </c>
      <c r="P1282" s="17">
        <v>0.0</v>
      </c>
      <c r="Q1282" s="17">
        <v>0.0</v>
      </c>
      <c r="R1282" s="17">
        <v>0.0</v>
      </c>
      <c r="S1282" s="17">
        <v>0.0</v>
      </c>
      <c r="T1282" s="17">
        <v>0.0</v>
      </c>
      <c r="U1282" s="17">
        <v>0.0</v>
      </c>
    </row>
    <row r="1283" ht="23.25" customHeight="1">
      <c r="A1283" s="20" t="str">
        <f>IF(COUNTIF('Icon Lookup'!C:C,B1283)&gt;0,LOOKUP(B1283,'Icon Lookup'!C:C,'Icon Lookup'!B:B),"")</f>
        <v/>
      </c>
      <c r="B1283" s="21" t="s">
        <v>245</v>
      </c>
      <c r="C1283" s="20"/>
      <c r="D1283" s="20">
        <v>20.0</v>
      </c>
      <c r="E1283" s="20" t="s">
        <v>253</v>
      </c>
      <c r="G1283" s="22"/>
      <c r="H1283" s="23" t="s">
        <v>1679</v>
      </c>
      <c r="I1283" s="20" t="s">
        <v>156</v>
      </c>
      <c r="J1283" s="20">
        <v>0.0</v>
      </c>
      <c r="K1283" s="20">
        <v>0.0</v>
      </c>
      <c r="L1283" s="20">
        <v>0.0</v>
      </c>
      <c r="M1283" s="20">
        <v>0.0</v>
      </c>
      <c r="N1283" s="20">
        <v>0.0</v>
      </c>
      <c r="O1283" s="20">
        <v>0.0</v>
      </c>
      <c r="P1283" s="20">
        <v>0.0</v>
      </c>
      <c r="Q1283" s="20">
        <v>0.0</v>
      </c>
      <c r="R1283" s="20">
        <v>0.0</v>
      </c>
      <c r="S1283" s="20">
        <v>0.0</v>
      </c>
      <c r="T1283" s="20">
        <v>0.0</v>
      </c>
      <c r="U1283" s="20">
        <v>0.0</v>
      </c>
    </row>
    <row r="1284" ht="23.25" customHeight="1">
      <c r="A1284" s="1"/>
      <c r="B1284" s="15" t="s">
        <v>1680</v>
      </c>
      <c r="C1284" s="1" t="s">
        <v>17</v>
      </c>
      <c r="D1284" s="1" t="s">
        <v>1681</v>
      </c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</row>
    <row r="1285" ht="23.25" customHeight="1">
      <c r="A1285" s="17" t="str">
        <f>IF(COUNTIF('Icon Lookup'!C:C,B1285)&gt;0,LOOKUP(B1285,'Icon Lookup'!C:C,'Icon Lookup'!B:B),"")</f>
        <v/>
      </c>
      <c r="B1285" s="18" t="s">
        <v>381</v>
      </c>
      <c r="C1285" s="17"/>
      <c r="D1285" s="17">
        <v>21.0</v>
      </c>
      <c r="E1285" s="17" t="s">
        <v>382</v>
      </c>
      <c r="G1285" s="19"/>
      <c r="H1285" s="20" t="s">
        <v>1682</v>
      </c>
      <c r="I1285" s="17" t="s">
        <v>197</v>
      </c>
      <c r="J1285" s="17">
        <v>0.0</v>
      </c>
      <c r="K1285" s="17">
        <v>0.0</v>
      </c>
      <c r="L1285" s="17">
        <v>0.0</v>
      </c>
      <c r="M1285" s="17">
        <v>0.0</v>
      </c>
      <c r="N1285" s="17">
        <v>0.0</v>
      </c>
      <c r="O1285" s="17">
        <v>0.0</v>
      </c>
      <c r="P1285" s="17">
        <v>0.0</v>
      </c>
      <c r="Q1285" s="17">
        <v>0.0</v>
      </c>
      <c r="R1285" s="17">
        <v>0.0</v>
      </c>
      <c r="S1285" s="17">
        <v>0.0</v>
      </c>
      <c r="T1285" s="17">
        <v>0.0</v>
      </c>
      <c r="U1285" s="17">
        <v>0.0</v>
      </c>
    </row>
    <row r="1286" ht="23.25" customHeight="1">
      <c r="A1286" s="20" t="str">
        <f>IF(COUNTIF('Icon Lookup'!C:C,B1286)&gt;0,LOOKUP(B1286,'Icon Lookup'!C:C,'Icon Lookup'!B:B),"")</f>
        <v/>
      </c>
      <c r="B1286" s="21" t="s">
        <v>379</v>
      </c>
      <c r="C1286" s="20"/>
      <c r="D1286" s="20">
        <v>21.0</v>
      </c>
      <c r="E1286" s="20" t="s">
        <v>71</v>
      </c>
      <c r="G1286" s="22"/>
      <c r="H1286" s="23" t="s">
        <v>1683</v>
      </c>
      <c r="I1286" s="20" t="s">
        <v>197</v>
      </c>
      <c r="J1286" s="20">
        <v>0.0</v>
      </c>
      <c r="K1286" s="20">
        <v>0.0</v>
      </c>
      <c r="L1286" s="20">
        <v>0.0</v>
      </c>
      <c r="M1286" s="20">
        <v>0.0</v>
      </c>
      <c r="N1286" s="20">
        <v>0.0</v>
      </c>
      <c r="O1286" s="20">
        <v>0.0</v>
      </c>
      <c r="P1286" s="20">
        <v>0.0</v>
      </c>
      <c r="Q1286" s="20">
        <v>0.0</v>
      </c>
      <c r="R1286" s="20">
        <v>0.0</v>
      </c>
      <c r="S1286" s="20">
        <v>0.0</v>
      </c>
      <c r="T1286" s="20">
        <v>0.0</v>
      </c>
      <c r="U1286" s="20">
        <v>0.0</v>
      </c>
    </row>
    <row r="1287" ht="23.25" customHeight="1">
      <c r="A1287" s="1"/>
      <c r="B1287" s="15" t="s">
        <v>1684</v>
      </c>
      <c r="C1287" s="1" t="s">
        <v>17</v>
      </c>
      <c r="D1287" s="1" t="s">
        <v>1685</v>
      </c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</row>
    <row r="1288" ht="23.25" customHeight="1">
      <c r="A1288" s="17" t="str">
        <f>IF(COUNTIF('Icon Lookup'!C:C,B1288)&gt;0,LOOKUP(B1288,'Icon Lookup'!C:C,'Icon Lookup'!B:B),"")</f>
        <v/>
      </c>
      <c r="B1288" s="18" t="s">
        <v>110</v>
      </c>
      <c r="C1288" s="17"/>
      <c r="D1288" s="17">
        <v>22.0</v>
      </c>
      <c r="E1288" s="17" t="s">
        <v>44</v>
      </c>
      <c r="G1288" s="19"/>
      <c r="H1288" s="20" t="s">
        <v>572</v>
      </c>
      <c r="I1288" s="17" t="s">
        <v>89</v>
      </c>
      <c r="J1288" s="17">
        <v>0.0</v>
      </c>
      <c r="K1288" s="17">
        <v>0.0</v>
      </c>
      <c r="L1288" s="17">
        <v>0.0</v>
      </c>
      <c r="M1288" s="17">
        <v>0.0</v>
      </c>
      <c r="N1288" s="17">
        <v>0.0</v>
      </c>
      <c r="O1288" s="17">
        <v>0.0</v>
      </c>
      <c r="P1288" s="17">
        <v>0.0</v>
      </c>
      <c r="Q1288" s="17">
        <v>0.0</v>
      </c>
      <c r="R1288" s="17">
        <v>0.0</v>
      </c>
      <c r="S1288" s="17">
        <v>0.0</v>
      </c>
      <c r="T1288" s="17">
        <v>0.0</v>
      </c>
      <c r="U1288" s="17">
        <v>0.0</v>
      </c>
    </row>
    <row r="1289" ht="23.25" customHeight="1">
      <c r="A1289" s="20" t="str">
        <f>IF(COUNTIF('Icon Lookup'!C:C,B1289)&gt;0,LOOKUP(B1289,'Icon Lookup'!C:C,'Icon Lookup'!B:B),"")</f>
        <v/>
      </c>
      <c r="B1289" s="21" t="s">
        <v>110</v>
      </c>
      <c r="C1289" s="20"/>
      <c r="D1289" s="20">
        <v>22.0</v>
      </c>
      <c r="E1289" s="20" t="s">
        <v>44</v>
      </c>
      <c r="G1289" s="22"/>
      <c r="H1289" s="23" t="s">
        <v>572</v>
      </c>
      <c r="I1289" s="20" t="s">
        <v>89</v>
      </c>
      <c r="J1289" s="20">
        <v>0.0</v>
      </c>
      <c r="K1289" s="20">
        <v>0.0</v>
      </c>
      <c r="L1289" s="20">
        <v>0.0</v>
      </c>
      <c r="M1289" s="20">
        <v>0.0</v>
      </c>
      <c r="N1289" s="20">
        <v>0.0</v>
      </c>
      <c r="O1289" s="20">
        <v>0.0</v>
      </c>
      <c r="P1289" s="20">
        <v>0.0</v>
      </c>
      <c r="Q1289" s="20">
        <v>0.0</v>
      </c>
      <c r="R1289" s="20">
        <v>0.0</v>
      </c>
      <c r="S1289" s="20">
        <v>0.0</v>
      </c>
      <c r="T1289" s="20">
        <v>0.0</v>
      </c>
      <c r="U1289" s="20">
        <v>0.0</v>
      </c>
    </row>
    <row r="1290" ht="23.25" customHeight="1">
      <c r="A1290" s="1"/>
      <c r="B1290" s="15" t="s">
        <v>1686</v>
      </c>
      <c r="C1290" s="1" t="s">
        <v>17</v>
      </c>
      <c r="D1290" s="1" t="s">
        <v>1687</v>
      </c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</row>
    <row r="1291" ht="23.25" customHeight="1">
      <c r="A1291" s="17" t="str">
        <f>IF(COUNTIF('Icon Lookup'!C:C,B1291)&gt;0,LOOKUP(B1291,'Icon Lookup'!C:C,'Icon Lookup'!B:B),"")</f>
        <v/>
      </c>
      <c r="B1291" s="18" t="s">
        <v>19</v>
      </c>
      <c r="C1291" s="17"/>
      <c r="D1291" s="17">
        <v>21.0</v>
      </c>
      <c r="E1291" s="17" t="s">
        <v>20</v>
      </c>
      <c r="G1291" s="19"/>
      <c r="H1291" s="20" t="s">
        <v>1688</v>
      </c>
      <c r="I1291" s="17" t="s">
        <v>94</v>
      </c>
      <c r="J1291" s="17">
        <v>0.0</v>
      </c>
      <c r="K1291" s="17">
        <v>0.0</v>
      </c>
      <c r="L1291" s="17">
        <v>0.0</v>
      </c>
      <c r="M1291" s="17">
        <v>0.0</v>
      </c>
      <c r="N1291" s="17">
        <v>0.0</v>
      </c>
      <c r="O1291" s="17">
        <v>0.0</v>
      </c>
      <c r="P1291" s="17">
        <v>0.0</v>
      </c>
      <c r="Q1291" s="17">
        <v>0.0</v>
      </c>
      <c r="R1291" s="17">
        <v>0.0</v>
      </c>
      <c r="S1291" s="17">
        <v>0.0</v>
      </c>
      <c r="T1291" s="17">
        <v>0.0</v>
      </c>
      <c r="U1291" s="17">
        <v>0.0</v>
      </c>
    </row>
    <row r="1292" ht="23.25" customHeight="1">
      <c r="A1292" s="20" t="str">
        <f>IF(COUNTIF('Icon Lookup'!C:C,B1292)&gt;0,LOOKUP(B1292,'Icon Lookup'!C:C,'Icon Lookup'!B:B),"")</f>
        <v/>
      </c>
      <c r="B1292" s="21" t="s">
        <v>302</v>
      </c>
      <c r="C1292" s="20"/>
      <c r="D1292" s="20">
        <v>21.0</v>
      </c>
      <c r="E1292" s="20" t="s">
        <v>719</v>
      </c>
      <c r="G1292" s="22"/>
      <c r="H1292" s="23" t="s">
        <v>1689</v>
      </c>
      <c r="I1292" s="20" t="s">
        <v>156</v>
      </c>
      <c r="J1292" s="20">
        <v>0.0</v>
      </c>
      <c r="K1292" s="20">
        <v>0.0</v>
      </c>
      <c r="L1292" s="20">
        <v>0.0</v>
      </c>
      <c r="M1292" s="20">
        <v>0.0</v>
      </c>
      <c r="N1292" s="20">
        <v>0.0</v>
      </c>
      <c r="O1292" s="20">
        <v>0.0</v>
      </c>
      <c r="P1292" s="20">
        <v>0.0</v>
      </c>
      <c r="Q1292" s="20">
        <v>0.0</v>
      </c>
      <c r="R1292" s="20">
        <v>0.0</v>
      </c>
      <c r="S1292" s="20">
        <v>0.0</v>
      </c>
      <c r="T1292" s="20">
        <v>0.0</v>
      </c>
      <c r="U1292" s="20">
        <v>0.0</v>
      </c>
    </row>
    <row r="1293" ht="23.25" customHeight="1">
      <c r="A1293" s="1"/>
      <c r="B1293" s="15" t="s">
        <v>1690</v>
      </c>
      <c r="C1293" s="1" t="s">
        <v>17</v>
      </c>
      <c r="D1293" s="1" t="s">
        <v>1691</v>
      </c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</row>
    <row r="1294" ht="23.25" customHeight="1">
      <c r="A1294" s="17" t="str">
        <f>IF(COUNTIF('Icon Lookup'!C:C,B1294)&gt;0,LOOKUP(B1294,'Icon Lookup'!C:C,'Icon Lookup'!B:B),"")</f>
        <v/>
      </c>
      <c r="B1294" s="18" t="s">
        <v>482</v>
      </c>
      <c r="C1294" s="17"/>
      <c r="D1294" s="17">
        <v>22.0</v>
      </c>
      <c r="E1294" s="17" t="s">
        <v>218</v>
      </c>
      <c r="G1294" s="19"/>
      <c r="H1294" s="20" t="s">
        <v>1692</v>
      </c>
      <c r="I1294" s="17" t="s">
        <v>265</v>
      </c>
      <c r="J1294" s="17">
        <v>0.0</v>
      </c>
      <c r="K1294" s="17">
        <v>0.0</v>
      </c>
      <c r="L1294" s="17">
        <v>0.0</v>
      </c>
      <c r="M1294" s="17">
        <v>0.0</v>
      </c>
      <c r="N1294" s="17">
        <v>0.0</v>
      </c>
      <c r="O1294" s="17">
        <v>0.0</v>
      </c>
      <c r="P1294" s="17">
        <v>0.0</v>
      </c>
      <c r="Q1294" s="17">
        <v>0.0</v>
      </c>
      <c r="R1294" s="17">
        <v>0.0</v>
      </c>
      <c r="S1294" s="17">
        <v>0.0</v>
      </c>
      <c r="T1294" s="17">
        <v>0.0</v>
      </c>
      <c r="U1294" s="17">
        <v>0.0</v>
      </c>
    </row>
    <row r="1295" ht="23.25" customHeight="1">
      <c r="A1295" s="20" t="str">
        <f>IF(COUNTIF('Icon Lookup'!C:C,B1295)&gt;0,LOOKUP(B1295,'Icon Lookup'!C:C,'Icon Lookup'!B:B),"")</f>
        <v/>
      </c>
      <c r="B1295" s="21" t="s">
        <v>1003</v>
      </c>
      <c r="C1295" s="20"/>
      <c r="D1295" s="20">
        <v>20.0</v>
      </c>
      <c r="E1295" s="20" t="s">
        <v>1022</v>
      </c>
      <c r="G1295" s="22"/>
      <c r="H1295" s="23" t="s">
        <v>1005</v>
      </c>
      <c r="I1295" s="20" t="s">
        <v>211</v>
      </c>
      <c r="J1295" s="20">
        <v>0.0</v>
      </c>
      <c r="K1295" s="20">
        <v>0.0</v>
      </c>
      <c r="L1295" s="20">
        <v>0.0</v>
      </c>
      <c r="M1295" s="20">
        <v>0.0</v>
      </c>
      <c r="N1295" s="20">
        <v>0.0</v>
      </c>
      <c r="O1295" s="20">
        <v>0.0</v>
      </c>
      <c r="P1295" s="20">
        <v>0.0</v>
      </c>
      <c r="Q1295" s="20">
        <v>0.0</v>
      </c>
      <c r="R1295" s="20">
        <v>0.0</v>
      </c>
      <c r="S1295" s="20">
        <v>0.0</v>
      </c>
      <c r="T1295" s="20">
        <v>0.0</v>
      </c>
      <c r="U1295" s="20">
        <v>0.0</v>
      </c>
    </row>
    <row r="1296" ht="23.25" customHeight="1">
      <c r="A1296" s="1"/>
      <c r="B1296" s="15" t="s">
        <v>1693</v>
      </c>
      <c r="C1296" s="1" t="s">
        <v>17</v>
      </c>
      <c r="D1296" s="1" t="s">
        <v>1694</v>
      </c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</row>
    <row r="1297" ht="23.25" customHeight="1">
      <c r="A1297" s="17" t="str">
        <f>IF(COUNTIF('Icon Lookup'!C:C,B1297)&gt;0,LOOKUP(B1297,'Icon Lookup'!C:C,'Icon Lookup'!B:B),"")</f>
        <v/>
      </c>
      <c r="B1297" s="18" t="s">
        <v>30</v>
      </c>
      <c r="C1297" s="17"/>
      <c r="D1297" s="17">
        <v>21.0</v>
      </c>
      <c r="E1297" s="17" t="s">
        <v>31</v>
      </c>
      <c r="G1297" s="19"/>
      <c r="H1297" s="20" t="s">
        <v>1695</v>
      </c>
      <c r="I1297" s="17" t="s">
        <v>22</v>
      </c>
      <c r="J1297" s="17">
        <v>0.0</v>
      </c>
      <c r="K1297" s="17">
        <v>0.0</v>
      </c>
      <c r="L1297" s="17">
        <v>0.0</v>
      </c>
      <c r="M1297" s="17">
        <v>0.0</v>
      </c>
      <c r="N1297" s="17">
        <v>0.0</v>
      </c>
      <c r="O1297" s="17">
        <v>0.0</v>
      </c>
      <c r="P1297" s="17">
        <v>0.0</v>
      </c>
      <c r="Q1297" s="17">
        <v>0.0</v>
      </c>
      <c r="R1297" s="17">
        <v>0.0</v>
      </c>
      <c r="S1297" s="17">
        <v>0.0</v>
      </c>
      <c r="T1297" s="17">
        <v>0.0</v>
      </c>
      <c r="U1297" s="17">
        <v>0.0</v>
      </c>
    </row>
    <row r="1298" ht="23.25" customHeight="1">
      <c r="A1298" s="20" t="str">
        <f>IF(COUNTIF('Icon Lookup'!C:C,B1298)&gt;0,LOOKUP(B1298,'Icon Lookup'!C:C,'Icon Lookup'!B:B),"")</f>
        <v/>
      </c>
      <c r="B1298" s="21" t="s">
        <v>30</v>
      </c>
      <c r="C1298" s="20"/>
      <c r="D1298" s="20">
        <v>21.0</v>
      </c>
      <c r="E1298" s="20" t="s">
        <v>31</v>
      </c>
      <c r="G1298" s="22"/>
      <c r="H1298" s="23" t="s">
        <v>1695</v>
      </c>
      <c r="I1298" s="20" t="s">
        <v>22</v>
      </c>
      <c r="J1298" s="20">
        <v>0.0</v>
      </c>
      <c r="K1298" s="20">
        <v>0.0</v>
      </c>
      <c r="L1298" s="20">
        <v>0.0</v>
      </c>
      <c r="M1298" s="20">
        <v>0.0</v>
      </c>
      <c r="N1298" s="20">
        <v>0.0</v>
      </c>
      <c r="O1298" s="20">
        <v>0.0</v>
      </c>
      <c r="P1298" s="20">
        <v>0.0</v>
      </c>
      <c r="Q1298" s="20">
        <v>0.0</v>
      </c>
      <c r="R1298" s="20">
        <v>0.0</v>
      </c>
      <c r="S1298" s="20">
        <v>0.0</v>
      </c>
      <c r="T1298" s="20">
        <v>0.0</v>
      </c>
      <c r="U1298" s="20">
        <v>0.0</v>
      </c>
    </row>
    <row r="1299" ht="23.25" customHeight="1">
      <c r="A1299" s="1"/>
      <c r="B1299" s="15" t="s">
        <v>1696</v>
      </c>
      <c r="C1299" s="1" t="s">
        <v>17</v>
      </c>
      <c r="D1299" s="1" t="s">
        <v>1697</v>
      </c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</row>
    <row r="1300" ht="23.25" customHeight="1">
      <c r="A1300" s="17" t="str">
        <f>IF(COUNTIF('Icon Lookup'!C:C,B1300)&gt;0,LOOKUP(B1300,'Icon Lookup'!C:C,'Icon Lookup'!B:B),"")</f>
        <v/>
      </c>
      <c r="B1300" s="18" t="s">
        <v>488</v>
      </c>
      <c r="C1300" s="17"/>
      <c r="D1300" s="17">
        <v>23.0</v>
      </c>
      <c r="E1300" s="17" t="s">
        <v>98</v>
      </c>
      <c r="G1300" s="19"/>
      <c r="H1300" s="20" t="s">
        <v>954</v>
      </c>
      <c r="I1300" s="17" t="s">
        <v>46</v>
      </c>
      <c r="J1300" s="17">
        <v>0.0</v>
      </c>
      <c r="K1300" s="17">
        <v>0.0</v>
      </c>
      <c r="L1300" s="17">
        <v>0.0</v>
      </c>
      <c r="M1300" s="17">
        <v>0.0</v>
      </c>
      <c r="N1300" s="17">
        <v>0.0</v>
      </c>
      <c r="O1300" s="17">
        <v>0.0</v>
      </c>
      <c r="P1300" s="17">
        <v>0.0</v>
      </c>
      <c r="Q1300" s="17">
        <v>0.0</v>
      </c>
      <c r="R1300" s="17">
        <v>0.0</v>
      </c>
      <c r="S1300" s="17">
        <v>0.0</v>
      </c>
      <c r="T1300" s="17">
        <v>0.0</v>
      </c>
      <c r="U1300" s="17">
        <v>0.0</v>
      </c>
    </row>
    <row r="1301" ht="23.25" customHeight="1">
      <c r="A1301" s="1"/>
      <c r="B1301" s="15" t="s">
        <v>1698</v>
      </c>
      <c r="C1301" s="1" t="s">
        <v>17</v>
      </c>
      <c r="D1301" s="1" t="s">
        <v>1699</v>
      </c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</row>
    <row r="1302" ht="23.25" customHeight="1">
      <c r="A1302" s="20" t="str">
        <f>IF(COUNTIF('Icon Lookup'!C:C,B1302)&gt;0,LOOKUP(B1302,'Icon Lookup'!C:C,'Icon Lookup'!B:B),"")</f>
        <v/>
      </c>
      <c r="B1302" s="21" t="s">
        <v>206</v>
      </c>
      <c r="C1302" s="20"/>
      <c r="D1302" s="20">
        <v>21.0</v>
      </c>
      <c r="E1302" s="20" t="s">
        <v>98</v>
      </c>
      <c r="G1302" s="22"/>
      <c r="H1302" s="23" t="s">
        <v>1700</v>
      </c>
      <c r="I1302" s="20" t="s">
        <v>22</v>
      </c>
      <c r="J1302" s="20">
        <v>0.0</v>
      </c>
      <c r="K1302" s="20">
        <v>0.0</v>
      </c>
      <c r="L1302" s="20">
        <v>0.0</v>
      </c>
      <c r="M1302" s="20">
        <v>0.0</v>
      </c>
      <c r="N1302" s="20">
        <v>0.0</v>
      </c>
      <c r="O1302" s="20">
        <v>0.0</v>
      </c>
      <c r="P1302" s="20">
        <v>0.0</v>
      </c>
      <c r="Q1302" s="20">
        <v>0.0</v>
      </c>
      <c r="R1302" s="20">
        <v>0.0</v>
      </c>
      <c r="S1302" s="20">
        <v>0.0</v>
      </c>
      <c r="T1302" s="20">
        <v>0.0</v>
      </c>
      <c r="U1302" s="20">
        <v>0.0</v>
      </c>
    </row>
    <row r="1303" ht="23.25" customHeight="1">
      <c r="A1303" s="17" t="str">
        <f>IF(COUNTIF('Icon Lookup'!C:C,B1303)&gt;0,LOOKUP(B1303,'Icon Lookup'!C:C,'Icon Lookup'!B:B),"")</f>
        <v/>
      </c>
      <c r="B1303" s="18" t="s">
        <v>212</v>
      </c>
      <c r="C1303" s="17"/>
      <c r="D1303" s="17">
        <v>21.0</v>
      </c>
      <c r="E1303" s="17" t="s">
        <v>137</v>
      </c>
      <c r="G1303" s="19"/>
      <c r="H1303" s="20" t="s">
        <v>1701</v>
      </c>
      <c r="I1303" s="17" t="s">
        <v>22</v>
      </c>
      <c r="J1303" s="17">
        <v>0.0</v>
      </c>
      <c r="K1303" s="17">
        <v>0.0</v>
      </c>
      <c r="L1303" s="17">
        <v>0.0</v>
      </c>
      <c r="M1303" s="17">
        <v>0.0</v>
      </c>
      <c r="N1303" s="17">
        <v>0.0</v>
      </c>
      <c r="O1303" s="17">
        <v>0.0</v>
      </c>
      <c r="P1303" s="17">
        <v>0.0</v>
      </c>
      <c r="Q1303" s="17">
        <v>0.0</v>
      </c>
      <c r="R1303" s="17">
        <v>0.0</v>
      </c>
      <c r="S1303" s="17">
        <v>0.0</v>
      </c>
      <c r="T1303" s="17">
        <v>0.0</v>
      </c>
      <c r="U1303" s="17">
        <v>0.0</v>
      </c>
    </row>
    <row r="1304" ht="23.25" customHeight="1">
      <c r="A1304" s="1"/>
      <c r="B1304" s="15" t="s">
        <v>1702</v>
      </c>
      <c r="C1304" s="1" t="s">
        <v>17</v>
      </c>
      <c r="D1304" s="1" t="s">
        <v>1703</v>
      </c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</row>
    <row r="1305" ht="23.25" customHeight="1">
      <c r="A1305" s="20" t="str">
        <f>IF(COUNTIF('Icon Lookup'!C:C,B1305)&gt;0,LOOKUP(B1305,'Icon Lookup'!C:C,'Icon Lookup'!B:B),"")</f>
        <v/>
      </c>
      <c r="B1305" s="21" t="s">
        <v>1280</v>
      </c>
      <c r="C1305" s="20"/>
      <c r="D1305" s="20">
        <v>23.0</v>
      </c>
      <c r="E1305" s="20" t="s">
        <v>719</v>
      </c>
      <c r="G1305" s="22"/>
      <c r="H1305" s="23" t="s">
        <v>1704</v>
      </c>
      <c r="I1305" s="20" t="s">
        <v>197</v>
      </c>
      <c r="J1305" s="20">
        <v>0.0</v>
      </c>
      <c r="K1305" s="20">
        <v>0.0</v>
      </c>
      <c r="L1305" s="20">
        <v>0.0</v>
      </c>
      <c r="M1305" s="20">
        <v>0.0</v>
      </c>
      <c r="N1305" s="20">
        <v>0.0</v>
      </c>
      <c r="O1305" s="20">
        <v>0.0</v>
      </c>
      <c r="P1305" s="20">
        <v>0.0</v>
      </c>
      <c r="Q1305" s="20">
        <v>0.0</v>
      </c>
      <c r="R1305" s="20">
        <v>0.0</v>
      </c>
      <c r="S1305" s="20">
        <v>0.0</v>
      </c>
      <c r="T1305" s="20">
        <v>0.0</v>
      </c>
      <c r="U1305" s="20">
        <v>0.0</v>
      </c>
    </row>
    <row r="1306" ht="23.25" customHeight="1">
      <c r="A1306" s="1"/>
      <c r="B1306" s="15" t="s">
        <v>1705</v>
      </c>
      <c r="C1306" s="1" t="s">
        <v>17</v>
      </c>
      <c r="D1306" s="1" t="s">
        <v>1706</v>
      </c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</row>
    <row r="1307" ht="23.25" customHeight="1">
      <c r="A1307" s="17" t="str">
        <f>IF(COUNTIF('Icon Lookup'!C:C,B1307)&gt;0,LOOKUP(B1307,'Icon Lookup'!C:C,'Icon Lookup'!B:B),"")</f>
        <v/>
      </c>
      <c r="B1307" s="18" t="s">
        <v>1261</v>
      </c>
      <c r="C1307" s="17"/>
      <c r="D1307" s="17">
        <v>23.0</v>
      </c>
      <c r="E1307" s="17" t="s">
        <v>399</v>
      </c>
      <c r="G1307" s="19"/>
      <c r="H1307" s="20" t="s">
        <v>1707</v>
      </c>
      <c r="I1307" s="17" t="s">
        <v>46</v>
      </c>
      <c r="J1307" s="17">
        <v>0.0</v>
      </c>
      <c r="K1307" s="17">
        <v>0.0</v>
      </c>
      <c r="L1307" s="17">
        <v>0.0</v>
      </c>
      <c r="M1307" s="17">
        <v>0.0</v>
      </c>
      <c r="N1307" s="17">
        <v>0.0</v>
      </c>
      <c r="O1307" s="17">
        <v>0.0</v>
      </c>
      <c r="P1307" s="17">
        <v>0.0</v>
      </c>
      <c r="Q1307" s="17">
        <v>0.0</v>
      </c>
      <c r="R1307" s="17">
        <v>0.0</v>
      </c>
      <c r="S1307" s="17">
        <v>0.0</v>
      </c>
      <c r="T1307" s="17">
        <v>0.0</v>
      </c>
      <c r="U1307" s="17">
        <v>0.0</v>
      </c>
    </row>
    <row r="1308" ht="23.25" customHeight="1">
      <c r="A1308" s="1"/>
      <c r="B1308" s="15" t="s">
        <v>1708</v>
      </c>
      <c r="C1308" s="1" t="s">
        <v>17</v>
      </c>
      <c r="D1308" s="1" t="s">
        <v>1709</v>
      </c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</row>
    <row r="1309" ht="23.25" customHeight="1">
      <c r="A1309" s="20" t="str">
        <f>IF(COUNTIF('Icon Lookup'!C:C,B1309)&gt;0,LOOKUP(B1309,'Icon Lookup'!C:C,'Icon Lookup'!B:B),"")</f>
        <v/>
      </c>
      <c r="B1309" s="21" t="s">
        <v>386</v>
      </c>
      <c r="C1309" s="20"/>
      <c r="D1309" s="20">
        <v>23.0</v>
      </c>
      <c r="E1309" s="20" t="s">
        <v>387</v>
      </c>
      <c r="G1309" s="22"/>
      <c r="H1309" s="23" t="s">
        <v>1006</v>
      </c>
      <c r="I1309" s="20" t="s">
        <v>156</v>
      </c>
      <c r="J1309" s="20">
        <v>0.0</v>
      </c>
      <c r="K1309" s="20">
        <v>0.0</v>
      </c>
      <c r="L1309" s="20">
        <v>0.0</v>
      </c>
      <c r="M1309" s="20">
        <v>0.0</v>
      </c>
      <c r="N1309" s="20">
        <v>0.0</v>
      </c>
      <c r="O1309" s="20">
        <v>0.0</v>
      </c>
      <c r="P1309" s="20">
        <v>0.0</v>
      </c>
      <c r="Q1309" s="20">
        <v>0.0</v>
      </c>
      <c r="R1309" s="20">
        <v>0.0</v>
      </c>
      <c r="S1309" s="20">
        <v>0.0</v>
      </c>
      <c r="T1309" s="20">
        <v>0.0</v>
      </c>
      <c r="U1309" s="20">
        <v>0.0</v>
      </c>
    </row>
    <row r="1310" ht="23.25" customHeight="1">
      <c r="A1310" s="1"/>
      <c r="B1310" s="15" t="s">
        <v>1710</v>
      </c>
      <c r="C1310" s="1" t="s">
        <v>17</v>
      </c>
      <c r="D1310" s="1" t="s">
        <v>1711</v>
      </c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</row>
    <row r="1311" ht="23.25" customHeight="1">
      <c r="A1311" s="17" t="str">
        <f>IF(COUNTIF('Icon Lookup'!C:C,B1311)&gt;0,LOOKUP(B1311,'Icon Lookup'!C:C,'Icon Lookup'!B:B),"")</f>
        <v/>
      </c>
      <c r="B1311" s="18" t="s">
        <v>592</v>
      </c>
      <c r="C1311" s="17"/>
      <c r="D1311" s="17">
        <v>23.0</v>
      </c>
      <c r="E1311" s="17" t="s">
        <v>44</v>
      </c>
      <c r="G1311" s="19"/>
      <c r="H1311" s="20" t="s">
        <v>593</v>
      </c>
      <c r="I1311" s="17" t="s">
        <v>197</v>
      </c>
      <c r="J1311" s="17">
        <v>0.0</v>
      </c>
      <c r="K1311" s="17">
        <v>0.0</v>
      </c>
      <c r="L1311" s="17">
        <v>0.0</v>
      </c>
      <c r="M1311" s="17">
        <v>0.0</v>
      </c>
      <c r="N1311" s="17">
        <v>0.0</v>
      </c>
      <c r="O1311" s="17">
        <v>0.0</v>
      </c>
      <c r="P1311" s="17">
        <v>0.0</v>
      </c>
      <c r="Q1311" s="17">
        <v>0.0</v>
      </c>
      <c r="R1311" s="17">
        <v>0.0</v>
      </c>
      <c r="S1311" s="17">
        <v>0.0</v>
      </c>
      <c r="T1311" s="17">
        <v>0.0</v>
      </c>
      <c r="U1311" s="17">
        <v>0.0</v>
      </c>
    </row>
    <row r="1312" ht="23.25" customHeight="1">
      <c r="A1312" s="1"/>
      <c r="B1312" s="15" t="s">
        <v>1712</v>
      </c>
      <c r="C1312" s="1" t="s">
        <v>17</v>
      </c>
      <c r="D1312" s="1" t="s">
        <v>1713</v>
      </c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</row>
    <row r="1313" ht="23.25" customHeight="1">
      <c r="A1313" s="20" t="str">
        <f>IF(COUNTIF('Icon Lookup'!C:C,B1313)&gt;0,LOOKUP(B1313,'Icon Lookup'!C:C,'Icon Lookup'!B:B),"")</f>
        <v/>
      </c>
      <c r="B1313" s="21" t="s">
        <v>577</v>
      </c>
      <c r="C1313" s="20"/>
      <c r="D1313" s="20">
        <v>23.0</v>
      </c>
      <c r="E1313" s="20" t="s">
        <v>399</v>
      </c>
      <c r="G1313" s="22"/>
      <c r="H1313" s="23" t="s">
        <v>1172</v>
      </c>
      <c r="I1313" s="20" t="s">
        <v>105</v>
      </c>
      <c r="J1313" s="20">
        <v>0.0</v>
      </c>
      <c r="K1313" s="20">
        <v>0.0</v>
      </c>
      <c r="L1313" s="20">
        <v>0.0</v>
      </c>
      <c r="M1313" s="20">
        <v>0.0</v>
      </c>
      <c r="N1313" s="20">
        <v>0.0</v>
      </c>
      <c r="O1313" s="20">
        <v>0.0</v>
      </c>
      <c r="P1313" s="20">
        <v>0.0</v>
      </c>
      <c r="Q1313" s="20">
        <v>0.0</v>
      </c>
      <c r="R1313" s="20">
        <v>0.0</v>
      </c>
      <c r="S1313" s="20">
        <v>0.0</v>
      </c>
      <c r="T1313" s="20">
        <v>0.0</v>
      </c>
      <c r="U1313" s="20">
        <v>0.0</v>
      </c>
    </row>
    <row r="1314" ht="23.25" customHeight="1">
      <c r="A1314" s="1"/>
      <c r="B1314" s="15" t="s">
        <v>1714</v>
      </c>
      <c r="C1314" s="1" t="s">
        <v>17</v>
      </c>
      <c r="D1314" s="1" t="s">
        <v>1715</v>
      </c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</row>
    <row r="1315" ht="23.25" customHeight="1">
      <c r="A1315" s="17" t="str">
        <f>IF(COUNTIF('Icon Lookup'!C:C,B1315)&gt;0,LOOKUP(B1315,'Icon Lookup'!C:C,'Icon Lookup'!B:B),"")</f>
        <v/>
      </c>
      <c r="B1315" s="18" t="s">
        <v>90</v>
      </c>
      <c r="C1315" s="17"/>
      <c r="D1315" s="17">
        <v>23.0</v>
      </c>
      <c r="E1315" s="17" t="s">
        <v>91</v>
      </c>
      <c r="G1315" s="19"/>
      <c r="H1315" s="20" t="s">
        <v>184</v>
      </c>
      <c r="I1315" s="17" t="s">
        <v>89</v>
      </c>
      <c r="J1315" s="17">
        <v>0.0</v>
      </c>
      <c r="K1315" s="17">
        <v>0.0</v>
      </c>
      <c r="L1315" s="17">
        <v>0.0</v>
      </c>
      <c r="M1315" s="17">
        <v>0.0</v>
      </c>
      <c r="N1315" s="17">
        <v>0.0</v>
      </c>
      <c r="O1315" s="17">
        <v>0.0</v>
      </c>
      <c r="P1315" s="17">
        <v>0.0</v>
      </c>
      <c r="Q1315" s="17">
        <v>0.0</v>
      </c>
      <c r="R1315" s="17">
        <v>0.0</v>
      </c>
      <c r="S1315" s="17">
        <v>0.0</v>
      </c>
      <c r="T1315" s="17">
        <v>0.0</v>
      </c>
      <c r="U1315" s="17">
        <v>0.0</v>
      </c>
    </row>
    <row r="1316" ht="23.25" customHeight="1">
      <c r="A1316" s="20" t="str">
        <f>IF(COUNTIF('Icon Lookup'!C:C,B1316)&gt;0,LOOKUP(B1316,'Icon Lookup'!C:C,'Icon Lookup'!B:B),"")</f>
        <v/>
      </c>
      <c r="B1316" s="21" t="s">
        <v>160</v>
      </c>
      <c r="C1316" s="20"/>
      <c r="D1316" s="20">
        <v>23.0</v>
      </c>
      <c r="E1316" s="20" t="s">
        <v>161</v>
      </c>
      <c r="G1316" s="22"/>
      <c r="H1316" s="23" t="s">
        <v>1716</v>
      </c>
      <c r="I1316" s="20" t="s">
        <v>94</v>
      </c>
      <c r="J1316" s="20">
        <v>0.0</v>
      </c>
      <c r="K1316" s="20">
        <v>0.0</v>
      </c>
      <c r="L1316" s="20">
        <v>0.0</v>
      </c>
      <c r="M1316" s="20">
        <v>0.0</v>
      </c>
      <c r="N1316" s="20">
        <v>0.0</v>
      </c>
      <c r="O1316" s="20">
        <v>0.0</v>
      </c>
      <c r="P1316" s="20">
        <v>0.0</v>
      </c>
      <c r="Q1316" s="20">
        <v>0.0</v>
      </c>
      <c r="R1316" s="20">
        <v>0.0</v>
      </c>
      <c r="S1316" s="20">
        <v>0.0</v>
      </c>
      <c r="T1316" s="20">
        <v>0.0</v>
      </c>
      <c r="U1316" s="20">
        <v>0.0</v>
      </c>
    </row>
    <row r="1317" ht="23.25" customHeight="1">
      <c r="A1317" s="1"/>
      <c r="B1317" s="15" t="s">
        <v>1717</v>
      </c>
      <c r="C1317" s="1" t="s">
        <v>17</v>
      </c>
      <c r="D1317" s="1" t="s">
        <v>1718</v>
      </c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</row>
    <row r="1318" ht="23.25" customHeight="1">
      <c r="A1318" s="17" t="str">
        <f>IF(COUNTIF('Icon Lookup'!C:C,B1318)&gt;0,LOOKUP(B1318,'Icon Lookup'!C:C,'Icon Lookup'!B:B),"")</f>
        <v/>
      </c>
      <c r="B1318" s="18" t="s">
        <v>86</v>
      </c>
      <c r="C1318" s="17"/>
      <c r="D1318" s="17">
        <v>16.0</v>
      </c>
      <c r="E1318" s="17" t="s">
        <v>87</v>
      </c>
      <c r="G1318" s="19"/>
      <c r="H1318" s="20" t="s">
        <v>159</v>
      </c>
      <c r="I1318" s="17" t="s">
        <v>89</v>
      </c>
      <c r="J1318" s="17">
        <v>0.0</v>
      </c>
      <c r="K1318" s="17">
        <v>0.0</v>
      </c>
      <c r="L1318" s="17">
        <v>0.0</v>
      </c>
      <c r="M1318" s="17">
        <v>0.0</v>
      </c>
      <c r="N1318" s="17">
        <v>0.0</v>
      </c>
      <c r="O1318" s="17">
        <v>0.0</v>
      </c>
      <c r="P1318" s="17">
        <v>0.0</v>
      </c>
      <c r="Q1318" s="17">
        <v>0.0</v>
      </c>
      <c r="R1318" s="17">
        <v>0.0</v>
      </c>
      <c r="S1318" s="17">
        <v>0.0</v>
      </c>
      <c r="T1318" s="17">
        <v>0.0</v>
      </c>
      <c r="U1318" s="17">
        <v>0.0</v>
      </c>
    </row>
    <row r="1319" ht="23.25" customHeight="1">
      <c r="A1319" s="20" t="str">
        <f>IF(COUNTIF('Icon Lookup'!C:C,B1319)&gt;0,LOOKUP(B1319,'Icon Lookup'!C:C,'Icon Lookup'!B:B),"")</f>
        <v/>
      </c>
      <c r="B1319" s="21" t="s">
        <v>86</v>
      </c>
      <c r="C1319" s="20"/>
      <c r="D1319" s="20">
        <v>17.0</v>
      </c>
      <c r="E1319" s="20" t="s">
        <v>87</v>
      </c>
      <c r="G1319" s="22"/>
      <c r="H1319" s="23" t="s">
        <v>1300</v>
      </c>
      <c r="I1319" s="20" t="s">
        <v>89</v>
      </c>
      <c r="J1319" s="20">
        <v>0.0</v>
      </c>
      <c r="K1319" s="20">
        <v>0.0</v>
      </c>
      <c r="L1319" s="20">
        <v>0.0</v>
      </c>
      <c r="M1319" s="20">
        <v>0.0</v>
      </c>
      <c r="N1319" s="20">
        <v>0.0</v>
      </c>
      <c r="O1319" s="20">
        <v>0.0</v>
      </c>
      <c r="P1319" s="20">
        <v>0.0</v>
      </c>
      <c r="Q1319" s="20">
        <v>0.0</v>
      </c>
      <c r="R1319" s="20">
        <v>0.0</v>
      </c>
      <c r="S1319" s="20">
        <v>0.0</v>
      </c>
      <c r="T1319" s="20">
        <v>0.0</v>
      </c>
      <c r="U1319" s="20">
        <v>0.0</v>
      </c>
    </row>
    <row r="1320" ht="23.25" customHeight="1">
      <c r="A1320" s="17" t="str">
        <f>IF(COUNTIF('Icon Lookup'!C:C,B1320)&gt;0,LOOKUP(B1320,'Icon Lookup'!C:C,'Icon Lookup'!B:B),"")</f>
        <v/>
      </c>
      <c r="B1320" s="18" t="s">
        <v>160</v>
      </c>
      <c r="C1320" s="17"/>
      <c r="D1320" s="17">
        <v>18.0</v>
      </c>
      <c r="E1320" s="17" t="s">
        <v>161</v>
      </c>
      <c r="G1320" s="19"/>
      <c r="H1320" s="20" t="s">
        <v>162</v>
      </c>
      <c r="I1320" s="17" t="s">
        <v>94</v>
      </c>
      <c r="J1320" s="17">
        <v>0.0</v>
      </c>
      <c r="K1320" s="17">
        <v>0.0</v>
      </c>
      <c r="L1320" s="17">
        <v>0.0</v>
      </c>
      <c r="M1320" s="17">
        <v>0.0</v>
      </c>
      <c r="N1320" s="17">
        <v>0.0</v>
      </c>
      <c r="O1320" s="17">
        <v>0.0</v>
      </c>
      <c r="P1320" s="17">
        <v>0.0</v>
      </c>
      <c r="Q1320" s="17">
        <v>0.0</v>
      </c>
      <c r="R1320" s="17">
        <v>0.0</v>
      </c>
      <c r="S1320" s="17">
        <v>0.0</v>
      </c>
      <c r="T1320" s="17">
        <v>0.0</v>
      </c>
      <c r="U1320" s="17">
        <v>0.0</v>
      </c>
    </row>
    <row r="1321" ht="23.25" customHeight="1">
      <c r="A1321" s="1"/>
      <c r="B1321" s="15" t="s">
        <v>1719</v>
      </c>
      <c r="C1321" s="1" t="s">
        <v>17</v>
      </c>
      <c r="D1321" s="1" t="s">
        <v>1720</v>
      </c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</row>
    <row r="1322" ht="23.25" customHeight="1">
      <c r="A1322" s="20" t="str">
        <f>IF(COUNTIF('Icon Lookup'!C:C,B1322)&gt;0,LOOKUP(B1322,'Icon Lookup'!C:C,'Icon Lookup'!B:B),"")</f>
        <v/>
      </c>
      <c r="B1322" s="21" t="s">
        <v>1721</v>
      </c>
      <c r="C1322" s="20"/>
      <c r="D1322" s="20">
        <v>52.0</v>
      </c>
      <c r="E1322" s="20" t="s">
        <v>38</v>
      </c>
      <c r="G1322" s="22"/>
      <c r="H1322" s="23" t="s">
        <v>1722</v>
      </c>
      <c r="I1322" s="20" t="s">
        <v>22</v>
      </c>
      <c r="J1322" s="20">
        <v>0.0</v>
      </c>
      <c r="K1322" s="20">
        <v>0.0</v>
      </c>
      <c r="L1322" s="20">
        <v>0.0</v>
      </c>
      <c r="M1322" s="20">
        <v>0.0</v>
      </c>
      <c r="N1322" s="20">
        <v>0.0</v>
      </c>
      <c r="O1322" s="20">
        <v>0.0</v>
      </c>
      <c r="P1322" s="20">
        <v>0.0</v>
      </c>
      <c r="Q1322" s="20">
        <v>0.0</v>
      </c>
      <c r="R1322" s="20">
        <v>0.0</v>
      </c>
      <c r="S1322" s="20">
        <v>0.0</v>
      </c>
      <c r="T1322" s="20">
        <v>0.0</v>
      </c>
      <c r="U1322" s="20">
        <v>0.0</v>
      </c>
    </row>
    <row r="1323" ht="23.25" customHeight="1">
      <c r="A1323" s="17" t="str">
        <f>IF(COUNTIF('Icon Lookup'!C:C,B1323)&gt;0,LOOKUP(B1323,'Icon Lookup'!C:C,'Icon Lookup'!B:B),"")</f>
        <v/>
      </c>
      <c r="B1323" s="18" t="s">
        <v>1723</v>
      </c>
      <c r="C1323" s="17"/>
      <c r="D1323" s="17">
        <v>54.0</v>
      </c>
      <c r="E1323" s="17" t="s">
        <v>276</v>
      </c>
      <c r="G1323" s="19"/>
      <c r="H1323" s="20" t="s">
        <v>1724</v>
      </c>
      <c r="I1323" s="17" t="s">
        <v>22</v>
      </c>
      <c r="J1323" s="17">
        <v>0.0</v>
      </c>
      <c r="K1323" s="17">
        <v>0.0</v>
      </c>
      <c r="L1323" s="17">
        <v>0.0</v>
      </c>
      <c r="M1323" s="17">
        <v>0.0</v>
      </c>
      <c r="N1323" s="17">
        <v>0.0</v>
      </c>
      <c r="O1323" s="17">
        <v>0.0</v>
      </c>
      <c r="P1323" s="17">
        <v>0.0</v>
      </c>
      <c r="Q1323" s="17">
        <v>0.0</v>
      </c>
      <c r="R1323" s="17">
        <v>0.0</v>
      </c>
      <c r="S1323" s="17">
        <v>0.0</v>
      </c>
      <c r="T1323" s="17">
        <v>0.0</v>
      </c>
      <c r="U1323" s="17">
        <v>0.0</v>
      </c>
    </row>
    <row r="1324" ht="23.25" customHeight="1">
      <c r="A1324" s="1"/>
      <c r="B1324" s="15" t="s">
        <v>1725</v>
      </c>
      <c r="C1324" s="1" t="s">
        <v>17</v>
      </c>
      <c r="D1324" s="1" t="s">
        <v>1726</v>
      </c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</row>
    <row r="1325" ht="23.25" customHeight="1">
      <c r="A1325" s="20" t="str">
        <f>IF(COUNTIF('Icon Lookup'!C:C,B1325)&gt;0,LOOKUP(B1325,'Icon Lookup'!C:C,'Icon Lookup'!B:B),"")</f>
        <v/>
      </c>
      <c r="B1325" s="21" t="s">
        <v>174</v>
      </c>
      <c r="C1325" s="20"/>
      <c r="D1325" s="20">
        <v>53.0</v>
      </c>
      <c r="E1325" s="20" t="s">
        <v>38</v>
      </c>
      <c r="G1325" s="22"/>
      <c r="H1325" s="23" t="s">
        <v>1727</v>
      </c>
      <c r="I1325" s="20" t="s">
        <v>211</v>
      </c>
      <c r="J1325" s="20">
        <v>0.0</v>
      </c>
      <c r="K1325" s="20">
        <v>0.0</v>
      </c>
      <c r="L1325" s="20">
        <v>0.0</v>
      </c>
      <c r="M1325" s="20">
        <v>0.0</v>
      </c>
      <c r="N1325" s="20">
        <v>0.0</v>
      </c>
      <c r="O1325" s="20">
        <v>0.0</v>
      </c>
      <c r="P1325" s="20">
        <v>0.0</v>
      </c>
      <c r="Q1325" s="20">
        <v>0.0</v>
      </c>
      <c r="R1325" s="20">
        <v>0.0</v>
      </c>
      <c r="S1325" s="20">
        <v>0.0</v>
      </c>
      <c r="T1325" s="20">
        <v>0.0</v>
      </c>
      <c r="U1325" s="20">
        <v>0.0</v>
      </c>
    </row>
    <row r="1326" ht="23.25" customHeight="1">
      <c r="A1326" s="17" t="str">
        <f>IF(COUNTIF('Icon Lookup'!C:C,B1326)&gt;0,LOOKUP(B1326,'Icon Lookup'!C:C,'Icon Lookup'!B:B),"")</f>
        <v/>
      </c>
      <c r="B1326" s="18" t="s">
        <v>1728</v>
      </c>
      <c r="C1326" s="17"/>
      <c r="D1326" s="17">
        <v>57.0</v>
      </c>
      <c r="E1326" s="17" t="s">
        <v>387</v>
      </c>
      <c r="G1326" s="19"/>
      <c r="H1326" s="20" t="s">
        <v>1729</v>
      </c>
      <c r="I1326" s="17" t="s">
        <v>105</v>
      </c>
      <c r="J1326" s="17">
        <v>0.0</v>
      </c>
      <c r="K1326" s="17">
        <v>0.0</v>
      </c>
      <c r="L1326" s="17">
        <v>0.0</v>
      </c>
      <c r="M1326" s="17">
        <v>0.0</v>
      </c>
      <c r="N1326" s="17">
        <v>0.0</v>
      </c>
      <c r="O1326" s="17">
        <v>0.0</v>
      </c>
      <c r="P1326" s="17">
        <v>0.0</v>
      </c>
      <c r="Q1326" s="17">
        <v>0.0</v>
      </c>
      <c r="R1326" s="17">
        <v>0.0</v>
      </c>
      <c r="S1326" s="17">
        <v>0.0</v>
      </c>
      <c r="T1326" s="17">
        <v>0.0</v>
      </c>
      <c r="U1326" s="17">
        <v>0.0</v>
      </c>
    </row>
    <row r="1327" ht="23.25" customHeight="1">
      <c r="A1327" s="1"/>
      <c r="B1327" s="15" t="s">
        <v>1730</v>
      </c>
      <c r="C1327" s="1" t="s">
        <v>17</v>
      </c>
      <c r="D1327" s="1" t="s">
        <v>1731</v>
      </c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</row>
    <row r="1328" ht="23.25" customHeight="1">
      <c r="A1328" s="20" t="str">
        <f>IF(COUNTIF('Icon Lookup'!C:C,B1328)&gt;0,LOOKUP(B1328,'Icon Lookup'!C:C,'Icon Lookup'!B:B),"")</f>
        <v/>
      </c>
      <c r="B1328" s="21" t="s">
        <v>1732</v>
      </c>
      <c r="C1328" s="20"/>
      <c r="D1328" s="20">
        <v>55.0</v>
      </c>
      <c r="E1328" s="20" t="s">
        <v>1733</v>
      </c>
      <c r="G1328" s="22"/>
      <c r="H1328" s="23" t="s">
        <v>1734</v>
      </c>
      <c r="I1328" s="20" t="s">
        <v>211</v>
      </c>
      <c r="J1328" s="20">
        <v>0.0</v>
      </c>
      <c r="K1328" s="20">
        <v>0.0</v>
      </c>
      <c r="L1328" s="20">
        <v>0.0</v>
      </c>
      <c r="M1328" s="20">
        <v>0.0</v>
      </c>
      <c r="N1328" s="20">
        <v>0.0</v>
      </c>
      <c r="O1328" s="20">
        <v>0.0</v>
      </c>
      <c r="P1328" s="20">
        <v>0.0</v>
      </c>
      <c r="Q1328" s="20">
        <v>0.0</v>
      </c>
      <c r="R1328" s="20">
        <v>0.0</v>
      </c>
      <c r="S1328" s="20">
        <v>0.0</v>
      </c>
      <c r="T1328" s="20">
        <v>0.0</v>
      </c>
      <c r="U1328" s="20">
        <v>0.0</v>
      </c>
    </row>
    <row r="1329" ht="23.25" customHeight="1">
      <c r="A1329" s="17" t="str">
        <f>IF(COUNTIF('Icon Lookup'!C:C,B1329)&gt;0,LOOKUP(B1329,'Icon Lookup'!C:C,'Icon Lookup'!B:B),"")</f>
        <v/>
      </c>
      <c r="B1329" s="18" t="s">
        <v>1735</v>
      </c>
      <c r="C1329" s="17"/>
      <c r="D1329" s="17">
        <v>55.0</v>
      </c>
      <c r="E1329" s="17" t="s">
        <v>20</v>
      </c>
      <c r="G1329" s="19"/>
      <c r="H1329" s="20" t="s">
        <v>1736</v>
      </c>
      <c r="I1329" s="17" t="s">
        <v>94</v>
      </c>
      <c r="J1329" s="17">
        <v>0.0</v>
      </c>
      <c r="K1329" s="17">
        <v>0.0</v>
      </c>
      <c r="L1329" s="17">
        <v>0.0</v>
      </c>
      <c r="M1329" s="17">
        <v>0.0</v>
      </c>
      <c r="N1329" s="17">
        <v>0.0</v>
      </c>
      <c r="O1329" s="17">
        <v>0.0</v>
      </c>
      <c r="P1329" s="17">
        <v>0.0</v>
      </c>
      <c r="Q1329" s="17">
        <v>0.0</v>
      </c>
      <c r="R1329" s="17">
        <v>0.0</v>
      </c>
      <c r="S1329" s="17">
        <v>0.0</v>
      </c>
      <c r="T1329" s="17">
        <v>0.0</v>
      </c>
      <c r="U1329" s="17">
        <v>0.0</v>
      </c>
    </row>
    <row r="1330" ht="23.25" customHeight="1">
      <c r="A1330" s="20" t="str">
        <f>IF(COUNTIF('Icon Lookup'!C:C,B1330)&gt;0,LOOKUP(B1330,'Icon Lookup'!C:C,'Icon Lookup'!B:B),"")</f>
        <v/>
      </c>
      <c r="B1330" s="21" t="s">
        <v>718</v>
      </c>
      <c r="C1330" s="20"/>
      <c r="D1330" s="20">
        <v>55.0</v>
      </c>
      <c r="E1330" s="20" t="s">
        <v>719</v>
      </c>
      <c r="G1330" s="22"/>
      <c r="H1330" s="23" t="s">
        <v>1737</v>
      </c>
      <c r="I1330" s="20" t="s">
        <v>36</v>
      </c>
      <c r="J1330" s="20">
        <v>0.0</v>
      </c>
      <c r="K1330" s="20">
        <v>0.0</v>
      </c>
      <c r="L1330" s="20">
        <v>0.0</v>
      </c>
      <c r="M1330" s="20">
        <v>0.0</v>
      </c>
      <c r="N1330" s="20">
        <v>0.0</v>
      </c>
      <c r="O1330" s="20">
        <v>0.0</v>
      </c>
      <c r="P1330" s="20">
        <v>0.0</v>
      </c>
      <c r="Q1330" s="20">
        <v>0.0</v>
      </c>
      <c r="R1330" s="20">
        <v>0.0</v>
      </c>
      <c r="S1330" s="20">
        <v>0.0</v>
      </c>
      <c r="T1330" s="20">
        <v>0.0</v>
      </c>
      <c r="U1330" s="20">
        <v>0.0</v>
      </c>
    </row>
    <row r="1331" ht="23.25" customHeight="1">
      <c r="A1331" s="1"/>
      <c r="B1331" s="15" t="s">
        <v>1738</v>
      </c>
      <c r="C1331" s="1" t="s">
        <v>17</v>
      </c>
      <c r="D1331" s="1" t="s">
        <v>1739</v>
      </c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</row>
    <row r="1332" ht="23.25" customHeight="1">
      <c r="A1332" s="17" t="str">
        <f>IF(COUNTIF('Icon Lookup'!C:C,B1332)&gt;0,LOOKUP(B1332,'Icon Lookup'!C:C,'Icon Lookup'!B:B),"")</f>
        <v/>
      </c>
      <c r="B1332" s="18" t="s">
        <v>1740</v>
      </c>
      <c r="C1332" s="17"/>
      <c r="D1332" s="17">
        <v>53.0</v>
      </c>
      <c r="E1332" s="17" t="s">
        <v>58</v>
      </c>
      <c r="G1332" s="19"/>
      <c r="H1332" s="20" t="s">
        <v>1741</v>
      </c>
      <c r="I1332" s="17" t="s">
        <v>550</v>
      </c>
      <c r="J1332" s="17">
        <v>0.0</v>
      </c>
      <c r="K1332" s="17">
        <v>0.0</v>
      </c>
      <c r="L1332" s="17">
        <v>0.0</v>
      </c>
      <c r="M1332" s="17">
        <v>0.0</v>
      </c>
      <c r="N1332" s="17">
        <v>0.0</v>
      </c>
      <c r="O1332" s="17">
        <v>0.0</v>
      </c>
      <c r="P1332" s="17">
        <v>0.0</v>
      </c>
      <c r="Q1332" s="17">
        <v>0.0</v>
      </c>
      <c r="R1332" s="17">
        <v>0.0</v>
      </c>
      <c r="S1332" s="17">
        <v>0.0</v>
      </c>
      <c r="T1332" s="17">
        <v>0.0</v>
      </c>
      <c r="U1332" s="17">
        <v>0.0</v>
      </c>
    </row>
    <row r="1333" ht="23.25" customHeight="1">
      <c r="A1333" s="20" t="str">
        <f>IF(COUNTIF('Icon Lookup'!C:C,B1333)&gt;0,LOOKUP(B1333,'Icon Lookup'!C:C,'Icon Lookup'!B:B),"")</f>
        <v/>
      </c>
      <c r="B1333" s="21" t="s">
        <v>1742</v>
      </c>
      <c r="C1333" s="20"/>
      <c r="D1333" s="20">
        <v>55.0</v>
      </c>
      <c r="E1333" s="20" t="s">
        <v>58</v>
      </c>
      <c r="G1333" s="22"/>
      <c r="H1333" s="23" t="s">
        <v>1743</v>
      </c>
      <c r="I1333" s="20" t="s">
        <v>22</v>
      </c>
      <c r="J1333" s="20">
        <v>0.0</v>
      </c>
      <c r="K1333" s="20">
        <v>0.0</v>
      </c>
      <c r="L1333" s="20">
        <v>0.0</v>
      </c>
      <c r="M1333" s="20">
        <v>0.0</v>
      </c>
      <c r="N1333" s="20">
        <v>0.0</v>
      </c>
      <c r="O1333" s="20">
        <v>0.0</v>
      </c>
      <c r="P1333" s="20">
        <v>0.0</v>
      </c>
      <c r="Q1333" s="20">
        <v>0.0</v>
      </c>
      <c r="R1333" s="20">
        <v>0.0</v>
      </c>
      <c r="S1333" s="20">
        <v>0.0</v>
      </c>
      <c r="T1333" s="20">
        <v>0.0</v>
      </c>
      <c r="U1333" s="20">
        <v>0.0</v>
      </c>
    </row>
    <row r="1334" ht="23.25" customHeight="1">
      <c r="A1334" s="1"/>
      <c r="B1334" s="15" t="s">
        <v>1744</v>
      </c>
      <c r="C1334" s="1" t="s">
        <v>17</v>
      </c>
      <c r="D1334" s="1" t="s">
        <v>1745</v>
      </c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</row>
    <row r="1335" ht="23.25" customHeight="1">
      <c r="A1335" s="17" t="str">
        <f>IF(COUNTIF('Icon Lookup'!C:C,B1335)&gt;0,LOOKUP(B1335,'Icon Lookup'!C:C,'Icon Lookup'!B:B),"")</f>
        <v/>
      </c>
      <c r="B1335" s="18" t="s">
        <v>190</v>
      </c>
      <c r="C1335" s="17"/>
      <c r="D1335" s="17">
        <v>60.0</v>
      </c>
      <c r="E1335" s="17" t="s">
        <v>26</v>
      </c>
      <c r="G1335" s="19"/>
      <c r="H1335" s="20" t="s">
        <v>984</v>
      </c>
      <c r="I1335" s="17" t="s">
        <v>211</v>
      </c>
      <c r="J1335" s="17">
        <v>0.0</v>
      </c>
      <c r="K1335" s="17">
        <v>0.0</v>
      </c>
      <c r="L1335" s="17">
        <v>0.0</v>
      </c>
      <c r="M1335" s="17">
        <v>0.0</v>
      </c>
      <c r="N1335" s="17">
        <v>0.0</v>
      </c>
      <c r="O1335" s="17">
        <v>0.0</v>
      </c>
      <c r="P1335" s="17">
        <v>0.0</v>
      </c>
      <c r="Q1335" s="17">
        <v>0.0</v>
      </c>
      <c r="R1335" s="17">
        <v>0.0</v>
      </c>
      <c r="S1335" s="17">
        <v>0.0</v>
      </c>
      <c r="T1335" s="17">
        <v>0.0</v>
      </c>
      <c r="U1335" s="17">
        <v>0.0</v>
      </c>
    </row>
    <row r="1336" ht="23.25" customHeight="1">
      <c r="A1336" s="1"/>
      <c r="B1336" s="15" t="s">
        <v>1746</v>
      </c>
      <c r="C1336" s="1" t="s">
        <v>17</v>
      </c>
      <c r="D1336" s="1" t="s">
        <v>1747</v>
      </c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</row>
    <row r="1337" ht="23.25" customHeight="1">
      <c r="A1337" s="20" t="str">
        <f>IF(COUNTIF('Icon Lookup'!C:C,B1337)&gt;0,LOOKUP(B1337,'Icon Lookup'!C:C,'Icon Lookup'!B:B),"")</f>
        <v/>
      </c>
      <c r="B1337" s="21" t="s">
        <v>190</v>
      </c>
      <c r="C1337" s="20"/>
      <c r="D1337" s="20">
        <v>58.0</v>
      </c>
      <c r="E1337" s="20" t="s">
        <v>26</v>
      </c>
      <c r="G1337" s="22"/>
      <c r="H1337" s="23" t="s">
        <v>1748</v>
      </c>
      <c r="I1337" s="20" t="s">
        <v>89</v>
      </c>
      <c r="J1337" s="20">
        <v>0.0</v>
      </c>
      <c r="K1337" s="20">
        <v>0.0</v>
      </c>
      <c r="L1337" s="20">
        <v>0.0</v>
      </c>
      <c r="M1337" s="20">
        <v>0.0</v>
      </c>
      <c r="N1337" s="20">
        <v>0.0</v>
      </c>
      <c r="O1337" s="20">
        <v>0.0</v>
      </c>
      <c r="P1337" s="20">
        <v>0.0</v>
      </c>
      <c r="Q1337" s="20">
        <v>0.0</v>
      </c>
      <c r="R1337" s="20">
        <v>0.0</v>
      </c>
      <c r="S1337" s="20">
        <v>0.0</v>
      </c>
      <c r="T1337" s="20">
        <v>0.0</v>
      </c>
      <c r="U1337" s="20">
        <v>0.0</v>
      </c>
    </row>
    <row r="1338" ht="23.25" customHeight="1">
      <c r="A1338" s="1"/>
      <c r="B1338" s="15" t="s">
        <v>1749</v>
      </c>
      <c r="C1338" s="1" t="s">
        <v>17</v>
      </c>
      <c r="D1338" s="1" t="s">
        <v>1750</v>
      </c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</row>
    <row r="1339" ht="23.25" customHeight="1">
      <c r="A1339" s="17" t="str">
        <f>IF(COUNTIF('Icon Lookup'!C:C,B1339)&gt;0,LOOKUP(B1339,'Icon Lookup'!C:C,'Icon Lookup'!B:B),"")</f>
        <v/>
      </c>
      <c r="B1339" s="18" t="s">
        <v>1751</v>
      </c>
      <c r="C1339" s="17"/>
      <c r="D1339" s="17">
        <v>56.0</v>
      </c>
      <c r="E1339" s="17" t="s">
        <v>50</v>
      </c>
      <c r="G1339" s="19"/>
      <c r="H1339" s="20" t="s">
        <v>1752</v>
      </c>
      <c r="I1339" s="17" t="s">
        <v>156</v>
      </c>
      <c r="J1339" s="17">
        <v>0.0</v>
      </c>
      <c r="K1339" s="17">
        <v>0.0</v>
      </c>
      <c r="L1339" s="17">
        <v>0.0</v>
      </c>
      <c r="M1339" s="17">
        <v>0.0</v>
      </c>
      <c r="N1339" s="17">
        <v>0.0</v>
      </c>
      <c r="O1339" s="17">
        <v>0.0</v>
      </c>
      <c r="P1339" s="17">
        <v>0.0</v>
      </c>
      <c r="Q1339" s="17">
        <v>0.0</v>
      </c>
      <c r="R1339" s="17">
        <v>0.0</v>
      </c>
      <c r="S1339" s="17">
        <v>0.0</v>
      </c>
      <c r="T1339" s="17">
        <v>0.0</v>
      </c>
      <c r="U1339" s="17">
        <v>0.0</v>
      </c>
    </row>
    <row r="1340" ht="23.25" customHeight="1">
      <c r="A1340" s="20" t="str">
        <f>IF(COUNTIF('Icon Lookup'!C:C,B1340)&gt;0,LOOKUP(B1340,'Icon Lookup'!C:C,'Icon Lookup'!B:B),"")</f>
        <v/>
      </c>
      <c r="B1340" s="21" t="s">
        <v>190</v>
      </c>
      <c r="C1340" s="20"/>
      <c r="D1340" s="20">
        <v>56.0</v>
      </c>
      <c r="E1340" s="20" t="s">
        <v>26</v>
      </c>
      <c r="G1340" s="22"/>
      <c r="H1340" s="23" t="s">
        <v>1753</v>
      </c>
      <c r="I1340" s="20" t="s">
        <v>89</v>
      </c>
      <c r="J1340" s="20">
        <v>0.0</v>
      </c>
      <c r="K1340" s="20">
        <v>0.0</v>
      </c>
      <c r="L1340" s="20">
        <v>0.0</v>
      </c>
      <c r="M1340" s="20">
        <v>0.0</v>
      </c>
      <c r="N1340" s="20">
        <v>0.0</v>
      </c>
      <c r="O1340" s="20">
        <v>0.0</v>
      </c>
      <c r="P1340" s="20">
        <v>0.0</v>
      </c>
      <c r="Q1340" s="20">
        <v>0.0</v>
      </c>
      <c r="R1340" s="20">
        <v>0.0</v>
      </c>
      <c r="S1340" s="20">
        <v>0.0</v>
      </c>
      <c r="T1340" s="20">
        <v>0.0</v>
      </c>
      <c r="U1340" s="20">
        <v>0.0</v>
      </c>
    </row>
    <row r="1341" ht="23.25" customHeight="1">
      <c r="A1341" s="1"/>
      <c r="B1341" s="15" t="s">
        <v>1754</v>
      </c>
      <c r="C1341" s="1" t="s">
        <v>17</v>
      </c>
      <c r="D1341" s="1" t="s">
        <v>1755</v>
      </c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</row>
    <row r="1342" ht="23.25" customHeight="1">
      <c r="A1342" s="17" t="str">
        <f>IF(COUNTIF('Icon Lookup'!C:C,B1342)&gt;0,LOOKUP(B1342,'Icon Lookup'!C:C,'Icon Lookup'!B:B),"")</f>
        <v/>
      </c>
      <c r="B1342" s="18" t="s">
        <v>1756</v>
      </c>
      <c r="C1342" s="17"/>
      <c r="D1342" s="17">
        <v>57.0</v>
      </c>
      <c r="E1342" s="17" t="s">
        <v>161</v>
      </c>
      <c r="G1342" s="19"/>
      <c r="H1342" s="20" t="s">
        <v>1757</v>
      </c>
      <c r="I1342" s="17" t="s">
        <v>197</v>
      </c>
      <c r="J1342" s="17">
        <v>0.0</v>
      </c>
      <c r="K1342" s="17">
        <v>0.0</v>
      </c>
      <c r="L1342" s="17">
        <v>0.0</v>
      </c>
      <c r="M1342" s="17">
        <v>0.0</v>
      </c>
      <c r="N1342" s="17">
        <v>0.0</v>
      </c>
      <c r="O1342" s="17">
        <v>0.0</v>
      </c>
      <c r="P1342" s="17">
        <v>0.0</v>
      </c>
      <c r="Q1342" s="17">
        <v>0.0</v>
      </c>
      <c r="R1342" s="17">
        <v>0.0</v>
      </c>
      <c r="S1342" s="17">
        <v>0.0</v>
      </c>
      <c r="T1342" s="17">
        <v>0.0</v>
      </c>
      <c r="U1342" s="17">
        <v>0.0</v>
      </c>
    </row>
    <row r="1343" ht="23.25" customHeight="1">
      <c r="A1343" s="20" t="str">
        <f>IF(COUNTIF('Icon Lookup'!C:C,B1343)&gt;0,LOOKUP(B1343,'Icon Lookup'!C:C,'Icon Lookup'!B:B),"")</f>
        <v/>
      </c>
      <c r="B1343" s="21" t="s">
        <v>1751</v>
      </c>
      <c r="C1343" s="20"/>
      <c r="D1343" s="20">
        <v>57.0</v>
      </c>
      <c r="E1343" s="20" t="s">
        <v>50</v>
      </c>
      <c r="G1343" s="22"/>
      <c r="H1343" s="23" t="s">
        <v>1758</v>
      </c>
      <c r="I1343" s="20" t="s">
        <v>205</v>
      </c>
      <c r="J1343" s="20">
        <v>0.0</v>
      </c>
      <c r="K1343" s="20">
        <v>0.0</v>
      </c>
      <c r="L1343" s="20">
        <v>0.0</v>
      </c>
      <c r="M1343" s="20">
        <v>0.0</v>
      </c>
      <c r="N1343" s="20">
        <v>0.0</v>
      </c>
      <c r="O1343" s="20">
        <v>0.0</v>
      </c>
      <c r="P1343" s="20">
        <v>0.0</v>
      </c>
      <c r="Q1343" s="20">
        <v>0.0</v>
      </c>
      <c r="R1343" s="20">
        <v>0.0</v>
      </c>
      <c r="S1343" s="20">
        <v>0.0</v>
      </c>
      <c r="T1343" s="20">
        <v>0.0</v>
      </c>
      <c r="U1343" s="20">
        <v>0.0</v>
      </c>
    </row>
    <row r="1344" ht="23.25" customHeight="1">
      <c r="A1344" s="17" t="str">
        <f>IF(COUNTIF('Icon Lookup'!C:C,B1344)&gt;0,LOOKUP(B1344,'Icon Lookup'!C:C,'Icon Lookup'!B:B),"")</f>
        <v/>
      </c>
      <c r="B1344" s="18" t="s">
        <v>1742</v>
      </c>
      <c r="C1344" s="17"/>
      <c r="D1344" s="17">
        <v>57.0</v>
      </c>
      <c r="E1344" s="17" t="s">
        <v>58</v>
      </c>
      <c r="G1344" s="19"/>
      <c r="H1344" s="20" t="s">
        <v>1759</v>
      </c>
      <c r="I1344" s="17" t="s">
        <v>1045</v>
      </c>
      <c r="J1344" s="17">
        <v>0.0</v>
      </c>
      <c r="K1344" s="17">
        <v>0.0</v>
      </c>
      <c r="L1344" s="17">
        <v>0.0</v>
      </c>
      <c r="M1344" s="17">
        <v>0.0</v>
      </c>
      <c r="N1344" s="17">
        <v>0.0</v>
      </c>
      <c r="O1344" s="17">
        <v>0.0</v>
      </c>
      <c r="P1344" s="17">
        <v>0.0</v>
      </c>
      <c r="Q1344" s="17">
        <v>0.0</v>
      </c>
      <c r="R1344" s="17">
        <v>0.0</v>
      </c>
      <c r="S1344" s="17">
        <v>0.0</v>
      </c>
      <c r="T1344" s="17">
        <v>0.0</v>
      </c>
      <c r="U1344" s="17">
        <v>0.0</v>
      </c>
    </row>
    <row r="1345" ht="23.25" customHeight="1">
      <c r="A1345" s="1"/>
      <c r="B1345" s="15" t="s">
        <v>1760</v>
      </c>
      <c r="C1345" s="1" t="s">
        <v>17</v>
      </c>
      <c r="D1345" s="1" t="s">
        <v>1761</v>
      </c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</row>
    <row r="1346" ht="23.25" customHeight="1">
      <c r="A1346" s="20" t="str">
        <f>IF(COUNTIF('Icon Lookup'!C:C,B1346)&gt;0,LOOKUP(B1346,'Icon Lookup'!C:C,'Icon Lookup'!B:B),"")</f>
        <v/>
      </c>
      <c r="B1346" s="21" t="s">
        <v>1762</v>
      </c>
      <c r="C1346" s="20"/>
      <c r="D1346" s="20">
        <v>57.0</v>
      </c>
      <c r="E1346" s="20" t="s">
        <v>87</v>
      </c>
      <c r="G1346" s="22"/>
      <c r="H1346" s="23" t="s">
        <v>1763</v>
      </c>
      <c r="I1346" s="20" t="s">
        <v>1045</v>
      </c>
      <c r="J1346" s="20">
        <v>0.0</v>
      </c>
      <c r="K1346" s="20">
        <v>0.0</v>
      </c>
      <c r="L1346" s="20">
        <v>0.0</v>
      </c>
      <c r="M1346" s="20">
        <v>0.0</v>
      </c>
      <c r="N1346" s="20">
        <v>0.0</v>
      </c>
      <c r="O1346" s="20">
        <v>0.0</v>
      </c>
      <c r="P1346" s="20">
        <v>0.0</v>
      </c>
      <c r="Q1346" s="20">
        <v>0.0</v>
      </c>
      <c r="R1346" s="20">
        <v>0.0</v>
      </c>
      <c r="S1346" s="20">
        <v>0.0</v>
      </c>
      <c r="T1346" s="20">
        <v>0.0</v>
      </c>
      <c r="U1346" s="20">
        <v>0.0</v>
      </c>
    </row>
    <row r="1347" ht="23.25" customHeight="1">
      <c r="A1347" s="17" t="str">
        <f>IF(COUNTIF('Icon Lookup'!C:C,B1347)&gt;0,LOOKUP(B1347,'Icon Lookup'!C:C,'Icon Lookup'!B:B),"")</f>
        <v/>
      </c>
      <c r="B1347" s="18" t="s">
        <v>1764</v>
      </c>
      <c r="C1347" s="17"/>
      <c r="D1347" s="17">
        <v>59.0</v>
      </c>
      <c r="E1347" s="17" t="s">
        <v>87</v>
      </c>
      <c r="G1347" s="19"/>
      <c r="H1347" s="20" t="s">
        <v>1765</v>
      </c>
      <c r="I1347" s="17" t="s">
        <v>89</v>
      </c>
      <c r="J1347" s="17">
        <v>0.0</v>
      </c>
      <c r="K1347" s="17">
        <v>0.0</v>
      </c>
      <c r="L1347" s="17">
        <v>0.0</v>
      </c>
      <c r="M1347" s="17">
        <v>0.0</v>
      </c>
      <c r="N1347" s="17">
        <v>0.0</v>
      </c>
      <c r="O1347" s="17">
        <v>0.0</v>
      </c>
      <c r="P1347" s="17">
        <v>0.0</v>
      </c>
      <c r="Q1347" s="17">
        <v>0.0</v>
      </c>
      <c r="R1347" s="17">
        <v>0.0</v>
      </c>
      <c r="S1347" s="17">
        <v>0.0</v>
      </c>
      <c r="T1347" s="17">
        <v>0.0</v>
      </c>
      <c r="U1347" s="17">
        <v>0.0</v>
      </c>
    </row>
    <row r="1348" ht="23.25" customHeight="1">
      <c r="A1348" s="1"/>
      <c r="B1348" s="15" t="s">
        <v>1766</v>
      </c>
      <c r="C1348" s="1" t="s">
        <v>17</v>
      </c>
      <c r="D1348" s="1" t="s">
        <v>1767</v>
      </c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</row>
    <row r="1349" ht="23.25" customHeight="1">
      <c r="A1349" s="20" t="str">
        <f>IF(COUNTIF('Icon Lookup'!C:C,B1349)&gt;0,LOOKUP(B1349,'Icon Lookup'!C:C,'Icon Lookup'!B:B),"")</f>
        <v/>
      </c>
      <c r="B1349" s="21" t="s">
        <v>1768</v>
      </c>
      <c r="C1349" s="20"/>
      <c r="D1349" s="20">
        <v>53.0</v>
      </c>
      <c r="E1349" s="20" t="s">
        <v>1004</v>
      </c>
      <c r="G1349" s="22"/>
      <c r="H1349" s="23" t="s">
        <v>1769</v>
      </c>
      <c r="I1349" s="20" t="s">
        <v>550</v>
      </c>
      <c r="J1349" s="20">
        <v>0.0</v>
      </c>
      <c r="K1349" s="20">
        <v>0.0</v>
      </c>
      <c r="L1349" s="20">
        <v>0.0</v>
      </c>
      <c r="M1349" s="20">
        <v>0.0</v>
      </c>
      <c r="N1349" s="20">
        <v>0.0</v>
      </c>
      <c r="O1349" s="20">
        <v>0.0</v>
      </c>
      <c r="P1349" s="20">
        <v>0.0</v>
      </c>
      <c r="Q1349" s="20">
        <v>0.0</v>
      </c>
      <c r="R1349" s="20">
        <v>0.0</v>
      </c>
      <c r="S1349" s="20">
        <v>0.0</v>
      </c>
      <c r="T1349" s="20">
        <v>0.0</v>
      </c>
      <c r="U1349" s="20">
        <v>0.0</v>
      </c>
    </row>
    <row r="1350" ht="23.25" customHeight="1">
      <c r="A1350" s="17" t="str">
        <f>IF(COUNTIF('Icon Lookup'!C:C,B1350)&gt;0,LOOKUP(B1350,'Icon Lookup'!C:C,'Icon Lookup'!B:B),"")</f>
        <v/>
      </c>
      <c r="B1350" s="18" t="s">
        <v>1770</v>
      </c>
      <c r="C1350" s="17"/>
      <c r="D1350" s="17">
        <v>53.0</v>
      </c>
      <c r="E1350" s="17" t="s">
        <v>1771</v>
      </c>
      <c r="G1350" s="19"/>
      <c r="H1350" s="20" t="s">
        <v>1772</v>
      </c>
      <c r="I1350" s="17" t="s">
        <v>550</v>
      </c>
      <c r="J1350" s="17">
        <v>0.0</v>
      </c>
      <c r="K1350" s="17">
        <v>0.0</v>
      </c>
      <c r="L1350" s="17">
        <v>0.0</v>
      </c>
      <c r="M1350" s="17">
        <v>0.0</v>
      </c>
      <c r="N1350" s="17">
        <v>0.0</v>
      </c>
      <c r="O1350" s="17">
        <v>0.0</v>
      </c>
      <c r="P1350" s="17">
        <v>0.0</v>
      </c>
      <c r="Q1350" s="17">
        <v>0.0</v>
      </c>
      <c r="R1350" s="17">
        <v>0.0</v>
      </c>
      <c r="S1350" s="17">
        <v>0.0</v>
      </c>
      <c r="T1350" s="17">
        <v>0.0</v>
      </c>
      <c r="U1350" s="17">
        <v>0.0</v>
      </c>
    </row>
    <row r="1351" ht="23.25" customHeight="1">
      <c r="A1351" s="1"/>
      <c r="B1351" s="15" t="s">
        <v>1773</v>
      </c>
      <c r="C1351" s="1" t="s">
        <v>17</v>
      </c>
      <c r="D1351" s="1" t="s">
        <v>1774</v>
      </c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</row>
    <row r="1352" ht="23.25" customHeight="1">
      <c r="A1352" s="20" t="str">
        <f>IF(COUNTIF('Icon Lookup'!C:C,B1352)&gt;0,LOOKUP(B1352,'Icon Lookup'!C:C,'Icon Lookup'!B:B),"")</f>
        <v/>
      </c>
      <c r="B1352" s="21" t="s">
        <v>1775</v>
      </c>
      <c r="C1352" s="20"/>
      <c r="D1352" s="20">
        <v>55.0</v>
      </c>
      <c r="E1352" s="20" t="s">
        <v>26</v>
      </c>
      <c r="G1352" s="22"/>
      <c r="H1352" s="23" t="s">
        <v>1776</v>
      </c>
      <c r="I1352" s="20" t="s">
        <v>22</v>
      </c>
      <c r="J1352" s="20">
        <v>0.0</v>
      </c>
      <c r="K1352" s="20">
        <v>0.0</v>
      </c>
      <c r="L1352" s="20">
        <v>0.0</v>
      </c>
      <c r="M1352" s="20">
        <v>0.0</v>
      </c>
      <c r="N1352" s="20">
        <v>0.0</v>
      </c>
      <c r="O1352" s="20">
        <v>0.0</v>
      </c>
      <c r="P1352" s="20">
        <v>0.0</v>
      </c>
      <c r="Q1352" s="20">
        <v>0.0</v>
      </c>
      <c r="R1352" s="20">
        <v>0.0</v>
      </c>
      <c r="S1352" s="20">
        <v>0.0</v>
      </c>
      <c r="T1352" s="20">
        <v>0.0</v>
      </c>
      <c r="U1352" s="20">
        <v>0.0</v>
      </c>
    </row>
    <row r="1353" ht="23.25" customHeight="1">
      <c r="A1353" s="1"/>
      <c r="B1353" s="15" t="s">
        <v>1777</v>
      </c>
      <c r="C1353" s="1" t="s">
        <v>17</v>
      </c>
      <c r="D1353" s="1" t="s">
        <v>1778</v>
      </c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</row>
    <row r="1354" ht="23.25" customHeight="1">
      <c r="A1354" s="17" t="str">
        <f>IF(COUNTIF('Icon Lookup'!C:C,B1354)&gt;0,LOOKUP(B1354,'Icon Lookup'!C:C,'Icon Lookup'!B:B),"")</f>
        <v/>
      </c>
      <c r="B1354" s="18" t="s">
        <v>398</v>
      </c>
      <c r="C1354" s="17"/>
      <c r="D1354" s="17">
        <v>55.0</v>
      </c>
      <c r="E1354" s="17" t="s">
        <v>399</v>
      </c>
      <c r="G1354" s="19"/>
      <c r="H1354" s="20" t="s">
        <v>1779</v>
      </c>
      <c r="I1354" s="17" t="s">
        <v>156</v>
      </c>
      <c r="J1354" s="17">
        <v>0.0</v>
      </c>
      <c r="K1354" s="17">
        <v>0.0</v>
      </c>
      <c r="L1354" s="17">
        <v>0.0</v>
      </c>
      <c r="M1354" s="17">
        <v>0.0</v>
      </c>
      <c r="N1354" s="17">
        <v>0.0</v>
      </c>
      <c r="O1354" s="17">
        <v>0.0</v>
      </c>
      <c r="P1354" s="17">
        <v>0.0</v>
      </c>
      <c r="Q1354" s="17">
        <v>0.0</v>
      </c>
      <c r="R1354" s="17">
        <v>0.0</v>
      </c>
      <c r="S1354" s="17">
        <v>0.0</v>
      </c>
      <c r="T1354" s="17">
        <v>0.0</v>
      </c>
      <c r="U1354" s="17">
        <v>0.0</v>
      </c>
    </row>
    <row r="1355" ht="23.25" customHeight="1">
      <c r="A1355" s="20" t="str">
        <f>IF(COUNTIF('Icon Lookup'!C:C,B1355)&gt;0,LOOKUP(B1355,'Icon Lookup'!C:C,'Icon Lookup'!B:B),"")</f>
        <v/>
      </c>
      <c r="B1355" s="21" t="s">
        <v>1780</v>
      </c>
      <c r="C1355" s="20"/>
      <c r="D1355" s="20">
        <v>55.0</v>
      </c>
      <c r="E1355" s="20" t="s">
        <v>298</v>
      </c>
      <c r="G1355" s="22"/>
      <c r="H1355" s="23" t="s">
        <v>1781</v>
      </c>
      <c r="I1355" s="20" t="s">
        <v>89</v>
      </c>
      <c r="J1355" s="20">
        <v>0.0</v>
      </c>
      <c r="K1355" s="20">
        <v>0.0</v>
      </c>
      <c r="L1355" s="20">
        <v>0.0</v>
      </c>
      <c r="M1355" s="20">
        <v>0.0</v>
      </c>
      <c r="N1355" s="20">
        <v>0.0</v>
      </c>
      <c r="O1355" s="20">
        <v>0.0</v>
      </c>
      <c r="P1355" s="20">
        <v>0.0</v>
      </c>
      <c r="Q1355" s="20">
        <v>0.0</v>
      </c>
      <c r="R1355" s="20">
        <v>0.0</v>
      </c>
      <c r="S1355" s="20">
        <v>0.0</v>
      </c>
      <c r="T1355" s="20">
        <v>0.0</v>
      </c>
      <c r="U1355" s="20">
        <v>0.0</v>
      </c>
    </row>
    <row r="1356" ht="23.25" customHeight="1">
      <c r="A1356" s="1"/>
      <c r="B1356" s="15" t="s">
        <v>1782</v>
      </c>
      <c r="C1356" s="1" t="s">
        <v>17</v>
      </c>
      <c r="D1356" s="1" t="s">
        <v>1783</v>
      </c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</row>
    <row r="1357" ht="23.25" customHeight="1">
      <c r="A1357" s="17" t="str">
        <f>IF(COUNTIF('Icon Lookup'!C:C,B1357)&gt;0,LOOKUP(B1357,'Icon Lookup'!C:C,'Icon Lookup'!B:B),"")</f>
        <v/>
      </c>
      <c r="B1357" s="18" t="s">
        <v>1784</v>
      </c>
      <c r="C1357" s="17"/>
      <c r="D1357" s="17">
        <v>55.0</v>
      </c>
      <c r="E1357" s="17" t="s">
        <v>903</v>
      </c>
      <c r="G1357" s="19"/>
      <c r="H1357" s="20" t="s">
        <v>1785</v>
      </c>
      <c r="I1357" s="17" t="s">
        <v>89</v>
      </c>
      <c r="J1357" s="17">
        <v>0.0</v>
      </c>
      <c r="K1357" s="17">
        <v>0.0</v>
      </c>
      <c r="L1357" s="17">
        <v>0.0</v>
      </c>
      <c r="M1357" s="17">
        <v>0.0</v>
      </c>
      <c r="N1357" s="17">
        <v>0.0</v>
      </c>
      <c r="O1357" s="17">
        <v>0.0</v>
      </c>
      <c r="P1357" s="17">
        <v>0.0</v>
      </c>
      <c r="Q1357" s="17">
        <v>0.0</v>
      </c>
      <c r="R1357" s="17">
        <v>0.0</v>
      </c>
      <c r="S1357" s="17">
        <v>0.0</v>
      </c>
      <c r="T1357" s="17">
        <v>0.0</v>
      </c>
      <c r="U1357" s="17">
        <v>0.0</v>
      </c>
    </row>
    <row r="1358" ht="23.25" customHeight="1">
      <c r="A1358" s="20" t="str">
        <f>IF(COUNTIF('Icon Lookup'!C:C,B1358)&gt;0,LOOKUP(B1358,'Icon Lookup'!C:C,'Icon Lookup'!B:B),"")</f>
        <v/>
      </c>
      <c r="B1358" s="21" t="s">
        <v>1786</v>
      </c>
      <c r="C1358" s="20"/>
      <c r="D1358" s="20">
        <v>55.0</v>
      </c>
      <c r="E1358" s="20" t="s">
        <v>26</v>
      </c>
      <c r="G1358" s="22"/>
      <c r="H1358" s="23" t="s">
        <v>1787</v>
      </c>
      <c r="I1358" s="20" t="s">
        <v>89</v>
      </c>
      <c r="J1358" s="20">
        <v>0.0</v>
      </c>
      <c r="K1358" s="20">
        <v>0.0</v>
      </c>
      <c r="L1358" s="20">
        <v>0.0</v>
      </c>
      <c r="M1358" s="20">
        <v>0.0</v>
      </c>
      <c r="N1358" s="20">
        <v>0.0</v>
      </c>
      <c r="O1358" s="20">
        <v>0.0</v>
      </c>
      <c r="P1358" s="20">
        <v>0.0</v>
      </c>
      <c r="Q1358" s="20">
        <v>0.0</v>
      </c>
      <c r="R1358" s="20">
        <v>0.0</v>
      </c>
      <c r="S1358" s="20">
        <v>0.0</v>
      </c>
      <c r="T1358" s="20">
        <v>0.0</v>
      </c>
      <c r="U1358" s="20">
        <v>0.0</v>
      </c>
    </row>
    <row r="1359" ht="23.25" customHeight="1">
      <c r="A1359" s="1"/>
      <c r="B1359" s="15" t="s">
        <v>1788</v>
      </c>
      <c r="C1359" s="1" t="s">
        <v>17</v>
      </c>
      <c r="D1359" s="1" t="s">
        <v>1789</v>
      </c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</row>
    <row r="1360" ht="23.25" customHeight="1">
      <c r="A1360" s="17" t="str">
        <f>IF(COUNTIF('Icon Lookup'!C:C,B1360)&gt;0,LOOKUP(B1360,'Icon Lookup'!C:C,'Icon Lookup'!B:B),"")</f>
        <v/>
      </c>
      <c r="B1360" s="18" t="s">
        <v>1790</v>
      </c>
      <c r="C1360" s="17"/>
      <c r="D1360" s="17">
        <v>53.0</v>
      </c>
      <c r="E1360" s="17" t="s">
        <v>1791</v>
      </c>
      <c r="G1360" s="19"/>
      <c r="H1360" s="20" t="s">
        <v>1792</v>
      </c>
      <c r="I1360" s="17" t="s">
        <v>94</v>
      </c>
      <c r="J1360" s="17">
        <v>0.0</v>
      </c>
      <c r="K1360" s="17">
        <v>0.0</v>
      </c>
      <c r="L1360" s="17">
        <v>0.0</v>
      </c>
      <c r="M1360" s="17">
        <v>0.0</v>
      </c>
      <c r="N1360" s="17">
        <v>0.0</v>
      </c>
      <c r="O1360" s="17">
        <v>0.0</v>
      </c>
      <c r="P1360" s="17">
        <v>0.0</v>
      </c>
      <c r="Q1360" s="17">
        <v>0.0</v>
      </c>
      <c r="R1360" s="17">
        <v>0.0</v>
      </c>
      <c r="S1360" s="17">
        <v>0.0</v>
      </c>
      <c r="T1360" s="17">
        <v>0.0</v>
      </c>
      <c r="U1360" s="17">
        <v>0.0</v>
      </c>
    </row>
    <row r="1361" ht="23.25" customHeight="1">
      <c r="A1361" s="20" t="str">
        <f>IF(COUNTIF('Icon Lookup'!C:C,B1361)&gt;0,LOOKUP(B1361,'Icon Lookup'!C:C,'Icon Lookup'!B:B),"")</f>
        <v/>
      </c>
      <c r="B1361" s="21" t="s">
        <v>1793</v>
      </c>
      <c r="C1361" s="20"/>
      <c r="D1361" s="20">
        <v>53.0</v>
      </c>
      <c r="E1361" s="20" t="s">
        <v>26</v>
      </c>
      <c r="G1361" s="22"/>
      <c r="H1361" s="23" t="s">
        <v>1794</v>
      </c>
      <c r="I1361" s="20" t="s">
        <v>94</v>
      </c>
      <c r="J1361" s="20">
        <v>0.0</v>
      </c>
      <c r="K1361" s="20">
        <v>0.0</v>
      </c>
      <c r="L1361" s="20">
        <v>0.0</v>
      </c>
      <c r="M1361" s="20">
        <v>0.0</v>
      </c>
      <c r="N1361" s="20">
        <v>0.0</v>
      </c>
      <c r="O1361" s="20">
        <v>0.0</v>
      </c>
      <c r="P1361" s="20">
        <v>0.0</v>
      </c>
      <c r="Q1361" s="20">
        <v>0.0</v>
      </c>
      <c r="R1361" s="20">
        <v>0.0</v>
      </c>
      <c r="S1361" s="20">
        <v>0.0</v>
      </c>
      <c r="T1361" s="20">
        <v>0.0</v>
      </c>
      <c r="U1361" s="20">
        <v>0.0</v>
      </c>
    </row>
    <row r="1362" ht="23.25" customHeight="1">
      <c r="A1362" s="1"/>
      <c r="B1362" s="15" t="s">
        <v>1795</v>
      </c>
      <c r="C1362" s="1" t="s">
        <v>17</v>
      </c>
      <c r="D1362" s="1" t="s">
        <v>1796</v>
      </c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</row>
    <row r="1363" ht="23.25" customHeight="1">
      <c r="A1363" s="17" t="str">
        <f>IF(COUNTIF('Icon Lookup'!C:C,B1363)&gt;0,LOOKUP(B1363,'Icon Lookup'!C:C,'Icon Lookup'!B:B),"")</f>
        <v/>
      </c>
      <c r="B1363" s="18" t="s">
        <v>1797</v>
      </c>
      <c r="C1363" s="17"/>
      <c r="D1363" s="17">
        <v>56.0</v>
      </c>
      <c r="E1363" s="17" t="s">
        <v>20</v>
      </c>
      <c r="G1363" s="19"/>
      <c r="H1363" s="20" t="s">
        <v>1798</v>
      </c>
      <c r="I1363" s="17" t="s">
        <v>89</v>
      </c>
      <c r="J1363" s="17">
        <v>0.0</v>
      </c>
      <c r="K1363" s="17">
        <v>0.0</v>
      </c>
      <c r="L1363" s="17">
        <v>0.0</v>
      </c>
      <c r="M1363" s="17">
        <v>0.0</v>
      </c>
      <c r="N1363" s="17">
        <v>0.0</v>
      </c>
      <c r="O1363" s="17">
        <v>0.0</v>
      </c>
      <c r="P1363" s="17">
        <v>0.0</v>
      </c>
      <c r="Q1363" s="17">
        <v>0.0</v>
      </c>
      <c r="R1363" s="17">
        <v>0.0</v>
      </c>
      <c r="S1363" s="17">
        <v>0.0</v>
      </c>
      <c r="T1363" s="17">
        <v>0.0</v>
      </c>
      <c r="U1363" s="17">
        <v>0.0</v>
      </c>
    </row>
    <row r="1364" ht="23.25" customHeight="1">
      <c r="A1364" s="1"/>
      <c r="B1364" s="15" t="s">
        <v>1799</v>
      </c>
      <c r="C1364" s="1" t="s">
        <v>17</v>
      </c>
      <c r="D1364" s="1" t="s">
        <v>1800</v>
      </c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</row>
    <row r="1365" ht="23.25" customHeight="1">
      <c r="A1365" s="20" t="str">
        <f>IF(COUNTIF('Icon Lookup'!C:C,B1365)&gt;0,LOOKUP(B1365,'Icon Lookup'!C:C,'Icon Lookup'!B:B),"")</f>
        <v/>
      </c>
      <c r="B1365" s="21" t="s">
        <v>1801</v>
      </c>
      <c r="C1365" s="20"/>
      <c r="D1365" s="20">
        <v>57.0</v>
      </c>
      <c r="E1365" s="20" t="s">
        <v>1802</v>
      </c>
      <c r="G1365" s="22"/>
      <c r="H1365" s="23" t="s">
        <v>1803</v>
      </c>
      <c r="I1365" s="20" t="s">
        <v>36</v>
      </c>
      <c r="J1365" s="20">
        <v>0.0</v>
      </c>
      <c r="K1365" s="20">
        <v>0.0</v>
      </c>
      <c r="L1365" s="20">
        <v>0.0</v>
      </c>
      <c r="M1365" s="20">
        <v>0.0</v>
      </c>
      <c r="N1365" s="20">
        <v>0.0</v>
      </c>
      <c r="O1365" s="20">
        <v>0.0</v>
      </c>
      <c r="P1365" s="20">
        <v>0.0</v>
      </c>
      <c r="Q1365" s="20">
        <v>0.0</v>
      </c>
      <c r="R1365" s="20">
        <v>0.0</v>
      </c>
      <c r="S1365" s="20">
        <v>0.0</v>
      </c>
      <c r="T1365" s="20">
        <v>0.0</v>
      </c>
      <c r="U1365" s="20">
        <v>0.0</v>
      </c>
    </row>
    <row r="1366" ht="23.25" customHeight="1">
      <c r="A1366" s="17" t="str">
        <f>IF(COUNTIF('Icon Lookup'!C:C,B1366)&gt;0,LOOKUP(B1366,'Icon Lookup'!C:C,'Icon Lookup'!B:B),"")</f>
        <v/>
      </c>
      <c r="B1366" s="18" t="s">
        <v>1804</v>
      </c>
      <c r="C1366" s="17"/>
      <c r="D1366" s="17">
        <v>57.0</v>
      </c>
      <c r="E1366" s="17" t="s">
        <v>1805</v>
      </c>
      <c r="G1366" s="19"/>
      <c r="H1366" s="20" t="s">
        <v>1806</v>
      </c>
      <c r="I1366" s="17" t="s">
        <v>205</v>
      </c>
      <c r="J1366" s="17">
        <v>0.0</v>
      </c>
      <c r="K1366" s="17">
        <v>0.0</v>
      </c>
      <c r="L1366" s="17">
        <v>0.0</v>
      </c>
      <c r="M1366" s="17">
        <v>0.0</v>
      </c>
      <c r="N1366" s="17">
        <v>0.0</v>
      </c>
      <c r="O1366" s="17">
        <v>0.0</v>
      </c>
      <c r="P1366" s="17">
        <v>0.0</v>
      </c>
      <c r="Q1366" s="17">
        <v>0.0</v>
      </c>
      <c r="R1366" s="17">
        <v>0.0</v>
      </c>
      <c r="S1366" s="17">
        <v>0.0</v>
      </c>
      <c r="T1366" s="17">
        <v>0.0</v>
      </c>
      <c r="U1366" s="17">
        <v>0.0</v>
      </c>
    </row>
    <row r="1367" ht="23.25" customHeight="1">
      <c r="A1367" s="1"/>
      <c r="B1367" s="15" t="s">
        <v>1807</v>
      </c>
      <c r="C1367" s="1" t="s">
        <v>17</v>
      </c>
      <c r="D1367" s="1" t="s">
        <v>1808</v>
      </c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</row>
    <row r="1368" ht="23.25" customHeight="1">
      <c r="A1368" s="20" t="str">
        <f>IF(COUNTIF('Icon Lookup'!C:C,B1368)&gt;0,LOOKUP(B1368,'Icon Lookup'!C:C,'Icon Lookup'!B:B),"")</f>
        <v/>
      </c>
      <c r="B1368" s="21" t="s">
        <v>1809</v>
      </c>
      <c r="C1368" s="20"/>
      <c r="D1368" s="20">
        <v>57.0</v>
      </c>
      <c r="E1368" s="20" t="s">
        <v>276</v>
      </c>
      <c r="G1368" s="22"/>
      <c r="H1368" s="23" t="s">
        <v>1810</v>
      </c>
      <c r="I1368" s="20" t="s">
        <v>211</v>
      </c>
      <c r="J1368" s="20">
        <v>0.0</v>
      </c>
      <c r="K1368" s="20">
        <v>0.0</v>
      </c>
      <c r="L1368" s="20">
        <v>0.0</v>
      </c>
      <c r="M1368" s="20">
        <v>0.0</v>
      </c>
      <c r="N1368" s="20">
        <v>0.0</v>
      </c>
      <c r="O1368" s="20">
        <v>0.0</v>
      </c>
      <c r="P1368" s="20">
        <v>0.0</v>
      </c>
      <c r="Q1368" s="20">
        <v>0.0</v>
      </c>
      <c r="R1368" s="20">
        <v>0.0</v>
      </c>
      <c r="S1368" s="20">
        <v>0.0</v>
      </c>
      <c r="T1368" s="20">
        <v>0.0</v>
      </c>
      <c r="U1368" s="20">
        <v>0.0</v>
      </c>
    </row>
    <row r="1369" ht="23.25" customHeight="1">
      <c r="A1369" s="17" t="str">
        <f>IF(COUNTIF('Icon Lookup'!C:C,B1369)&gt;0,LOOKUP(B1369,'Icon Lookup'!C:C,'Icon Lookup'!B:B),"")</f>
        <v/>
      </c>
      <c r="B1369" s="18" t="s">
        <v>1811</v>
      </c>
      <c r="C1369" s="17"/>
      <c r="D1369" s="17">
        <v>57.0</v>
      </c>
      <c r="E1369" s="17" t="s">
        <v>869</v>
      </c>
      <c r="G1369" s="19"/>
      <c r="H1369" s="20" t="s">
        <v>1812</v>
      </c>
      <c r="I1369" s="17" t="s">
        <v>89</v>
      </c>
      <c r="J1369" s="17">
        <v>0.0</v>
      </c>
      <c r="K1369" s="17">
        <v>0.0</v>
      </c>
      <c r="L1369" s="17">
        <v>0.0</v>
      </c>
      <c r="M1369" s="17">
        <v>0.0</v>
      </c>
      <c r="N1369" s="17">
        <v>0.0</v>
      </c>
      <c r="O1369" s="17">
        <v>0.0</v>
      </c>
      <c r="P1369" s="17">
        <v>0.0</v>
      </c>
      <c r="Q1369" s="17">
        <v>0.0</v>
      </c>
      <c r="R1369" s="17">
        <v>0.0</v>
      </c>
      <c r="S1369" s="17">
        <v>0.0</v>
      </c>
      <c r="T1369" s="17">
        <v>0.0</v>
      </c>
      <c r="U1369" s="17">
        <v>0.0</v>
      </c>
    </row>
    <row r="1370" ht="23.25" customHeight="1">
      <c r="A1370" s="1"/>
      <c r="B1370" s="15" t="s">
        <v>1813</v>
      </c>
      <c r="C1370" s="1" t="s">
        <v>17</v>
      </c>
      <c r="D1370" s="1" t="s">
        <v>1814</v>
      </c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</row>
    <row r="1371" ht="23.25" customHeight="1">
      <c r="A1371" s="20" t="str">
        <f>IF(COUNTIF('Icon Lookup'!C:C,B1371)&gt;0,LOOKUP(B1371,'Icon Lookup'!C:C,'Icon Lookup'!B:B),"")</f>
        <v/>
      </c>
      <c r="B1371" s="21" t="s">
        <v>1815</v>
      </c>
      <c r="C1371" s="20"/>
      <c r="D1371" s="20">
        <v>57.0</v>
      </c>
      <c r="E1371" s="20" t="s">
        <v>950</v>
      </c>
      <c r="G1371" s="22"/>
      <c r="H1371" s="23" t="s">
        <v>1816</v>
      </c>
      <c r="I1371" s="20" t="s">
        <v>36</v>
      </c>
      <c r="J1371" s="20">
        <v>0.0</v>
      </c>
      <c r="K1371" s="20">
        <v>0.0</v>
      </c>
      <c r="L1371" s="20">
        <v>0.0</v>
      </c>
      <c r="M1371" s="20">
        <v>0.0</v>
      </c>
      <c r="N1371" s="20">
        <v>0.0</v>
      </c>
      <c r="O1371" s="20">
        <v>0.0</v>
      </c>
      <c r="P1371" s="20">
        <v>0.0</v>
      </c>
      <c r="Q1371" s="20">
        <v>0.0</v>
      </c>
      <c r="R1371" s="20">
        <v>0.0</v>
      </c>
      <c r="S1371" s="20">
        <v>0.0</v>
      </c>
      <c r="T1371" s="20">
        <v>0.0</v>
      </c>
      <c r="U1371" s="20">
        <v>0.0</v>
      </c>
    </row>
    <row r="1372" ht="23.25" customHeight="1">
      <c r="A1372" s="17" t="str">
        <f>IF(COUNTIF('Icon Lookup'!C:C,B1372)&gt;0,LOOKUP(B1372,'Icon Lookup'!C:C,'Icon Lookup'!B:B),"")</f>
        <v/>
      </c>
      <c r="B1372" s="18" t="s">
        <v>714</v>
      </c>
      <c r="C1372" s="17"/>
      <c r="D1372" s="17">
        <v>57.0</v>
      </c>
      <c r="E1372" s="17" t="s">
        <v>434</v>
      </c>
      <c r="G1372" s="19"/>
      <c r="H1372" s="20" t="s">
        <v>1817</v>
      </c>
      <c r="I1372" s="17" t="s">
        <v>89</v>
      </c>
      <c r="J1372" s="17">
        <v>0.0</v>
      </c>
      <c r="K1372" s="17">
        <v>0.0</v>
      </c>
      <c r="L1372" s="17">
        <v>0.0</v>
      </c>
      <c r="M1372" s="17">
        <v>0.0</v>
      </c>
      <c r="N1372" s="17">
        <v>0.0</v>
      </c>
      <c r="O1372" s="17">
        <v>0.0</v>
      </c>
      <c r="P1372" s="17">
        <v>0.0</v>
      </c>
      <c r="Q1372" s="17">
        <v>0.0</v>
      </c>
      <c r="R1372" s="17">
        <v>0.0</v>
      </c>
      <c r="S1372" s="17">
        <v>0.0</v>
      </c>
      <c r="T1372" s="17">
        <v>0.0</v>
      </c>
      <c r="U1372" s="17">
        <v>0.0</v>
      </c>
    </row>
    <row r="1373" ht="23.25" customHeight="1">
      <c r="A1373" s="1"/>
      <c r="B1373" s="15" t="s">
        <v>1818</v>
      </c>
      <c r="C1373" s="1" t="s">
        <v>17</v>
      </c>
      <c r="D1373" s="1" t="s">
        <v>1819</v>
      </c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</row>
    <row r="1374" ht="23.25" customHeight="1">
      <c r="A1374" s="20" t="str">
        <f>IF(COUNTIF('Icon Lookup'!C:C,B1374)&gt;0,LOOKUP(B1374,'Icon Lookup'!C:C,'Icon Lookup'!B:B),"")</f>
        <v/>
      </c>
      <c r="B1374" s="21" t="s">
        <v>1820</v>
      </c>
      <c r="C1374" s="20"/>
      <c r="D1374" s="20">
        <v>59.0</v>
      </c>
      <c r="E1374" s="20" t="s">
        <v>87</v>
      </c>
      <c r="G1374" s="22"/>
      <c r="H1374" s="23" t="s">
        <v>1821</v>
      </c>
      <c r="I1374" s="20" t="s">
        <v>94</v>
      </c>
      <c r="J1374" s="20">
        <v>0.0</v>
      </c>
      <c r="K1374" s="20">
        <v>0.0</v>
      </c>
      <c r="L1374" s="20">
        <v>0.0</v>
      </c>
      <c r="M1374" s="20">
        <v>0.0</v>
      </c>
      <c r="N1374" s="20">
        <v>0.0</v>
      </c>
      <c r="O1374" s="20">
        <v>0.0</v>
      </c>
      <c r="P1374" s="20">
        <v>0.0</v>
      </c>
      <c r="Q1374" s="20">
        <v>0.0</v>
      </c>
      <c r="R1374" s="20">
        <v>0.0</v>
      </c>
      <c r="S1374" s="20">
        <v>0.0</v>
      </c>
      <c r="T1374" s="20">
        <v>0.0</v>
      </c>
      <c r="U1374" s="20">
        <v>0.0</v>
      </c>
    </row>
    <row r="1375" ht="23.25" customHeight="1">
      <c r="A1375" s="1"/>
      <c r="B1375" s="15" t="s">
        <v>1822</v>
      </c>
      <c r="C1375" s="1" t="s">
        <v>17</v>
      </c>
      <c r="D1375" s="1" t="s">
        <v>1823</v>
      </c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</row>
    <row r="1376" ht="23.25" customHeight="1">
      <c r="A1376" s="17" t="str">
        <f>IF(COUNTIF('Icon Lookup'!C:C,B1376)&gt;0,LOOKUP(B1376,'Icon Lookup'!C:C,'Icon Lookup'!B:B),"")</f>
        <v/>
      </c>
      <c r="B1376" s="18" t="s">
        <v>1824</v>
      </c>
      <c r="C1376" s="17"/>
      <c r="D1376" s="17">
        <v>53.0</v>
      </c>
      <c r="E1376" s="17" t="s">
        <v>137</v>
      </c>
      <c r="G1376" s="19"/>
      <c r="H1376" s="20" t="s">
        <v>1825</v>
      </c>
      <c r="I1376" s="17" t="s">
        <v>612</v>
      </c>
      <c r="J1376" s="17">
        <v>0.0</v>
      </c>
      <c r="K1376" s="17">
        <v>0.0</v>
      </c>
      <c r="L1376" s="17">
        <v>0.0</v>
      </c>
      <c r="M1376" s="17">
        <v>0.0</v>
      </c>
      <c r="N1376" s="17">
        <v>0.0</v>
      </c>
      <c r="O1376" s="17">
        <v>0.0</v>
      </c>
      <c r="P1376" s="17">
        <v>0.0</v>
      </c>
      <c r="Q1376" s="17">
        <v>0.0</v>
      </c>
      <c r="R1376" s="17">
        <v>0.0</v>
      </c>
      <c r="S1376" s="17">
        <v>0.0</v>
      </c>
      <c r="T1376" s="17">
        <v>0.0</v>
      </c>
      <c r="U1376" s="17">
        <v>0.0</v>
      </c>
    </row>
    <row r="1377" ht="23.25" customHeight="1">
      <c r="A1377" s="20" t="str">
        <f>IF(COUNTIF('Icon Lookup'!C:C,B1377)&gt;0,LOOKUP(B1377,'Icon Lookup'!C:C,'Icon Lookup'!B:B),"")</f>
        <v/>
      </c>
      <c r="B1377" s="21" t="s">
        <v>1826</v>
      </c>
      <c r="C1377" s="20"/>
      <c r="D1377" s="20">
        <v>53.0</v>
      </c>
      <c r="E1377" s="20" t="s">
        <v>66</v>
      </c>
      <c r="G1377" s="22"/>
      <c r="H1377" s="23" t="s">
        <v>1827</v>
      </c>
      <c r="I1377" s="20" t="s">
        <v>52</v>
      </c>
      <c r="J1377" s="20">
        <v>0.0</v>
      </c>
      <c r="K1377" s="20">
        <v>0.0</v>
      </c>
      <c r="L1377" s="20">
        <v>0.0</v>
      </c>
      <c r="M1377" s="20">
        <v>0.0</v>
      </c>
      <c r="N1377" s="20">
        <v>0.0</v>
      </c>
      <c r="O1377" s="20">
        <v>0.0</v>
      </c>
      <c r="P1377" s="20">
        <v>0.0</v>
      </c>
      <c r="Q1377" s="20">
        <v>0.0</v>
      </c>
      <c r="R1377" s="20">
        <v>0.0</v>
      </c>
      <c r="S1377" s="20">
        <v>0.0</v>
      </c>
      <c r="T1377" s="20">
        <v>0.0</v>
      </c>
      <c r="U1377" s="20">
        <v>0.0</v>
      </c>
    </row>
    <row r="1378" ht="23.25" customHeight="1">
      <c r="A1378" s="1"/>
      <c r="B1378" s="15" t="s">
        <v>1828</v>
      </c>
      <c r="C1378" s="1" t="s">
        <v>17</v>
      </c>
      <c r="D1378" s="1" t="s">
        <v>1829</v>
      </c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</row>
    <row r="1379" ht="23.25" customHeight="1">
      <c r="A1379" s="17" t="str">
        <f>IF(COUNTIF('Icon Lookup'!C:C,B1379)&gt;0,LOOKUP(B1379,'Icon Lookup'!C:C,'Icon Lookup'!B:B),"")</f>
        <v/>
      </c>
      <c r="B1379" s="18" t="s">
        <v>471</v>
      </c>
      <c r="C1379" s="17"/>
      <c r="D1379" s="17">
        <v>54.0</v>
      </c>
      <c r="E1379" s="17" t="s">
        <v>1109</v>
      </c>
      <c r="G1379" s="19"/>
      <c r="H1379" s="20" t="s">
        <v>1830</v>
      </c>
      <c r="I1379" s="17" t="s">
        <v>22</v>
      </c>
      <c r="J1379" s="17">
        <v>0.0</v>
      </c>
      <c r="K1379" s="17">
        <v>0.0</v>
      </c>
      <c r="L1379" s="17">
        <v>0.0</v>
      </c>
      <c r="M1379" s="17">
        <v>0.0</v>
      </c>
      <c r="N1379" s="17">
        <v>0.0</v>
      </c>
      <c r="O1379" s="17">
        <v>0.0</v>
      </c>
      <c r="P1379" s="17">
        <v>0.0</v>
      </c>
      <c r="Q1379" s="17">
        <v>0.0</v>
      </c>
      <c r="R1379" s="17">
        <v>0.0</v>
      </c>
      <c r="S1379" s="17">
        <v>0.0</v>
      </c>
      <c r="T1379" s="17">
        <v>0.0</v>
      </c>
      <c r="U1379" s="17">
        <v>0.0</v>
      </c>
    </row>
    <row r="1380" ht="23.25" customHeight="1">
      <c r="A1380" s="20" t="str">
        <f>IF(COUNTIF('Icon Lookup'!C:C,B1380)&gt;0,LOOKUP(B1380,'Icon Lookup'!C:C,'Icon Lookup'!B:B),"")</f>
        <v/>
      </c>
      <c r="B1380" s="21" t="s">
        <v>710</v>
      </c>
      <c r="C1380" s="20"/>
      <c r="D1380" s="20">
        <v>54.0</v>
      </c>
      <c r="E1380" s="20" t="s">
        <v>79</v>
      </c>
      <c r="G1380" s="22"/>
      <c r="H1380" s="23" t="s">
        <v>1831</v>
      </c>
      <c r="I1380" s="20" t="s">
        <v>550</v>
      </c>
      <c r="J1380" s="20">
        <v>0.0</v>
      </c>
      <c r="K1380" s="20">
        <v>0.0</v>
      </c>
      <c r="L1380" s="20">
        <v>0.0</v>
      </c>
      <c r="M1380" s="20">
        <v>0.0</v>
      </c>
      <c r="N1380" s="20">
        <v>0.0</v>
      </c>
      <c r="O1380" s="20">
        <v>0.0</v>
      </c>
      <c r="P1380" s="20">
        <v>0.0</v>
      </c>
      <c r="Q1380" s="20">
        <v>0.0</v>
      </c>
      <c r="R1380" s="20">
        <v>0.0</v>
      </c>
      <c r="S1380" s="20">
        <v>0.0</v>
      </c>
      <c r="T1380" s="20">
        <v>0.0</v>
      </c>
      <c r="U1380" s="20">
        <v>0.0</v>
      </c>
    </row>
    <row r="1381" ht="23.25" customHeight="1">
      <c r="A1381" s="17" t="str">
        <f>IF(COUNTIF('Icon Lookup'!C:C,B1381)&gt;0,LOOKUP(B1381,'Icon Lookup'!C:C,'Icon Lookup'!B:B),"")</f>
        <v/>
      </c>
      <c r="B1381" s="18" t="s">
        <v>1832</v>
      </c>
      <c r="C1381" s="17"/>
      <c r="D1381" s="17">
        <v>54.0</v>
      </c>
      <c r="E1381" s="17" t="s">
        <v>959</v>
      </c>
      <c r="G1381" s="19"/>
      <c r="H1381" s="20" t="s">
        <v>1833</v>
      </c>
      <c r="I1381" s="17" t="s">
        <v>205</v>
      </c>
      <c r="J1381" s="17">
        <v>0.0</v>
      </c>
      <c r="K1381" s="17">
        <v>0.0</v>
      </c>
      <c r="L1381" s="17">
        <v>0.0</v>
      </c>
      <c r="M1381" s="17">
        <v>0.0</v>
      </c>
      <c r="N1381" s="17">
        <v>0.0</v>
      </c>
      <c r="O1381" s="17">
        <v>0.0</v>
      </c>
      <c r="P1381" s="17">
        <v>0.0</v>
      </c>
      <c r="Q1381" s="17">
        <v>0.0</v>
      </c>
      <c r="R1381" s="17">
        <v>0.0</v>
      </c>
      <c r="S1381" s="17">
        <v>0.0</v>
      </c>
      <c r="T1381" s="17">
        <v>0.0</v>
      </c>
      <c r="U1381" s="17">
        <v>0.0</v>
      </c>
    </row>
    <row r="1382" ht="23.25" customHeight="1">
      <c r="A1382" s="1"/>
      <c r="B1382" s="15" t="s">
        <v>1834</v>
      </c>
      <c r="C1382" s="1" t="s">
        <v>17</v>
      </c>
      <c r="D1382" s="1" t="s">
        <v>1835</v>
      </c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</row>
    <row r="1383" ht="23.25" customHeight="1">
      <c r="A1383" s="20" t="str">
        <f>IF(COUNTIF('Icon Lookup'!C:C,B1383)&gt;0,LOOKUP(B1383,'Icon Lookup'!C:C,'Icon Lookup'!B:B),"")</f>
        <v/>
      </c>
      <c r="B1383" s="21" t="s">
        <v>1793</v>
      </c>
      <c r="C1383" s="20"/>
      <c r="D1383" s="20">
        <v>55.0</v>
      </c>
      <c r="E1383" s="20" t="s">
        <v>26</v>
      </c>
      <c r="G1383" s="22"/>
      <c r="H1383" s="23" t="s">
        <v>1836</v>
      </c>
      <c r="I1383" s="20" t="s">
        <v>89</v>
      </c>
      <c r="J1383" s="20">
        <v>0.0</v>
      </c>
      <c r="K1383" s="20">
        <v>0.0</v>
      </c>
      <c r="L1383" s="20">
        <v>0.0</v>
      </c>
      <c r="M1383" s="20">
        <v>0.0</v>
      </c>
      <c r="N1383" s="20">
        <v>0.0</v>
      </c>
      <c r="O1383" s="20">
        <v>0.0</v>
      </c>
      <c r="P1383" s="20">
        <v>0.0</v>
      </c>
      <c r="Q1383" s="20">
        <v>0.0</v>
      </c>
      <c r="R1383" s="20">
        <v>0.0</v>
      </c>
      <c r="S1383" s="20">
        <v>0.0</v>
      </c>
      <c r="T1383" s="20">
        <v>0.0</v>
      </c>
      <c r="U1383" s="20">
        <v>0.0</v>
      </c>
    </row>
    <row r="1384" ht="23.25" customHeight="1">
      <c r="A1384" s="17" t="str">
        <f>IF(COUNTIF('Icon Lookup'!C:C,B1384)&gt;0,LOOKUP(B1384,'Icon Lookup'!C:C,'Icon Lookup'!B:B),"")</f>
        <v/>
      </c>
      <c r="B1384" s="18" t="s">
        <v>1837</v>
      </c>
      <c r="C1384" s="17"/>
      <c r="D1384" s="17">
        <v>55.0</v>
      </c>
      <c r="E1384" s="17" t="s">
        <v>387</v>
      </c>
      <c r="G1384" s="19"/>
      <c r="H1384" s="20" t="s">
        <v>1838</v>
      </c>
      <c r="I1384" s="17" t="s">
        <v>156</v>
      </c>
      <c r="J1384" s="17">
        <v>0.0</v>
      </c>
      <c r="K1384" s="17">
        <v>0.0</v>
      </c>
      <c r="L1384" s="17">
        <v>0.0</v>
      </c>
      <c r="M1384" s="17">
        <v>0.0</v>
      </c>
      <c r="N1384" s="17">
        <v>0.0</v>
      </c>
      <c r="O1384" s="17">
        <v>0.0</v>
      </c>
      <c r="P1384" s="17">
        <v>0.0</v>
      </c>
      <c r="Q1384" s="17">
        <v>0.0</v>
      </c>
      <c r="R1384" s="17">
        <v>0.0</v>
      </c>
      <c r="S1384" s="17">
        <v>0.0</v>
      </c>
      <c r="T1384" s="17">
        <v>0.0</v>
      </c>
      <c r="U1384" s="17">
        <v>0.0</v>
      </c>
    </row>
    <row r="1385" ht="23.25" customHeight="1">
      <c r="A1385" s="1"/>
      <c r="B1385" s="15" t="s">
        <v>1839</v>
      </c>
      <c r="C1385" s="1" t="s">
        <v>17</v>
      </c>
      <c r="D1385" s="1" t="s">
        <v>1840</v>
      </c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</row>
    <row r="1386" ht="23.25" customHeight="1">
      <c r="A1386" s="20" t="str">
        <f>IF(COUNTIF('Icon Lookup'!C:C,B1386)&gt;0,LOOKUP(B1386,'Icon Lookup'!C:C,'Icon Lookup'!B:B),"")</f>
        <v/>
      </c>
      <c r="B1386" s="21" t="s">
        <v>1841</v>
      </c>
      <c r="C1386" s="20"/>
      <c r="D1386" s="20">
        <v>56.0</v>
      </c>
      <c r="E1386" s="20" t="s">
        <v>1109</v>
      </c>
      <c r="G1386" s="22"/>
      <c r="H1386" s="23" t="s">
        <v>1842</v>
      </c>
      <c r="I1386" s="20" t="s">
        <v>265</v>
      </c>
      <c r="J1386" s="20">
        <v>0.0</v>
      </c>
      <c r="K1386" s="20">
        <v>0.0</v>
      </c>
      <c r="L1386" s="20">
        <v>0.0</v>
      </c>
      <c r="M1386" s="20">
        <v>0.0</v>
      </c>
      <c r="N1386" s="20">
        <v>0.0</v>
      </c>
      <c r="O1386" s="20">
        <v>0.0</v>
      </c>
      <c r="P1386" s="20">
        <v>0.0</v>
      </c>
      <c r="Q1386" s="20">
        <v>0.0</v>
      </c>
      <c r="R1386" s="20">
        <v>0.0</v>
      </c>
      <c r="S1386" s="20">
        <v>0.0</v>
      </c>
      <c r="T1386" s="20">
        <v>0.0</v>
      </c>
      <c r="U1386" s="20">
        <v>0.0</v>
      </c>
    </row>
    <row r="1387" ht="23.25" customHeight="1">
      <c r="A1387" s="17" t="str">
        <f>IF(COUNTIF('Icon Lookup'!C:C,B1387)&gt;0,LOOKUP(B1387,'Icon Lookup'!C:C,'Icon Lookup'!B:B),"")</f>
        <v/>
      </c>
      <c r="B1387" s="18" t="s">
        <v>1843</v>
      </c>
      <c r="C1387" s="17"/>
      <c r="D1387" s="17">
        <v>56.0</v>
      </c>
      <c r="E1387" s="17" t="s">
        <v>1109</v>
      </c>
      <c r="G1387" s="19"/>
      <c r="H1387" s="20" t="s">
        <v>1844</v>
      </c>
      <c r="I1387" s="17" t="s">
        <v>265</v>
      </c>
      <c r="J1387" s="17">
        <v>0.0</v>
      </c>
      <c r="K1387" s="17">
        <v>0.0</v>
      </c>
      <c r="L1387" s="17">
        <v>0.0</v>
      </c>
      <c r="M1387" s="17">
        <v>0.0</v>
      </c>
      <c r="N1387" s="17">
        <v>0.0</v>
      </c>
      <c r="O1387" s="17">
        <v>0.0</v>
      </c>
      <c r="P1387" s="17">
        <v>0.0</v>
      </c>
      <c r="Q1387" s="17">
        <v>0.0</v>
      </c>
      <c r="R1387" s="17">
        <v>0.0</v>
      </c>
      <c r="S1387" s="17">
        <v>0.0</v>
      </c>
      <c r="T1387" s="17">
        <v>0.0</v>
      </c>
      <c r="U1387" s="17">
        <v>0.0</v>
      </c>
    </row>
    <row r="1388" ht="23.25" customHeight="1">
      <c r="A1388" s="20" t="str">
        <f>IF(COUNTIF('Icon Lookup'!C:C,B1388)&gt;0,LOOKUP(B1388,'Icon Lookup'!C:C,'Icon Lookup'!B:B),"")</f>
        <v/>
      </c>
      <c r="B1388" s="21" t="s">
        <v>1845</v>
      </c>
      <c r="C1388" s="20"/>
      <c r="D1388" s="20">
        <v>56.0</v>
      </c>
      <c r="E1388" s="20" t="s">
        <v>719</v>
      </c>
      <c r="G1388" s="22"/>
      <c r="H1388" s="23" t="s">
        <v>1846</v>
      </c>
      <c r="I1388" s="20" t="s">
        <v>105</v>
      </c>
      <c r="J1388" s="20">
        <v>0.0</v>
      </c>
      <c r="K1388" s="20">
        <v>0.0</v>
      </c>
      <c r="L1388" s="20">
        <v>0.0</v>
      </c>
      <c r="M1388" s="20">
        <v>0.0</v>
      </c>
      <c r="N1388" s="20">
        <v>0.0</v>
      </c>
      <c r="O1388" s="20">
        <v>0.0</v>
      </c>
      <c r="P1388" s="20">
        <v>0.0</v>
      </c>
      <c r="Q1388" s="20">
        <v>0.0</v>
      </c>
      <c r="R1388" s="20">
        <v>0.0</v>
      </c>
      <c r="S1388" s="20">
        <v>0.0</v>
      </c>
      <c r="T1388" s="20">
        <v>0.0</v>
      </c>
      <c r="U1388" s="20">
        <v>0.0</v>
      </c>
    </row>
    <row r="1389" ht="23.25" customHeight="1">
      <c r="A1389" s="1"/>
      <c r="B1389" s="15" t="s">
        <v>1847</v>
      </c>
      <c r="C1389" s="1" t="s">
        <v>17</v>
      </c>
      <c r="D1389" s="1" t="s">
        <v>1848</v>
      </c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</row>
    <row r="1390" ht="23.25" customHeight="1">
      <c r="A1390" s="17" t="str">
        <f>IF(COUNTIF('Icon Lookup'!C:C,B1390)&gt;0,LOOKUP(B1390,'Icon Lookup'!C:C,'Icon Lookup'!B:B),"")</f>
        <v/>
      </c>
      <c r="B1390" s="18" t="s">
        <v>1849</v>
      </c>
      <c r="C1390" s="17"/>
      <c r="D1390" s="17">
        <v>55.0</v>
      </c>
      <c r="E1390" s="17" t="s">
        <v>218</v>
      </c>
      <c r="G1390" s="19"/>
      <c r="H1390" s="20" t="s">
        <v>1850</v>
      </c>
      <c r="I1390" s="17" t="s">
        <v>94</v>
      </c>
      <c r="J1390" s="17">
        <v>0.0</v>
      </c>
      <c r="K1390" s="17">
        <v>0.0</v>
      </c>
      <c r="L1390" s="17">
        <v>0.0</v>
      </c>
      <c r="M1390" s="17">
        <v>0.0</v>
      </c>
      <c r="N1390" s="17">
        <v>0.0</v>
      </c>
      <c r="O1390" s="17">
        <v>0.0</v>
      </c>
      <c r="P1390" s="17">
        <v>0.0</v>
      </c>
      <c r="Q1390" s="17">
        <v>0.0</v>
      </c>
      <c r="R1390" s="17">
        <v>0.0</v>
      </c>
      <c r="S1390" s="17">
        <v>0.0</v>
      </c>
      <c r="T1390" s="17">
        <v>0.0</v>
      </c>
      <c r="U1390" s="17">
        <v>0.0</v>
      </c>
    </row>
    <row r="1391" ht="23.25" customHeight="1">
      <c r="A1391" s="20" t="str">
        <f>IF(COUNTIF('Icon Lookup'!C:C,B1391)&gt;0,LOOKUP(B1391,'Icon Lookup'!C:C,'Icon Lookup'!B:B),"")</f>
        <v/>
      </c>
      <c r="B1391" s="21" t="s">
        <v>1851</v>
      </c>
      <c r="C1391" s="20"/>
      <c r="D1391" s="20">
        <v>55.0</v>
      </c>
      <c r="E1391" s="20" t="s">
        <v>1852</v>
      </c>
      <c r="G1391" s="22"/>
      <c r="H1391" s="23" t="s">
        <v>1853</v>
      </c>
      <c r="I1391" s="20" t="s">
        <v>94</v>
      </c>
      <c r="J1391" s="20">
        <v>0.0</v>
      </c>
      <c r="K1391" s="20">
        <v>0.0</v>
      </c>
      <c r="L1391" s="20">
        <v>0.0</v>
      </c>
      <c r="M1391" s="20">
        <v>0.0</v>
      </c>
      <c r="N1391" s="20">
        <v>0.0</v>
      </c>
      <c r="O1391" s="20">
        <v>0.0</v>
      </c>
      <c r="P1391" s="20">
        <v>0.0</v>
      </c>
      <c r="Q1391" s="20">
        <v>0.0</v>
      </c>
      <c r="R1391" s="20">
        <v>0.0</v>
      </c>
      <c r="S1391" s="20">
        <v>0.0</v>
      </c>
      <c r="T1391" s="20">
        <v>0.0</v>
      </c>
      <c r="U1391" s="20">
        <v>0.0</v>
      </c>
    </row>
    <row r="1392" ht="23.25" customHeight="1">
      <c r="A1392" s="1"/>
      <c r="B1392" s="15" t="s">
        <v>1854</v>
      </c>
      <c r="C1392" s="1" t="s">
        <v>17</v>
      </c>
      <c r="D1392" s="1" t="s">
        <v>1855</v>
      </c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</row>
    <row r="1393" ht="23.25" customHeight="1">
      <c r="A1393" s="17" t="str">
        <f>IF(COUNTIF('Icon Lookup'!C:C,B1393)&gt;0,LOOKUP(B1393,'Icon Lookup'!C:C,'Icon Lookup'!B:B),"")</f>
        <v/>
      </c>
      <c r="B1393" s="18" t="s">
        <v>1856</v>
      </c>
      <c r="C1393" s="17"/>
      <c r="D1393" s="17">
        <v>57.0</v>
      </c>
      <c r="E1393" s="17" t="s">
        <v>26</v>
      </c>
      <c r="G1393" s="19"/>
      <c r="H1393" s="20" t="s">
        <v>1857</v>
      </c>
      <c r="I1393" s="17" t="s">
        <v>211</v>
      </c>
      <c r="J1393" s="17">
        <v>0.0</v>
      </c>
      <c r="K1393" s="17">
        <v>0.0</v>
      </c>
      <c r="L1393" s="17">
        <v>0.0</v>
      </c>
      <c r="M1393" s="17">
        <v>0.0</v>
      </c>
      <c r="N1393" s="17">
        <v>0.0</v>
      </c>
      <c r="O1393" s="17">
        <v>0.0</v>
      </c>
      <c r="P1393" s="17">
        <v>0.0</v>
      </c>
      <c r="Q1393" s="17">
        <v>0.0</v>
      </c>
      <c r="R1393" s="17">
        <v>0.0</v>
      </c>
      <c r="S1393" s="17">
        <v>0.0</v>
      </c>
      <c r="T1393" s="17">
        <v>0.0</v>
      </c>
      <c r="U1393" s="17">
        <v>0.0</v>
      </c>
    </row>
    <row r="1394" ht="23.25" customHeight="1">
      <c r="A1394" s="1"/>
      <c r="B1394" s="15" t="s">
        <v>1858</v>
      </c>
      <c r="C1394" s="1" t="s">
        <v>17</v>
      </c>
      <c r="D1394" s="1" t="s">
        <v>1859</v>
      </c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</row>
    <row r="1395" ht="23.25" customHeight="1">
      <c r="A1395" s="20" t="str">
        <f>IF(COUNTIF('Icon Lookup'!C:C,B1395)&gt;0,LOOKUP(B1395,'Icon Lookup'!C:C,'Icon Lookup'!B:B),"")</f>
        <v/>
      </c>
      <c r="B1395" s="21" t="s">
        <v>1860</v>
      </c>
      <c r="C1395" s="20"/>
      <c r="D1395" s="20">
        <v>58.0</v>
      </c>
      <c r="E1395" s="20" t="s">
        <v>26</v>
      </c>
      <c r="G1395" s="22"/>
      <c r="H1395" s="23" t="s">
        <v>1861</v>
      </c>
      <c r="I1395" s="20" t="s">
        <v>36</v>
      </c>
      <c r="J1395" s="20">
        <v>0.0</v>
      </c>
      <c r="K1395" s="20">
        <v>0.0</v>
      </c>
      <c r="L1395" s="20">
        <v>0.0</v>
      </c>
      <c r="M1395" s="20">
        <v>0.0</v>
      </c>
      <c r="N1395" s="20">
        <v>0.0</v>
      </c>
      <c r="O1395" s="20">
        <v>0.0</v>
      </c>
      <c r="P1395" s="20">
        <v>0.0</v>
      </c>
      <c r="Q1395" s="20">
        <v>0.0</v>
      </c>
      <c r="R1395" s="20">
        <v>0.0</v>
      </c>
      <c r="S1395" s="20">
        <v>0.0</v>
      </c>
      <c r="T1395" s="20">
        <v>0.0</v>
      </c>
      <c r="U1395" s="20">
        <v>0.0</v>
      </c>
    </row>
    <row r="1396" ht="23.25" customHeight="1">
      <c r="A1396" s="17" t="str">
        <f>IF(COUNTIF('Icon Lookup'!C:C,B1396)&gt;0,LOOKUP(B1396,'Icon Lookup'!C:C,'Icon Lookup'!B:B),"")</f>
        <v/>
      </c>
      <c r="B1396" s="18" t="s">
        <v>712</v>
      </c>
      <c r="C1396" s="17"/>
      <c r="D1396" s="17">
        <v>58.0</v>
      </c>
      <c r="E1396" s="17" t="s">
        <v>161</v>
      </c>
      <c r="G1396" s="19"/>
      <c r="H1396" s="20" t="s">
        <v>1862</v>
      </c>
      <c r="I1396" s="17" t="s">
        <v>1045</v>
      </c>
      <c r="J1396" s="17">
        <v>0.0</v>
      </c>
      <c r="K1396" s="17">
        <v>0.0</v>
      </c>
      <c r="L1396" s="17">
        <v>0.0</v>
      </c>
      <c r="M1396" s="17">
        <v>0.0</v>
      </c>
      <c r="N1396" s="17">
        <v>0.0</v>
      </c>
      <c r="O1396" s="17">
        <v>0.0</v>
      </c>
      <c r="P1396" s="17">
        <v>0.0</v>
      </c>
      <c r="Q1396" s="17">
        <v>0.0</v>
      </c>
      <c r="R1396" s="17">
        <v>0.0</v>
      </c>
      <c r="S1396" s="17">
        <v>0.0</v>
      </c>
      <c r="T1396" s="17">
        <v>0.0</v>
      </c>
      <c r="U1396" s="17">
        <v>0.0</v>
      </c>
    </row>
    <row r="1397" ht="23.25" customHeight="1">
      <c r="A1397" s="1"/>
      <c r="B1397" s="15" t="s">
        <v>1863</v>
      </c>
      <c r="C1397" s="1" t="s">
        <v>17</v>
      </c>
      <c r="D1397" s="1" t="s">
        <v>1864</v>
      </c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</row>
    <row r="1398" ht="23.25" customHeight="1">
      <c r="A1398" s="20" t="str">
        <f>IF(COUNTIF('Icon Lookup'!C:C,B1398)&gt;0,LOOKUP(B1398,'Icon Lookup'!C:C,'Icon Lookup'!B:B),"")</f>
        <v/>
      </c>
      <c r="B1398" s="21" t="s">
        <v>854</v>
      </c>
      <c r="C1398" s="20"/>
      <c r="D1398" s="20">
        <v>59.0</v>
      </c>
      <c r="E1398" s="20" t="s">
        <v>283</v>
      </c>
      <c r="G1398" s="22"/>
      <c r="H1398" s="23" t="s">
        <v>1865</v>
      </c>
      <c r="I1398" s="20" t="s">
        <v>211</v>
      </c>
      <c r="J1398" s="20">
        <v>0.0</v>
      </c>
      <c r="K1398" s="20">
        <v>0.0</v>
      </c>
      <c r="L1398" s="20">
        <v>0.0</v>
      </c>
      <c r="M1398" s="20">
        <v>0.0</v>
      </c>
      <c r="N1398" s="20">
        <v>0.0</v>
      </c>
      <c r="O1398" s="20">
        <v>0.0</v>
      </c>
      <c r="P1398" s="20">
        <v>0.0</v>
      </c>
      <c r="Q1398" s="20">
        <v>0.0</v>
      </c>
      <c r="R1398" s="20">
        <v>0.0</v>
      </c>
      <c r="S1398" s="20">
        <v>0.0</v>
      </c>
      <c r="T1398" s="20">
        <v>0.0</v>
      </c>
      <c r="U1398" s="20">
        <v>0.0</v>
      </c>
    </row>
    <row r="1399" ht="23.25" customHeight="1">
      <c r="A1399" s="1"/>
      <c r="B1399" s="15" t="s">
        <v>1866</v>
      </c>
      <c r="C1399" s="1" t="s">
        <v>17</v>
      </c>
      <c r="D1399" s="1" t="s">
        <v>1867</v>
      </c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</row>
    <row r="1400" ht="23.25" customHeight="1">
      <c r="A1400" s="17" t="str">
        <f>IF(COUNTIF('Icon Lookup'!C:C,B1400)&gt;0,LOOKUP(B1400,'Icon Lookup'!C:C,'Icon Lookup'!B:B),"")</f>
        <v/>
      </c>
      <c r="B1400" s="18" t="s">
        <v>1868</v>
      </c>
      <c r="C1400" s="17"/>
      <c r="D1400" s="17">
        <v>56.0</v>
      </c>
      <c r="E1400" s="17" t="s">
        <v>240</v>
      </c>
      <c r="G1400" s="19"/>
      <c r="H1400" s="20" t="s">
        <v>1869</v>
      </c>
      <c r="I1400" s="17" t="s">
        <v>1045</v>
      </c>
      <c r="J1400" s="17">
        <v>0.0</v>
      </c>
      <c r="K1400" s="17">
        <v>0.0</v>
      </c>
      <c r="L1400" s="17">
        <v>0.0</v>
      </c>
      <c r="M1400" s="17">
        <v>0.0</v>
      </c>
      <c r="N1400" s="17">
        <v>0.0</v>
      </c>
      <c r="O1400" s="17">
        <v>0.0</v>
      </c>
      <c r="P1400" s="17">
        <v>0.0</v>
      </c>
      <c r="Q1400" s="17">
        <v>0.0</v>
      </c>
      <c r="R1400" s="17">
        <v>0.0</v>
      </c>
      <c r="S1400" s="17">
        <v>0.0</v>
      </c>
      <c r="T1400" s="17">
        <v>0.0</v>
      </c>
      <c r="U1400" s="17">
        <v>0.0</v>
      </c>
    </row>
    <row r="1401" ht="23.25" customHeight="1">
      <c r="A1401" s="20" t="str">
        <f>IF(COUNTIF('Icon Lookup'!C:C,B1401)&gt;0,LOOKUP(B1401,'Icon Lookup'!C:C,'Icon Lookup'!B:B),"")</f>
        <v/>
      </c>
      <c r="B1401" s="21" t="s">
        <v>1870</v>
      </c>
      <c r="C1401" s="20"/>
      <c r="D1401" s="20">
        <v>56.0</v>
      </c>
      <c r="E1401" s="20" t="s">
        <v>258</v>
      </c>
      <c r="G1401" s="22"/>
      <c r="H1401" s="23" t="s">
        <v>1871</v>
      </c>
      <c r="I1401" s="20" t="s">
        <v>265</v>
      </c>
      <c r="J1401" s="20">
        <v>0.0</v>
      </c>
      <c r="K1401" s="20">
        <v>0.0</v>
      </c>
      <c r="L1401" s="20">
        <v>0.0</v>
      </c>
      <c r="M1401" s="20">
        <v>0.0</v>
      </c>
      <c r="N1401" s="20">
        <v>0.0</v>
      </c>
      <c r="O1401" s="20">
        <v>0.0</v>
      </c>
      <c r="P1401" s="20">
        <v>0.0</v>
      </c>
      <c r="Q1401" s="20">
        <v>0.0</v>
      </c>
      <c r="R1401" s="20">
        <v>0.0</v>
      </c>
      <c r="S1401" s="20">
        <v>0.0</v>
      </c>
      <c r="T1401" s="20">
        <v>0.0</v>
      </c>
      <c r="U1401" s="20">
        <v>0.0</v>
      </c>
    </row>
    <row r="1402" ht="23.25" customHeight="1">
      <c r="A1402" s="17" t="str">
        <f>IF(COUNTIF('Icon Lookup'!C:C,B1402)&gt;0,LOOKUP(B1402,'Icon Lookup'!C:C,'Icon Lookup'!B:B),"")</f>
        <v/>
      </c>
      <c r="B1402" s="18" t="s">
        <v>1872</v>
      </c>
      <c r="C1402" s="17"/>
      <c r="D1402" s="17">
        <v>56.0</v>
      </c>
      <c r="E1402" s="17" t="s">
        <v>87</v>
      </c>
      <c r="G1402" s="19"/>
      <c r="H1402" s="20" t="s">
        <v>1873</v>
      </c>
      <c r="I1402" s="17" t="s">
        <v>1045</v>
      </c>
      <c r="J1402" s="17">
        <v>0.0</v>
      </c>
      <c r="K1402" s="17">
        <v>0.0</v>
      </c>
      <c r="L1402" s="17">
        <v>0.0</v>
      </c>
      <c r="M1402" s="17">
        <v>0.0</v>
      </c>
      <c r="N1402" s="17">
        <v>0.0</v>
      </c>
      <c r="O1402" s="17">
        <v>0.0</v>
      </c>
      <c r="P1402" s="17">
        <v>0.0</v>
      </c>
      <c r="Q1402" s="17">
        <v>0.0</v>
      </c>
      <c r="R1402" s="17">
        <v>0.0</v>
      </c>
      <c r="S1402" s="17">
        <v>0.0</v>
      </c>
      <c r="T1402" s="17">
        <v>0.0</v>
      </c>
      <c r="U1402" s="17">
        <v>0.0</v>
      </c>
    </row>
    <row r="1403" ht="23.25" customHeight="1">
      <c r="A1403" s="1"/>
      <c r="B1403" s="15" t="s">
        <v>1874</v>
      </c>
      <c r="C1403" s="1" t="s">
        <v>17</v>
      </c>
      <c r="D1403" s="1" t="s">
        <v>1875</v>
      </c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</row>
    <row r="1404" ht="23.25" customHeight="1">
      <c r="A1404" s="20" t="str">
        <f>IF(COUNTIF('Icon Lookup'!C:C,B1404)&gt;0,LOOKUP(B1404,'Icon Lookup'!C:C,'Icon Lookup'!B:B),"")</f>
        <v/>
      </c>
      <c r="B1404" s="21" t="s">
        <v>1876</v>
      </c>
      <c r="C1404" s="20"/>
      <c r="D1404" s="20">
        <v>57.0</v>
      </c>
      <c r="E1404" s="20" t="s">
        <v>1771</v>
      </c>
      <c r="G1404" s="22"/>
      <c r="H1404" s="23" t="s">
        <v>1877</v>
      </c>
      <c r="I1404" s="20" t="s">
        <v>197</v>
      </c>
      <c r="J1404" s="20">
        <v>0.0</v>
      </c>
      <c r="K1404" s="20">
        <v>0.0</v>
      </c>
      <c r="L1404" s="20">
        <v>0.0</v>
      </c>
      <c r="M1404" s="20">
        <v>0.0</v>
      </c>
      <c r="N1404" s="20">
        <v>0.0</v>
      </c>
      <c r="O1404" s="20">
        <v>0.0</v>
      </c>
      <c r="P1404" s="20">
        <v>0.0</v>
      </c>
      <c r="Q1404" s="20">
        <v>0.0</v>
      </c>
      <c r="R1404" s="20">
        <v>0.0</v>
      </c>
      <c r="S1404" s="20">
        <v>0.0</v>
      </c>
      <c r="T1404" s="20">
        <v>0.0</v>
      </c>
      <c r="U1404" s="20">
        <v>0.0</v>
      </c>
    </row>
    <row r="1405" ht="23.25" customHeight="1">
      <c r="A1405" s="17" t="str">
        <f>IF(COUNTIF('Icon Lookup'!C:C,B1405)&gt;0,LOOKUP(B1405,'Icon Lookup'!C:C,'Icon Lookup'!B:B),"")</f>
        <v/>
      </c>
      <c r="B1405" s="18" t="s">
        <v>1878</v>
      </c>
      <c r="C1405" s="17"/>
      <c r="D1405" s="17">
        <v>57.0</v>
      </c>
      <c r="E1405" s="17" t="s">
        <v>1879</v>
      </c>
      <c r="G1405" s="19"/>
      <c r="H1405" s="20" t="s">
        <v>1880</v>
      </c>
      <c r="I1405" s="17" t="s">
        <v>211</v>
      </c>
      <c r="J1405" s="17">
        <v>0.0</v>
      </c>
      <c r="K1405" s="17">
        <v>0.0</v>
      </c>
      <c r="L1405" s="17">
        <v>0.0</v>
      </c>
      <c r="M1405" s="17">
        <v>0.0</v>
      </c>
      <c r="N1405" s="17">
        <v>0.0</v>
      </c>
      <c r="O1405" s="17">
        <v>0.0</v>
      </c>
      <c r="P1405" s="17">
        <v>0.0</v>
      </c>
      <c r="Q1405" s="17">
        <v>0.0</v>
      </c>
      <c r="R1405" s="17">
        <v>0.0</v>
      </c>
      <c r="S1405" s="17">
        <v>0.0</v>
      </c>
      <c r="T1405" s="17">
        <v>0.0</v>
      </c>
      <c r="U1405" s="17">
        <v>0.0</v>
      </c>
    </row>
    <row r="1406" ht="23.25" customHeight="1">
      <c r="A1406" s="1"/>
      <c r="B1406" s="15" t="s">
        <v>1881</v>
      </c>
      <c r="C1406" s="1" t="s">
        <v>17</v>
      </c>
      <c r="D1406" s="1" t="s">
        <v>1882</v>
      </c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</row>
    <row r="1407" ht="23.25" customHeight="1">
      <c r="A1407" s="20" t="str">
        <f>IF(COUNTIF('Icon Lookup'!C:C,B1407)&gt;0,LOOKUP(B1407,'Icon Lookup'!C:C,'Icon Lookup'!B:B),"")</f>
        <v/>
      </c>
      <c r="B1407" s="21" t="s">
        <v>1883</v>
      </c>
      <c r="C1407" s="20"/>
      <c r="D1407" s="20">
        <v>53.0</v>
      </c>
      <c r="E1407" s="20" t="s">
        <v>719</v>
      </c>
      <c r="G1407" s="22"/>
      <c r="H1407" s="23" t="s">
        <v>1884</v>
      </c>
      <c r="I1407" s="20" t="s">
        <v>550</v>
      </c>
      <c r="J1407" s="20">
        <v>0.0</v>
      </c>
      <c r="K1407" s="20">
        <v>0.0</v>
      </c>
      <c r="L1407" s="20">
        <v>0.0</v>
      </c>
      <c r="M1407" s="20">
        <v>0.0</v>
      </c>
      <c r="N1407" s="20">
        <v>0.0</v>
      </c>
      <c r="O1407" s="20">
        <v>0.0</v>
      </c>
      <c r="P1407" s="20">
        <v>0.0</v>
      </c>
      <c r="Q1407" s="20">
        <v>0.0</v>
      </c>
      <c r="R1407" s="20">
        <v>0.0</v>
      </c>
      <c r="S1407" s="20">
        <v>0.0</v>
      </c>
      <c r="T1407" s="20">
        <v>0.0</v>
      </c>
      <c r="U1407" s="20">
        <v>0.0</v>
      </c>
    </row>
    <row r="1408" ht="23.25" customHeight="1">
      <c r="A1408" s="17" t="str">
        <f>IF(COUNTIF('Icon Lookup'!C:C,B1408)&gt;0,LOOKUP(B1408,'Icon Lookup'!C:C,'Icon Lookup'!B:B),"")</f>
        <v/>
      </c>
      <c r="B1408" s="18" t="s">
        <v>1885</v>
      </c>
      <c r="C1408" s="17"/>
      <c r="D1408" s="17">
        <v>55.0</v>
      </c>
      <c r="E1408" s="17" t="s">
        <v>161</v>
      </c>
      <c r="G1408" s="19"/>
      <c r="H1408" s="20" t="s">
        <v>1886</v>
      </c>
      <c r="I1408" s="17" t="s">
        <v>211</v>
      </c>
      <c r="J1408" s="17">
        <v>0.0</v>
      </c>
      <c r="K1408" s="17">
        <v>0.0</v>
      </c>
      <c r="L1408" s="17">
        <v>0.0</v>
      </c>
      <c r="M1408" s="17">
        <v>0.0</v>
      </c>
      <c r="N1408" s="17">
        <v>0.0</v>
      </c>
      <c r="O1408" s="17">
        <v>0.0</v>
      </c>
      <c r="P1408" s="17">
        <v>0.0</v>
      </c>
      <c r="Q1408" s="17">
        <v>0.0</v>
      </c>
      <c r="R1408" s="17">
        <v>0.0</v>
      </c>
      <c r="S1408" s="17">
        <v>0.0</v>
      </c>
      <c r="T1408" s="17">
        <v>0.0</v>
      </c>
      <c r="U1408" s="17">
        <v>0.0</v>
      </c>
    </row>
    <row r="1409" ht="23.25" customHeight="1">
      <c r="A1409" s="1"/>
      <c r="B1409" s="15" t="s">
        <v>1887</v>
      </c>
      <c r="C1409" s="1" t="s">
        <v>17</v>
      </c>
      <c r="D1409" s="1" t="s">
        <v>1888</v>
      </c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</row>
    <row r="1410" ht="23.25" customHeight="1">
      <c r="A1410" s="20" t="str">
        <f>IF(COUNTIF('Icon Lookup'!C:C,B1410)&gt;0,LOOKUP(B1410,'Icon Lookup'!C:C,'Icon Lookup'!B:B),"")</f>
        <v/>
      </c>
      <c r="B1410" s="21" t="s">
        <v>1889</v>
      </c>
      <c r="C1410" s="20"/>
      <c r="D1410" s="20">
        <v>54.0</v>
      </c>
      <c r="E1410" s="20" t="s">
        <v>161</v>
      </c>
      <c r="G1410" s="22"/>
      <c r="H1410" s="23" t="s">
        <v>1890</v>
      </c>
      <c r="I1410" s="20" t="s">
        <v>105</v>
      </c>
      <c r="J1410" s="20">
        <v>0.0</v>
      </c>
      <c r="K1410" s="20">
        <v>0.0</v>
      </c>
      <c r="L1410" s="20">
        <v>0.0</v>
      </c>
      <c r="M1410" s="20">
        <v>0.0</v>
      </c>
      <c r="N1410" s="20">
        <v>0.0</v>
      </c>
      <c r="O1410" s="20">
        <v>0.0</v>
      </c>
      <c r="P1410" s="20">
        <v>0.0</v>
      </c>
      <c r="Q1410" s="20">
        <v>0.0</v>
      </c>
      <c r="R1410" s="20">
        <v>0.0</v>
      </c>
      <c r="S1410" s="20">
        <v>0.0</v>
      </c>
      <c r="T1410" s="20">
        <v>0.0</v>
      </c>
      <c r="U1410" s="20">
        <v>0.0</v>
      </c>
    </row>
    <row r="1411" ht="23.25" customHeight="1">
      <c r="A1411" s="17" t="str">
        <f>IF(COUNTIF('Icon Lookup'!C:C,B1411)&gt;0,LOOKUP(B1411,'Icon Lookup'!C:C,'Icon Lookup'!B:B),"")</f>
        <v/>
      </c>
      <c r="B1411" s="18" t="s">
        <v>1891</v>
      </c>
      <c r="C1411" s="17"/>
      <c r="D1411" s="17">
        <v>58.0</v>
      </c>
      <c r="E1411" s="17" t="s">
        <v>382</v>
      </c>
      <c r="G1411" s="19"/>
      <c r="H1411" s="20" t="s">
        <v>1892</v>
      </c>
      <c r="I1411" s="17" t="s">
        <v>205</v>
      </c>
      <c r="J1411" s="17">
        <v>0.0</v>
      </c>
      <c r="K1411" s="17">
        <v>0.0</v>
      </c>
      <c r="L1411" s="17">
        <v>0.0</v>
      </c>
      <c r="M1411" s="17">
        <v>0.0</v>
      </c>
      <c r="N1411" s="17">
        <v>0.0</v>
      </c>
      <c r="O1411" s="17">
        <v>0.0</v>
      </c>
      <c r="P1411" s="17">
        <v>0.0</v>
      </c>
      <c r="Q1411" s="17">
        <v>0.0</v>
      </c>
      <c r="R1411" s="17">
        <v>0.0</v>
      </c>
      <c r="S1411" s="17">
        <v>0.0</v>
      </c>
      <c r="T1411" s="17">
        <v>0.0</v>
      </c>
      <c r="U1411" s="17">
        <v>0.0</v>
      </c>
    </row>
    <row r="1412" ht="23.25" customHeight="1">
      <c r="A1412" s="1"/>
      <c r="B1412" s="15" t="s">
        <v>1893</v>
      </c>
      <c r="C1412" s="1" t="s">
        <v>17</v>
      </c>
      <c r="D1412" s="1" t="s">
        <v>1894</v>
      </c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</row>
    <row r="1413" ht="23.25" customHeight="1">
      <c r="A1413" s="20" t="str">
        <f>IF(COUNTIF('Icon Lookup'!C:C,B1413)&gt;0,LOOKUP(B1413,'Icon Lookup'!C:C,'Icon Lookup'!B:B),"")</f>
        <v/>
      </c>
      <c r="B1413" s="21" t="s">
        <v>1895</v>
      </c>
      <c r="C1413" s="20"/>
      <c r="D1413" s="20">
        <v>51.0</v>
      </c>
      <c r="E1413" s="20" t="s">
        <v>1004</v>
      </c>
      <c r="G1413" s="22"/>
      <c r="H1413" s="23" t="s">
        <v>1896</v>
      </c>
      <c r="I1413" s="20" t="s">
        <v>205</v>
      </c>
      <c r="J1413" s="20">
        <v>0.0</v>
      </c>
      <c r="K1413" s="20">
        <v>0.0</v>
      </c>
      <c r="L1413" s="20">
        <v>0.0</v>
      </c>
      <c r="M1413" s="20">
        <v>0.0</v>
      </c>
      <c r="N1413" s="20">
        <v>0.0</v>
      </c>
      <c r="O1413" s="20">
        <v>0.0</v>
      </c>
      <c r="P1413" s="20">
        <v>0.0</v>
      </c>
      <c r="Q1413" s="20">
        <v>0.0</v>
      </c>
      <c r="R1413" s="20">
        <v>0.0</v>
      </c>
      <c r="S1413" s="20">
        <v>0.0</v>
      </c>
      <c r="T1413" s="20">
        <v>0.0</v>
      </c>
      <c r="U1413" s="20">
        <v>0.0</v>
      </c>
    </row>
    <row r="1414" ht="23.25" customHeight="1">
      <c r="A1414" s="17" t="str">
        <f>IF(COUNTIF('Icon Lookup'!C:C,B1414)&gt;0,LOOKUP(B1414,'Icon Lookup'!C:C,'Icon Lookup'!B:B),"")</f>
        <v/>
      </c>
      <c r="B1414" s="18" t="s">
        <v>1897</v>
      </c>
      <c r="C1414" s="17"/>
      <c r="D1414" s="17">
        <v>55.0</v>
      </c>
      <c r="E1414" s="17" t="s">
        <v>188</v>
      </c>
      <c r="G1414" s="19"/>
      <c r="H1414" s="20" t="s">
        <v>1898</v>
      </c>
      <c r="I1414" s="17" t="s">
        <v>612</v>
      </c>
      <c r="J1414" s="17">
        <v>0.0</v>
      </c>
      <c r="K1414" s="17">
        <v>0.0</v>
      </c>
      <c r="L1414" s="17">
        <v>0.0</v>
      </c>
      <c r="M1414" s="17">
        <v>0.0</v>
      </c>
      <c r="N1414" s="17">
        <v>0.0</v>
      </c>
      <c r="O1414" s="17">
        <v>0.0</v>
      </c>
      <c r="P1414" s="17">
        <v>0.0</v>
      </c>
      <c r="Q1414" s="17">
        <v>0.0</v>
      </c>
      <c r="R1414" s="17">
        <v>0.0</v>
      </c>
      <c r="S1414" s="17">
        <v>0.0</v>
      </c>
      <c r="T1414" s="17">
        <v>0.0</v>
      </c>
      <c r="U1414" s="17">
        <v>0.0</v>
      </c>
    </row>
    <row r="1415" ht="23.25" customHeight="1">
      <c r="A1415" s="1"/>
      <c r="B1415" s="15" t="s">
        <v>1899</v>
      </c>
      <c r="C1415" s="1" t="s">
        <v>17</v>
      </c>
      <c r="D1415" s="1" t="s">
        <v>1900</v>
      </c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</row>
    <row r="1416" ht="23.25" customHeight="1">
      <c r="A1416" s="20" t="str">
        <f>IF(COUNTIF('Icon Lookup'!C:C,B1416)&gt;0,LOOKUP(B1416,'Icon Lookup'!C:C,'Icon Lookup'!B:B),"")</f>
        <v/>
      </c>
      <c r="B1416" s="21" t="s">
        <v>1728</v>
      </c>
      <c r="C1416" s="20"/>
      <c r="D1416" s="20">
        <v>56.0</v>
      </c>
      <c r="E1416" s="20" t="s">
        <v>387</v>
      </c>
      <c r="G1416" s="22"/>
      <c r="H1416" s="23" t="s">
        <v>1901</v>
      </c>
      <c r="I1416" s="20" t="s">
        <v>105</v>
      </c>
      <c r="J1416" s="20">
        <v>0.0</v>
      </c>
      <c r="K1416" s="20">
        <v>0.0</v>
      </c>
      <c r="L1416" s="20">
        <v>0.0</v>
      </c>
      <c r="M1416" s="20">
        <v>0.0</v>
      </c>
      <c r="N1416" s="20">
        <v>0.0</v>
      </c>
      <c r="O1416" s="20">
        <v>0.0</v>
      </c>
      <c r="P1416" s="20">
        <v>0.0</v>
      </c>
      <c r="Q1416" s="20">
        <v>0.0</v>
      </c>
      <c r="R1416" s="20">
        <v>0.0</v>
      </c>
      <c r="S1416" s="20">
        <v>0.0</v>
      </c>
      <c r="T1416" s="20">
        <v>0.0</v>
      </c>
      <c r="U1416" s="20">
        <v>0.0</v>
      </c>
    </row>
    <row r="1417" ht="23.25" customHeight="1">
      <c r="A1417" s="17" t="str">
        <f>IF(COUNTIF('Icon Lookup'!C:C,B1417)&gt;0,LOOKUP(B1417,'Icon Lookup'!C:C,'Icon Lookup'!B:B),"")</f>
        <v/>
      </c>
      <c r="B1417" s="18" t="s">
        <v>1131</v>
      </c>
      <c r="C1417" s="17"/>
      <c r="D1417" s="17">
        <v>58.0</v>
      </c>
      <c r="E1417" s="17" t="s">
        <v>161</v>
      </c>
      <c r="G1417" s="19"/>
      <c r="H1417" s="20" t="s">
        <v>1902</v>
      </c>
      <c r="I1417" s="17" t="s">
        <v>205</v>
      </c>
      <c r="J1417" s="17">
        <v>0.0</v>
      </c>
      <c r="K1417" s="17">
        <v>0.0</v>
      </c>
      <c r="L1417" s="17">
        <v>0.0</v>
      </c>
      <c r="M1417" s="17">
        <v>0.0</v>
      </c>
      <c r="N1417" s="17">
        <v>0.0</v>
      </c>
      <c r="O1417" s="17">
        <v>0.0</v>
      </c>
      <c r="P1417" s="17">
        <v>0.0</v>
      </c>
      <c r="Q1417" s="17">
        <v>0.0</v>
      </c>
      <c r="R1417" s="17">
        <v>0.0</v>
      </c>
      <c r="S1417" s="17">
        <v>0.0</v>
      </c>
      <c r="T1417" s="17">
        <v>0.0</v>
      </c>
      <c r="U1417" s="17">
        <v>0.0</v>
      </c>
    </row>
    <row r="1418" ht="23.25" customHeight="1">
      <c r="A1418" s="1"/>
      <c r="B1418" s="15" t="s">
        <v>1903</v>
      </c>
      <c r="C1418" s="1" t="s">
        <v>17</v>
      </c>
      <c r="D1418" s="1" t="s">
        <v>1904</v>
      </c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</row>
    <row r="1419" ht="23.25" customHeight="1">
      <c r="A1419" s="20" t="str">
        <f>IF(COUNTIF('Icon Lookup'!C:C,B1419)&gt;0,LOOKUP(B1419,'Icon Lookup'!C:C,'Icon Lookup'!B:B),"")</f>
        <v/>
      </c>
      <c r="B1419" s="21" t="s">
        <v>1905</v>
      </c>
      <c r="C1419" s="20"/>
      <c r="D1419" s="20">
        <v>54.0</v>
      </c>
      <c r="E1419" s="20" t="s">
        <v>1802</v>
      </c>
      <c r="G1419" s="22"/>
      <c r="H1419" s="23" t="s">
        <v>1906</v>
      </c>
      <c r="I1419" s="20" t="s">
        <v>550</v>
      </c>
      <c r="J1419" s="20">
        <v>0.0</v>
      </c>
      <c r="K1419" s="20">
        <v>0.0</v>
      </c>
      <c r="L1419" s="20">
        <v>0.0</v>
      </c>
      <c r="M1419" s="20">
        <v>0.0</v>
      </c>
      <c r="N1419" s="20">
        <v>0.0</v>
      </c>
      <c r="O1419" s="20">
        <v>0.0</v>
      </c>
      <c r="P1419" s="20">
        <v>0.0</v>
      </c>
      <c r="Q1419" s="20">
        <v>0.0</v>
      </c>
      <c r="R1419" s="20">
        <v>0.0</v>
      </c>
      <c r="S1419" s="20">
        <v>0.0</v>
      </c>
      <c r="T1419" s="20">
        <v>0.0</v>
      </c>
      <c r="U1419" s="20">
        <v>0.0</v>
      </c>
    </row>
    <row r="1420" ht="23.25" customHeight="1">
      <c r="A1420" s="17" t="str">
        <f>IF(COUNTIF('Icon Lookup'!C:C,B1420)&gt;0,LOOKUP(B1420,'Icon Lookup'!C:C,'Icon Lookup'!B:B),"")</f>
        <v/>
      </c>
      <c r="B1420" s="18" t="s">
        <v>1907</v>
      </c>
      <c r="C1420" s="17"/>
      <c r="D1420" s="17">
        <v>53.0</v>
      </c>
      <c r="E1420" s="17" t="s">
        <v>382</v>
      </c>
      <c r="G1420" s="19"/>
      <c r="H1420" s="20" t="s">
        <v>1908</v>
      </c>
      <c r="I1420" s="17" t="s">
        <v>550</v>
      </c>
      <c r="J1420" s="17">
        <v>0.0</v>
      </c>
      <c r="K1420" s="17">
        <v>0.0</v>
      </c>
      <c r="L1420" s="17">
        <v>0.0</v>
      </c>
      <c r="M1420" s="17">
        <v>0.0</v>
      </c>
      <c r="N1420" s="17">
        <v>0.0</v>
      </c>
      <c r="O1420" s="17">
        <v>0.0</v>
      </c>
      <c r="P1420" s="17">
        <v>0.0</v>
      </c>
      <c r="Q1420" s="17">
        <v>0.0</v>
      </c>
      <c r="R1420" s="17">
        <v>0.0</v>
      </c>
      <c r="S1420" s="17">
        <v>0.0</v>
      </c>
      <c r="T1420" s="17">
        <v>0.0</v>
      </c>
      <c r="U1420" s="17">
        <v>0.0</v>
      </c>
    </row>
    <row r="1421" ht="23.25" customHeight="1">
      <c r="A1421" s="20" t="str">
        <f>IF(COUNTIF('Icon Lookup'!C:C,B1421)&gt;0,LOOKUP(B1421,'Icon Lookup'!C:C,'Icon Lookup'!B:B),"")</f>
        <v/>
      </c>
      <c r="B1421" s="21" t="s">
        <v>1909</v>
      </c>
      <c r="C1421" s="20"/>
      <c r="D1421" s="20">
        <v>55.0</v>
      </c>
      <c r="E1421" s="20" t="s">
        <v>276</v>
      </c>
      <c r="G1421" s="22"/>
      <c r="H1421" s="23" t="s">
        <v>1908</v>
      </c>
      <c r="I1421" s="20" t="s">
        <v>550</v>
      </c>
      <c r="J1421" s="20">
        <v>0.0</v>
      </c>
      <c r="K1421" s="20">
        <v>0.0</v>
      </c>
      <c r="L1421" s="20">
        <v>0.0</v>
      </c>
      <c r="M1421" s="20">
        <v>0.0</v>
      </c>
      <c r="N1421" s="20">
        <v>0.0</v>
      </c>
      <c r="O1421" s="20">
        <v>0.0</v>
      </c>
      <c r="P1421" s="20">
        <v>0.0</v>
      </c>
      <c r="Q1421" s="20">
        <v>0.0</v>
      </c>
      <c r="R1421" s="20">
        <v>0.0</v>
      </c>
      <c r="S1421" s="20">
        <v>0.0</v>
      </c>
      <c r="T1421" s="20">
        <v>0.0</v>
      </c>
      <c r="U1421" s="20">
        <v>0.0</v>
      </c>
    </row>
    <row r="1422" ht="23.25" customHeight="1">
      <c r="A1422" s="1"/>
      <c r="B1422" s="15" t="s">
        <v>1910</v>
      </c>
      <c r="C1422" s="1" t="s">
        <v>17</v>
      </c>
      <c r="D1422" s="1" t="s">
        <v>1911</v>
      </c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</row>
    <row r="1423" ht="23.25" customHeight="1">
      <c r="A1423" s="17" t="str">
        <f>IF(COUNTIF('Icon Lookup'!C:C,B1423)&gt;0,LOOKUP(B1423,'Icon Lookup'!C:C,'Icon Lookup'!B:B),"")</f>
        <v/>
      </c>
      <c r="B1423" s="18" t="s">
        <v>1912</v>
      </c>
      <c r="C1423" s="17"/>
      <c r="D1423" s="17">
        <v>57.0</v>
      </c>
      <c r="E1423" s="17" t="s">
        <v>298</v>
      </c>
      <c r="G1423" s="19"/>
      <c r="H1423" s="20" t="s">
        <v>1913</v>
      </c>
      <c r="I1423" s="17" t="s">
        <v>197</v>
      </c>
      <c r="J1423" s="17">
        <v>0.0</v>
      </c>
      <c r="K1423" s="17">
        <v>0.0</v>
      </c>
      <c r="L1423" s="17">
        <v>0.0</v>
      </c>
      <c r="M1423" s="17">
        <v>0.0</v>
      </c>
      <c r="N1423" s="17">
        <v>0.0</v>
      </c>
      <c r="O1423" s="17">
        <v>0.0</v>
      </c>
      <c r="P1423" s="17">
        <v>0.0</v>
      </c>
      <c r="Q1423" s="17">
        <v>0.0</v>
      </c>
      <c r="R1423" s="17">
        <v>0.0</v>
      </c>
      <c r="S1423" s="17">
        <v>0.0</v>
      </c>
      <c r="T1423" s="17">
        <v>0.0</v>
      </c>
      <c r="U1423" s="17">
        <v>0.0</v>
      </c>
    </row>
    <row r="1424" ht="23.25" customHeight="1">
      <c r="A1424" s="20" t="str">
        <f>IF(COUNTIF('Icon Lookup'!C:C,B1424)&gt;0,LOOKUP(B1424,'Icon Lookup'!C:C,'Icon Lookup'!B:B),"")</f>
        <v/>
      </c>
      <c r="B1424" s="21" t="s">
        <v>1098</v>
      </c>
      <c r="C1424" s="20"/>
      <c r="D1424" s="20">
        <v>57.0</v>
      </c>
      <c r="E1424" s="20" t="s">
        <v>91</v>
      </c>
      <c r="G1424" s="22"/>
      <c r="H1424" s="23" t="s">
        <v>1914</v>
      </c>
      <c r="I1424" s="20" t="s">
        <v>156</v>
      </c>
      <c r="J1424" s="20">
        <v>0.0</v>
      </c>
      <c r="K1424" s="20">
        <v>0.0</v>
      </c>
      <c r="L1424" s="20">
        <v>0.0</v>
      </c>
      <c r="M1424" s="20">
        <v>0.0</v>
      </c>
      <c r="N1424" s="20">
        <v>0.0</v>
      </c>
      <c r="O1424" s="20">
        <v>0.0</v>
      </c>
      <c r="P1424" s="20">
        <v>0.0</v>
      </c>
      <c r="Q1424" s="20">
        <v>0.0</v>
      </c>
      <c r="R1424" s="20">
        <v>0.0</v>
      </c>
      <c r="S1424" s="20">
        <v>0.0</v>
      </c>
      <c r="T1424" s="20">
        <v>0.0</v>
      </c>
      <c r="U1424" s="20">
        <v>0.0</v>
      </c>
    </row>
    <row r="1425" ht="23.25" customHeight="1">
      <c r="A1425" s="1"/>
      <c r="B1425" s="15" t="s">
        <v>1915</v>
      </c>
      <c r="C1425" s="1" t="s">
        <v>17</v>
      </c>
      <c r="D1425" s="1" t="s">
        <v>1916</v>
      </c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</row>
    <row r="1426" ht="23.25" customHeight="1">
      <c r="A1426" s="17" t="str">
        <f>IF(COUNTIF('Icon Lookup'!C:C,B1426)&gt;0,LOOKUP(B1426,'Icon Lookup'!C:C,'Icon Lookup'!B:B),"")</f>
        <v/>
      </c>
      <c r="B1426" s="18" t="s">
        <v>1917</v>
      </c>
      <c r="C1426" s="17"/>
      <c r="D1426" s="17">
        <v>53.0</v>
      </c>
      <c r="E1426" s="17" t="s">
        <v>1121</v>
      </c>
      <c r="G1426" s="19"/>
      <c r="H1426" s="20" t="s">
        <v>1918</v>
      </c>
      <c r="I1426" s="17" t="s">
        <v>1045</v>
      </c>
      <c r="J1426" s="17">
        <v>0.0</v>
      </c>
      <c r="K1426" s="17">
        <v>0.0</v>
      </c>
      <c r="L1426" s="17">
        <v>0.0</v>
      </c>
      <c r="M1426" s="17">
        <v>0.0</v>
      </c>
      <c r="N1426" s="17">
        <v>0.0</v>
      </c>
      <c r="O1426" s="17">
        <v>0.0</v>
      </c>
      <c r="P1426" s="17">
        <v>0.0</v>
      </c>
      <c r="Q1426" s="17">
        <v>0.0</v>
      </c>
      <c r="R1426" s="17">
        <v>0.0</v>
      </c>
      <c r="S1426" s="17">
        <v>0.0</v>
      </c>
      <c r="T1426" s="17">
        <v>0.0</v>
      </c>
      <c r="U1426" s="17">
        <v>0.0</v>
      </c>
    </row>
    <row r="1427" ht="23.25" customHeight="1">
      <c r="A1427" s="20" t="str">
        <f>IF(COUNTIF('Icon Lookup'!C:C,B1427)&gt;0,LOOKUP(B1427,'Icon Lookup'!C:C,'Icon Lookup'!B:B),"")</f>
        <v/>
      </c>
      <c r="B1427" s="21" t="s">
        <v>1872</v>
      </c>
      <c r="C1427" s="20"/>
      <c r="D1427" s="20">
        <v>57.0</v>
      </c>
      <c r="E1427" s="20" t="s">
        <v>87</v>
      </c>
      <c r="G1427" s="22"/>
      <c r="H1427" s="23" t="s">
        <v>1919</v>
      </c>
      <c r="I1427" s="20" t="s">
        <v>211</v>
      </c>
      <c r="J1427" s="20">
        <v>0.0</v>
      </c>
      <c r="K1427" s="20">
        <v>0.0</v>
      </c>
      <c r="L1427" s="20">
        <v>0.0</v>
      </c>
      <c r="M1427" s="20">
        <v>0.0</v>
      </c>
      <c r="N1427" s="20">
        <v>0.0</v>
      </c>
      <c r="O1427" s="20">
        <v>0.0</v>
      </c>
      <c r="P1427" s="20">
        <v>0.0</v>
      </c>
      <c r="Q1427" s="20">
        <v>0.0</v>
      </c>
      <c r="R1427" s="20">
        <v>0.0</v>
      </c>
      <c r="S1427" s="20">
        <v>0.0</v>
      </c>
      <c r="T1427" s="20">
        <v>0.0</v>
      </c>
      <c r="U1427" s="20">
        <v>0.0</v>
      </c>
    </row>
    <row r="1428" ht="23.25" customHeight="1">
      <c r="A1428" s="17" t="str">
        <f>IF(COUNTIF('Icon Lookup'!C:C,B1428)&gt;0,LOOKUP(B1428,'Icon Lookup'!C:C,'Icon Lookup'!B:B),"")</f>
        <v/>
      </c>
      <c r="B1428" s="18" t="s">
        <v>1920</v>
      </c>
      <c r="C1428" s="17"/>
      <c r="D1428" s="17">
        <v>58.0</v>
      </c>
      <c r="E1428" s="17" t="s">
        <v>1921</v>
      </c>
      <c r="G1428" s="19"/>
      <c r="H1428" s="20" t="s">
        <v>1922</v>
      </c>
      <c r="I1428" s="17" t="s">
        <v>22</v>
      </c>
      <c r="J1428" s="17">
        <v>0.0</v>
      </c>
      <c r="K1428" s="17">
        <v>0.0</v>
      </c>
      <c r="L1428" s="17">
        <v>0.0</v>
      </c>
      <c r="M1428" s="17">
        <v>0.0</v>
      </c>
      <c r="N1428" s="17">
        <v>0.0</v>
      </c>
      <c r="O1428" s="17">
        <v>0.0</v>
      </c>
      <c r="P1428" s="17">
        <v>0.0</v>
      </c>
      <c r="Q1428" s="17">
        <v>0.0</v>
      </c>
      <c r="R1428" s="17">
        <v>0.0</v>
      </c>
      <c r="S1428" s="17">
        <v>0.0</v>
      </c>
      <c r="T1428" s="17">
        <v>0.0</v>
      </c>
      <c r="U1428" s="17">
        <v>0.0</v>
      </c>
    </row>
    <row r="1429" ht="23.25" customHeight="1">
      <c r="A1429" s="1"/>
      <c r="B1429" s="15" t="s">
        <v>1923</v>
      </c>
      <c r="C1429" s="1" t="s">
        <v>17</v>
      </c>
      <c r="D1429" s="1" t="s">
        <v>1924</v>
      </c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</row>
    <row r="1430" ht="23.25" customHeight="1">
      <c r="A1430" s="20" t="str">
        <f>IF(COUNTIF('Icon Lookup'!C:C,B1430)&gt;0,LOOKUP(B1430,'Icon Lookup'!C:C,'Icon Lookup'!B:B),"")</f>
        <v/>
      </c>
      <c r="B1430" s="21" t="s">
        <v>1098</v>
      </c>
      <c r="C1430" s="20"/>
      <c r="D1430" s="20">
        <v>59.0</v>
      </c>
      <c r="E1430" s="20" t="s">
        <v>91</v>
      </c>
      <c r="G1430" s="22"/>
      <c r="H1430" s="23" t="s">
        <v>1925</v>
      </c>
      <c r="I1430" s="20" t="s">
        <v>265</v>
      </c>
      <c r="J1430" s="20">
        <v>0.0</v>
      </c>
      <c r="K1430" s="20">
        <v>0.0</v>
      </c>
      <c r="L1430" s="20">
        <v>0.0</v>
      </c>
      <c r="M1430" s="20">
        <v>0.0</v>
      </c>
      <c r="N1430" s="20">
        <v>0.0</v>
      </c>
      <c r="O1430" s="20">
        <v>0.0</v>
      </c>
      <c r="P1430" s="20">
        <v>0.0</v>
      </c>
      <c r="Q1430" s="20">
        <v>0.0</v>
      </c>
      <c r="R1430" s="20">
        <v>0.0</v>
      </c>
      <c r="S1430" s="20">
        <v>0.0</v>
      </c>
      <c r="T1430" s="20">
        <v>0.0</v>
      </c>
      <c r="U1430" s="20">
        <v>0.0</v>
      </c>
    </row>
    <row r="1431" ht="23.25" customHeight="1">
      <c r="A1431" s="1"/>
      <c r="B1431" s="15" t="s">
        <v>1926</v>
      </c>
      <c r="C1431" s="1" t="s">
        <v>17</v>
      </c>
      <c r="D1431" s="1" t="s">
        <v>1927</v>
      </c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</row>
    <row r="1432" ht="23.25" customHeight="1">
      <c r="A1432" s="17" t="str">
        <f>IF(COUNTIF('Icon Lookup'!C:C,B1432)&gt;0,LOOKUP(B1432,'Icon Lookup'!C:C,'Icon Lookup'!B:B),"")</f>
        <v/>
      </c>
      <c r="B1432" s="18" t="s">
        <v>1928</v>
      </c>
      <c r="C1432" s="17"/>
      <c r="D1432" s="17">
        <v>52.0</v>
      </c>
      <c r="E1432" s="17" t="s">
        <v>66</v>
      </c>
      <c r="G1432" s="19"/>
      <c r="H1432" s="20" t="s">
        <v>1929</v>
      </c>
      <c r="I1432" s="17" t="s">
        <v>612</v>
      </c>
      <c r="J1432" s="17">
        <v>0.0</v>
      </c>
      <c r="K1432" s="17">
        <v>0.0</v>
      </c>
      <c r="L1432" s="17">
        <v>0.0</v>
      </c>
      <c r="M1432" s="17">
        <v>0.0</v>
      </c>
      <c r="N1432" s="17">
        <v>0.0</v>
      </c>
      <c r="O1432" s="17">
        <v>0.0</v>
      </c>
      <c r="P1432" s="17">
        <v>0.0</v>
      </c>
      <c r="Q1432" s="17">
        <v>0.0</v>
      </c>
      <c r="R1432" s="17">
        <v>0.0</v>
      </c>
      <c r="S1432" s="17">
        <v>0.0</v>
      </c>
      <c r="T1432" s="17">
        <v>0.0</v>
      </c>
      <c r="U1432" s="17">
        <v>0.0</v>
      </c>
    </row>
    <row r="1433" ht="23.25" customHeight="1">
      <c r="A1433" s="20" t="str">
        <f>IF(COUNTIF('Icon Lookup'!C:C,B1433)&gt;0,LOOKUP(B1433,'Icon Lookup'!C:C,'Icon Lookup'!B:B),"")</f>
        <v/>
      </c>
      <c r="B1433" s="21" t="s">
        <v>1878</v>
      </c>
      <c r="C1433" s="20"/>
      <c r="D1433" s="20">
        <v>58.0</v>
      </c>
      <c r="E1433" s="20" t="s">
        <v>276</v>
      </c>
      <c r="G1433" s="22"/>
      <c r="H1433" s="23" t="s">
        <v>1930</v>
      </c>
      <c r="I1433" s="20" t="s">
        <v>550</v>
      </c>
      <c r="J1433" s="20">
        <v>0.0</v>
      </c>
      <c r="K1433" s="20">
        <v>0.0</v>
      </c>
      <c r="L1433" s="20">
        <v>0.0</v>
      </c>
      <c r="M1433" s="20">
        <v>0.0</v>
      </c>
      <c r="N1433" s="20">
        <v>0.0</v>
      </c>
      <c r="O1433" s="20">
        <v>0.0</v>
      </c>
      <c r="P1433" s="20">
        <v>0.0</v>
      </c>
      <c r="Q1433" s="20">
        <v>0.0</v>
      </c>
      <c r="R1433" s="20">
        <v>0.0</v>
      </c>
      <c r="S1433" s="20">
        <v>0.0</v>
      </c>
      <c r="T1433" s="20">
        <v>0.0</v>
      </c>
      <c r="U1433" s="20">
        <v>0.0</v>
      </c>
    </row>
    <row r="1434" ht="23.25" customHeight="1">
      <c r="A1434" s="1"/>
      <c r="B1434" s="15" t="s">
        <v>1931</v>
      </c>
      <c r="C1434" s="1" t="s">
        <v>17</v>
      </c>
      <c r="D1434" s="1" t="s">
        <v>1932</v>
      </c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</row>
    <row r="1435" ht="23.25" customHeight="1">
      <c r="A1435" s="17" t="str">
        <f>IF(COUNTIF('Icon Lookup'!C:C,B1435)&gt;0,LOOKUP(B1435,'Icon Lookup'!C:C,'Icon Lookup'!B:B),"")</f>
        <v/>
      </c>
      <c r="B1435" s="18" t="s">
        <v>1933</v>
      </c>
      <c r="C1435" s="17"/>
      <c r="D1435" s="17">
        <v>55.0</v>
      </c>
      <c r="E1435" s="17" t="s">
        <v>1004</v>
      </c>
      <c r="G1435" s="19"/>
      <c r="H1435" s="20" t="s">
        <v>1934</v>
      </c>
      <c r="I1435" s="17" t="s">
        <v>197</v>
      </c>
      <c r="J1435" s="17">
        <v>0.0</v>
      </c>
      <c r="K1435" s="17">
        <v>0.0</v>
      </c>
      <c r="L1435" s="17">
        <v>0.0</v>
      </c>
      <c r="M1435" s="17">
        <v>0.0</v>
      </c>
      <c r="N1435" s="17">
        <v>0.0</v>
      </c>
      <c r="O1435" s="17">
        <v>0.0</v>
      </c>
      <c r="P1435" s="17">
        <v>0.0</v>
      </c>
      <c r="Q1435" s="17">
        <v>0.0</v>
      </c>
      <c r="R1435" s="17">
        <v>0.0</v>
      </c>
      <c r="S1435" s="17">
        <v>0.0</v>
      </c>
      <c r="T1435" s="17">
        <v>0.0</v>
      </c>
      <c r="U1435" s="17">
        <v>0.0</v>
      </c>
    </row>
    <row r="1436" ht="23.25" customHeight="1">
      <c r="A1436" s="20" t="str">
        <f>IF(COUNTIF('Icon Lookup'!C:C,B1436)&gt;0,LOOKUP(B1436,'Icon Lookup'!C:C,'Icon Lookup'!B:B),"")</f>
        <v/>
      </c>
      <c r="B1436" s="21" t="s">
        <v>1935</v>
      </c>
      <c r="C1436" s="20"/>
      <c r="D1436" s="20">
        <v>55.0</v>
      </c>
      <c r="E1436" s="20" t="s">
        <v>1936</v>
      </c>
      <c r="G1436" s="22"/>
      <c r="H1436" s="23" t="s">
        <v>1937</v>
      </c>
      <c r="I1436" s="20" t="s">
        <v>1045</v>
      </c>
      <c r="J1436" s="20">
        <v>0.0</v>
      </c>
      <c r="K1436" s="20">
        <v>0.0</v>
      </c>
      <c r="L1436" s="20">
        <v>0.0</v>
      </c>
      <c r="M1436" s="20">
        <v>0.0</v>
      </c>
      <c r="N1436" s="20">
        <v>0.0</v>
      </c>
      <c r="O1436" s="20">
        <v>0.0</v>
      </c>
      <c r="P1436" s="20">
        <v>0.0</v>
      </c>
      <c r="Q1436" s="20">
        <v>0.0</v>
      </c>
      <c r="R1436" s="20">
        <v>0.0</v>
      </c>
      <c r="S1436" s="20">
        <v>0.0</v>
      </c>
      <c r="T1436" s="20">
        <v>0.0</v>
      </c>
      <c r="U1436" s="20">
        <v>0.0</v>
      </c>
    </row>
    <row r="1437" ht="23.25" customHeight="1">
      <c r="A1437" s="1"/>
      <c r="B1437" s="15" t="s">
        <v>1938</v>
      </c>
      <c r="C1437" s="1" t="s">
        <v>17</v>
      </c>
      <c r="D1437" s="1" t="s">
        <v>1939</v>
      </c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</row>
    <row r="1438" ht="23.25" customHeight="1">
      <c r="A1438" s="17" t="str">
        <f>IF(COUNTIF('Icon Lookup'!C:C,B1438)&gt;0,LOOKUP(B1438,'Icon Lookup'!C:C,'Icon Lookup'!B:B),"")</f>
        <v/>
      </c>
      <c r="B1438" s="18" t="s">
        <v>1940</v>
      </c>
      <c r="C1438" s="17"/>
      <c r="D1438" s="17">
        <v>55.0</v>
      </c>
      <c r="E1438" s="17" t="s">
        <v>98</v>
      </c>
      <c r="G1438" s="19"/>
      <c r="H1438" s="20" t="s">
        <v>1941</v>
      </c>
      <c r="I1438" s="17" t="s">
        <v>89</v>
      </c>
      <c r="J1438" s="17">
        <v>0.0</v>
      </c>
      <c r="K1438" s="17">
        <v>0.0</v>
      </c>
      <c r="L1438" s="17">
        <v>0.0</v>
      </c>
      <c r="M1438" s="17">
        <v>0.0</v>
      </c>
      <c r="N1438" s="17">
        <v>0.0</v>
      </c>
      <c r="O1438" s="17">
        <v>0.0</v>
      </c>
      <c r="P1438" s="17">
        <v>0.0</v>
      </c>
      <c r="Q1438" s="17">
        <v>0.0</v>
      </c>
      <c r="R1438" s="17">
        <v>0.0</v>
      </c>
      <c r="S1438" s="17">
        <v>0.0</v>
      </c>
      <c r="T1438" s="17">
        <v>0.0</v>
      </c>
      <c r="U1438" s="17">
        <v>0.0</v>
      </c>
    </row>
    <row r="1439" ht="23.25" customHeight="1">
      <c r="A1439" s="1"/>
      <c r="B1439" s="15" t="s">
        <v>1942</v>
      </c>
      <c r="C1439" s="1" t="s">
        <v>17</v>
      </c>
      <c r="D1439" s="1" t="s">
        <v>1943</v>
      </c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</row>
    <row r="1440" ht="23.25" customHeight="1">
      <c r="A1440" s="20" t="str">
        <f>IF(COUNTIF('Icon Lookup'!C:C,B1440)&gt;0,LOOKUP(B1440,'Icon Lookup'!C:C,'Icon Lookup'!B:B),"")</f>
        <v/>
      </c>
      <c r="B1440" s="21" t="s">
        <v>1944</v>
      </c>
      <c r="C1440" s="20"/>
      <c r="D1440" s="20">
        <v>50.0</v>
      </c>
      <c r="E1440" s="20" t="s">
        <v>71</v>
      </c>
      <c r="G1440" s="22"/>
      <c r="H1440" s="23" t="s">
        <v>1945</v>
      </c>
      <c r="I1440" s="20" t="s">
        <v>22</v>
      </c>
      <c r="J1440" s="20">
        <v>0.0</v>
      </c>
      <c r="K1440" s="20">
        <v>0.0</v>
      </c>
      <c r="L1440" s="20">
        <v>0.0</v>
      </c>
      <c r="M1440" s="20">
        <v>0.0</v>
      </c>
      <c r="N1440" s="20">
        <v>0.0</v>
      </c>
      <c r="O1440" s="20">
        <v>0.0</v>
      </c>
      <c r="P1440" s="20">
        <v>0.0</v>
      </c>
      <c r="Q1440" s="20">
        <v>0.0</v>
      </c>
      <c r="R1440" s="20">
        <v>0.0</v>
      </c>
      <c r="S1440" s="20">
        <v>0.0</v>
      </c>
      <c r="T1440" s="20">
        <v>0.0</v>
      </c>
      <c r="U1440" s="20">
        <v>0.0</v>
      </c>
    </row>
    <row r="1441" ht="23.25" customHeight="1">
      <c r="A1441" s="17" t="str">
        <f>IF(COUNTIF('Icon Lookup'!C:C,B1441)&gt;0,LOOKUP(B1441,'Icon Lookup'!C:C,'Icon Lookup'!B:B),"")</f>
        <v/>
      </c>
      <c r="B1441" s="18" t="s">
        <v>1797</v>
      </c>
      <c r="C1441" s="17"/>
      <c r="D1441" s="17">
        <v>56.0</v>
      </c>
      <c r="E1441" s="17" t="s">
        <v>20</v>
      </c>
      <c r="G1441" s="19"/>
      <c r="H1441" s="20" t="s">
        <v>1946</v>
      </c>
      <c r="I1441" s="17" t="s">
        <v>211</v>
      </c>
      <c r="J1441" s="17">
        <v>0.0</v>
      </c>
      <c r="K1441" s="17">
        <v>0.0</v>
      </c>
      <c r="L1441" s="17">
        <v>0.0</v>
      </c>
      <c r="M1441" s="17">
        <v>0.0</v>
      </c>
      <c r="N1441" s="17">
        <v>0.0</v>
      </c>
      <c r="O1441" s="17">
        <v>0.0</v>
      </c>
      <c r="P1441" s="17">
        <v>0.0</v>
      </c>
      <c r="Q1441" s="17">
        <v>0.0</v>
      </c>
      <c r="R1441" s="17">
        <v>0.0</v>
      </c>
      <c r="S1441" s="17">
        <v>0.0</v>
      </c>
      <c r="T1441" s="17">
        <v>0.0</v>
      </c>
      <c r="U1441" s="17">
        <v>0.0</v>
      </c>
    </row>
    <row r="1442" ht="23.25" customHeight="1">
      <c r="A1442" s="1"/>
      <c r="B1442" s="15" t="s">
        <v>1947</v>
      </c>
      <c r="C1442" s="1" t="s">
        <v>17</v>
      </c>
      <c r="D1442" s="1" t="s">
        <v>1948</v>
      </c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</row>
    <row r="1443" ht="23.25" customHeight="1">
      <c r="A1443" s="20" t="str">
        <f>IF(COUNTIF('Icon Lookup'!C:C,B1443)&gt;0,LOOKUP(B1443,'Icon Lookup'!C:C,'Icon Lookup'!B:B),"")</f>
        <v/>
      </c>
      <c r="B1443" s="21" t="s">
        <v>1768</v>
      </c>
      <c r="C1443" s="20"/>
      <c r="D1443" s="20">
        <v>57.0</v>
      </c>
      <c r="E1443" s="20" t="s">
        <v>1004</v>
      </c>
      <c r="G1443" s="22"/>
      <c r="H1443" s="23" t="s">
        <v>1949</v>
      </c>
      <c r="I1443" s="20" t="s">
        <v>94</v>
      </c>
      <c r="J1443" s="20">
        <v>0.0</v>
      </c>
      <c r="K1443" s="20">
        <v>0.0</v>
      </c>
      <c r="L1443" s="20">
        <v>0.0</v>
      </c>
      <c r="M1443" s="20">
        <v>0.0</v>
      </c>
      <c r="N1443" s="20">
        <v>0.0</v>
      </c>
      <c r="O1443" s="20">
        <v>0.0</v>
      </c>
      <c r="P1443" s="20">
        <v>0.0</v>
      </c>
      <c r="Q1443" s="20">
        <v>0.0</v>
      </c>
      <c r="R1443" s="20">
        <v>0.0</v>
      </c>
      <c r="S1443" s="20">
        <v>0.0</v>
      </c>
      <c r="T1443" s="20">
        <v>0.0</v>
      </c>
      <c r="U1443" s="20">
        <v>0.0</v>
      </c>
    </row>
    <row r="1444" ht="23.25" customHeight="1">
      <c r="A1444" s="17" t="str">
        <f>IF(COUNTIF('Icon Lookup'!C:C,B1444)&gt;0,LOOKUP(B1444,'Icon Lookup'!C:C,'Icon Lookup'!B:B),"")</f>
        <v/>
      </c>
      <c r="B1444" s="18" t="s">
        <v>1950</v>
      </c>
      <c r="C1444" s="17"/>
      <c r="D1444" s="17">
        <v>57.0</v>
      </c>
      <c r="E1444" s="17" t="s">
        <v>1802</v>
      </c>
      <c r="G1444" s="19"/>
      <c r="H1444" s="20" t="s">
        <v>1951</v>
      </c>
      <c r="I1444" s="17" t="s">
        <v>89</v>
      </c>
      <c r="J1444" s="17">
        <v>0.0</v>
      </c>
      <c r="K1444" s="17">
        <v>0.0</v>
      </c>
      <c r="L1444" s="17">
        <v>0.0</v>
      </c>
      <c r="M1444" s="17">
        <v>0.0</v>
      </c>
      <c r="N1444" s="17">
        <v>0.0</v>
      </c>
      <c r="O1444" s="17">
        <v>0.0</v>
      </c>
      <c r="P1444" s="17">
        <v>0.0</v>
      </c>
      <c r="Q1444" s="17">
        <v>0.0</v>
      </c>
      <c r="R1444" s="17">
        <v>0.0</v>
      </c>
      <c r="S1444" s="17">
        <v>0.0</v>
      </c>
      <c r="T1444" s="17">
        <v>0.0</v>
      </c>
      <c r="U1444" s="17">
        <v>0.0</v>
      </c>
    </row>
    <row r="1445" ht="23.25" customHeight="1">
      <c r="A1445" s="1"/>
      <c r="B1445" s="15" t="s">
        <v>1952</v>
      </c>
      <c r="C1445" s="1" t="s">
        <v>17</v>
      </c>
      <c r="D1445" s="1" t="s">
        <v>1953</v>
      </c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</row>
    <row r="1446" ht="23.25" customHeight="1">
      <c r="A1446" s="20" t="str">
        <f>IF(COUNTIF('Icon Lookup'!C:C,B1446)&gt;0,LOOKUP(B1446,'Icon Lookup'!C:C,'Icon Lookup'!B:B),"")</f>
        <v/>
      </c>
      <c r="B1446" s="21" t="s">
        <v>1954</v>
      </c>
      <c r="C1446" s="20"/>
      <c r="D1446" s="20">
        <v>54.0</v>
      </c>
      <c r="E1446" s="20" t="s">
        <v>1791</v>
      </c>
      <c r="G1446" s="22"/>
      <c r="H1446" s="23" t="s">
        <v>1955</v>
      </c>
      <c r="I1446" s="20" t="s">
        <v>94</v>
      </c>
      <c r="J1446" s="20">
        <v>0.0</v>
      </c>
      <c r="K1446" s="20">
        <v>0.0</v>
      </c>
      <c r="L1446" s="20">
        <v>0.0</v>
      </c>
      <c r="M1446" s="20">
        <v>0.0</v>
      </c>
      <c r="N1446" s="20">
        <v>0.0</v>
      </c>
      <c r="O1446" s="20">
        <v>0.0</v>
      </c>
      <c r="P1446" s="20">
        <v>0.0</v>
      </c>
      <c r="Q1446" s="20">
        <v>0.0</v>
      </c>
      <c r="R1446" s="20">
        <v>0.0</v>
      </c>
      <c r="S1446" s="20">
        <v>0.0</v>
      </c>
      <c r="T1446" s="20">
        <v>0.0</v>
      </c>
      <c r="U1446" s="20">
        <v>0.0</v>
      </c>
    </row>
    <row r="1447" ht="23.25" customHeight="1">
      <c r="A1447" s="17" t="str">
        <f>IF(COUNTIF('Icon Lookup'!C:C,B1447)&gt;0,LOOKUP(B1447,'Icon Lookup'!C:C,'Icon Lookup'!B:B),"")</f>
        <v/>
      </c>
      <c r="B1447" s="18" t="s">
        <v>1756</v>
      </c>
      <c r="C1447" s="17"/>
      <c r="D1447" s="17">
        <v>56.0</v>
      </c>
      <c r="E1447" s="17" t="s">
        <v>161</v>
      </c>
      <c r="G1447" s="19"/>
      <c r="H1447" s="20" t="s">
        <v>1956</v>
      </c>
      <c r="I1447" s="17" t="s">
        <v>211</v>
      </c>
      <c r="J1447" s="17">
        <v>0.0</v>
      </c>
      <c r="K1447" s="17">
        <v>0.0</v>
      </c>
      <c r="L1447" s="17">
        <v>0.0</v>
      </c>
      <c r="M1447" s="17">
        <v>0.0</v>
      </c>
      <c r="N1447" s="17">
        <v>0.0</v>
      </c>
      <c r="O1447" s="17">
        <v>0.0</v>
      </c>
      <c r="P1447" s="17">
        <v>0.0</v>
      </c>
      <c r="Q1447" s="17">
        <v>0.0</v>
      </c>
      <c r="R1447" s="17">
        <v>0.0</v>
      </c>
      <c r="S1447" s="17">
        <v>0.0</v>
      </c>
      <c r="T1447" s="17">
        <v>0.0</v>
      </c>
      <c r="U1447" s="17">
        <v>0.0</v>
      </c>
    </row>
    <row r="1448" ht="23.25" customHeight="1">
      <c r="A1448" s="1"/>
      <c r="B1448" s="15" t="s">
        <v>1957</v>
      </c>
      <c r="C1448" s="1" t="s">
        <v>17</v>
      </c>
      <c r="D1448" s="1" t="s">
        <v>1958</v>
      </c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</row>
    <row r="1449" ht="23.25" customHeight="1">
      <c r="A1449" s="20" t="str">
        <f>IF(COUNTIF('Icon Lookup'!C:C,B1449)&gt;0,LOOKUP(B1449,'Icon Lookup'!C:C,'Icon Lookup'!B:B),"")</f>
        <v/>
      </c>
      <c r="B1449" s="21" t="s">
        <v>1959</v>
      </c>
      <c r="C1449" s="20"/>
      <c r="D1449" s="20">
        <v>51.0</v>
      </c>
      <c r="E1449" s="20" t="s">
        <v>382</v>
      </c>
      <c r="G1449" s="22"/>
      <c r="H1449" s="23" t="s">
        <v>1960</v>
      </c>
      <c r="I1449" s="20" t="s">
        <v>105</v>
      </c>
      <c r="J1449" s="20">
        <v>0.0</v>
      </c>
      <c r="K1449" s="20">
        <v>0.0</v>
      </c>
      <c r="L1449" s="20">
        <v>0.0</v>
      </c>
      <c r="M1449" s="20">
        <v>0.0</v>
      </c>
      <c r="N1449" s="20">
        <v>0.0</v>
      </c>
      <c r="O1449" s="20">
        <v>0.0</v>
      </c>
      <c r="P1449" s="20">
        <v>0.0</v>
      </c>
      <c r="Q1449" s="20">
        <v>0.0</v>
      </c>
      <c r="R1449" s="20">
        <v>0.0</v>
      </c>
      <c r="S1449" s="20">
        <v>0.0</v>
      </c>
      <c r="T1449" s="20">
        <v>0.0</v>
      </c>
      <c r="U1449" s="20">
        <v>0.0</v>
      </c>
    </row>
    <row r="1450" ht="23.25" customHeight="1">
      <c r="A1450" s="17" t="str">
        <f>IF(COUNTIF('Icon Lookup'!C:C,B1450)&gt;0,LOOKUP(B1450,'Icon Lookup'!C:C,'Icon Lookup'!B:B),"")</f>
        <v/>
      </c>
      <c r="B1450" s="18" t="s">
        <v>1961</v>
      </c>
      <c r="C1450" s="17"/>
      <c r="D1450" s="17">
        <v>51.0</v>
      </c>
      <c r="E1450" s="17" t="s">
        <v>959</v>
      </c>
      <c r="G1450" s="19"/>
      <c r="H1450" s="20" t="s">
        <v>1962</v>
      </c>
      <c r="I1450" s="17" t="s">
        <v>52</v>
      </c>
      <c r="J1450" s="17">
        <v>0.0</v>
      </c>
      <c r="K1450" s="17">
        <v>0.0</v>
      </c>
      <c r="L1450" s="17">
        <v>0.0</v>
      </c>
      <c r="M1450" s="17">
        <v>0.0</v>
      </c>
      <c r="N1450" s="17">
        <v>0.0</v>
      </c>
      <c r="O1450" s="17">
        <v>0.0</v>
      </c>
      <c r="P1450" s="17">
        <v>0.0</v>
      </c>
      <c r="Q1450" s="17">
        <v>0.0</v>
      </c>
      <c r="R1450" s="17">
        <v>0.0</v>
      </c>
      <c r="S1450" s="17">
        <v>0.0</v>
      </c>
      <c r="T1450" s="17">
        <v>0.0</v>
      </c>
      <c r="U1450" s="17">
        <v>0.0</v>
      </c>
    </row>
    <row r="1451" ht="23.25" customHeight="1">
      <c r="A1451" s="1"/>
      <c r="B1451" s="15" t="s">
        <v>1963</v>
      </c>
      <c r="C1451" s="1" t="s">
        <v>17</v>
      </c>
      <c r="D1451" s="1" t="s">
        <v>1964</v>
      </c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</row>
    <row r="1452" ht="23.25" customHeight="1">
      <c r="A1452" s="20" t="str">
        <f>IF(COUNTIF('Icon Lookup'!C:C,B1452)&gt;0,LOOKUP(B1452,'Icon Lookup'!C:C,'Icon Lookup'!B:B),"")</f>
        <v/>
      </c>
      <c r="B1452" s="21" t="s">
        <v>1965</v>
      </c>
      <c r="C1452" s="20"/>
      <c r="D1452" s="20">
        <v>53.0</v>
      </c>
      <c r="E1452" s="20" t="s">
        <v>1791</v>
      </c>
      <c r="G1452" s="22"/>
      <c r="H1452" s="23" t="s">
        <v>1966</v>
      </c>
      <c r="I1452" s="20" t="s">
        <v>89</v>
      </c>
      <c r="J1452" s="20">
        <v>0.0</v>
      </c>
      <c r="K1452" s="20">
        <v>0.0</v>
      </c>
      <c r="L1452" s="20">
        <v>0.0</v>
      </c>
      <c r="M1452" s="20">
        <v>0.0</v>
      </c>
      <c r="N1452" s="20">
        <v>0.0</v>
      </c>
      <c r="O1452" s="20">
        <v>0.0</v>
      </c>
      <c r="P1452" s="20">
        <v>0.0</v>
      </c>
      <c r="Q1452" s="20">
        <v>0.0</v>
      </c>
      <c r="R1452" s="20">
        <v>0.0</v>
      </c>
      <c r="S1452" s="20">
        <v>0.0</v>
      </c>
      <c r="T1452" s="20">
        <v>0.0</v>
      </c>
      <c r="U1452" s="20">
        <v>0.0</v>
      </c>
    </row>
    <row r="1453" ht="23.25" customHeight="1">
      <c r="A1453" s="1"/>
      <c r="B1453" s="15" t="s">
        <v>1967</v>
      </c>
      <c r="C1453" s="1" t="s">
        <v>17</v>
      </c>
      <c r="D1453" s="1" t="s">
        <v>1968</v>
      </c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</row>
    <row r="1454" ht="23.25" customHeight="1">
      <c r="A1454" s="17" t="str">
        <f>IF(COUNTIF('Icon Lookup'!C:C,B1454)&gt;0,LOOKUP(B1454,'Icon Lookup'!C:C,'Icon Lookup'!B:B),"")</f>
        <v/>
      </c>
      <c r="B1454" s="18" t="s">
        <v>1969</v>
      </c>
      <c r="C1454" s="17"/>
      <c r="D1454" s="17">
        <v>51.0</v>
      </c>
      <c r="E1454" s="17" t="s">
        <v>1970</v>
      </c>
      <c r="G1454" s="19"/>
      <c r="H1454" s="20" t="s">
        <v>1971</v>
      </c>
      <c r="I1454" s="17" t="s">
        <v>156</v>
      </c>
      <c r="J1454" s="17">
        <v>0.0</v>
      </c>
      <c r="K1454" s="17">
        <v>0.0</v>
      </c>
      <c r="L1454" s="17">
        <v>0.0</v>
      </c>
      <c r="M1454" s="17">
        <v>0.0</v>
      </c>
      <c r="N1454" s="17">
        <v>0.0</v>
      </c>
      <c r="O1454" s="17">
        <v>0.0</v>
      </c>
      <c r="P1454" s="17">
        <v>0.0</v>
      </c>
      <c r="Q1454" s="17">
        <v>0.0</v>
      </c>
      <c r="R1454" s="17">
        <v>0.0</v>
      </c>
      <c r="S1454" s="17">
        <v>0.0</v>
      </c>
      <c r="T1454" s="17">
        <v>0.0</v>
      </c>
      <c r="U1454" s="17">
        <v>0.0</v>
      </c>
    </row>
    <row r="1455" ht="23.25" customHeight="1">
      <c r="A1455" s="20" t="str">
        <f>IF(COUNTIF('Icon Lookup'!C:C,B1455)&gt;0,LOOKUP(B1455,'Icon Lookup'!C:C,'Icon Lookup'!B:B),"")</f>
        <v/>
      </c>
      <c r="B1455" s="21" t="s">
        <v>1972</v>
      </c>
      <c r="C1455" s="20"/>
      <c r="D1455" s="20">
        <v>51.0</v>
      </c>
      <c r="E1455" s="20" t="s">
        <v>1970</v>
      </c>
      <c r="G1455" s="22"/>
      <c r="H1455" s="23" t="s">
        <v>1973</v>
      </c>
      <c r="I1455" s="20" t="s">
        <v>156</v>
      </c>
      <c r="J1455" s="20">
        <v>0.0</v>
      </c>
      <c r="K1455" s="20">
        <v>0.0</v>
      </c>
      <c r="L1455" s="20">
        <v>0.0</v>
      </c>
      <c r="M1455" s="20">
        <v>0.0</v>
      </c>
      <c r="N1455" s="20">
        <v>0.0</v>
      </c>
      <c r="O1455" s="20">
        <v>0.0</v>
      </c>
      <c r="P1455" s="20">
        <v>0.0</v>
      </c>
      <c r="Q1455" s="20">
        <v>0.0</v>
      </c>
      <c r="R1455" s="20">
        <v>0.0</v>
      </c>
      <c r="S1455" s="20">
        <v>0.0</v>
      </c>
      <c r="T1455" s="20">
        <v>0.0</v>
      </c>
      <c r="U1455" s="20">
        <v>0.0</v>
      </c>
    </row>
    <row r="1456" ht="23.25" customHeight="1">
      <c r="A1456" s="1"/>
      <c r="B1456" s="15" t="s">
        <v>1974</v>
      </c>
      <c r="C1456" s="1" t="s">
        <v>17</v>
      </c>
      <c r="D1456" s="1" t="s">
        <v>1975</v>
      </c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</row>
    <row r="1457" ht="23.25" customHeight="1">
      <c r="A1457" s="17" t="str">
        <f>IF(COUNTIF('Icon Lookup'!C:C,B1457)&gt;0,LOOKUP(B1457,'Icon Lookup'!C:C,'Icon Lookup'!B:B),"")</f>
        <v/>
      </c>
      <c r="B1457" s="18" t="s">
        <v>1976</v>
      </c>
      <c r="C1457" s="17"/>
      <c r="D1457" s="17">
        <v>51.0</v>
      </c>
      <c r="E1457" s="17" t="s">
        <v>916</v>
      </c>
      <c r="G1457" s="19"/>
      <c r="H1457" s="20" t="s">
        <v>1977</v>
      </c>
      <c r="I1457" s="17" t="s">
        <v>94</v>
      </c>
      <c r="J1457" s="17">
        <v>0.0</v>
      </c>
      <c r="K1457" s="17">
        <v>0.0</v>
      </c>
      <c r="L1457" s="17">
        <v>0.0</v>
      </c>
      <c r="M1457" s="17">
        <v>0.0</v>
      </c>
      <c r="N1457" s="17">
        <v>0.0</v>
      </c>
      <c r="O1457" s="17">
        <v>0.0</v>
      </c>
      <c r="P1457" s="17">
        <v>0.0</v>
      </c>
      <c r="Q1457" s="17">
        <v>0.0</v>
      </c>
      <c r="R1457" s="17">
        <v>0.0</v>
      </c>
      <c r="S1457" s="17">
        <v>0.0</v>
      </c>
      <c r="T1457" s="17">
        <v>0.0</v>
      </c>
      <c r="U1457" s="17">
        <v>0.0</v>
      </c>
    </row>
    <row r="1458" ht="23.25" customHeight="1">
      <c r="A1458" s="20" t="str">
        <f>IF(COUNTIF('Icon Lookup'!C:C,B1458)&gt;0,LOOKUP(B1458,'Icon Lookup'!C:C,'Icon Lookup'!B:B),"")</f>
        <v/>
      </c>
      <c r="B1458" s="21" t="s">
        <v>1976</v>
      </c>
      <c r="C1458" s="20"/>
      <c r="D1458" s="20">
        <v>51.0</v>
      </c>
      <c r="E1458" s="20" t="s">
        <v>916</v>
      </c>
      <c r="G1458" s="22"/>
      <c r="H1458" s="23" t="s">
        <v>1977</v>
      </c>
      <c r="I1458" s="20" t="s">
        <v>94</v>
      </c>
      <c r="J1458" s="20">
        <v>0.0</v>
      </c>
      <c r="K1458" s="20">
        <v>0.0</v>
      </c>
      <c r="L1458" s="20">
        <v>0.0</v>
      </c>
      <c r="M1458" s="20">
        <v>0.0</v>
      </c>
      <c r="N1458" s="20">
        <v>0.0</v>
      </c>
      <c r="O1458" s="20">
        <v>0.0</v>
      </c>
      <c r="P1458" s="20">
        <v>0.0</v>
      </c>
      <c r="Q1458" s="20">
        <v>0.0</v>
      </c>
      <c r="R1458" s="20">
        <v>0.0</v>
      </c>
      <c r="S1458" s="20">
        <v>0.0</v>
      </c>
      <c r="T1458" s="20">
        <v>0.0</v>
      </c>
      <c r="U1458" s="20">
        <v>0.0</v>
      </c>
    </row>
    <row r="1459" ht="23.25" customHeight="1">
      <c r="A1459" s="17" t="str">
        <f>IF(COUNTIF('Icon Lookup'!C:C,B1459)&gt;0,LOOKUP(B1459,'Icon Lookup'!C:C,'Icon Lookup'!B:B),"")</f>
        <v/>
      </c>
      <c r="B1459" s="18" t="s">
        <v>1978</v>
      </c>
      <c r="C1459" s="17"/>
      <c r="D1459" s="17">
        <v>54.0</v>
      </c>
      <c r="E1459" s="17" t="s">
        <v>916</v>
      </c>
      <c r="G1459" s="19"/>
      <c r="H1459" s="20" t="s">
        <v>1979</v>
      </c>
      <c r="I1459" s="17" t="s">
        <v>94</v>
      </c>
      <c r="J1459" s="17">
        <v>0.0</v>
      </c>
      <c r="K1459" s="17">
        <v>0.0</v>
      </c>
      <c r="L1459" s="17">
        <v>0.0</v>
      </c>
      <c r="M1459" s="17">
        <v>0.0</v>
      </c>
      <c r="N1459" s="17">
        <v>0.0</v>
      </c>
      <c r="O1459" s="17">
        <v>0.0</v>
      </c>
      <c r="P1459" s="17">
        <v>0.0</v>
      </c>
      <c r="Q1459" s="17">
        <v>0.0</v>
      </c>
      <c r="R1459" s="17">
        <v>0.0</v>
      </c>
      <c r="S1459" s="17">
        <v>0.0</v>
      </c>
      <c r="T1459" s="17">
        <v>0.0</v>
      </c>
      <c r="U1459" s="17">
        <v>0.0</v>
      </c>
    </row>
    <row r="1460" ht="23.25" customHeight="1">
      <c r="A1460" s="1"/>
      <c r="B1460" s="15" t="s">
        <v>1980</v>
      </c>
      <c r="C1460" s="1" t="s">
        <v>17</v>
      </c>
      <c r="D1460" s="1" t="s">
        <v>1981</v>
      </c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</row>
    <row r="1461" ht="23.25" customHeight="1">
      <c r="A1461" s="20" t="str">
        <f>IF(COUNTIF('Icon Lookup'!C:C,B1461)&gt;0,LOOKUP(B1461,'Icon Lookup'!C:C,'Icon Lookup'!B:B),"")</f>
        <v/>
      </c>
      <c r="B1461" s="21" t="s">
        <v>1982</v>
      </c>
      <c r="C1461" s="20"/>
      <c r="D1461" s="20">
        <v>50.0</v>
      </c>
      <c r="E1461" s="20" t="s">
        <v>44</v>
      </c>
      <c r="G1461" s="22"/>
      <c r="H1461" s="23" t="s">
        <v>1983</v>
      </c>
      <c r="I1461" s="20" t="s">
        <v>105</v>
      </c>
      <c r="J1461" s="20">
        <v>0.0</v>
      </c>
      <c r="K1461" s="20">
        <v>0.0</v>
      </c>
      <c r="L1461" s="20">
        <v>0.0</v>
      </c>
      <c r="M1461" s="20">
        <v>0.0</v>
      </c>
      <c r="N1461" s="20">
        <v>0.0</v>
      </c>
      <c r="O1461" s="20">
        <v>0.0</v>
      </c>
      <c r="P1461" s="20">
        <v>0.0</v>
      </c>
      <c r="Q1461" s="20">
        <v>0.0</v>
      </c>
      <c r="R1461" s="20">
        <v>0.0</v>
      </c>
      <c r="S1461" s="20">
        <v>0.0</v>
      </c>
      <c r="T1461" s="20">
        <v>0.0</v>
      </c>
      <c r="U1461" s="20">
        <v>0.0</v>
      </c>
    </row>
    <row r="1462" ht="23.25" customHeight="1">
      <c r="A1462" s="17" t="str">
        <f>IF(COUNTIF('Icon Lookup'!C:C,B1462)&gt;0,LOOKUP(B1462,'Icon Lookup'!C:C,'Icon Lookup'!B:B),"")</f>
        <v/>
      </c>
      <c r="B1462" s="18" t="s">
        <v>1984</v>
      </c>
      <c r="C1462" s="17"/>
      <c r="D1462" s="17">
        <v>54.0</v>
      </c>
      <c r="E1462" s="17" t="s">
        <v>525</v>
      </c>
      <c r="G1462" s="19"/>
      <c r="H1462" s="20" t="s">
        <v>1985</v>
      </c>
      <c r="I1462" s="17" t="s">
        <v>612</v>
      </c>
      <c r="J1462" s="17">
        <v>0.0</v>
      </c>
      <c r="K1462" s="17">
        <v>0.0</v>
      </c>
      <c r="L1462" s="17">
        <v>0.0</v>
      </c>
      <c r="M1462" s="17">
        <v>0.0</v>
      </c>
      <c r="N1462" s="17">
        <v>0.0</v>
      </c>
      <c r="O1462" s="17">
        <v>0.0</v>
      </c>
      <c r="P1462" s="17">
        <v>0.0</v>
      </c>
      <c r="Q1462" s="17">
        <v>0.0</v>
      </c>
      <c r="R1462" s="17">
        <v>0.0</v>
      </c>
      <c r="S1462" s="17">
        <v>0.0</v>
      </c>
      <c r="T1462" s="17">
        <v>0.0</v>
      </c>
      <c r="U1462" s="17">
        <v>0.0</v>
      </c>
    </row>
    <row r="1463" ht="23.25" customHeight="1">
      <c r="A1463" s="1"/>
      <c r="B1463" s="15" t="s">
        <v>1986</v>
      </c>
      <c r="C1463" s="1" t="s">
        <v>17</v>
      </c>
      <c r="D1463" s="1" t="s">
        <v>1987</v>
      </c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</row>
    <row r="1464" ht="23.25" customHeight="1">
      <c r="A1464" s="20" t="str">
        <f>IF(COUNTIF('Icon Lookup'!C:C,B1464)&gt;0,LOOKUP(B1464,'Icon Lookup'!C:C,'Icon Lookup'!B:B),"")</f>
        <v/>
      </c>
      <c r="B1464" s="21" t="s">
        <v>524</v>
      </c>
      <c r="C1464" s="20"/>
      <c r="D1464" s="20">
        <v>50.0</v>
      </c>
      <c r="E1464" s="20" t="s">
        <v>525</v>
      </c>
      <c r="G1464" s="22"/>
      <c r="H1464" s="23" t="s">
        <v>1988</v>
      </c>
      <c r="I1464" s="20" t="s">
        <v>105</v>
      </c>
      <c r="J1464" s="20">
        <v>0.0</v>
      </c>
      <c r="K1464" s="20">
        <v>0.0</v>
      </c>
      <c r="L1464" s="20">
        <v>0.0</v>
      </c>
      <c r="M1464" s="20">
        <v>0.0</v>
      </c>
      <c r="N1464" s="20">
        <v>0.0</v>
      </c>
      <c r="O1464" s="20">
        <v>0.0</v>
      </c>
      <c r="P1464" s="20">
        <v>0.0</v>
      </c>
      <c r="Q1464" s="20">
        <v>0.0</v>
      </c>
      <c r="R1464" s="20">
        <v>0.0</v>
      </c>
      <c r="S1464" s="20">
        <v>0.0</v>
      </c>
      <c r="T1464" s="20">
        <v>0.0</v>
      </c>
      <c r="U1464" s="20">
        <v>0.0</v>
      </c>
    </row>
    <row r="1465" ht="23.25" customHeight="1">
      <c r="A1465" s="17" t="str">
        <f>IF(COUNTIF('Icon Lookup'!C:C,B1465)&gt;0,LOOKUP(B1465,'Icon Lookup'!C:C,'Icon Lookup'!B:B),"")</f>
        <v/>
      </c>
      <c r="B1465" s="18" t="s">
        <v>653</v>
      </c>
      <c r="C1465" s="17"/>
      <c r="D1465" s="17">
        <v>52.0</v>
      </c>
      <c r="E1465" s="17" t="s">
        <v>525</v>
      </c>
      <c r="G1465" s="19"/>
      <c r="H1465" s="20" t="s">
        <v>1989</v>
      </c>
      <c r="I1465" s="17" t="s">
        <v>105</v>
      </c>
      <c r="J1465" s="17">
        <v>0.0</v>
      </c>
      <c r="K1465" s="17">
        <v>0.0</v>
      </c>
      <c r="L1465" s="17">
        <v>0.0</v>
      </c>
      <c r="M1465" s="17">
        <v>0.0</v>
      </c>
      <c r="N1465" s="17">
        <v>0.0</v>
      </c>
      <c r="O1465" s="17">
        <v>0.0</v>
      </c>
      <c r="P1465" s="17">
        <v>0.0</v>
      </c>
      <c r="Q1465" s="17">
        <v>0.0</v>
      </c>
      <c r="R1465" s="17">
        <v>0.0</v>
      </c>
      <c r="S1465" s="17">
        <v>0.0</v>
      </c>
      <c r="T1465" s="17">
        <v>0.0</v>
      </c>
      <c r="U1465" s="17">
        <v>0.0</v>
      </c>
    </row>
    <row r="1466" ht="23.25" customHeight="1">
      <c r="A1466" s="1"/>
      <c r="B1466" s="15" t="s">
        <v>1990</v>
      </c>
      <c r="C1466" s="1" t="s">
        <v>17</v>
      </c>
      <c r="D1466" s="1" t="s">
        <v>1991</v>
      </c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</row>
    <row r="1467" ht="23.25" customHeight="1">
      <c r="A1467" s="20" t="str">
        <f>IF(COUNTIF('Icon Lookup'!C:C,B1467)&gt;0,LOOKUP(B1467,'Icon Lookup'!C:C,'Icon Lookup'!B:B),"")</f>
        <v/>
      </c>
      <c r="B1467" s="21" t="s">
        <v>1959</v>
      </c>
      <c r="C1467" s="20"/>
      <c r="D1467" s="20">
        <v>50.0</v>
      </c>
      <c r="E1467" s="20" t="s">
        <v>382</v>
      </c>
      <c r="G1467" s="22"/>
      <c r="H1467" s="23" t="s">
        <v>1992</v>
      </c>
      <c r="I1467" s="20" t="s">
        <v>105</v>
      </c>
      <c r="J1467" s="20">
        <v>0.0</v>
      </c>
      <c r="K1467" s="20">
        <v>0.0</v>
      </c>
      <c r="L1467" s="20">
        <v>0.0</v>
      </c>
      <c r="M1467" s="20">
        <v>0.0</v>
      </c>
      <c r="N1467" s="20">
        <v>0.0</v>
      </c>
      <c r="O1467" s="20">
        <v>0.0</v>
      </c>
      <c r="P1467" s="20">
        <v>0.0</v>
      </c>
      <c r="Q1467" s="20">
        <v>0.0</v>
      </c>
      <c r="R1467" s="20">
        <v>0.0</v>
      </c>
      <c r="S1467" s="20">
        <v>0.0</v>
      </c>
      <c r="T1467" s="20">
        <v>0.0</v>
      </c>
      <c r="U1467" s="20">
        <v>0.0</v>
      </c>
    </row>
    <row r="1468" ht="23.25" customHeight="1">
      <c r="A1468" s="17" t="str">
        <f>IF(COUNTIF('Icon Lookup'!C:C,B1468)&gt;0,LOOKUP(B1468,'Icon Lookup'!C:C,'Icon Lookup'!B:B),"")</f>
        <v/>
      </c>
      <c r="B1468" s="18" t="s">
        <v>1993</v>
      </c>
      <c r="C1468" s="17"/>
      <c r="D1468" s="17">
        <v>54.0</v>
      </c>
      <c r="E1468" s="17" t="s">
        <v>382</v>
      </c>
      <c r="G1468" s="19"/>
      <c r="H1468" s="20" t="s">
        <v>1994</v>
      </c>
      <c r="I1468" s="17" t="s">
        <v>105</v>
      </c>
      <c r="J1468" s="17">
        <v>0.0</v>
      </c>
      <c r="K1468" s="17">
        <v>0.0</v>
      </c>
      <c r="L1468" s="17">
        <v>0.0</v>
      </c>
      <c r="M1468" s="17">
        <v>0.0</v>
      </c>
      <c r="N1468" s="17">
        <v>0.0</v>
      </c>
      <c r="O1468" s="17">
        <v>0.0</v>
      </c>
      <c r="P1468" s="17">
        <v>0.0</v>
      </c>
      <c r="Q1468" s="17">
        <v>0.0</v>
      </c>
      <c r="R1468" s="17">
        <v>0.0</v>
      </c>
      <c r="S1468" s="17">
        <v>0.0</v>
      </c>
      <c r="T1468" s="17">
        <v>0.0</v>
      </c>
      <c r="U1468" s="17">
        <v>0.0</v>
      </c>
    </row>
    <row r="1469" ht="23.25" customHeight="1">
      <c r="A1469" s="1"/>
      <c r="B1469" s="15" t="s">
        <v>1995</v>
      </c>
      <c r="C1469" s="1" t="s">
        <v>17</v>
      </c>
      <c r="D1469" s="1" t="s">
        <v>1996</v>
      </c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</row>
    <row r="1470" ht="23.25" customHeight="1">
      <c r="A1470" s="20" t="str">
        <f>IF(COUNTIF('Icon Lookup'!C:C,B1470)&gt;0,LOOKUP(B1470,'Icon Lookup'!C:C,'Icon Lookup'!B:B),"")</f>
        <v/>
      </c>
      <c r="B1470" s="21" t="s">
        <v>419</v>
      </c>
      <c r="C1470" s="20"/>
      <c r="D1470" s="20">
        <v>52.0</v>
      </c>
      <c r="E1470" s="20" t="s">
        <v>1058</v>
      </c>
      <c r="G1470" s="22"/>
      <c r="H1470" s="23" t="s">
        <v>1997</v>
      </c>
      <c r="I1470" s="20" t="s">
        <v>265</v>
      </c>
      <c r="J1470" s="20">
        <v>0.0</v>
      </c>
      <c r="K1470" s="20">
        <v>0.0</v>
      </c>
      <c r="L1470" s="20">
        <v>0.0</v>
      </c>
      <c r="M1470" s="20">
        <v>0.0</v>
      </c>
      <c r="N1470" s="20">
        <v>0.0</v>
      </c>
      <c r="O1470" s="20">
        <v>0.0</v>
      </c>
      <c r="P1470" s="20">
        <v>0.0</v>
      </c>
      <c r="Q1470" s="20">
        <v>0.0</v>
      </c>
      <c r="R1470" s="20">
        <v>0.0</v>
      </c>
      <c r="S1470" s="20">
        <v>0.0</v>
      </c>
      <c r="T1470" s="20">
        <v>0.0</v>
      </c>
      <c r="U1470" s="20">
        <v>0.0</v>
      </c>
    </row>
    <row r="1471" ht="23.25" customHeight="1">
      <c r="A1471" s="17" t="str">
        <f>IF(COUNTIF('Icon Lookup'!C:C,B1471)&gt;0,LOOKUP(B1471,'Icon Lookup'!C:C,'Icon Lookup'!B:B),"")</f>
        <v/>
      </c>
      <c r="B1471" s="18" t="s">
        <v>405</v>
      </c>
      <c r="C1471" s="17"/>
      <c r="D1471" s="17">
        <v>52.0</v>
      </c>
      <c r="E1471" s="17" t="s">
        <v>382</v>
      </c>
      <c r="G1471" s="19"/>
      <c r="H1471" s="20" t="s">
        <v>1998</v>
      </c>
      <c r="I1471" s="17" t="s">
        <v>211</v>
      </c>
      <c r="J1471" s="17">
        <v>0.0</v>
      </c>
      <c r="K1471" s="17">
        <v>0.0</v>
      </c>
      <c r="L1471" s="17">
        <v>0.0</v>
      </c>
      <c r="M1471" s="17">
        <v>0.0</v>
      </c>
      <c r="N1471" s="17">
        <v>0.0</v>
      </c>
      <c r="O1471" s="17">
        <v>0.0</v>
      </c>
      <c r="P1471" s="17">
        <v>0.0</v>
      </c>
      <c r="Q1471" s="17">
        <v>0.0</v>
      </c>
      <c r="R1471" s="17">
        <v>0.0</v>
      </c>
      <c r="S1471" s="17">
        <v>0.0</v>
      </c>
      <c r="T1471" s="17">
        <v>0.0</v>
      </c>
      <c r="U1471" s="17">
        <v>0.0</v>
      </c>
    </row>
    <row r="1472" ht="23.25" customHeight="1">
      <c r="A1472" s="20" t="str">
        <f>IF(COUNTIF('Icon Lookup'!C:C,B1472)&gt;0,LOOKUP(B1472,'Icon Lookup'!C:C,'Icon Lookup'!B:B),"")</f>
        <v/>
      </c>
      <c r="B1472" s="21" t="s">
        <v>1999</v>
      </c>
      <c r="C1472" s="20"/>
      <c r="D1472" s="20">
        <v>52.0</v>
      </c>
      <c r="E1472" s="20" t="s">
        <v>382</v>
      </c>
      <c r="G1472" s="22"/>
      <c r="H1472" s="23" t="s">
        <v>2000</v>
      </c>
      <c r="I1472" s="20" t="s">
        <v>205</v>
      </c>
      <c r="J1472" s="20">
        <v>0.0</v>
      </c>
      <c r="K1472" s="20">
        <v>0.0</v>
      </c>
      <c r="L1472" s="20">
        <v>0.0</v>
      </c>
      <c r="M1472" s="20">
        <v>0.0</v>
      </c>
      <c r="N1472" s="20">
        <v>0.0</v>
      </c>
      <c r="O1472" s="20">
        <v>0.0</v>
      </c>
      <c r="P1472" s="20">
        <v>0.0</v>
      </c>
      <c r="Q1472" s="20">
        <v>0.0</v>
      </c>
      <c r="R1472" s="20">
        <v>0.0</v>
      </c>
      <c r="S1472" s="20">
        <v>0.0</v>
      </c>
      <c r="T1472" s="20">
        <v>0.0</v>
      </c>
      <c r="U1472" s="20">
        <v>0.0</v>
      </c>
    </row>
    <row r="1473" ht="23.25" customHeight="1">
      <c r="A1473" s="1"/>
      <c r="B1473" s="15" t="s">
        <v>2001</v>
      </c>
      <c r="C1473" s="1" t="s">
        <v>17</v>
      </c>
      <c r="D1473" s="1" t="s">
        <v>2002</v>
      </c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</row>
    <row r="1474" ht="23.25" customHeight="1">
      <c r="A1474" s="17" t="str">
        <f>IF(COUNTIF('Icon Lookup'!C:C,B1474)&gt;0,LOOKUP(B1474,'Icon Lookup'!C:C,'Icon Lookup'!B:B),"")</f>
        <v/>
      </c>
      <c r="B1474" s="18" t="s">
        <v>1815</v>
      </c>
      <c r="C1474" s="17"/>
      <c r="D1474" s="17">
        <v>56.0</v>
      </c>
      <c r="E1474" s="17" t="s">
        <v>950</v>
      </c>
      <c r="G1474" s="19"/>
      <c r="H1474" s="20" t="s">
        <v>2003</v>
      </c>
      <c r="I1474" s="17" t="s">
        <v>94</v>
      </c>
      <c r="J1474" s="17">
        <v>0.0</v>
      </c>
      <c r="K1474" s="17">
        <v>0.0</v>
      </c>
      <c r="L1474" s="17">
        <v>0.0</v>
      </c>
      <c r="M1474" s="17">
        <v>0.0</v>
      </c>
      <c r="N1474" s="17">
        <v>0.0</v>
      </c>
      <c r="O1474" s="17">
        <v>0.0</v>
      </c>
      <c r="P1474" s="17">
        <v>0.0</v>
      </c>
      <c r="Q1474" s="17">
        <v>0.0</v>
      </c>
      <c r="R1474" s="17">
        <v>0.0</v>
      </c>
      <c r="S1474" s="17">
        <v>0.0</v>
      </c>
      <c r="T1474" s="17">
        <v>0.0</v>
      </c>
      <c r="U1474" s="17">
        <v>0.0</v>
      </c>
    </row>
    <row r="1475" ht="23.25" customHeight="1">
      <c r="A1475" s="20" t="str">
        <f>IF(COUNTIF('Icon Lookup'!C:C,B1475)&gt;0,LOOKUP(B1475,'Icon Lookup'!C:C,'Icon Lookup'!B:B),"")</f>
        <v/>
      </c>
      <c r="B1475" s="21" t="s">
        <v>1940</v>
      </c>
      <c r="C1475" s="20"/>
      <c r="D1475" s="20">
        <v>56.0</v>
      </c>
      <c r="E1475" s="20" t="s">
        <v>98</v>
      </c>
      <c r="G1475" s="22"/>
      <c r="H1475" s="23" t="s">
        <v>2004</v>
      </c>
      <c r="I1475" s="20" t="s">
        <v>89</v>
      </c>
      <c r="J1475" s="20">
        <v>0.0</v>
      </c>
      <c r="K1475" s="20">
        <v>0.0</v>
      </c>
      <c r="L1475" s="20">
        <v>0.0</v>
      </c>
      <c r="M1475" s="20">
        <v>0.0</v>
      </c>
      <c r="N1475" s="20">
        <v>0.0</v>
      </c>
      <c r="O1475" s="20">
        <v>0.0</v>
      </c>
      <c r="P1475" s="20">
        <v>0.0</v>
      </c>
      <c r="Q1475" s="20">
        <v>0.0</v>
      </c>
      <c r="R1475" s="20">
        <v>0.0</v>
      </c>
      <c r="S1475" s="20">
        <v>0.0</v>
      </c>
      <c r="T1475" s="20">
        <v>0.0</v>
      </c>
      <c r="U1475" s="20">
        <v>0.0</v>
      </c>
    </row>
    <row r="1476" ht="23.25" customHeight="1">
      <c r="A1476" s="17" t="str">
        <f>IF(COUNTIF('Icon Lookup'!C:C,B1476)&gt;0,LOOKUP(B1476,'Icon Lookup'!C:C,'Icon Lookup'!B:B),"")</f>
        <v/>
      </c>
      <c r="B1476" s="18" t="s">
        <v>1775</v>
      </c>
      <c r="C1476" s="17"/>
      <c r="D1476" s="17">
        <v>56.0</v>
      </c>
      <c r="E1476" s="17" t="s">
        <v>26</v>
      </c>
      <c r="G1476" s="19"/>
      <c r="H1476" s="20" t="s">
        <v>2005</v>
      </c>
      <c r="I1476" s="17" t="s">
        <v>94</v>
      </c>
      <c r="J1476" s="17">
        <v>0.0</v>
      </c>
      <c r="K1476" s="17">
        <v>0.0</v>
      </c>
      <c r="L1476" s="17">
        <v>0.0</v>
      </c>
      <c r="M1476" s="17">
        <v>0.0</v>
      </c>
      <c r="N1476" s="17">
        <v>0.0</v>
      </c>
      <c r="O1476" s="17">
        <v>0.0</v>
      </c>
      <c r="P1476" s="17">
        <v>0.0</v>
      </c>
      <c r="Q1476" s="17">
        <v>0.0</v>
      </c>
      <c r="R1476" s="17">
        <v>0.0</v>
      </c>
      <c r="S1476" s="17">
        <v>0.0</v>
      </c>
      <c r="T1476" s="17">
        <v>0.0</v>
      </c>
      <c r="U1476" s="17">
        <v>0.0</v>
      </c>
    </row>
    <row r="1477" ht="23.25" customHeight="1">
      <c r="A1477" s="1"/>
      <c r="B1477" s="15" t="s">
        <v>2006</v>
      </c>
      <c r="C1477" s="1" t="s">
        <v>17</v>
      </c>
      <c r="D1477" s="1" t="s">
        <v>807</v>
      </c>
      <c r="G1477" s="16"/>
      <c r="H1477" s="26" t="s">
        <v>808</v>
      </c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</row>
    <row r="1478" ht="23.25" customHeight="1">
      <c r="A1478" s="20" t="str">
        <f>IF(COUNTIF('Icon Lookup'!C:C,B1478)&gt;0,LOOKUP(B1478,'Icon Lookup'!C:C,'Icon Lookup'!B:B),"")</f>
        <v/>
      </c>
      <c r="B1478" s="21" t="s">
        <v>2007</v>
      </c>
      <c r="C1478" s="20"/>
      <c r="D1478" s="20">
        <v>42.0</v>
      </c>
      <c r="E1478" s="20" t="s">
        <v>382</v>
      </c>
      <c r="G1478" s="22"/>
      <c r="H1478" s="23" t="s">
        <v>2008</v>
      </c>
      <c r="I1478" s="20" t="s">
        <v>550</v>
      </c>
      <c r="J1478" s="20">
        <v>96.0</v>
      </c>
      <c r="K1478" s="20">
        <v>96.0</v>
      </c>
      <c r="L1478" s="20">
        <v>56.0</v>
      </c>
      <c r="M1478" s="20">
        <v>0.0</v>
      </c>
      <c r="N1478" s="20">
        <v>88.0</v>
      </c>
      <c r="O1478" s="20">
        <v>0.0</v>
      </c>
      <c r="P1478" s="20">
        <v>9.0</v>
      </c>
      <c r="Q1478" s="20">
        <v>9.0</v>
      </c>
      <c r="R1478" s="20">
        <v>9.0</v>
      </c>
      <c r="S1478" s="20">
        <v>9.0</v>
      </c>
      <c r="T1478" s="20">
        <v>9.0</v>
      </c>
      <c r="U1478" s="20">
        <v>9.0</v>
      </c>
    </row>
    <row r="1479" ht="23.25" customHeight="1">
      <c r="A1479" s="17" t="str">
        <f>IF(COUNTIF('Icon Lookup'!C:C,B1479)&gt;0,LOOKUP(B1479,'Icon Lookup'!C:C,'Icon Lookup'!B:B),"")</f>
        <v/>
      </c>
      <c r="B1479" s="18" t="s">
        <v>741</v>
      </c>
      <c r="C1479" s="17"/>
      <c r="D1479" s="17">
        <v>41.0</v>
      </c>
      <c r="E1479" s="17" t="str">
        <f>IMAGE("https://www.serebii.net/itemdex/sprites/quickclaw.png")</f>
        <v/>
      </c>
      <c r="F1479" s="17" t="s">
        <v>26</v>
      </c>
      <c r="G1479" s="17" t="s">
        <v>1371</v>
      </c>
      <c r="H1479" s="20" t="s">
        <v>2009</v>
      </c>
      <c r="I1479" s="17" t="s">
        <v>22</v>
      </c>
      <c r="J1479" s="17">
        <v>56.0</v>
      </c>
      <c r="K1479" s="17">
        <v>104.0</v>
      </c>
      <c r="L1479" s="17">
        <v>32.0</v>
      </c>
      <c r="M1479" s="17">
        <v>0.0</v>
      </c>
      <c r="N1479" s="17">
        <v>32.0</v>
      </c>
      <c r="O1479" s="17">
        <v>104.0</v>
      </c>
      <c r="P1479" s="17">
        <v>5.0</v>
      </c>
      <c r="Q1479" s="17">
        <v>5.0</v>
      </c>
      <c r="R1479" s="17">
        <v>5.0</v>
      </c>
      <c r="S1479" s="17">
        <v>5.0</v>
      </c>
      <c r="T1479" s="17">
        <v>5.0</v>
      </c>
      <c r="U1479" s="17">
        <v>5.0</v>
      </c>
    </row>
    <row r="1480" ht="23.25" customHeight="1">
      <c r="A1480" s="20" t="str">
        <f>IF(COUNTIF('Icon Lookup'!C:C,B1480)&gt;0,LOOKUP(B1480,'Icon Lookup'!C:C,'Icon Lookup'!B:B),"")</f>
        <v/>
      </c>
      <c r="B1480" s="21" t="s">
        <v>271</v>
      </c>
      <c r="C1480" s="20"/>
      <c r="D1480" s="20">
        <v>42.0</v>
      </c>
      <c r="E1480" s="20" t="str">
        <f>IMAGE("https://www.serebii.net/itemdex/sprites/seaincense.png")</f>
        <v/>
      </c>
      <c r="F1480" s="20" t="s">
        <v>44</v>
      </c>
      <c r="G1480" s="20" t="s">
        <v>1494</v>
      </c>
      <c r="H1480" s="23" t="s">
        <v>1505</v>
      </c>
      <c r="I1480" s="20" t="s">
        <v>22</v>
      </c>
      <c r="J1480" s="20">
        <v>40.0</v>
      </c>
      <c r="K1480" s="20">
        <v>96.0</v>
      </c>
      <c r="L1480" s="20">
        <v>40.0</v>
      </c>
      <c r="M1480" s="20">
        <v>0.0</v>
      </c>
      <c r="N1480" s="20">
        <v>40.0</v>
      </c>
      <c r="O1480" s="20">
        <v>96.0</v>
      </c>
      <c r="P1480" s="20">
        <v>6.0</v>
      </c>
      <c r="Q1480" s="20">
        <v>6.0</v>
      </c>
      <c r="R1480" s="20">
        <v>6.0</v>
      </c>
      <c r="S1480" s="20">
        <v>6.0</v>
      </c>
      <c r="T1480" s="20">
        <v>6.0</v>
      </c>
      <c r="U1480" s="20">
        <v>6.0</v>
      </c>
    </row>
    <row r="1481" ht="23.25" customHeight="1">
      <c r="A1481" s="17" t="str">
        <f>IF(COUNTIF('Icon Lookup'!C:C,B1481)&gt;0,LOOKUP(B1481,'Icon Lookup'!C:C,'Icon Lookup'!B:B),"")</f>
        <v/>
      </c>
      <c r="B1481" s="18" t="s">
        <v>851</v>
      </c>
      <c r="C1481" s="17"/>
      <c r="D1481" s="17">
        <v>43.0</v>
      </c>
      <c r="E1481" s="17" t="s">
        <v>258</v>
      </c>
      <c r="G1481" s="19"/>
      <c r="H1481" s="20" t="s">
        <v>2010</v>
      </c>
      <c r="I1481" s="17" t="s">
        <v>22</v>
      </c>
      <c r="J1481" s="17">
        <v>40.0</v>
      </c>
      <c r="K1481" s="17">
        <v>104.0</v>
      </c>
      <c r="L1481" s="17">
        <v>40.0</v>
      </c>
      <c r="M1481" s="17">
        <v>0.0</v>
      </c>
      <c r="N1481" s="17">
        <v>40.0</v>
      </c>
      <c r="O1481" s="17">
        <v>96.0</v>
      </c>
      <c r="P1481" s="17">
        <v>9.0</v>
      </c>
      <c r="Q1481" s="17">
        <v>9.0</v>
      </c>
      <c r="R1481" s="17">
        <v>9.0</v>
      </c>
      <c r="S1481" s="17">
        <v>9.0</v>
      </c>
      <c r="T1481" s="17">
        <v>9.0</v>
      </c>
      <c r="U1481" s="17">
        <v>9.0</v>
      </c>
    </row>
    <row r="1482" ht="23.25" customHeight="1">
      <c r="A1482" s="20" t="str">
        <f>IF(COUNTIF('Icon Lookup'!C:C,B1482)&gt;0,LOOKUP(B1482,'Icon Lookup'!C:C,'Icon Lookup'!B:B),"")</f>
        <v/>
      </c>
      <c r="B1482" s="21" t="s">
        <v>78</v>
      </c>
      <c r="C1482" s="20"/>
      <c r="D1482" s="20">
        <v>42.0</v>
      </c>
      <c r="E1482" s="20" t="str">
        <f>IMAGE("https://www.serebii.net/itemdex/sprites/shellbell.png")</f>
        <v/>
      </c>
      <c r="F1482" s="20" t="s">
        <v>79</v>
      </c>
      <c r="G1482" s="20" t="s">
        <v>1495</v>
      </c>
      <c r="H1482" s="23" t="s">
        <v>1315</v>
      </c>
      <c r="I1482" s="20" t="s">
        <v>22</v>
      </c>
      <c r="J1482" s="20">
        <v>40.0</v>
      </c>
      <c r="K1482" s="20">
        <v>64.0</v>
      </c>
      <c r="L1482" s="20">
        <v>16.0</v>
      </c>
      <c r="M1482" s="20">
        <v>0.0</v>
      </c>
      <c r="N1482" s="20">
        <v>16.0</v>
      </c>
      <c r="O1482" s="20">
        <v>64.0</v>
      </c>
      <c r="P1482" s="20">
        <v>7.0</v>
      </c>
      <c r="Q1482" s="20">
        <v>7.0</v>
      </c>
      <c r="R1482" s="20">
        <v>7.0</v>
      </c>
      <c r="S1482" s="20">
        <v>7.0</v>
      </c>
      <c r="T1482" s="20">
        <v>7.0</v>
      </c>
      <c r="U1482" s="20">
        <v>7.0</v>
      </c>
    </row>
    <row r="1483" ht="23.25" customHeight="1">
      <c r="A1483" s="24" t="str">
        <f>IF(COUNTIF('Icon Lookup'!C:C,B1483)&gt;0,LOOKUP(B1483,'Icon Lookup'!C:C,'Icon Lookup'!B:B),"")</f>
        <v/>
      </c>
      <c r="B1483" s="25" t="s">
        <v>730</v>
      </c>
      <c r="C1483" s="24" t="s">
        <v>804</v>
      </c>
      <c r="D1483" s="24">
        <v>45.0</v>
      </c>
      <c r="E1483" s="24" t="str">
        <f>IMAGE("https://www.serebii.net/itemdex/sprites/leftovers.png")</f>
        <v/>
      </c>
      <c r="F1483" s="24" t="s">
        <v>267</v>
      </c>
      <c r="G1483" s="17" t="s">
        <v>859</v>
      </c>
      <c r="H1483" s="20" t="s">
        <v>1507</v>
      </c>
      <c r="I1483" s="24" t="s">
        <v>265</v>
      </c>
      <c r="J1483" s="24">
        <v>164.0</v>
      </c>
      <c r="K1483" s="24">
        <v>52.0</v>
      </c>
      <c r="L1483" s="24">
        <v>52.0</v>
      </c>
      <c r="M1483" s="24">
        <v>52.0</v>
      </c>
      <c r="N1483" s="24">
        <v>124.0</v>
      </c>
      <c r="O1483" s="24">
        <v>0.0</v>
      </c>
      <c r="P1483" s="24">
        <v>11.0</v>
      </c>
      <c r="Q1483" s="24">
        <v>11.0</v>
      </c>
      <c r="R1483" s="24">
        <v>11.0</v>
      </c>
      <c r="S1483" s="24">
        <v>11.0</v>
      </c>
      <c r="T1483" s="24">
        <v>11.0</v>
      </c>
      <c r="U1483" s="24">
        <v>11.0</v>
      </c>
    </row>
    <row r="1484" ht="23.25" customHeight="1">
      <c r="A1484" s="1"/>
      <c r="B1484" s="15" t="s">
        <v>2011</v>
      </c>
      <c r="C1484" s="1" t="s">
        <v>17</v>
      </c>
      <c r="D1484" s="1" t="s">
        <v>2012</v>
      </c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</row>
    <row r="1485" ht="23.25" customHeight="1">
      <c r="A1485" s="24" t="str">
        <f>IF(COUNTIF('Icon Lookup'!C:C,B1485)&gt;0,LOOKUP(B1485,'Icon Lookup'!C:C,'Icon Lookup'!B:B),"")</f>
        <v/>
      </c>
      <c r="B1485" s="25" t="s">
        <v>1832</v>
      </c>
      <c r="C1485" s="24" t="s">
        <v>804</v>
      </c>
      <c r="D1485" s="24">
        <v>15.0</v>
      </c>
      <c r="E1485" s="24" t="s">
        <v>2013</v>
      </c>
      <c r="G1485" s="22"/>
      <c r="H1485" s="23" t="s">
        <v>2014</v>
      </c>
      <c r="I1485" s="24" t="s">
        <v>52</v>
      </c>
      <c r="J1485" s="24">
        <v>172.0</v>
      </c>
      <c r="K1485" s="24">
        <v>0.0</v>
      </c>
      <c r="L1485" s="24">
        <v>168.0</v>
      </c>
      <c r="M1485" s="24">
        <v>0.0</v>
      </c>
      <c r="N1485" s="24">
        <v>168.0</v>
      </c>
      <c r="O1485" s="24">
        <v>0.0</v>
      </c>
      <c r="P1485" s="24">
        <v>31.0</v>
      </c>
      <c r="Q1485" s="24">
        <v>0.0</v>
      </c>
      <c r="R1485" s="24">
        <v>31.0</v>
      </c>
      <c r="S1485" s="24">
        <v>0.0</v>
      </c>
      <c r="T1485" s="24">
        <v>31.0</v>
      </c>
      <c r="U1485" s="24">
        <v>0.0</v>
      </c>
    </row>
    <row r="1486" ht="23.25" customHeight="1">
      <c r="A1486" s="1"/>
      <c r="B1486" s="15" t="s">
        <v>2015</v>
      </c>
      <c r="C1486" s="1" t="s">
        <v>17</v>
      </c>
      <c r="D1486" s="1" t="s">
        <v>2016</v>
      </c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</row>
    <row r="1487" ht="23.25" customHeight="1">
      <c r="A1487" s="24" t="str">
        <f>IF(COUNTIF('Icon Lookup'!C:C,B1487)&gt;0,LOOKUP(B1487,'Icon Lookup'!C:C,'Icon Lookup'!B:B),"")</f>
        <v/>
      </c>
      <c r="B1487" s="25" t="s">
        <v>910</v>
      </c>
      <c r="C1487" s="24" t="s">
        <v>804</v>
      </c>
      <c r="D1487" s="24">
        <v>34.0</v>
      </c>
      <c r="E1487" s="24" t="s">
        <v>38</v>
      </c>
      <c r="G1487" s="19"/>
      <c r="H1487" s="20" t="s">
        <v>2017</v>
      </c>
      <c r="I1487" s="24" t="s">
        <v>22</v>
      </c>
      <c r="J1487" s="24">
        <v>172.0</v>
      </c>
      <c r="K1487" s="24">
        <v>0.0</v>
      </c>
      <c r="L1487" s="24">
        <v>168.0</v>
      </c>
      <c r="M1487" s="24">
        <v>0.0</v>
      </c>
      <c r="N1487" s="24">
        <v>168.0</v>
      </c>
      <c r="O1487" s="24">
        <v>0.0</v>
      </c>
      <c r="P1487" s="24">
        <v>31.0</v>
      </c>
      <c r="Q1487" s="24">
        <v>0.0</v>
      </c>
      <c r="R1487" s="24">
        <v>31.0</v>
      </c>
      <c r="S1487" s="24">
        <v>0.0</v>
      </c>
      <c r="T1487" s="24">
        <v>31.0</v>
      </c>
      <c r="U1487" s="24">
        <v>0.0</v>
      </c>
    </row>
    <row r="1488" ht="23.25" customHeight="1">
      <c r="A1488" s="1"/>
      <c r="B1488" s="15" t="s">
        <v>2018</v>
      </c>
      <c r="C1488" s="1" t="s">
        <v>17</v>
      </c>
      <c r="D1488" s="1" t="s">
        <v>2019</v>
      </c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</row>
    <row r="1489" ht="23.25" customHeight="1">
      <c r="A1489" s="24" t="str">
        <f>IF(COUNTIF('Icon Lookup'!C:C,B1489)&gt;0,LOOKUP(B1489,'Icon Lookup'!C:C,'Icon Lookup'!B:B),"")</f>
        <v/>
      </c>
      <c r="B1489" s="25" t="s">
        <v>2020</v>
      </c>
      <c r="C1489" s="24" t="s">
        <v>804</v>
      </c>
      <c r="D1489" s="24">
        <v>57.0</v>
      </c>
      <c r="E1489" s="24" t="s">
        <v>26</v>
      </c>
      <c r="G1489" s="22"/>
      <c r="H1489" s="23" t="s">
        <v>2021</v>
      </c>
      <c r="I1489" s="24" t="s">
        <v>22</v>
      </c>
      <c r="J1489" s="24">
        <v>172.0</v>
      </c>
      <c r="K1489" s="24">
        <v>0.0</v>
      </c>
      <c r="L1489" s="24">
        <v>168.0</v>
      </c>
      <c r="M1489" s="24">
        <v>0.0</v>
      </c>
      <c r="N1489" s="24">
        <v>168.0</v>
      </c>
      <c r="O1489" s="24">
        <v>0.0</v>
      </c>
      <c r="P1489" s="24">
        <v>31.0</v>
      </c>
      <c r="Q1489" s="24">
        <v>0.0</v>
      </c>
      <c r="R1489" s="24">
        <v>31.0</v>
      </c>
      <c r="S1489" s="24">
        <v>0.0</v>
      </c>
      <c r="T1489" s="24">
        <v>31.0</v>
      </c>
      <c r="U1489" s="24">
        <v>0.0</v>
      </c>
    </row>
    <row r="1490" ht="23.25" customHeight="1">
      <c r="A1490" s="1"/>
      <c r="B1490" s="15" t="s">
        <v>2022</v>
      </c>
      <c r="C1490" s="1" t="s">
        <v>17</v>
      </c>
      <c r="D1490" s="1" t="s">
        <v>2023</v>
      </c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</row>
    <row r="1491" ht="23.25" customHeight="1">
      <c r="A1491" s="24" t="str">
        <f>IF(COUNTIF('Icon Lookup'!C:C,B1491)&gt;0,LOOKUP(B1491,'Icon Lookup'!C:C,'Icon Lookup'!B:B),"")</f>
        <v/>
      </c>
      <c r="B1491" s="25" t="s">
        <v>2024</v>
      </c>
      <c r="C1491" s="24" t="s">
        <v>804</v>
      </c>
      <c r="D1491" s="24">
        <v>58.0</v>
      </c>
      <c r="E1491" s="24" t="s">
        <v>161</v>
      </c>
      <c r="G1491" s="19"/>
      <c r="H1491" s="20" t="s">
        <v>2025</v>
      </c>
      <c r="I1491" s="24" t="s">
        <v>52</v>
      </c>
      <c r="J1491" s="24">
        <v>172.0</v>
      </c>
      <c r="K1491" s="24">
        <v>0.0</v>
      </c>
      <c r="L1491" s="24">
        <v>168.0</v>
      </c>
      <c r="M1491" s="24">
        <v>0.0</v>
      </c>
      <c r="N1491" s="24">
        <v>168.0</v>
      </c>
      <c r="O1491" s="24">
        <v>0.0</v>
      </c>
      <c r="P1491" s="24">
        <v>31.0</v>
      </c>
      <c r="Q1491" s="24">
        <v>0.0</v>
      </c>
      <c r="R1491" s="24">
        <v>31.0</v>
      </c>
      <c r="S1491" s="24">
        <v>0.0</v>
      </c>
      <c r="T1491" s="24">
        <v>31.0</v>
      </c>
      <c r="U1491" s="24">
        <v>0.0</v>
      </c>
    </row>
    <row r="1492" ht="23.25" customHeight="1">
      <c r="A1492" s="1"/>
      <c r="B1492" s="15" t="s">
        <v>2026</v>
      </c>
      <c r="C1492" s="1" t="s">
        <v>17</v>
      </c>
      <c r="D1492" s="1" t="s">
        <v>2027</v>
      </c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</row>
    <row r="1493" ht="23.25" customHeight="1">
      <c r="A1493" s="24" t="str">
        <f>IF(COUNTIF('Icon Lookup'!C:C,B1493)&gt;0,LOOKUP(B1493,'Icon Lookup'!C:C,'Icon Lookup'!B:B),"")</f>
        <v/>
      </c>
      <c r="B1493" s="25" t="s">
        <v>386</v>
      </c>
      <c r="C1493" s="24" t="s">
        <v>804</v>
      </c>
      <c r="D1493" s="24">
        <v>18.0</v>
      </c>
      <c r="E1493" s="24" t="s">
        <v>387</v>
      </c>
      <c r="G1493" s="22"/>
      <c r="H1493" s="23" t="s">
        <v>1006</v>
      </c>
      <c r="I1493" s="24" t="s">
        <v>52</v>
      </c>
      <c r="J1493" s="24">
        <v>172.0</v>
      </c>
      <c r="K1493" s="24">
        <v>0.0</v>
      </c>
      <c r="L1493" s="24">
        <v>168.0</v>
      </c>
      <c r="M1493" s="24">
        <v>0.0</v>
      </c>
      <c r="N1493" s="24">
        <v>168.0</v>
      </c>
      <c r="O1493" s="24">
        <v>0.0</v>
      </c>
      <c r="P1493" s="24">
        <v>31.0</v>
      </c>
      <c r="Q1493" s="24">
        <v>0.0</v>
      </c>
      <c r="R1493" s="24">
        <v>31.0</v>
      </c>
      <c r="S1493" s="24">
        <v>0.0</v>
      </c>
      <c r="T1493" s="24">
        <v>31.0</v>
      </c>
      <c r="U1493" s="24">
        <v>0.0</v>
      </c>
    </row>
    <row r="1494" ht="23.25" customHeight="1">
      <c r="A1494" s="1"/>
      <c r="B1494" s="15" t="s">
        <v>2028</v>
      </c>
      <c r="C1494" s="1" t="s">
        <v>17</v>
      </c>
      <c r="D1494" s="1" t="s">
        <v>2029</v>
      </c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</row>
    <row r="1495" ht="23.25" customHeight="1">
      <c r="A1495" s="17" t="str">
        <f>IF(COUNTIF('Icon Lookup'!C:C,B1495)&gt;0,LOOKUP(B1495,'Icon Lookup'!C:C,'Icon Lookup'!B:B),"")</f>
        <v/>
      </c>
      <c r="B1495" s="18" t="s">
        <v>810</v>
      </c>
      <c r="C1495" s="17"/>
      <c r="D1495" s="17">
        <v>13.0</v>
      </c>
      <c r="E1495" s="17" t="s">
        <v>267</v>
      </c>
      <c r="G1495" s="19"/>
      <c r="H1495" s="20" t="s">
        <v>2030</v>
      </c>
      <c r="I1495" s="17" t="s">
        <v>822</v>
      </c>
      <c r="J1495" s="17">
        <v>0.0</v>
      </c>
      <c r="K1495" s="17">
        <v>0.0</v>
      </c>
      <c r="L1495" s="17">
        <v>0.0</v>
      </c>
      <c r="M1495" s="17">
        <v>0.0</v>
      </c>
      <c r="N1495" s="17">
        <v>0.0</v>
      </c>
      <c r="O1495" s="17">
        <v>0.0</v>
      </c>
      <c r="P1495" s="17">
        <v>31.0</v>
      </c>
      <c r="Q1495" s="17">
        <v>0.0</v>
      </c>
      <c r="R1495" s="17">
        <v>31.0</v>
      </c>
      <c r="S1495" s="17">
        <v>0.0</v>
      </c>
      <c r="T1495" s="17">
        <v>31.0</v>
      </c>
      <c r="U1495" s="17">
        <v>0.0</v>
      </c>
    </row>
    <row r="1496" ht="23.25" customHeight="1">
      <c r="A1496" s="1"/>
      <c r="B1496" s="15" t="s">
        <v>2031</v>
      </c>
      <c r="C1496" s="1" t="s">
        <v>17</v>
      </c>
      <c r="D1496" s="1" t="s">
        <v>2029</v>
      </c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</row>
    <row r="1497" ht="23.25" customHeight="1">
      <c r="A1497" s="20" t="str">
        <f>IF(COUNTIF('Icon Lookup'!C:C,B1497)&gt;0,LOOKUP(B1497,'Icon Lookup'!C:C,'Icon Lookup'!B:B),"")</f>
        <v/>
      </c>
      <c r="B1497" s="21" t="s">
        <v>144</v>
      </c>
      <c r="C1497" s="20"/>
      <c r="D1497" s="20">
        <v>13.0</v>
      </c>
      <c r="E1497" s="20" t="s">
        <v>145</v>
      </c>
      <c r="G1497" s="22"/>
      <c r="H1497" s="23" t="s">
        <v>2032</v>
      </c>
      <c r="I1497" s="20" t="s">
        <v>22</v>
      </c>
      <c r="J1497" s="20">
        <v>0.0</v>
      </c>
      <c r="K1497" s="20">
        <v>0.0</v>
      </c>
      <c r="L1497" s="20">
        <v>0.0</v>
      </c>
      <c r="M1497" s="20">
        <v>0.0</v>
      </c>
      <c r="N1497" s="20">
        <v>0.0</v>
      </c>
      <c r="O1497" s="20">
        <v>0.0</v>
      </c>
      <c r="P1497" s="20">
        <v>31.0</v>
      </c>
      <c r="Q1497" s="20">
        <v>0.0</v>
      </c>
      <c r="R1497" s="20">
        <v>31.0</v>
      </c>
      <c r="S1497" s="20">
        <v>0.0</v>
      </c>
      <c r="T1497" s="20">
        <v>31.0</v>
      </c>
      <c r="U1497" s="20">
        <v>0.0</v>
      </c>
    </row>
    <row r="1498" ht="23.25" customHeight="1">
      <c r="A1498" s="1"/>
      <c r="B1498" s="15" t="s">
        <v>2033</v>
      </c>
      <c r="C1498" s="1" t="s">
        <v>17</v>
      </c>
      <c r="D1498" s="1" t="s">
        <v>2029</v>
      </c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</row>
    <row r="1499" ht="23.25" customHeight="1">
      <c r="A1499" s="17" t="str">
        <f>IF(COUNTIF('Icon Lookup'!C:C,B1499)&gt;0,LOOKUP(B1499,'Icon Lookup'!C:C,'Icon Lookup'!B:B),"")</f>
        <v/>
      </c>
      <c r="B1499" s="18" t="s">
        <v>815</v>
      </c>
      <c r="C1499" s="17"/>
      <c r="D1499" s="17">
        <v>13.0</v>
      </c>
      <c r="E1499" s="17" t="s">
        <v>374</v>
      </c>
      <c r="G1499" s="19"/>
      <c r="H1499" s="20" t="s">
        <v>2034</v>
      </c>
      <c r="I1499" s="17" t="s">
        <v>94</v>
      </c>
      <c r="J1499" s="17">
        <v>0.0</v>
      </c>
      <c r="K1499" s="17">
        <v>0.0</v>
      </c>
      <c r="L1499" s="17">
        <v>0.0</v>
      </c>
      <c r="M1499" s="17">
        <v>0.0</v>
      </c>
      <c r="N1499" s="17">
        <v>0.0</v>
      </c>
      <c r="O1499" s="17">
        <v>0.0</v>
      </c>
      <c r="P1499" s="17">
        <v>31.0</v>
      </c>
      <c r="Q1499" s="17">
        <v>0.0</v>
      </c>
      <c r="R1499" s="17">
        <v>31.0</v>
      </c>
      <c r="S1499" s="17">
        <v>0.0</v>
      </c>
      <c r="T1499" s="17">
        <v>31.0</v>
      </c>
      <c r="U1499" s="17">
        <v>0.0</v>
      </c>
    </row>
    <row r="1500" ht="23.25" customHeight="1">
      <c r="A1500" s="1"/>
      <c r="B1500" s="15" t="s">
        <v>2035</v>
      </c>
      <c r="C1500" s="1" t="s">
        <v>17</v>
      </c>
      <c r="D1500" s="1" t="s">
        <v>2036</v>
      </c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</row>
    <row r="1501" ht="23.25" customHeight="1">
      <c r="A1501" s="20" t="str">
        <f>IF(COUNTIF('Icon Lookup'!C:C,B1501)&gt;0,LOOKUP(B1501,'Icon Lookup'!C:C,'Icon Lookup'!B:B),"")</f>
        <v/>
      </c>
      <c r="B1501" s="21" t="s">
        <v>810</v>
      </c>
      <c r="C1501" s="20"/>
      <c r="D1501" s="20">
        <v>13.0</v>
      </c>
      <c r="E1501" s="20" t="s">
        <v>267</v>
      </c>
      <c r="G1501" s="22"/>
      <c r="H1501" s="23" t="s">
        <v>2030</v>
      </c>
      <c r="I1501" s="20" t="s">
        <v>822</v>
      </c>
      <c r="J1501" s="20">
        <v>0.0</v>
      </c>
      <c r="K1501" s="20">
        <v>0.0</v>
      </c>
      <c r="L1501" s="20">
        <v>0.0</v>
      </c>
      <c r="M1501" s="20">
        <v>0.0</v>
      </c>
      <c r="N1501" s="20">
        <v>0.0</v>
      </c>
      <c r="O1501" s="20">
        <v>0.0</v>
      </c>
      <c r="P1501" s="20">
        <v>31.0</v>
      </c>
      <c r="Q1501" s="20">
        <v>0.0</v>
      </c>
      <c r="R1501" s="20">
        <v>31.0</v>
      </c>
      <c r="S1501" s="20">
        <v>0.0</v>
      </c>
      <c r="T1501" s="20">
        <v>31.0</v>
      </c>
      <c r="U1501" s="20">
        <v>0.0</v>
      </c>
    </row>
    <row r="1502" ht="23.25" customHeight="1">
      <c r="A1502" s="1"/>
      <c r="B1502" s="15" t="s">
        <v>2037</v>
      </c>
      <c r="C1502" s="1" t="s">
        <v>17</v>
      </c>
      <c r="D1502" s="1" t="s">
        <v>2036</v>
      </c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</row>
    <row r="1503" ht="23.25" customHeight="1">
      <c r="A1503" s="17" t="str">
        <f>IF(COUNTIF('Icon Lookup'!C:C,B1503)&gt;0,LOOKUP(B1503,'Icon Lookup'!C:C,'Icon Lookup'!B:B),"")</f>
        <v/>
      </c>
      <c r="B1503" s="18" t="s">
        <v>144</v>
      </c>
      <c r="C1503" s="17"/>
      <c r="D1503" s="17">
        <v>13.0</v>
      </c>
      <c r="E1503" s="17" t="s">
        <v>145</v>
      </c>
      <c r="G1503" s="19"/>
      <c r="H1503" s="20" t="s">
        <v>2032</v>
      </c>
      <c r="I1503" s="17" t="s">
        <v>22</v>
      </c>
      <c r="J1503" s="17">
        <v>0.0</v>
      </c>
      <c r="K1503" s="17">
        <v>0.0</v>
      </c>
      <c r="L1503" s="17">
        <v>0.0</v>
      </c>
      <c r="M1503" s="17">
        <v>0.0</v>
      </c>
      <c r="N1503" s="17">
        <v>0.0</v>
      </c>
      <c r="O1503" s="17">
        <v>0.0</v>
      </c>
      <c r="P1503" s="17">
        <v>31.0</v>
      </c>
      <c r="Q1503" s="17">
        <v>0.0</v>
      </c>
      <c r="R1503" s="17">
        <v>31.0</v>
      </c>
      <c r="S1503" s="17">
        <v>0.0</v>
      </c>
      <c r="T1503" s="17">
        <v>31.0</v>
      </c>
      <c r="U1503" s="17">
        <v>0.0</v>
      </c>
    </row>
    <row r="1504" ht="23.25" customHeight="1">
      <c r="A1504" s="1"/>
      <c r="B1504" s="15" t="s">
        <v>2038</v>
      </c>
      <c r="C1504" s="1" t="s">
        <v>17</v>
      </c>
      <c r="D1504" s="1" t="s">
        <v>2036</v>
      </c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</row>
    <row r="1505" ht="23.25" customHeight="1">
      <c r="A1505" s="20" t="str">
        <f>IF(COUNTIF('Icon Lookup'!C:C,B1505)&gt;0,LOOKUP(B1505,'Icon Lookup'!C:C,'Icon Lookup'!B:B),"")</f>
        <v/>
      </c>
      <c r="B1505" s="21" t="s">
        <v>815</v>
      </c>
      <c r="C1505" s="20"/>
      <c r="D1505" s="20">
        <v>13.0</v>
      </c>
      <c r="E1505" s="20" t="s">
        <v>374</v>
      </c>
      <c r="G1505" s="22"/>
      <c r="H1505" s="23" t="s">
        <v>2034</v>
      </c>
      <c r="I1505" s="20" t="s">
        <v>94</v>
      </c>
      <c r="J1505" s="20">
        <v>0.0</v>
      </c>
      <c r="K1505" s="20">
        <v>0.0</v>
      </c>
      <c r="L1505" s="20">
        <v>0.0</v>
      </c>
      <c r="M1505" s="20">
        <v>0.0</v>
      </c>
      <c r="N1505" s="20">
        <v>0.0</v>
      </c>
      <c r="O1505" s="20">
        <v>0.0</v>
      </c>
      <c r="P1505" s="20">
        <v>31.0</v>
      </c>
      <c r="Q1505" s="20">
        <v>0.0</v>
      </c>
      <c r="R1505" s="20">
        <v>31.0</v>
      </c>
      <c r="S1505" s="20">
        <v>0.0</v>
      </c>
      <c r="T1505" s="20">
        <v>31.0</v>
      </c>
      <c r="U1505" s="20">
        <v>0.0</v>
      </c>
    </row>
    <row r="1506" ht="23.25" customHeight="1">
      <c r="A1506" s="1"/>
      <c r="B1506" s="15" t="s">
        <v>2039</v>
      </c>
      <c r="C1506" s="1" t="s">
        <v>17</v>
      </c>
      <c r="D1506" s="1" t="s">
        <v>807</v>
      </c>
      <c r="G1506" s="16"/>
      <c r="H1506" s="26" t="s">
        <v>808</v>
      </c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</row>
    <row r="1507" ht="23.25" customHeight="1">
      <c r="A1507" s="17" t="str">
        <f>IF(COUNTIF('Icon Lookup'!C:C,B1507)&gt;0,LOOKUP(B1507,'Icon Lookup'!C:C,'Icon Lookup'!B:B),"")</f>
        <v/>
      </c>
      <c r="B1507" s="18" t="s">
        <v>2007</v>
      </c>
      <c r="C1507" s="17"/>
      <c r="D1507" s="17">
        <v>42.0</v>
      </c>
      <c r="E1507" s="17" t="s">
        <v>382</v>
      </c>
      <c r="G1507" s="19"/>
      <c r="H1507" s="20" t="s">
        <v>2008</v>
      </c>
      <c r="I1507" s="17" t="s">
        <v>550</v>
      </c>
      <c r="J1507" s="17">
        <v>96.0</v>
      </c>
      <c r="K1507" s="17">
        <v>96.0</v>
      </c>
      <c r="L1507" s="17">
        <v>56.0</v>
      </c>
      <c r="M1507" s="17">
        <v>0.0</v>
      </c>
      <c r="N1507" s="17">
        <v>88.0</v>
      </c>
      <c r="O1507" s="17">
        <v>0.0</v>
      </c>
      <c r="P1507" s="17">
        <v>9.0</v>
      </c>
      <c r="Q1507" s="17">
        <v>9.0</v>
      </c>
      <c r="R1507" s="17">
        <v>9.0</v>
      </c>
      <c r="S1507" s="17">
        <v>9.0</v>
      </c>
      <c r="T1507" s="17">
        <v>9.0</v>
      </c>
      <c r="U1507" s="17">
        <v>9.0</v>
      </c>
    </row>
    <row r="1508" ht="23.25" customHeight="1">
      <c r="A1508" s="20" t="str">
        <f>IF(COUNTIF('Icon Lookup'!C:C,B1508)&gt;0,LOOKUP(B1508,'Icon Lookup'!C:C,'Icon Lookup'!B:B),"")</f>
        <v/>
      </c>
      <c r="B1508" s="21" t="s">
        <v>741</v>
      </c>
      <c r="C1508" s="20"/>
      <c r="D1508" s="20">
        <v>41.0</v>
      </c>
      <c r="E1508" s="20" t="str">
        <f>IMAGE("https://www.serebii.net/itemdex/sprites/quickclaw.png")</f>
        <v/>
      </c>
      <c r="F1508" s="20" t="s">
        <v>26</v>
      </c>
      <c r="G1508" s="20" t="s">
        <v>1371</v>
      </c>
      <c r="H1508" s="23" t="s">
        <v>2009</v>
      </c>
      <c r="I1508" s="20" t="s">
        <v>22</v>
      </c>
      <c r="J1508" s="20">
        <v>56.0</v>
      </c>
      <c r="K1508" s="20">
        <v>104.0</v>
      </c>
      <c r="L1508" s="20">
        <v>32.0</v>
      </c>
      <c r="M1508" s="20">
        <v>0.0</v>
      </c>
      <c r="N1508" s="20">
        <v>32.0</v>
      </c>
      <c r="O1508" s="20">
        <v>104.0</v>
      </c>
      <c r="P1508" s="20">
        <v>5.0</v>
      </c>
      <c r="Q1508" s="20">
        <v>5.0</v>
      </c>
      <c r="R1508" s="20">
        <v>5.0</v>
      </c>
      <c r="S1508" s="20">
        <v>5.0</v>
      </c>
      <c r="T1508" s="20">
        <v>5.0</v>
      </c>
      <c r="U1508" s="20">
        <v>5.0</v>
      </c>
    </row>
    <row r="1509" ht="23.25" customHeight="1">
      <c r="A1509" s="17" t="str">
        <f>IF(COUNTIF('Icon Lookup'!C:C,B1509)&gt;0,LOOKUP(B1509,'Icon Lookup'!C:C,'Icon Lookup'!B:B),"")</f>
        <v/>
      </c>
      <c r="B1509" s="18" t="s">
        <v>271</v>
      </c>
      <c r="C1509" s="17"/>
      <c r="D1509" s="17">
        <v>42.0</v>
      </c>
      <c r="E1509" s="17" t="str">
        <f>IMAGE("https://www.serebii.net/itemdex/sprites/seaincense.png")</f>
        <v/>
      </c>
      <c r="F1509" s="17" t="s">
        <v>44</v>
      </c>
      <c r="G1509" s="17" t="s">
        <v>1494</v>
      </c>
      <c r="H1509" s="20" t="s">
        <v>1505</v>
      </c>
      <c r="I1509" s="17" t="s">
        <v>22</v>
      </c>
      <c r="J1509" s="17">
        <v>40.0</v>
      </c>
      <c r="K1509" s="17">
        <v>96.0</v>
      </c>
      <c r="L1509" s="17">
        <v>40.0</v>
      </c>
      <c r="M1509" s="17">
        <v>0.0</v>
      </c>
      <c r="N1509" s="17">
        <v>40.0</v>
      </c>
      <c r="O1509" s="17">
        <v>96.0</v>
      </c>
      <c r="P1509" s="17">
        <v>6.0</v>
      </c>
      <c r="Q1509" s="17">
        <v>6.0</v>
      </c>
      <c r="R1509" s="17">
        <v>6.0</v>
      </c>
      <c r="S1509" s="17">
        <v>6.0</v>
      </c>
      <c r="T1509" s="17">
        <v>6.0</v>
      </c>
      <c r="U1509" s="17">
        <v>6.0</v>
      </c>
    </row>
    <row r="1510" ht="23.25" customHeight="1">
      <c r="A1510" s="20" t="str">
        <f>IF(COUNTIF('Icon Lookup'!C:C,B1510)&gt;0,LOOKUP(B1510,'Icon Lookup'!C:C,'Icon Lookup'!B:B),"")</f>
        <v/>
      </c>
      <c r="B1510" s="21" t="s">
        <v>851</v>
      </c>
      <c r="C1510" s="20"/>
      <c r="D1510" s="20">
        <v>43.0</v>
      </c>
      <c r="E1510" s="20" t="s">
        <v>258</v>
      </c>
      <c r="G1510" s="22"/>
      <c r="H1510" s="23" t="s">
        <v>2010</v>
      </c>
      <c r="I1510" s="20" t="s">
        <v>22</v>
      </c>
      <c r="J1510" s="20">
        <v>40.0</v>
      </c>
      <c r="K1510" s="20">
        <v>104.0</v>
      </c>
      <c r="L1510" s="20">
        <v>40.0</v>
      </c>
      <c r="M1510" s="20">
        <v>0.0</v>
      </c>
      <c r="N1510" s="20">
        <v>40.0</v>
      </c>
      <c r="O1510" s="20">
        <v>96.0</v>
      </c>
      <c r="P1510" s="20">
        <v>9.0</v>
      </c>
      <c r="Q1510" s="20">
        <v>9.0</v>
      </c>
      <c r="R1510" s="20">
        <v>9.0</v>
      </c>
      <c r="S1510" s="20">
        <v>9.0</v>
      </c>
      <c r="T1510" s="20">
        <v>9.0</v>
      </c>
      <c r="U1510" s="20">
        <v>9.0</v>
      </c>
    </row>
    <row r="1511" ht="23.25" customHeight="1">
      <c r="A1511" s="17" t="str">
        <f>IF(COUNTIF('Icon Lookup'!C:C,B1511)&gt;0,LOOKUP(B1511,'Icon Lookup'!C:C,'Icon Lookup'!B:B),"")</f>
        <v/>
      </c>
      <c r="B1511" s="18" t="s">
        <v>198</v>
      </c>
      <c r="C1511" s="17"/>
      <c r="D1511" s="17">
        <v>42.0</v>
      </c>
      <c r="E1511" s="17" t="str">
        <f>IMAGE("https://www.serebii.net/itemdex/sprites/bigroot.png")</f>
        <v/>
      </c>
      <c r="F1511" s="17" t="s">
        <v>50</v>
      </c>
      <c r="G1511" s="17" t="s">
        <v>1122</v>
      </c>
      <c r="H1511" s="20" t="s">
        <v>2040</v>
      </c>
      <c r="I1511" s="17" t="s">
        <v>52</v>
      </c>
      <c r="J1511" s="17">
        <v>40.0</v>
      </c>
      <c r="K1511" s="17">
        <v>0.0</v>
      </c>
      <c r="L1511" s="17">
        <v>16.0</v>
      </c>
      <c r="M1511" s="17">
        <v>64.0</v>
      </c>
      <c r="N1511" s="17">
        <v>16.0</v>
      </c>
      <c r="O1511" s="17">
        <v>64.0</v>
      </c>
      <c r="P1511" s="17">
        <v>7.0</v>
      </c>
      <c r="Q1511" s="17">
        <v>7.0</v>
      </c>
      <c r="R1511" s="17">
        <v>7.0</v>
      </c>
      <c r="S1511" s="17">
        <v>7.0</v>
      </c>
      <c r="T1511" s="17">
        <v>7.0</v>
      </c>
      <c r="U1511" s="17">
        <v>7.0</v>
      </c>
    </row>
    <row r="1512" ht="23.25" customHeight="1">
      <c r="A1512" s="24" t="str">
        <f>IF(COUNTIF('Icon Lookup'!C:C,B1512)&gt;0,LOOKUP(B1512,'Icon Lookup'!C:C,'Icon Lookup'!B:B),"")</f>
        <v/>
      </c>
      <c r="B1512" s="25" t="s">
        <v>879</v>
      </c>
      <c r="C1512" s="24" t="s">
        <v>804</v>
      </c>
      <c r="D1512" s="24">
        <v>45.0</v>
      </c>
      <c r="E1512" s="24" t="str">
        <f>IMAGE("https://www.serebii.net/itemdex/sprites/shellbell.png")</f>
        <v/>
      </c>
      <c r="F1512" s="24" t="s">
        <v>145</v>
      </c>
      <c r="G1512" s="20" t="s">
        <v>1495</v>
      </c>
      <c r="H1512" s="23" t="s">
        <v>1527</v>
      </c>
      <c r="I1512" s="24" t="s">
        <v>22</v>
      </c>
      <c r="J1512" s="24">
        <v>52.0</v>
      </c>
      <c r="K1512" s="24">
        <v>124.0</v>
      </c>
      <c r="L1512" s="24">
        <v>52.0</v>
      </c>
      <c r="M1512" s="24">
        <v>0.0</v>
      </c>
      <c r="N1512" s="24">
        <v>52.0</v>
      </c>
      <c r="O1512" s="24">
        <v>164.0</v>
      </c>
      <c r="P1512" s="24">
        <v>11.0</v>
      </c>
      <c r="Q1512" s="24">
        <v>11.0</v>
      </c>
      <c r="R1512" s="24">
        <v>11.0</v>
      </c>
      <c r="S1512" s="24">
        <v>11.0</v>
      </c>
      <c r="T1512" s="24">
        <v>11.0</v>
      </c>
      <c r="U1512" s="24">
        <v>11.0</v>
      </c>
    </row>
    <row r="1513" ht="23.25" customHeight="1">
      <c r="A1513" s="1"/>
      <c r="B1513" s="15" t="s">
        <v>2041</v>
      </c>
      <c r="C1513" s="1" t="s">
        <v>17</v>
      </c>
      <c r="D1513" s="1" t="s">
        <v>807</v>
      </c>
      <c r="G1513" s="16"/>
      <c r="H1513" s="26" t="s">
        <v>808</v>
      </c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</row>
    <row r="1514" ht="23.25" customHeight="1">
      <c r="A1514" s="17" t="str">
        <f>IF(COUNTIF('Icon Lookup'!C:C,B1514)&gt;0,LOOKUP(B1514,'Icon Lookup'!C:C,'Icon Lookup'!B:B),"")</f>
        <v/>
      </c>
      <c r="B1514" s="18" t="s">
        <v>2007</v>
      </c>
      <c r="C1514" s="17"/>
      <c r="D1514" s="17">
        <v>42.0</v>
      </c>
      <c r="E1514" s="17" t="s">
        <v>382</v>
      </c>
      <c r="G1514" s="19"/>
      <c r="H1514" s="20" t="s">
        <v>2008</v>
      </c>
      <c r="I1514" s="17" t="s">
        <v>550</v>
      </c>
      <c r="J1514" s="17">
        <v>96.0</v>
      </c>
      <c r="K1514" s="17">
        <v>96.0</v>
      </c>
      <c r="L1514" s="17">
        <v>56.0</v>
      </c>
      <c r="M1514" s="17">
        <v>0.0</v>
      </c>
      <c r="N1514" s="17">
        <v>88.0</v>
      </c>
      <c r="O1514" s="17">
        <v>0.0</v>
      </c>
      <c r="P1514" s="17">
        <v>9.0</v>
      </c>
      <c r="Q1514" s="17">
        <v>9.0</v>
      </c>
      <c r="R1514" s="17">
        <v>9.0</v>
      </c>
      <c r="S1514" s="17">
        <v>9.0</v>
      </c>
      <c r="T1514" s="17">
        <v>9.0</v>
      </c>
      <c r="U1514" s="17">
        <v>9.0</v>
      </c>
    </row>
    <row r="1515" ht="23.25" customHeight="1">
      <c r="A1515" s="20" t="str">
        <f>IF(COUNTIF('Icon Lookup'!C:C,B1515)&gt;0,LOOKUP(B1515,'Icon Lookup'!C:C,'Icon Lookup'!B:B),"")</f>
        <v/>
      </c>
      <c r="B1515" s="21" t="s">
        <v>741</v>
      </c>
      <c r="C1515" s="20"/>
      <c r="D1515" s="20">
        <v>41.0</v>
      </c>
      <c r="E1515" s="20" t="str">
        <f>IMAGE("https://www.serebii.net/itemdex/sprites/quickclaw.png")</f>
        <v/>
      </c>
      <c r="F1515" s="20" t="s">
        <v>26</v>
      </c>
      <c r="G1515" s="20" t="s">
        <v>1371</v>
      </c>
      <c r="H1515" s="23" t="s">
        <v>2009</v>
      </c>
      <c r="I1515" s="20" t="s">
        <v>22</v>
      </c>
      <c r="J1515" s="20">
        <v>56.0</v>
      </c>
      <c r="K1515" s="20">
        <v>104.0</v>
      </c>
      <c r="L1515" s="20">
        <v>32.0</v>
      </c>
      <c r="M1515" s="20">
        <v>0.0</v>
      </c>
      <c r="N1515" s="20">
        <v>32.0</v>
      </c>
      <c r="O1515" s="20">
        <v>104.0</v>
      </c>
      <c r="P1515" s="20">
        <v>5.0</v>
      </c>
      <c r="Q1515" s="20">
        <v>5.0</v>
      </c>
      <c r="R1515" s="20">
        <v>5.0</v>
      </c>
      <c r="S1515" s="20">
        <v>5.0</v>
      </c>
      <c r="T1515" s="20">
        <v>5.0</v>
      </c>
      <c r="U1515" s="20">
        <v>5.0</v>
      </c>
    </row>
    <row r="1516" ht="23.25" customHeight="1">
      <c r="A1516" s="17" t="str">
        <f>IF(COUNTIF('Icon Lookup'!C:C,B1516)&gt;0,LOOKUP(B1516,'Icon Lookup'!C:C,'Icon Lookup'!B:B),"")</f>
        <v/>
      </c>
      <c r="B1516" s="18" t="s">
        <v>198</v>
      </c>
      <c r="C1516" s="17"/>
      <c r="D1516" s="17">
        <v>42.0</v>
      </c>
      <c r="E1516" s="17" t="str">
        <f>IMAGE("https://www.serebii.net/itemdex/sprites/bigroot.png")</f>
        <v/>
      </c>
      <c r="F1516" s="17" t="s">
        <v>959</v>
      </c>
      <c r="G1516" s="17" t="s">
        <v>1122</v>
      </c>
      <c r="H1516" s="20" t="s">
        <v>1512</v>
      </c>
      <c r="I1516" s="17" t="s">
        <v>52</v>
      </c>
      <c r="J1516" s="17">
        <v>40.0</v>
      </c>
      <c r="K1516" s="17">
        <v>0.0</v>
      </c>
      <c r="L1516" s="17">
        <v>40.0</v>
      </c>
      <c r="M1516" s="17">
        <v>96.0</v>
      </c>
      <c r="N1516" s="17">
        <v>40.0</v>
      </c>
      <c r="O1516" s="17">
        <v>96.0</v>
      </c>
      <c r="P1516" s="17">
        <v>6.0</v>
      </c>
      <c r="Q1516" s="17">
        <v>6.0</v>
      </c>
      <c r="R1516" s="17">
        <v>6.0</v>
      </c>
      <c r="S1516" s="17">
        <v>6.0</v>
      </c>
      <c r="T1516" s="17">
        <v>6.0</v>
      </c>
      <c r="U1516" s="17">
        <v>6.0</v>
      </c>
    </row>
    <row r="1517" ht="23.25" customHeight="1">
      <c r="A1517" s="20" t="str">
        <f>IF(COUNTIF('Icon Lookup'!C:C,B1517)&gt;0,LOOKUP(B1517,'Icon Lookup'!C:C,'Icon Lookup'!B:B),"")</f>
        <v/>
      </c>
      <c r="B1517" s="21" t="s">
        <v>851</v>
      </c>
      <c r="C1517" s="20"/>
      <c r="D1517" s="20">
        <v>43.0</v>
      </c>
      <c r="E1517" s="20" t="s">
        <v>258</v>
      </c>
      <c r="G1517" s="22"/>
      <c r="H1517" s="23" t="s">
        <v>2010</v>
      </c>
      <c r="I1517" s="20" t="s">
        <v>22</v>
      </c>
      <c r="J1517" s="20">
        <v>40.0</v>
      </c>
      <c r="K1517" s="20">
        <v>104.0</v>
      </c>
      <c r="L1517" s="20">
        <v>40.0</v>
      </c>
      <c r="M1517" s="20">
        <v>0.0</v>
      </c>
      <c r="N1517" s="20">
        <v>40.0</v>
      </c>
      <c r="O1517" s="20">
        <v>96.0</v>
      </c>
      <c r="P1517" s="20">
        <v>9.0</v>
      </c>
      <c r="Q1517" s="20">
        <v>9.0</v>
      </c>
      <c r="R1517" s="20">
        <v>9.0</v>
      </c>
      <c r="S1517" s="20">
        <v>9.0</v>
      </c>
      <c r="T1517" s="20">
        <v>9.0</v>
      </c>
      <c r="U1517" s="20">
        <v>9.0</v>
      </c>
    </row>
    <row r="1518" ht="23.25" customHeight="1">
      <c r="A1518" s="17" t="str">
        <f>IF(COUNTIF('Icon Lookup'!C:C,B1518)&gt;0,LOOKUP(B1518,'Icon Lookup'!C:C,'Icon Lookup'!B:B),"")</f>
        <v/>
      </c>
      <c r="B1518" s="18" t="s">
        <v>78</v>
      </c>
      <c r="C1518" s="17"/>
      <c r="D1518" s="17">
        <v>42.0</v>
      </c>
      <c r="E1518" s="17" t="str">
        <f>IMAGE("https://www.serebii.net/itemdex/sprites/shellbell.png")</f>
        <v/>
      </c>
      <c r="F1518" s="17" t="s">
        <v>79</v>
      </c>
      <c r="G1518" s="17" t="s">
        <v>1495</v>
      </c>
      <c r="H1518" s="20" t="s">
        <v>1513</v>
      </c>
      <c r="I1518" s="17" t="s">
        <v>22</v>
      </c>
      <c r="J1518" s="17">
        <v>40.0</v>
      </c>
      <c r="K1518" s="17">
        <v>64.0</v>
      </c>
      <c r="L1518" s="17">
        <v>16.0</v>
      </c>
      <c r="M1518" s="17">
        <v>0.0</v>
      </c>
      <c r="N1518" s="17">
        <v>16.0</v>
      </c>
      <c r="O1518" s="17">
        <v>64.0</v>
      </c>
      <c r="P1518" s="17">
        <v>7.0</v>
      </c>
      <c r="Q1518" s="17">
        <v>7.0</v>
      </c>
      <c r="R1518" s="17">
        <v>7.0</v>
      </c>
      <c r="S1518" s="17">
        <v>7.0</v>
      </c>
      <c r="T1518" s="17">
        <v>7.0</v>
      </c>
      <c r="U1518" s="17">
        <v>7.0</v>
      </c>
    </row>
    <row r="1519" ht="23.25" customHeight="1">
      <c r="A1519" s="24" t="str">
        <f>IF(COUNTIF('Icon Lookup'!C:C,B1519)&gt;0,LOOKUP(B1519,'Icon Lookup'!C:C,'Icon Lookup'!B:B),"")</f>
        <v/>
      </c>
      <c r="B1519" s="25" t="s">
        <v>737</v>
      </c>
      <c r="C1519" s="24" t="s">
        <v>804</v>
      </c>
      <c r="D1519" s="24">
        <v>45.0</v>
      </c>
      <c r="E1519" s="24" t="str">
        <f>IMAGE("https://www.serebii.net/itemdex/sprites/seaincense.png")</f>
        <v/>
      </c>
      <c r="F1519" s="24" t="s">
        <v>374</v>
      </c>
      <c r="G1519" s="20" t="s">
        <v>1494</v>
      </c>
      <c r="H1519" s="23" t="s">
        <v>1514</v>
      </c>
      <c r="I1519" s="24" t="s">
        <v>52</v>
      </c>
      <c r="J1519" s="24">
        <v>52.0</v>
      </c>
      <c r="K1519" s="24">
        <v>0.0</v>
      </c>
      <c r="L1519" s="24">
        <v>52.0</v>
      </c>
      <c r="M1519" s="24">
        <v>124.0</v>
      </c>
      <c r="N1519" s="24">
        <v>52.0</v>
      </c>
      <c r="O1519" s="24">
        <v>164.0</v>
      </c>
      <c r="P1519" s="24">
        <v>11.0</v>
      </c>
      <c r="Q1519" s="24">
        <v>11.0</v>
      </c>
      <c r="R1519" s="24">
        <v>11.0</v>
      </c>
      <c r="S1519" s="24">
        <v>11.0</v>
      </c>
      <c r="T1519" s="24">
        <v>11.0</v>
      </c>
      <c r="U1519" s="24">
        <v>11.0</v>
      </c>
    </row>
    <row r="1520" ht="23.25" customHeight="1">
      <c r="A1520" s="1"/>
      <c r="B1520" s="15" t="s">
        <v>2042</v>
      </c>
      <c r="C1520" s="1" t="s">
        <v>17</v>
      </c>
      <c r="D1520" s="1" t="s">
        <v>2029</v>
      </c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</row>
    <row r="1521" ht="23.25" customHeight="1">
      <c r="A1521" s="17" t="str">
        <f>IF(COUNTIF('Icon Lookup'!C:C,B1521)&gt;0,LOOKUP(B1521,'Icon Lookup'!C:C,'Icon Lookup'!B:B),"")</f>
        <v/>
      </c>
      <c r="B1521" s="18" t="s">
        <v>245</v>
      </c>
      <c r="C1521" s="17"/>
      <c r="D1521" s="17">
        <v>25.0</v>
      </c>
      <c r="E1521" s="17" t="s">
        <v>218</v>
      </c>
      <c r="G1521" s="19"/>
      <c r="H1521" s="20" t="s">
        <v>2043</v>
      </c>
      <c r="I1521" s="17" t="s">
        <v>905</v>
      </c>
      <c r="J1521" s="17">
        <v>172.0</v>
      </c>
      <c r="K1521" s="17">
        <v>0.0</v>
      </c>
      <c r="L1521" s="17">
        <v>168.0</v>
      </c>
      <c r="M1521" s="17">
        <v>0.0</v>
      </c>
      <c r="N1521" s="17">
        <v>168.0</v>
      </c>
      <c r="O1521" s="17">
        <v>0.0</v>
      </c>
      <c r="P1521" s="17">
        <v>31.0</v>
      </c>
      <c r="Q1521" s="17">
        <v>0.0</v>
      </c>
      <c r="R1521" s="17">
        <v>31.0</v>
      </c>
      <c r="S1521" s="17">
        <v>0.0</v>
      </c>
      <c r="T1521" s="17">
        <v>31.0</v>
      </c>
      <c r="U1521" s="17">
        <v>0.0</v>
      </c>
    </row>
    <row r="1522" ht="23.25" customHeight="1">
      <c r="A1522" s="20" t="str">
        <f>IF(COUNTIF('Icon Lookup'!C:C,B1522)&gt;0,LOOKUP(B1522,'Icon Lookup'!C:C,'Icon Lookup'!B:B),"")</f>
        <v/>
      </c>
      <c r="B1522" s="21" t="s">
        <v>386</v>
      </c>
      <c r="C1522" s="20"/>
      <c r="D1522" s="20">
        <v>25.0</v>
      </c>
      <c r="E1522" s="20" t="s">
        <v>387</v>
      </c>
      <c r="G1522" s="22"/>
      <c r="H1522" s="23" t="s">
        <v>1006</v>
      </c>
      <c r="I1522" s="20" t="s">
        <v>612</v>
      </c>
      <c r="J1522" s="20">
        <v>172.0</v>
      </c>
      <c r="K1522" s="20">
        <v>0.0</v>
      </c>
      <c r="L1522" s="20">
        <v>168.0</v>
      </c>
      <c r="M1522" s="20">
        <v>0.0</v>
      </c>
      <c r="N1522" s="20">
        <v>168.0</v>
      </c>
      <c r="O1522" s="20">
        <v>0.0</v>
      </c>
      <c r="P1522" s="20">
        <v>31.0</v>
      </c>
      <c r="Q1522" s="20">
        <v>0.0</v>
      </c>
      <c r="R1522" s="20">
        <v>31.0</v>
      </c>
      <c r="S1522" s="20">
        <v>0.0</v>
      </c>
      <c r="T1522" s="20">
        <v>31.0</v>
      </c>
      <c r="U1522" s="20">
        <v>0.0</v>
      </c>
    </row>
    <row r="1523" ht="23.25" customHeight="1">
      <c r="A1523" s="17" t="str">
        <f>IF(COUNTIF('Icon Lookup'!C:C,B1523)&gt;0,LOOKUP(B1523,'Icon Lookup'!C:C,'Icon Lookup'!B:B),"")</f>
        <v/>
      </c>
      <c r="B1523" s="18" t="s">
        <v>373</v>
      </c>
      <c r="C1523" s="17"/>
      <c r="D1523" s="17">
        <v>28.0</v>
      </c>
      <c r="E1523" s="17" t="s">
        <v>374</v>
      </c>
      <c r="G1523" s="19"/>
      <c r="H1523" s="20" t="s">
        <v>2044</v>
      </c>
      <c r="I1523" s="17" t="s">
        <v>94</v>
      </c>
      <c r="J1523" s="17">
        <v>172.0</v>
      </c>
      <c r="K1523" s="17">
        <v>0.0</v>
      </c>
      <c r="L1523" s="17">
        <v>168.0</v>
      </c>
      <c r="M1523" s="17">
        <v>0.0</v>
      </c>
      <c r="N1523" s="17">
        <v>168.0</v>
      </c>
      <c r="O1523" s="17">
        <v>0.0</v>
      </c>
      <c r="P1523" s="17">
        <v>31.0</v>
      </c>
      <c r="Q1523" s="17">
        <v>0.0</v>
      </c>
      <c r="R1523" s="17">
        <v>31.0</v>
      </c>
      <c r="S1523" s="17">
        <v>0.0</v>
      </c>
      <c r="T1523" s="17">
        <v>31.0</v>
      </c>
      <c r="U1523" s="17">
        <v>0.0</v>
      </c>
    </row>
    <row r="1524" ht="23.25" customHeight="1">
      <c r="A1524" s="1"/>
      <c r="B1524" s="15" t="s">
        <v>2045</v>
      </c>
      <c r="C1524" s="1" t="s">
        <v>17</v>
      </c>
      <c r="D1524" s="1" t="s">
        <v>2029</v>
      </c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</row>
    <row r="1525" ht="23.25" customHeight="1">
      <c r="A1525" s="20" t="str">
        <f>IF(COUNTIF('Icon Lookup'!C:C,B1525)&gt;0,LOOKUP(B1525,'Icon Lookup'!C:C,'Icon Lookup'!B:B),"")</f>
        <v/>
      </c>
      <c r="B1525" s="21" t="s">
        <v>245</v>
      </c>
      <c r="C1525" s="20"/>
      <c r="D1525" s="20">
        <v>25.0</v>
      </c>
      <c r="E1525" s="20" t="s">
        <v>218</v>
      </c>
      <c r="G1525" s="22"/>
      <c r="H1525" s="23" t="s">
        <v>2043</v>
      </c>
      <c r="I1525" s="20" t="s">
        <v>905</v>
      </c>
      <c r="J1525" s="20">
        <v>172.0</v>
      </c>
      <c r="K1525" s="20">
        <v>0.0</v>
      </c>
      <c r="L1525" s="20">
        <v>168.0</v>
      </c>
      <c r="M1525" s="20">
        <v>0.0</v>
      </c>
      <c r="N1525" s="20">
        <v>168.0</v>
      </c>
      <c r="O1525" s="20">
        <v>0.0</v>
      </c>
      <c r="P1525" s="20">
        <v>31.0</v>
      </c>
      <c r="Q1525" s="20">
        <v>0.0</v>
      </c>
      <c r="R1525" s="20">
        <v>31.0</v>
      </c>
      <c r="S1525" s="20">
        <v>0.0</v>
      </c>
      <c r="T1525" s="20">
        <v>31.0</v>
      </c>
      <c r="U1525" s="20">
        <v>0.0</v>
      </c>
    </row>
    <row r="1526" ht="23.25" customHeight="1">
      <c r="A1526" s="17" t="str">
        <f>IF(COUNTIF('Icon Lookup'!C:C,B1526)&gt;0,LOOKUP(B1526,'Icon Lookup'!C:C,'Icon Lookup'!B:B),"")</f>
        <v/>
      </c>
      <c r="B1526" s="18" t="s">
        <v>386</v>
      </c>
      <c r="C1526" s="17"/>
      <c r="D1526" s="17">
        <v>25.0</v>
      </c>
      <c r="E1526" s="17" t="s">
        <v>387</v>
      </c>
      <c r="G1526" s="19"/>
      <c r="H1526" s="20" t="s">
        <v>1006</v>
      </c>
      <c r="I1526" s="17" t="s">
        <v>612</v>
      </c>
      <c r="J1526" s="17">
        <v>172.0</v>
      </c>
      <c r="K1526" s="17">
        <v>0.0</v>
      </c>
      <c r="L1526" s="17">
        <v>168.0</v>
      </c>
      <c r="M1526" s="17">
        <v>0.0</v>
      </c>
      <c r="N1526" s="17">
        <v>168.0</v>
      </c>
      <c r="O1526" s="17">
        <v>0.0</v>
      </c>
      <c r="P1526" s="17">
        <v>31.0</v>
      </c>
      <c r="Q1526" s="17">
        <v>0.0</v>
      </c>
      <c r="R1526" s="17">
        <v>31.0</v>
      </c>
      <c r="S1526" s="17">
        <v>0.0</v>
      </c>
      <c r="T1526" s="17">
        <v>31.0</v>
      </c>
      <c r="U1526" s="17">
        <v>0.0</v>
      </c>
    </row>
    <row r="1527" ht="23.25" customHeight="1">
      <c r="A1527" s="20" t="str">
        <f>IF(COUNTIF('Icon Lookup'!C:C,B1527)&gt;0,LOOKUP(B1527,'Icon Lookup'!C:C,'Icon Lookup'!B:B),"")</f>
        <v/>
      </c>
      <c r="B1527" s="21" t="s">
        <v>266</v>
      </c>
      <c r="C1527" s="20"/>
      <c r="D1527" s="20">
        <v>28.0</v>
      </c>
      <c r="E1527" s="20" t="s">
        <v>267</v>
      </c>
      <c r="G1527" s="22"/>
      <c r="H1527" s="23" t="s">
        <v>268</v>
      </c>
      <c r="I1527" s="20" t="s">
        <v>822</v>
      </c>
      <c r="J1527" s="20">
        <v>172.0</v>
      </c>
      <c r="K1527" s="20">
        <v>0.0</v>
      </c>
      <c r="L1527" s="20">
        <v>168.0</v>
      </c>
      <c r="M1527" s="20">
        <v>0.0</v>
      </c>
      <c r="N1527" s="20">
        <v>168.0</v>
      </c>
      <c r="O1527" s="20">
        <v>0.0</v>
      </c>
      <c r="P1527" s="20">
        <v>31.0</v>
      </c>
      <c r="Q1527" s="20">
        <v>0.0</v>
      </c>
      <c r="R1527" s="20">
        <v>31.0</v>
      </c>
      <c r="S1527" s="20">
        <v>0.0</v>
      </c>
      <c r="T1527" s="20">
        <v>31.0</v>
      </c>
      <c r="U1527" s="20">
        <v>0.0</v>
      </c>
    </row>
    <row r="1528" ht="23.25" customHeight="1">
      <c r="A1528" s="1"/>
      <c r="B1528" s="15" t="s">
        <v>2046</v>
      </c>
      <c r="C1528" s="1" t="s">
        <v>17</v>
      </c>
      <c r="D1528" s="1" t="s">
        <v>2029</v>
      </c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</row>
    <row r="1529" ht="23.25" customHeight="1">
      <c r="A1529" s="17" t="str">
        <f>IF(COUNTIF('Icon Lookup'!C:C,B1529)&gt;0,LOOKUP(B1529,'Icon Lookup'!C:C,'Icon Lookup'!B:B),"")</f>
        <v/>
      </c>
      <c r="B1529" s="18" t="s">
        <v>245</v>
      </c>
      <c r="C1529" s="17"/>
      <c r="D1529" s="17">
        <v>25.0</v>
      </c>
      <c r="E1529" s="17" t="s">
        <v>218</v>
      </c>
      <c r="G1529" s="19"/>
      <c r="H1529" s="20" t="s">
        <v>2043</v>
      </c>
      <c r="I1529" s="17" t="s">
        <v>905</v>
      </c>
      <c r="J1529" s="17">
        <v>172.0</v>
      </c>
      <c r="K1529" s="17">
        <v>0.0</v>
      </c>
      <c r="L1529" s="17">
        <v>168.0</v>
      </c>
      <c r="M1529" s="17">
        <v>0.0</v>
      </c>
      <c r="N1529" s="17">
        <v>168.0</v>
      </c>
      <c r="O1529" s="17">
        <v>0.0</v>
      </c>
      <c r="P1529" s="17">
        <v>31.0</v>
      </c>
      <c r="Q1529" s="17">
        <v>0.0</v>
      </c>
      <c r="R1529" s="17">
        <v>31.0</v>
      </c>
      <c r="S1529" s="17">
        <v>0.0</v>
      </c>
      <c r="T1529" s="17">
        <v>31.0</v>
      </c>
      <c r="U1529" s="17">
        <v>0.0</v>
      </c>
    </row>
    <row r="1530" ht="23.25" customHeight="1">
      <c r="A1530" s="20" t="str">
        <f>IF(COUNTIF('Icon Lookup'!C:C,B1530)&gt;0,LOOKUP(B1530,'Icon Lookup'!C:C,'Icon Lookup'!B:B),"")</f>
        <v/>
      </c>
      <c r="B1530" s="21" t="s">
        <v>386</v>
      </c>
      <c r="C1530" s="20"/>
      <c r="D1530" s="20">
        <v>25.0</v>
      </c>
      <c r="E1530" s="20" t="s">
        <v>387</v>
      </c>
      <c r="G1530" s="22"/>
      <c r="H1530" s="23" t="s">
        <v>1006</v>
      </c>
      <c r="I1530" s="20" t="s">
        <v>612</v>
      </c>
      <c r="J1530" s="20">
        <v>172.0</v>
      </c>
      <c r="K1530" s="20">
        <v>0.0</v>
      </c>
      <c r="L1530" s="20">
        <v>168.0</v>
      </c>
      <c r="M1530" s="20">
        <v>0.0</v>
      </c>
      <c r="N1530" s="20">
        <v>168.0</v>
      </c>
      <c r="O1530" s="20">
        <v>0.0</v>
      </c>
      <c r="P1530" s="20">
        <v>31.0</v>
      </c>
      <c r="Q1530" s="20">
        <v>0.0</v>
      </c>
      <c r="R1530" s="20">
        <v>31.0</v>
      </c>
      <c r="S1530" s="20">
        <v>0.0</v>
      </c>
      <c r="T1530" s="20">
        <v>31.0</v>
      </c>
      <c r="U1530" s="20">
        <v>0.0</v>
      </c>
    </row>
    <row r="1531" ht="23.25" customHeight="1">
      <c r="A1531" s="17" t="str">
        <f>IF(COUNTIF('Icon Lookup'!C:C,B1531)&gt;0,LOOKUP(B1531,'Icon Lookup'!C:C,'Icon Lookup'!B:B),"")</f>
        <v/>
      </c>
      <c r="B1531" s="18" t="s">
        <v>965</v>
      </c>
      <c r="C1531" s="17"/>
      <c r="D1531" s="17">
        <v>28.0</v>
      </c>
      <c r="E1531" s="17" t="s">
        <v>145</v>
      </c>
      <c r="G1531" s="19"/>
      <c r="H1531" s="20" t="s">
        <v>2047</v>
      </c>
      <c r="I1531" s="17" t="s">
        <v>22</v>
      </c>
      <c r="J1531" s="17">
        <v>172.0</v>
      </c>
      <c r="K1531" s="17">
        <v>0.0</v>
      </c>
      <c r="L1531" s="17">
        <v>168.0</v>
      </c>
      <c r="M1531" s="17">
        <v>0.0</v>
      </c>
      <c r="N1531" s="17">
        <v>168.0</v>
      </c>
      <c r="O1531" s="17">
        <v>0.0</v>
      </c>
      <c r="P1531" s="17">
        <v>31.0</v>
      </c>
      <c r="Q1531" s="17">
        <v>0.0</v>
      </c>
      <c r="R1531" s="17">
        <v>31.0</v>
      </c>
      <c r="S1531" s="17">
        <v>0.0</v>
      </c>
      <c r="T1531" s="17">
        <v>31.0</v>
      </c>
      <c r="U1531" s="17">
        <v>0.0</v>
      </c>
    </row>
    <row r="1532" ht="23.25" customHeight="1">
      <c r="A1532" s="1"/>
      <c r="B1532" s="15" t="s">
        <v>2048</v>
      </c>
      <c r="C1532" s="1" t="s">
        <v>17</v>
      </c>
      <c r="D1532" s="1" t="s">
        <v>2036</v>
      </c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</row>
    <row r="1533" ht="23.25" customHeight="1">
      <c r="A1533" s="20" t="str">
        <f>IF(COUNTIF('Icon Lookup'!C:C,B1533)&gt;0,LOOKUP(B1533,'Icon Lookup'!C:C,'Icon Lookup'!B:B),"")</f>
        <v/>
      </c>
      <c r="B1533" s="21" t="s">
        <v>245</v>
      </c>
      <c r="C1533" s="20"/>
      <c r="D1533" s="20">
        <v>25.0</v>
      </c>
      <c r="E1533" s="20" t="s">
        <v>218</v>
      </c>
      <c r="G1533" s="22"/>
      <c r="H1533" s="23" t="s">
        <v>2043</v>
      </c>
      <c r="I1533" s="20" t="s">
        <v>905</v>
      </c>
      <c r="J1533" s="20">
        <v>172.0</v>
      </c>
      <c r="K1533" s="20">
        <v>0.0</v>
      </c>
      <c r="L1533" s="20">
        <v>168.0</v>
      </c>
      <c r="M1533" s="20">
        <v>0.0</v>
      </c>
      <c r="N1533" s="20">
        <v>168.0</v>
      </c>
      <c r="O1533" s="20">
        <v>0.0</v>
      </c>
      <c r="P1533" s="20">
        <v>31.0</v>
      </c>
      <c r="Q1533" s="20">
        <v>0.0</v>
      </c>
      <c r="R1533" s="20">
        <v>31.0</v>
      </c>
      <c r="S1533" s="20">
        <v>0.0</v>
      </c>
      <c r="T1533" s="20">
        <v>31.0</v>
      </c>
      <c r="U1533" s="20">
        <v>0.0</v>
      </c>
    </row>
    <row r="1534" ht="23.25" customHeight="1">
      <c r="A1534" s="17" t="str">
        <f>IF(COUNTIF('Icon Lookup'!C:C,B1534)&gt;0,LOOKUP(B1534,'Icon Lookup'!C:C,'Icon Lookup'!B:B),"")</f>
        <v/>
      </c>
      <c r="B1534" s="18" t="s">
        <v>386</v>
      </c>
      <c r="C1534" s="17"/>
      <c r="D1534" s="17">
        <v>25.0</v>
      </c>
      <c r="E1534" s="17" t="s">
        <v>387</v>
      </c>
      <c r="G1534" s="19"/>
      <c r="H1534" s="20" t="s">
        <v>1006</v>
      </c>
      <c r="I1534" s="17" t="s">
        <v>612</v>
      </c>
      <c r="J1534" s="17">
        <v>172.0</v>
      </c>
      <c r="K1534" s="17">
        <v>0.0</v>
      </c>
      <c r="L1534" s="17">
        <v>168.0</v>
      </c>
      <c r="M1534" s="17">
        <v>0.0</v>
      </c>
      <c r="N1534" s="17">
        <v>168.0</v>
      </c>
      <c r="O1534" s="17">
        <v>0.0</v>
      </c>
      <c r="P1534" s="17">
        <v>31.0</v>
      </c>
      <c r="Q1534" s="17">
        <v>0.0</v>
      </c>
      <c r="R1534" s="17">
        <v>31.0</v>
      </c>
      <c r="S1534" s="17">
        <v>0.0</v>
      </c>
      <c r="T1534" s="17">
        <v>31.0</v>
      </c>
      <c r="U1534" s="17">
        <v>0.0</v>
      </c>
    </row>
    <row r="1535" ht="23.25" customHeight="1">
      <c r="A1535" s="20" t="str">
        <f>IF(COUNTIF('Icon Lookup'!C:C,B1535)&gt;0,LOOKUP(B1535,'Icon Lookup'!C:C,'Icon Lookup'!B:B),"")</f>
        <v/>
      </c>
      <c r="B1535" s="21" t="s">
        <v>373</v>
      </c>
      <c r="C1535" s="20"/>
      <c r="D1535" s="20">
        <v>28.0</v>
      </c>
      <c r="E1535" s="20" t="s">
        <v>374</v>
      </c>
      <c r="G1535" s="22"/>
      <c r="H1535" s="23" t="s">
        <v>2044</v>
      </c>
      <c r="I1535" s="20" t="s">
        <v>94</v>
      </c>
      <c r="J1535" s="20">
        <v>172.0</v>
      </c>
      <c r="K1535" s="20">
        <v>0.0</v>
      </c>
      <c r="L1535" s="20">
        <v>168.0</v>
      </c>
      <c r="M1535" s="20">
        <v>0.0</v>
      </c>
      <c r="N1535" s="20">
        <v>168.0</v>
      </c>
      <c r="O1535" s="20">
        <v>0.0</v>
      </c>
      <c r="P1535" s="20">
        <v>31.0</v>
      </c>
      <c r="Q1535" s="20">
        <v>0.0</v>
      </c>
      <c r="R1535" s="20">
        <v>31.0</v>
      </c>
      <c r="S1535" s="20">
        <v>0.0</v>
      </c>
      <c r="T1535" s="20">
        <v>31.0</v>
      </c>
      <c r="U1535" s="20">
        <v>0.0</v>
      </c>
    </row>
    <row r="1536" ht="23.25" customHeight="1">
      <c r="A1536" s="1"/>
      <c r="B1536" s="15" t="s">
        <v>2049</v>
      </c>
      <c r="C1536" s="1" t="s">
        <v>17</v>
      </c>
      <c r="D1536" s="1" t="s">
        <v>2036</v>
      </c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</row>
    <row r="1537" ht="23.25" customHeight="1">
      <c r="A1537" s="17" t="str">
        <f>IF(COUNTIF('Icon Lookup'!C:C,B1537)&gt;0,LOOKUP(B1537,'Icon Lookup'!C:C,'Icon Lookup'!B:B),"")</f>
        <v/>
      </c>
      <c r="B1537" s="18" t="s">
        <v>245</v>
      </c>
      <c r="C1537" s="17"/>
      <c r="D1537" s="17">
        <v>25.0</v>
      </c>
      <c r="E1537" s="17" t="s">
        <v>218</v>
      </c>
      <c r="G1537" s="19"/>
      <c r="H1537" s="20" t="s">
        <v>2043</v>
      </c>
      <c r="I1537" s="17" t="s">
        <v>905</v>
      </c>
      <c r="J1537" s="17">
        <v>172.0</v>
      </c>
      <c r="K1537" s="17">
        <v>0.0</v>
      </c>
      <c r="L1537" s="17">
        <v>168.0</v>
      </c>
      <c r="M1537" s="17">
        <v>0.0</v>
      </c>
      <c r="N1537" s="17">
        <v>168.0</v>
      </c>
      <c r="O1537" s="17">
        <v>0.0</v>
      </c>
      <c r="P1537" s="17">
        <v>31.0</v>
      </c>
      <c r="Q1537" s="17">
        <v>0.0</v>
      </c>
      <c r="R1537" s="17">
        <v>31.0</v>
      </c>
      <c r="S1537" s="17">
        <v>0.0</v>
      </c>
      <c r="T1537" s="17">
        <v>31.0</v>
      </c>
      <c r="U1537" s="17">
        <v>0.0</v>
      </c>
    </row>
    <row r="1538" ht="23.25" customHeight="1">
      <c r="A1538" s="20" t="str">
        <f>IF(COUNTIF('Icon Lookup'!C:C,B1538)&gt;0,LOOKUP(B1538,'Icon Lookup'!C:C,'Icon Lookup'!B:B),"")</f>
        <v/>
      </c>
      <c r="B1538" s="21" t="s">
        <v>386</v>
      </c>
      <c r="C1538" s="20"/>
      <c r="D1538" s="20">
        <v>25.0</v>
      </c>
      <c r="E1538" s="20" t="s">
        <v>387</v>
      </c>
      <c r="G1538" s="22"/>
      <c r="H1538" s="23" t="s">
        <v>1006</v>
      </c>
      <c r="I1538" s="20" t="s">
        <v>612</v>
      </c>
      <c r="J1538" s="20">
        <v>172.0</v>
      </c>
      <c r="K1538" s="20">
        <v>0.0</v>
      </c>
      <c r="L1538" s="20">
        <v>168.0</v>
      </c>
      <c r="M1538" s="20">
        <v>0.0</v>
      </c>
      <c r="N1538" s="20">
        <v>168.0</v>
      </c>
      <c r="O1538" s="20">
        <v>0.0</v>
      </c>
      <c r="P1538" s="20">
        <v>31.0</v>
      </c>
      <c r="Q1538" s="20">
        <v>0.0</v>
      </c>
      <c r="R1538" s="20">
        <v>31.0</v>
      </c>
      <c r="S1538" s="20">
        <v>0.0</v>
      </c>
      <c r="T1538" s="20">
        <v>31.0</v>
      </c>
      <c r="U1538" s="20">
        <v>0.0</v>
      </c>
    </row>
    <row r="1539" ht="23.25" customHeight="1">
      <c r="A1539" s="17" t="str">
        <f>IF(COUNTIF('Icon Lookup'!C:C,B1539)&gt;0,LOOKUP(B1539,'Icon Lookup'!C:C,'Icon Lookup'!B:B),"")</f>
        <v/>
      </c>
      <c r="B1539" s="18" t="s">
        <v>266</v>
      </c>
      <c r="C1539" s="17"/>
      <c r="D1539" s="17">
        <v>28.0</v>
      </c>
      <c r="E1539" s="17" t="s">
        <v>267</v>
      </c>
      <c r="G1539" s="19"/>
      <c r="H1539" s="20" t="s">
        <v>268</v>
      </c>
      <c r="I1539" s="17" t="s">
        <v>822</v>
      </c>
      <c r="J1539" s="17">
        <v>172.0</v>
      </c>
      <c r="K1539" s="17">
        <v>0.0</v>
      </c>
      <c r="L1539" s="17">
        <v>168.0</v>
      </c>
      <c r="M1539" s="17">
        <v>0.0</v>
      </c>
      <c r="N1539" s="17">
        <v>168.0</v>
      </c>
      <c r="O1539" s="17">
        <v>0.0</v>
      </c>
      <c r="P1539" s="17">
        <v>31.0</v>
      </c>
      <c r="Q1539" s="17">
        <v>0.0</v>
      </c>
      <c r="R1539" s="17">
        <v>31.0</v>
      </c>
      <c r="S1539" s="17">
        <v>0.0</v>
      </c>
      <c r="T1539" s="17">
        <v>31.0</v>
      </c>
      <c r="U1539" s="17">
        <v>0.0</v>
      </c>
    </row>
    <row r="1540" ht="23.25" customHeight="1">
      <c r="A1540" s="1"/>
      <c r="B1540" s="15" t="s">
        <v>2050</v>
      </c>
      <c r="C1540" s="1" t="s">
        <v>17</v>
      </c>
      <c r="D1540" s="1" t="s">
        <v>2036</v>
      </c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</row>
    <row r="1541" ht="23.25" customHeight="1">
      <c r="A1541" s="20" t="str">
        <f>IF(COUNTIF('Icon Lookup'!C:C,B1541)&gt;0,LOOKUP(B1541,'Icon Lookup'!C:C,'Icon Lookup'!B:B),"")</f>
        <v/>
      </c>
      <c r="B1541" s="21" t="s">
        <v>245</v>
      </c>
      <c r="C1541" s="20"/>
      <c r="D1541" s="20">
        <v>25.0</v>
      </c>
      <c r="E1541" s="20" t="s">
        <v>218</v>
      </c>
      <c r="G1541" s="22"/>
      <c r="H1541" s="23" t="s">
        <v>2043</v>
      </c>
      <c r="I1541" s="20" t="s">
        <v>905</v>
      </c>
      <c r="J1541" s="20">
        <v>172.0</v>
      </c>
      <c r="K1541" s="20">
        <v>0.0</v>
      </c>
      <c r="L1541" s="20">
        <v>168.0</v>
      </c>
      <c r="M1541" s="20">
        <v>0.0</v>
      </c>
      <c r="N1541" s="20">
        <v>168.0</v>
      </c>
      <c r="O1541" s="20">
        <v>0.0</v>
      </c>
      <c r="P1541" s="20">
        <v>31.0</v>
      </c>
      <c r="Q1541" s="20">
        <v>0.0</v>
      </c>
      <c r="R1541" s="20">
        <v>31.0</v>
      </c>
      <c r="S1541" s="20">
        <v>0.0</v>
      </c>
      <c r="T1541" s="20">
        <v>31.0</v>
      </c>
      <c r="U1541" s="20">
        <v>0.0</v>
      </c>
    </row>
    <row r="1542" ht="23.25" customHeight="1">
      <c r="A1542" s="17" t="str">
        <f>IF(COUNTIF('Icon Lookup'!C:C,B1542)&gt;0,LOOKUP(B1542,'Icon Lookup'!C:C,'Icon Lookup'!B:B),"")</f>
        <v/>
      </c>
      <c r="B1542" s="18" t="s">
        <v>386</v>
      </c>
      <c r="C1542" s="17"/>
      <c r="D1542" s="17">
        <v>25.0</v>
      </c>
      <c r="E1542" s="17" t="s">
        <v>387</v>
      </c>
      <c r="G1542" s="19"/>
      <c r="H1542" s="20" t="s">
        <v>1006</v>
      </c>
      <c r="I1542" s="17" t="s">
        <v>612</v>
      </c>
      <c r="J1542" s="17">
        <v>172.0</v>
      </c>
      <c r="K1542" s="17">
        <v>0.0</v>
      </c>
      <c r="L1542" s="17">
        <v>168.0</v>
      </c>
      <c r="M1542" s="17">
        <v>0.0</v>
      </c>
      <c r="N1542" s="17">
        <v>168.0</v>
      </c>
      <c r="O1542" s="17">
        <v>0.0</v>
      </c>
      <c r="P1542" s="17">
        <v>31.0</v>
      </c>
      <c r="Q1542" s="17">
        <v>0.0</v>
      </c>
      <c r="R1542" s="17">
        <v>31.0</v>
      </c>
      <c r="S1542" s="17">
        <v>0.0</v>
      </c>
      <c r="T1542" s="17">
        <v>31.0</v>
      </c>
      <c r="U1542" s="17">
        <v>0.0</v>
      </c>
    </row>
    <row r="1543" ht="23.25" customHeight="1">
      <c r="A1543" s="20" t="str">
        <f>IF(COUNTIF('Icon Lookup'!C:C,B1543)&gt;0,LOOKUP(B1543,'Icon Lookup'!C:C,'Icon Lookup'!B:B),"")</f>
        <v/>
      </c>
      <c r="B1543" s="21" t="s">
        <v>965</v>
      </c>
      <c r="C1543" s="20"/>
      <c r="D1543" s="20">
        <v>28.0</v>
      </c>
      <c r="E1543" s="20" t="s">
        <v>145</v>
      </c>
      <c r="G1543" s="22"/>
      <c r="H1543" s="23" t="s">
        <v>2047</v>
      </c>
      <c r="I1543" s="20" t="s">
        <v>22</v>
      </c>
      <c r="J1543" s="20">
        <v>172.0</v>
      </c>
      <c r="K1543" s="20">
        <v>0.0</v>
      </c>
      <c r="L1543" s="20">
        <v>168.0</v>
      </c>
      <c r="M1543" s="20">
        <v>0.0</v>
      </c>
      <c r="N1543" s="20">
        <v>168.0</v>
      </c>
      <c r="O1543" s="20">
        <v>0.0</v>
      </c>
      <c r="P1543" s="20">
        <v>31.0</v>
      </c>
      <c r="Q1543" s="20">
        <v>0.0</v>
      </c>
      <c r="R1543" s="20">
        <v>31.0</v>
      </c>
      <c r="S1543" s="20">
        <v>0.0</v>
      </c>
      <c r="T1543" s="20">
        <v>31.0</v>
      </c>
      <c r="U1543" s="20">
        <v>0.0</v>
      </c>
    </row>
    <row r="1544" ht="23.25" customHeight="1">
      <c r="A1544" s="1"/>
      <c r="B1544" s="15" t="s">
        <v>2051</v>
      </c>
      <c r="C1544" s="1" t="s">
        <v>17</v>
      </c>
      <c r="D1544" s="1" t="s">
        <v>104</v>
      </c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</row>
    <row r="1545" ht="23.25" customHeight="1">
      <c r="A1545" s="17" t="str">
        <f>IF(COUNTIF('Icon Lookup'!C:C,B1545)&gt;0,LOOKUP(B1545,'Icon Lookup'!C:C,'Icon Lookup'!B:B),"")</f>
        <v/>
      </c>
      <c r="B1545" s="18" t="s">
        <v>49</v>
      </c>
      <c r="C1545" s="17"/>
      <c r="D1545" s="17">
        <v>19.0</v>
      </c>
      <c r="E1545" s="17" t="s">
        <v>50</v>
      </c>
      <c r="G1545" s="19"/>
      <c r="H1545" s="20" t="s">
        <v>51</v>
      </c>
      <c r="I1545" s="17" t="s">
        <v>105</v>
      </c>
      <c r="J1545" s="17">
        <v>0.0</v>
      </c>
      <c r="K1545" s="17">
        <v>0.0</v>
      </c>
      <c r="L1545" s="17">
        <v>0.0</v>
      </c>
      <c r="M1545" s="17">
        <v>0.0</v>
      </c>
      <c r="N1545" s="17">
        <v>0.0</v>
      </c>
      <c r="O1545" s="17">
        <v>0.0</v>
      </c>
      <c r="P1545" s="17">
        <v>0.0</v>
      </c>
      <c r="Q1545" s="17">
        <v>0.0</v>
      </c>
      <c r="R1545" s="17">
        <v>0.0</v>
      </c>
      <c r="S1545" s="17">
        <v>0.0</v>
      </c>
      <c r="T1545" s="17">
        <v>0.0</v>
      </c>
      <c r="U1545" s="17">
        <v>0.0</v>
      </c>
    </row>
    <row r="1546" ht="23.25" customHeight="1">
      <c r="A1546" s="1"/>
      <c r="B1546" s="15" t="s">
        <v>2052</v>
      </c>
      <c r="C1546" s="1" t="s">
        <v>17</v>
      </c>
      <c r="D1546" s="1" t="s">
        <v>104</v>
      </c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</row>
    <row r="1547" ht="23.25" customHeight="1">
      <c r="A1547" s="20" t="str">
        <f>IF(COUNTIF('Icon Lookup'!C:C,B1547)&gt;0,LOOKUP(B1547,'Icon Lookup'!C:C,'Icon Lookup'!B:B),"")</f>
        <v/>
      </c>
      <c r="B1547" s="21" t="s">
        <v>198</v>
      </c>
      <c r="C1547" s="20"/>
      <c r="D1547" s="20">
        <v>31.0</v>
      </c>
      <c r="E1547" s="20" t="s">
        <v>50</v>
      </c>
      <c r="G1547" s="22"/>
      <c r="H1547" s="23" t="s">
        <v>2053</v>
      </c>
      <c r="I1547" s="20" t="s">
        <v>105</v>
      </c>
      <c r="J1547" s="20">
        <v>0.0</v>
      </c>
      <c r="K1547" s="20">
        <v>0.0</v>
      </c>
      <c r="L1547" s="20">
        <v>0.0</v>
      </c>
      <c r="M1547" s="20">
        <v>0.0</v>
      </c>
      <c r="N1547" s="20">
        <v>0.0</v>
      </c>
      <c r="O1547" s="20">
        <v>0.0</v>
      </c>
      <c r="P1547" s="20">
        <v>0.0</v>
      </c>
      <c r="Q1547" s="20">
        <v>0.0</v>
      </c>
      <c r="R1547" s="20">
        <v>0.0</v>
      </c>
      <c r="S1547" s="20">
        <v>0.0</v>
      </c>
      <c r="T1547" s="20">
        <v>0.0</v>
      </c>
      <c r="U1547" s="20">
        <v>0.0</v>
      </c>
    </row>
    <row r="1548" ht="23.25" customHeight="1">
      <c r="A1548" s="1"/>
      <c r="B1548" s="15" t="s">
        <v>2054</v>
      </c>
      <c r="C1548" s="1" t="s">
        <v>17</v>
      </c>
      <c r="D1548" s="1" t="s">
        <v>104</v>
      </c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</row>
    <row r="1549" ht="23.25" customHeight="1">
      <c r="A1549" s="17" t="str">
        <f>IF(COUNTIF('Icon Lookup'!C:C,B1549)&gt;0,LOOKUP(B1549,'Icon Lookup'!C:C,'Icon Lookup'!B:B),"")</f>
        <v/>
      </c>
      <c r="B1549" s="18" t="s">
        <v>198</v>
      </c>
      <c r="C1549" s="17"/>
      <c r="D1549" s="17">
        <v>55.0</v>
      </c>
      <c r="E1549" s="17" t="s">
        <v>50</v>
      </c>
      <c r="G1549" s="19"/>
      <c r="H1549" s="20" t="s">
        <v>2055</v>
      </c>
      <c r="I1549" s="17" t="s">
        <v>105</v>
      </c>
      <c r="J1549" s="17">
        <v>0.0</v>
      </c>
      <c r="K1549" s="17">
        <v>0.0</v>
      </c>
      <c r="L1549" s="17">
        <v>0.0</v>
      </c>
      <c r="M1549" s="17">
        <v>0.0</v>
      </c>
      <c r="N1549" s="17">
        <v>0.0</v>
      </c>
      <c r="O1549" s="17">
        <v>0.0</v>
      </c>
      <c r="P1549" s="17">
        <v>0.0</v>
      </c>
      <c r="Q1549" s="17">
        <v>0.0</v>
      </c>
      <c r="R1549" s="17">
        <v>0.0</v>
      </c>
      <c r="S1549" s="17">
        <v>0.0</v>
      </c>
      <c r="T1549" s="17">
        <v>0.0</v>
      </c>
      <c r="U1549" s="17">
        <v>0.0</v>
      </c>
    </row>
    <row r="1550" ht="23.25" customHeight="1">
      <c r="A1550" s="1"/>
      <c r="B1550" s="15" t="s">
        <v>2056</v>
      </c>
      <c r="C1550" s="1" t="s">
        <v>17</v>
      </c>
      <c r="D1550" s="1" t="s">
        <v>2057</v>
      </c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</row>
    <row r="1551" ht="23.25" customHeight="1">
      <c r="A1551" s="20" t="str">
        <f>IF(COUNTIF('Icon Lookup'!C:C,B1551)&gt;0,LOOKUP(B1551,'Icon Lookup'!C:C,'Icon Lookup'!B:B),"")</f>
        <v/>
      </c>
      <c r="B1551" s="21" t="s">
        <v>476</v>
      </c>
      <c r="C1551" s="20"/>
      <c r="D1551" s="20">
        <v>29.0</v>
      </c>
      <c r="E1551" s="20" t="s">
        <v>203</v>
      </c>
      <c r="G1551" s="22"/>
      <c r="H1551" s="23" t="s">
        <v>2058</v>
      </c>
      <c r="I1551" s="20" t="s">
        <v>205</v>
      </c>
      <c r="J1551" s="20">
        <v>0.0</v>
      </c>
      <c r="K1551" s="20">
        <v>0.0</v>
      </c>
      <c r="L1551" s="20">
        <v>0.0</v>
      </c>
      <c r="M1551" s="20">
        <v>0.0</v>
      </c>
      <c r="N1551" s="20">
        <v>0.0</v>
      </c>
      <c r="O1551" s="20">
        <v>0.0</v>
      </c>
      <c r="P1551" s="20">
        <v>0.0</v>
      </c>
      <c r="Q1551" s="20">
        <v>0.0</v>
      </c>
      <c r="R1551" s="20">
        <v>0.0</v>
      </c>
      <c r="S1551" s="20">
        <v>0.0</v>
      </c>
      <c r="T1551" s="20">
        <v>0.0</v>
      </c>
      <c r="U1551" s="20">
        <v>0.0</v>
      </c>
    </row>
    <row r="1552" ht="23.25" customHeight="1">
      <c r="A1552" s="17" t="str">
        <f>IF(COUNTIF('Icon Lookup'!C:C,B1552)&gt;0,LOOKUP(B1552,'Icon Lookup'!C:C,'Icon Lookup'!B:B),"")</f>
        <v/>
      </c>
      <c r="B1552" s="18" t="s">
        <v>488</v>
      </c>
      <c r="C1552" s="17"/>
      <c r="D1552" s="17">
        <v>29.0</v>
      </c>
      <c r="E1552" s="17" t="s">
        <v>87</v>
      </c>
      <c r="G1552" s="19"/>
      <c r="H1552" s="20" t="s">
        <v>2059</v>
      </c>
      <c r="I1552" s="17" t="s">
        <v>22</v>
      </c>
      <c r="J1552" s="17">
        <v>0.0</v>
      </c>
      <c r="K1552" s="17">
        <v>0.0</v>
      </c>
      <c r="L1552" s="17">
        <v>0.0</v>
      </c>
      <c r="M1552" s="17">
        <v>0.0</v>
      </c>
      <c r="N1552" s="17">
        <v>0.0</v>
      </c>
      <c r="O1552" s="17">
        <v>0.0</v>
      </c>
      <c r="P1552" s="17">
        <v>0.0</v>
      </c>
      <c r="Q1552" s="17">
        <v>0.0</v>
      </c>
      <c r="R1552" s="17">
        <v>0.0</v>
      </c>
      <c r="S1552" s="17">
        <v>0.0</v>
      </c>
      <c r="T1552" s="17">
        <v>0.0</v>
      </c>
      <c r="U1552" s="17">
        <v>0.0</v>
      </c>
    </row>
    <row r="1553" ht="23.25" customHeight="1">
      <c r="A1553" s="1"/>
      <c r="B1553" s="15" t="s">
        <v>2060</v>
      </c>
      <c r="C1553" s="1" t="s">
        <v>17</v>
      </c>
      <c r="D1553" s="1" t="s">
        <v>2057</v>
      </c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</row>
    <row r="1554" ht="23.25" customHeight="1">
      <c r="A1554" s="20" t="str">
        <f>IF(COUNTIF('Icon Lookup'!C:C,B1554)&gt;0,LOOKUP(B1554,'Icon Lookup'!C:C,'Icon Lookup'!B:B),"")</f>
        <v/>
      </c>
      <c r="B1554" s="21" t="s">
        <v>476</v>
      </c>
      <c r="C1554" s="20"/>
      <c r="D1554" s="20">
        <v>37.0</v>
      </c>
      <c r="E1554" s="20" t="s">
        <v>203</v>
      </c>
      <c r="G1554" s="22"/>
      <c r="H1554" s="23" t="s">
        <v>2061</v>
      </c>
      <c r="I1554" s="20" t="s">
        <v>205</v>
      </c>
      <c r="J1554" s="20">
        <v>0.0</v>
      </c>
      <c r="K1554" s="20">
        <v>0.0</v>
      </c>
      <c r="L1554" s="20">
        <v>0.0</v>
      </c>
      <c r="M1554" s="20">
        <v>0.0</v>
      </c>
      <c r="N1554" s="20">
        <v>0.0</v>
      </c>
      <c r="O1554" s="20">
        <v>0.0</v>
      </c>
      <c r="P1554" s="20">
        <v>0.0</v>
      </c>
      <c r="Q1554" s="20">
        <v>0.0</v>
      </c>
      <c r="R1554" s="20">
        <v>0.0</v>
      </c>
      <c r="S1554" s="20">
        <v>0.0</v>
      </c>
      <c r="T1554" s="20">
        <v>0.0</v>
      </c>
      <c r="U1554" s="20">
        <v>0.0</v>
      </c>
    </row>
    <row r="1555" ht="23.25" customHeight="1">
      <c r="A1555" s="17" t="str">
        <f>IF(COUNTIF('Icon Lookup'!C:C,B1555)&gt;0,LOOKUP(B1555,'Icon Lookup'!C:C,'Icon Lookup'!B:B),"")</f>
        <v/>
      </c>
      <c r="B1555" s="18" t="s">
        <v>488</v>
      </c>
      <c r="C1555" s="17"/>
      <c r="D1555" s="17">
        <v>39.0</v>
      </c>
      <c r="E1555" s="17" t="s">
        <v>87</v>
      </c>
      <c r="G1555" s="19"/>
      <c r="H1555" s="20" t="s">
        <v>2062</v>
      </c>
      <c r="I1555" s="17" t="s">
        <v>22</v>
      </c>
      <c r="J1555" s="17">
        <v>0.0</v>
      </c>
      <c r="K1555" s="17">
        <v>0.0</v>
      </c>
      <c r="L1555" s="17">
        <v>0.0</v>
      </c>
      <c r="M1555" s="17">
        <v>0.0</v>
      </c>
      <c r="N1555" s="17">
        <v>0.0</v>
      </c>
      <c r="O1555" s="17">
        <v>0.0</v>
      </c>
      <c r="P1555" s="17">
        <v>0.0</v>
      </c>
      <c r="Q1555" s="17">
        <v>0.0</v>
      </c>
      <c r="R1555" s="17">
        <v>0.0</v>
      </c>
      <c r="S1555" s="17">
        <v>0.0</v>
      </c>
      <c r="T1555" s="17">
        <v>0.0</v>
      </c>
      <c r="U1555" s="17">
        <v>0.0</v>
      </c>
    </row>
    <row r="1556" ht="23.25" customHeight="1">
      <c r="A1556" s="1"/>
      <c r="B1556" s="15" t="s">
        <v>2063</v>
      </c>
      <c r="C1556" s="1" t="s">
        <v>17</v>
      </c>
      <c r="D1556" s="1" t="s">
        <v>2057</v>
      </c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</row>
    <row r="1557" ht="23.25" customHeight="1">
      <c r="A1557" s="20" t="str">
        <f>IF(COUNTIF('Icon Lookup'!C:C,B1557)&gt;0,LOOKUP(B1557,'Icon Lookup'!C:C,'Icon Lookup'!B:B),"")</f>
        <v/>
      </c>
      <c r="B1557" s="21" t="s">
        <v>476</v>
      </c>
      <c r="C1557" s="20"/>
      <c r="D1557" s="20">
        <v>57.0</v>
      </c>
      <c r="E1557" s="20" t="s">
        <v>203</v>
      </c>
      <c r="G1557" s="22"/>
      <c r="H1557" s="23" t="s">
        <v>2064</v>
      </c>
      <c r="I1557" s="20" t="s">
        <v>205</v>
      </c>
      <c r="J1557" s="20">
        <v>0.0</v>
      </c>
      <c r="K1557" s="20">
        <v>0.0</v>
      </c>
      <c r="L1557" s="20">
        <v>0.0</v>
      </c>
      <c r="M1557" s="20">
        <v>0.0</v>
      </c>
      <c r="N1557" s="20">
        <v>0.0</v>
      </c>
      <c r="O1557" s="20">
        <v>0.0</v>
      </c>
      <c r="P1557" s="20">
        <v>0.0</v>
      </c>
      <c r="Q1557" s="20">
        <v>0.0</v>
      </c>
      <c r="R1557" s="20">
        <v>0.0</v>
      </c>
      <c r="S1557" s="20">
        <v>0.0</v>
      </c>
      <c r="T1557" s="20">
        <v>0.0</v>
      </c>
      <c r="U1557" s="20">
        <v>0.0</v>
      </c>
    </row>
    <row r="1558" ht="23.25" customHeight="1">
      <c r="A1558" s="17" t="str">
        <f>IF(COUNTIF('Icon Lookup'!C:C,B1558)&gt;0,LOOKUP(B1558,'Icon Lookup'!C:C,'Icon Lookup'!B:B),"")</f>
        <v/>
      </c>
      <c r="B1558" s="18" t="s">
        <v>488</v>
      </c>
      <c r="C1558" s="17"/>
      <c r="D1558" s="17">
        <v>59.0</v>
      </c>
      <c r="E1558" s="17" t="s">
        <v>87</v>
      </c>
      <c r="G1558" s="19"/>
      <c r="H1558" s="20" t="s">
        <v>2065</v>
      </c>
      <c r="I1558" s="17" t="s">
        <v>22</v>
      </c>
      <c r="J1558" s="17">
        <v>0.0</v>
      </c>
      <c r="K1558" s="17">
        <v>0.0</v>
      </c>
      <c r="L1558" s="17">
        <v>0.0</v>
      </c>
      <c r="M1558" s="17">
        <v>0.0</v>
      </c>
      <c r="N1558" s="17">
        <v>0.0</v>
      </c>
      <c r="O1558" s="17">
        <v>0.0</v>
      </c>
      <c r="P1558" s="17">
        <v>0.0</v>
      </c>
      <c r="Q1558" s="17">
        <v>0.0</v>
      </c>
      <c r="R1558" s="17">
        <v>0.0</v>
      </c>
      <c r="S1558" s="17">
        <v>0.0</v>
      </c>
      <c r="T1558" s="17">
        <v>0.0</v>
      </c>
      <c r="U1558" s="17">
        <v>0.0</v>
      </c>
    </row>
    <row r="1559" ht="23.25" customHeight="1">
      <c r="A1559" s="1"/>
      <c r="B1559" s="15" t="s">
        <v>2066</v>
      </c>
      <c r="C1559" s="1" t="s">
        <v>17</v>
      </c>
      <c r="D1559" s="1" t="s">
        <v>164</v>
      </c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</row>
    <row r="1560" ht="23.25" customHeight="1">
      <c r="A1560" s="20" t="str">
        <f>IF(COUNTIF('Icon Lookup'!C:C,B1560)&gt;0,LOOKUP(B1560,'Icon Lookup'!C:C,'Icon Lookup'!B:B),"")</f>
        <v/>
      </c>
      <c r="B1560" s="21" t="s">
        <v>165</v>
      </c>
      <c r="C1560" s="20"/>
      <c r="D1560" s="20">
        <v>31.0</v>
      </c>
      <c r="E1560" s="20" t="s">
        <v>166</v>
      </c>
      <c r="G1560" s="22"/>
      <c r="H1560" s="23" t="s">
        <v>2067</v>
      </c>
      <c r="I1560" s="20" t="s">
        <v>22</v>
      </c>
      <c r="J1560" s="20">
        <v>0.0</v>
      </c>
      <c r="K1560" s="20">
        <v>0.0</v>
      </c>
      <c r="L1560" s="20">
        <v>0.0</v>
      </c>
      <c r="M1560" s="20">
        <v>0.0</v>
      </c>
      <c r="N1560" s="20">
        <v>0.0</v>
      </c>
      <c r="O1560" s="20">
        <v>0.0</v>
      </c>
      <c r="P1560" s="20">
        <v>0.0</v>
      </c>
      <c r="Q1560" s="20">
        <v>0.0</v>
      </c>
      <c r="R1560" s="20">
        <v>0.0</v>
      </c>
      <c r="S1560" s="20">
        <v>0.0</v>
      </c>
      <c r="T1560" s="20">
        <v>0.0</v>
      </c>
      <c r="U1560" s="20">
        <v>0.0</v>
      </c>
    </row>
    <row r="1561" ht="23.25" customHeight="1">
      <c r="A1561" s="17" t="str">
        <f>IF(COUNTIF('Icon Lookup'!C:C,B1561)&gt;0,LOOKUP(B1561,'Icon Lookup'!C:C,'Icon Lookup'!B:B),"")</f>
        <v/>
      </c>
      <c r="B1561" s="18" t="s">
        <v>90</v>
      </c>
      <c r="C1561" s="17"/>
      <c r="D1561" s="17">
        <v>33.0</v>
      </c>
      <c r="E1561" s="17" t="s">
        <v>91</v>
      </c>
      <c r="G1561" s="19"/>
      <c r="H1561" s="20" t="s">
        <v>546</v>
      </c>
      <c r="I1561" s="17" t="s">
        <v>22</v>
      </c>
      <c r="J1561" s="17">
        <v>0.0</v>
      </c>
      <c r="K1561" s="17">
        <v>0.0</v>
      </c>
      <c r="L1561" s="17">
        <v>0.0</v>
      </c>
      <c r="M1561" s="17">
        <v>0.0</v>
      </c>
      <c r="N1561" s="17">
        <v>0.0</v>
      </c>
      <c r="O1561" s="17">
        <v>0.0</v>
      </c>
      <c r="P1561" s="17">
        <v>0.0</v>
      </c>
      <c r="Q1561" s="17">
        <v>0.0</v>
      </c>
      <c r="R1561" s="17">
        <v>0.0</v>
      </c>
      <c r="S1561" s="17">
        <v>0.0</v>
      </c>
      <c r="T1561" s="17">
        <v>0.0</v>
      </c>
      <c r="U1561" s="17">
        <v>0.0</v>
      </c>
    </row>
    <row r="1562" ht="23.25" customHeight="1">
      <c r="A1562" s="1"/>
      <c r="B1562" s="15" t="s">
        <v>2068</v>
      </c>
      <c r="C1562" s="1" t="s">
        <v>17</v>
      </c>
      <c r="D1562" s="1" t="s">
        <v>164</v>
      </c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</row>
    <row r="1563" ht="23.25" customHeight="1">
      <c r="A1563" s="20" t="str">
        <f>IF(COUNTIF('Icon Lookup'!C:C,B1563)&gt;0,LOOKUP(B1563,'Icon Lookup'!C:C,'Icon Lookup'!B:B),"")</f>
        <v/>
      </c>
      <c r="B1563" s="21" t="s">
        <v>582</v>
      </c>
      <c r="C1563" s="20"/>
      <c r="D1563" s="20">
        <v>38.0</v>
      </c>
      <c r="E1563" s="20" t="s">
        <v>166</v>
      </c>
      <c r="G1563" s="22"/>
      <c r="H1563" s="23" t="s">
        <v>2069</v>
      </c>
      <c r="I1563" s="20" t="s">
        <v>22</v>
      </c>
      <c r="J1563" s="20">
        <v>0.0</v>
      </c>
      <c r="K1563" s="20">
        <v>0.0</v>
      </c>
      <c r="L1563" s="20">
        <v>0.0</v>
      </c>
      <c r="M1563" s="20">
        <v>0.0</v>
      </c>
      <c r="N1563" s="20">
        <v>0.0</v>
      </c>
      <c r="O1563" s="20">
        <v>0.0</v>
      </c>
      <c r="P1563" s="20">
        <v>0.0</v>
      </c>
      <c r="Q1563" s="20">
        <v>0.0</v>
      </c>
      <c r="R1563" s="20">
        <v>0.0</v>
      </c>
      <c r="S1563" s="20">
        <v>0.0</v>
      </c>
      <c r="T1563" s="20">
        <v>0.0</v>
      </c>
      <c r="U1563" s="20">
        <v>0.0</v>
      </c>
    </row>
    <row r="1564" ht="23.25" customHeight="1">
      <c r="A1564" s="17" t="str">
        <f>IF(COUNTIF('Icon Lookup'!C:C,B1564)&gt;0,LOOKUP(B1564,'Icon Lookup'!C:C,'Icon Lookup'!B:B),"")</f>
        <v/>
      </c>
      <c r="B1564" s="18" t="s">
        <v>275</v>
      </c>
      <c r="C1564" s="17"/>
      <c r="D1564" s="17">
        <v>40.0</v>
      </c>
      <c r="E1564" s="17" t="s">
        <v>91</v>
      </c>
      <c r="G1564" s="19"/>
      <c r="H1564" s="20" t="s">
        <v>546</v>
      </c>
      <c r="I1564" s="17" t="s">
        <v>22</v>
      </c>
      <c r="J1564" s="17">
        <v>0.0</v>
      </c>
      <c r="K1564" s="17">
        <v>0.0</v>
      </c>
      <c r="L1564" s="17">
        <v>0.0</v>
      </c>
      <c r="M1564" s="17">
        <v>0.0</v>
      </c>
      <c r="N1564" s="17">
        <v>0.0</v>
      </c>
      <c r="O1564" s="17">
        <v>0.0</v>
      </c>
      <c r="P1564" s="17">
        <v>0.0</v>
      </c>
      <c r="Q1564" s="17">
        <v>0.0</v>
      </c>
      <c r="R1564" s="17">
        <v>0.0</v>
      </c>
      <c r="S1564" s="17">
        <v>0.0</v>
      </c>
      <c r="T1564" s="17">
        <v>0.0</v>
      </c>
      <c r="U1564" s="17">
        <v>0.0</v>
      </c>
    </row>
    <row r="1565" ht="23.25" customHeight="1">
      <c r="A1565" s="1"/>
      <c r="B1565" s="15" t="s">
        <v>2070</v>
      </c>
      <c r="C1565" s="1" t="s">
        <v>17</v>
      </c>
      <c r="D1565" s="1" t="s">
        <v>164</v>
      </c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</row>
    <row r="1566" ht="23.25" customHeight="1">
      <c r="A1566" s="20" t="str">
        <f>IF(COUNTIF('Icon Lookup'!C:C,B1566)&gt;0,LOOKUP(B1566,'Icon Lookup'!C:C,'Icon Lookup'!B:B),"")</f>
        <v/>
      </c>
      <c r="B1566" s="21" t="s">
        <v>582</v>
      </c>
      <c r="C1566" s="20"/>
      <c r="D1566" s="20">
        <v>58.0</v>
      </c>
      <c r="E1566" s="20" t="s">
        <v>166</v>
      </c>
      <c r="G1566" s="22"/>
      <c r="H1566" s="23" t="s">
        <v>2071</v>
      </c>
      <c r="I1566" s="20" t="s">
        <v>22</v>
      </c>
      <c r="J1566" s="20">
        <v>0.0</v>
      </c>
      <c r="K1566" s="20">
        <v>0.0</v>
      </c>
      <c r="L1566" s="20">
        <v>0.0</v>
      </c>
      <c r="M1566" s="20">
        <v>0.0</v>
      </c>
      <c r="N1566" s="20">
        <v>0.0</v>
      </c>
      <c r="O1566" s="20">
        <v>0.0</v>
      </c>
      <c r="P1566" s="20">
        <v>0.0</v>
      </c>
      <c r="Q1566" s="20">
        <v>0.0</v>
      </c>
      <c r="R1566" s="20">
        <v>0.0</v>
      </c>
      <c r="S1566" s="20">
        <v>0.0</v>
      </c>
      <c r="T1566" s="20">
        <v>0.0</v>
      </c>
      <c r="U1566" s="20">
        <v>0.0</v>
      </c>
    </row>
    <row r="1567" ht="23.25" customHeight="1">
      <c r="A1567" s="17" t="str">
        <f>IF(COUNTIF('Icon Lookup'!C:C,B1567)&gt;0,LOOKUP(B1567,'Icon Lookup'!C:C,'Icon Lookup'!B:B),"")</f>
        <v/>
      </c>
      <c r="B1567" s="18" t="s">
        <v>1098</v>
      </c>
      <c r="C1567" s="17"/>
      <c r="D1567" s="17">
        <v>60.0</v>
      </c>
      <c r="E1567" s="17" t="s">
        <v>91</v>
      </c>
      <c r="G1567" s="19"/>
      <c r="H1567" s="20" t="s">
        <v>2072</v>
      </c>
      <c r="I1567" s="17" t="s">
        <v>22</v>
      </c>
      <c r="J1567" s="17">
        <v>0.0</v>
      </c>
      <c r="K1567" s="17">
        <v>0.0</v>
      </c>
      <c r="L1567" s="17">
        <v>0.0</v>
      </c>
      <c r="M1567" s="17">
        <v>0.0</v>
      </c>
      <c r="N1567" s="17">
        <v>0.0</v>
      </c>
      <c r="O1567" s="17">
        <v>0.0</v>
      </c>
      <c r="P1567" s="17">
        <v>0.0</v>
      </c>
      <c r="Q1567" s="17">
        <v>0.0</v>
      </c>
      <c r="R1567" s="17">
        <v>0.0</v>
      </c>
      <c r="S1567" s="17">
        <v>0.0</v>
      </c>
      <c r="T1567" s="17">
        <v>0.0</v>
      </c>
      <c r="U1567" s="17">
        <v>0.0</v>
      </c>
    </row>
    <row r="1568" ht="23.25" customHeight="1">
      <c r="A1568" s="1"/>
      <c r="B1568" s="15" t="s">
        <v>2073</v>
      </c>
      <c r="C1568" s="1" t="s">
        <v>17</v>
      </c>
      <c r="D1568" s="1" t="s">
        <v>301</v>
      </c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</row>
    <row r="1569" ht="23.25" customHeight="1">
      <c r="A1569" s="20" t="str">
        <f>IF(COUNTIF('Icon Lookup'!C:C,B1569)&gt;0,LOOKUP(B1569,'Icon Lookup'!C:C,'Icon Lookup'!B:B),"")</f>
        <v/>
      </c>
      <c r="B1569" s="21" t="s">
        <v>304</v>
      </c>
      <c r="C1569" s="20"/>
      <c r="D1569" s="20">
        <v>38.0</v>
      </c>
      <c r="E1569" s="20" t="s">
        <v>20</v>
      </c>
      <c r="G1569" s="22"/>
      <c r="H1569" s="23" t="s">
        <v>303</v>
      </c>
      <c r="I1569" s="20" t="s">
        <v>52</v>
      </c>
      <c r="J1569" s="20">
        <v>0.0</v>
      </c>
      <c r="K1569" s="20">
        <v>0.0</v>
      </c>
      <c r="L1569" s="20">
        <v>0.0</v>
      </c>
      <c r="M1569" s="20">
        <v>0.0</v>
      </c>
      <c r="N1569" s="20">
        <v>0.0</v>
      </c>
      <c r="O1569" s="20">
        <v>0.0</v>
      </c>
      <c r="P1569" s="20">
        <v>0.0</v>
      </c>
      <c r="Q1569" s="20">
        <v>0.0</v>
      </c>
      <c r="R1569" s="20">
        <v>0.0</v>
      </c>
      <c r="S1569" s="20">
        <v>0.0</v>
      </c>
      <c r="T1569" s="20">
        <v>0.0</v>
      </c>
      <c r="U1569" s="20">
        <v>0.0</v>
      </c>
    </row>
    <row r="1570" ht="23.25" customHeight="1">
      <c r="A1570" s="17" t="str">
        <f>IF(COUNTIF('Icon Lookup'!C:C,B1570)&gt;0,LOOKUP(B1570,'Icon Lookup'!C:C,'Icon Lookup'!B:B),"")</f>
        <v/>
      </c>
      <c r="B1570" s="18" t="s">
        <v>304</v>
      </c>
      <c r="C1570" s="17"/>
      <c r="D1570" s="17">
        <v>42.0</v>
      </c>
      <c r="E1570" s="17" t="s">
        <v>20</v>
      </c>
      <c r="G1570" s="19"/>
      <c r="H1570" s="20" t="s">
        <v>2074</v>
      </c>
      <c r="I1570" s="17" t="s">
        <v>22</v>
      </c>
      <c r="J1570" s="17">
        <v>0.0</v>
      </c>
      <c r="K1570" s="17">
        <v>0.0</v>
      </c>
      <c r="L1570" s="17">
        <v>0.0</v>
      </c>
      <c r="M1570" s="17">
        <v>0.0</v>
      </c>
      <c r="N1570" s="17">
        <v>0.0</v>
      </c>
      <c r="O1570" s="17">
        <v>0.0</v>
      </c>
      <c r="P1570" s="17">
        <v>0.0</v>
      </c>
      <c r="Q1570" s="17">
        <v>0.0</v>
      </c>
      <c r="R1570" s="17">
        <v>0.0</v>
      </c>
      <c r="S1570" s="17">
        <v>0.0</v>
      </c>
      <c r="T1570" s="17">
        <v>0.0</v>
      </c>
      <c r="U1570" s="17">
        <v>0.0</v>
      </c>
    </row>
    <row r="1571" ht="23.25" customHeight="1">
      <c r="A1571" s="1"/>
      <c r="B1571" s="15" t="s">
        <v>2075</v>
      </c>
      <c r="C1571" s="1" t="s">
        <v>17</v>
      </c>
      <c r="D1571" s="1" t="s">
        <v>301</v>
      </c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</row>
    <row r="1572" ht="23.25" customHeight="1">
      <c r="A1572" s="20" t="str">
        <f>IF(COUNTIF('Icon Lookup'!C:C,B1572)&gt;0,LOOKUP(B1572,'Icon Lookup'!C:C,'Icon Lookup'!B:B),"")</f>
        <v/>
      </c>
      <c r="B1572" s="21" t="s">
        <v>304</v>
      </c>
      <c r="C1572" s="20"/>
      <c r="D1572" s="20">
        <v>60.0</v>
      </c>
      <c r="E1572" s="20" t="s">
        <v>20</v>
      </c>
      <c r="G1572" s="22"/>
      <c r="H1572" s="23" t="s">
        <v>2076</v>
      </c>
      <c r="I1572" s="20" t="s">
        <v>52</v>
      </c>
      <c r="J1572" s="20">
        <v>0.0</v>
      </c>
      <c r="K1572" s="20">
        <v>0.0</v>
      </c>
      <c r="L1572" s="20">
        <v>0.0</v>
      </c>
      <c r="M1572" s="20">
        <v>0.0</v>
      </c>
      <c r="N1572" s="20">
        <v>0.0</v>
      </c>
      <c r="O1572" s="20">
        <v>0.0</v>
      </c>
      <c r="P1572" s="20">
        <v>0.0</v>
      </c>
      <c r="Q1572" s="20">
        <v>0.0</v>
      </c>
      <c r="R1572" s="20">
        <v>0.0</v>
      </c>
      <c r="S1572" s="20">
        <v>0.0</v>
      </c>
      <c r="T1572" s="20">
        <v>0.0</v>
      </c>
      <c r="U1572" s="20">
        <v>0.0</v>
      </c>
    </row>
    <row r="1573" ht="23.25" customHeight="1">
      <c r="A1573" s="17" t="str">
        <f>IF(COUNTIF('Icon Lookup'!C:C,B1573)&gt;0,LOOKUP(B1573,'Icon Lookup'!C:C,'Icon Lookup'!B:B),"")</f>
        <v/>
      </c>
      <c r="B1573" s="18" t="s">
        <v>304</v>
      </c>
      <c r="C1573" s="17"/>
      <c r="D1573" s="17">
        <v>60.0</v>
      </c>
      <c r="E1573" s="17" t="s">
        <v>20</v>
      </c>
      <c r="G1573" s="19"/>
      <c r="H1573" s="20" t="s">
        <v>2074</v>
      </c>
      <c r="I1573" s="17" t="s">
        <v>22</v>
      </c>
      <c r="J1573" s="17">
        <v>0.0</v>
      </c>
      <c r="K1573" s="17">
        <v>0.0</v>
      </c>
      <c r="L1573" s="17">
        <v>0.0</v>
      </c>
      <c r="M1573" s="17">
        <v>0.0</v>
      </c>
      <c r="N1573" s="17">
        <v>0.0</v>
      </c>
      <c r="O1573" s="17">
        <v>0.0</v>
      </c>
      <c r="P1573" s="17">
        <v>0.0</v>
      </c>
      <c r="Q1573" s="17">
        <v>0.0</v>
      </c>
      <c r="R1573" s="17">
        <v>0.0</v>
      </c>
      <c r="S1573" s="17">
        <v>0.0</v>
      </c>
      <c r="T1573" s="17">
        <v>0.0</v>
      </c>
      <c r="U1573" s="17">
        <v>0.0</v>
      </c>
    </row>
    <row r="1574" ht="23.25" customHeight="1">
      <c r="A1574" s="1"/>
      <c r="B1574" s="15" t="s">
        <v>2077</v>
      </c>
      <c r="C1574" s="1" t="s">
        <v>17</v>
      </c>
      <c r="D1574" s="1" t="s">
        <v>1720</v>
      </c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</row>
    <row r="1575" ht="23.25" customHeight="1">
      <c r="A1575" s="20" t="str">
        <f>IF(COUNTIF('Icon Lookup'!C:C,B1575)&gt;0,LOOKUP(B1575,'Icon Lookup'!C:C,'Icon Lookup'!B:B),"")</f>
        <v/>
      </c>
      <c r="B1575" s="21" t="s">
        <v>1721</v>
      </c>
      <c r="C1575" s="20"/>
      <c r="D1575" s="20">
        <v>59.0</v>
      </c>
      <c r="E1575" s="20" t="s">
        <v>38</v>
      </c>
      <c r="G1575" s="22"/>
      <c r="H1575" s="23" t="s">
        <v>1722</v>
      </c>
      <c r="I1575" s="20" t="s">
        <v>22</v>
      </c>
      <c r="J1575" s="20">
        <v>0.0</v>
      </c>
      <c r="K1575" s="20">
        <v>0.0</v>
      </c>
      <c r="L1575" s="20">
        <v>0.0</v>
      </c>
      <c r="M1575" s="20">
        <v>0.0</v>
      </c>
      <c r="N1575" s="20">
        <v>0.0</v>
      </c>
      <c r="O1575" s="20">
        <v>0.0</v>
      </c>
      <c r="P1575" s="20">
        <v>0.0</v>
      </c>
      <c r="Q1575" s="20">
        <v>0.0</v>
      </c>
      <c r="R1575" s="20">
        <v>0.0</v>
      </c>
      <c r="S1575" s="20">
        <v>0.0</v>
      </c>
      <c r="T1575" s="20">
        <v>0.0</v>
      </c>
      <c r="U1575" s="20">
        <v>0.0</v>
      </c>
    </row>
    <row r="1576" ht="23.25" customHeight="1">
      <c r="A1576" s="17" t="str">
        <f>IF(COUNTIF('Icon Lookup'!C:C,B1576)&gt;0,LOOKUP(B1576,'Icon Lookup'!C:C,'Icon Lookup'!B:B),"")</f>
        <v/>
      </c>
      <c r="B1576" s="18" t="s">
        <v>1723</v>
      </c>
      <c r="C1576" s="17"/>
      <c r="D1576" s="17">
        <v>59.0</v>
      </c>
      <c r="E1576" s="17" t="s">
        <v>276</v>
      </c>
      <c r="G1576" s="19"/>
      <c r="H1576" s="20" t="s">
        <v>1724</v>
      </c>
      <c r="I1576" s="17" t="s">
        <v>22</v>
      </c>
      <c r="J1576" s="17">
        <v>0.0</v>
      </c>
      <c r="K1576" s="17">
        <v>0.0</v>
      </c>
      <c r="L1576" s="17">
        <v>0.0</v>
      </c>
      <c r="M1576" s="17">
        <v>0.0</v>
      </c>
      <c r="N1576" s="17">
        <v>0.0</v>
      </c>
      <c r="O1576" s="17">
        <v>0.0</v>
      </c>
      <c r="P1576" s="17">
        <v>0.0</v>
      </c>
      <c r="Q1576" s="17">
        <v>0.0</v>
      </c>
      <c r="R1576" s="17">
        <v>0.0</v>
      </c>
      <c r="S1576" s="17">
        <v>0.0</v>
      </c>
      <c r="T1576" s="17">
        <v>0.0</v>
      </c>
      <c r="U1576" s="17">
        <v>0.0</v>
      </c>
    </row>
    <row r="1577" ht="23.25" customHeight="1">
      <c r="A1577" s="1"/>
      <c r="B1577" s="15" t="s">
        <v>2078</v>
      </c>
      <c r="C1577" s="1" t="s">
        <v>17</v>
      </c>
      <c r="D1577" s="1" t="s">
        <v>209</v>
      </c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</row>
    <row r="1578" ht="23.25" customHeight="1">
      <c r="A1578" s="20" t="str">
        <f>IF(COUNTIF('Icon Lookup'!C:C,B1578)&gt;0,LOOKUP(B1578,'Icon Lookup'!C:C,'Icon Lookup'!B:B),"")</f>
        <v/>
      </c>
      <c r="B1578" s="21" t="s">
        <v>488</v>
      </c>
      <c r="C1578" s="20"/>
      <c r="D1578" s="20">
        <v>27.0</v>
      </c>
      <c r="E1578" s="20" t="s">
        <v>98</v>
      </c>
      <c r="G1578" s="22"/>
      <c r="H1578" s="23" t="s">
        <v>2079</v>
      </c>
      <c r="I1578" s="20" t="s">
        <v>211</v>
      </c>
      <c r="J1578" s="20">
        <v>0.0</v>
      </c>
      <c r="K1578" s="20">
        <v>0.0</v>
      </c>
      <c r="L1578" s="20">
        <v>0.0</v>
      </c>
      <c r="M1578" s="20">
        <v>0.0</v>
      </c>
      <c r="N1578" s="20">
        <v>0.0</v>
      </c>
      <c r="O1578" s="20">
        <v>0.0</v>
      </c>
      <c r="P1578" s="20">
        <v>0.0</v>
      </c>
      <c r="Q1578" s="20">
        <v>0.0</v>
      </c>
      <c r="R1578" s="20">
        <v>0.0</v>
      </c>
      <c r="S1578" s="20">
        <v>0.0</v>
      </c>
      <c r="T1578" s="20">
        <v>0.0</v>
      </c>
      <c r="U1578" s="20">
        <v>0.0</v>
      </c>
    </row>
    <row r="1579" ht="23.25" customHeight="1">
      <c r="A1579" s="17" t="str">
        <f>IF(COUNTIF('Icon Lookup'!C:C,B1579)&gt;0,LOOKUP(B1579,'Icon Lookup'!C:C,'Icon Lookup'!B:B),"")</f>
        <v/>
      </c>
      <c r="B1579" s="18" t="s">
        <v>198</v>
      </c>
      <c r="C1579" s="17"/>
      <c r="D1579" s="17">
        <v>29.0</v>
      </c>
      <c r="E1579" s="17" t="s">
        <v>50</v>
      </c>
      <c r="G1579" s="19"/>
      <c r="H1579" s="20" t="s">
        <v>938</v>
      </c>
      <c r="I1579" s="17" t="s">
        <v>205</v>
      </c>
      <c r="J1579" s="17">
        <v>0.0</v>
      </c>
      <c r="K1579" s="17">
        <v>0.0</v>
      </c>
      <c r="L1579" s="17">
        <v>0.0</v>
      </c>
      <c r="M1579" s="17">
        <v>0.0</v>
      </c>
      <c r="N1579" s="17">
        <v>0.0</v>
      </c>
      <c r="O1579" s="17">
        <v>0.0</v>
      </c>
      <c r="P1579" s="17">
        <v>0.0</v>
      </c>
      <c r="Q1579" s="17">
        <v>0.0</v>
      </c>
      <c r="R1579" s="17">
        <v>0.0</v>
      </c>
      <c r="S1579" s="17">
        <v>0.0</v>
      </c>
      <c r="T1579" s="17">
        <v>0.0</v>
      </c>
      <c r="U1579" s="17">
        <v>0.0</v>
      </c>
    </row>
    <row r="1580" ht="23.25" customHeight="1">
      <c r="A1580" s="20" t="str">
        <f>IF(COUNTIF('Icon Lookup'!C:C,B1580)&gt;0,LOOKUP(B1580,'Icon Lookup'!C:C,'Icon Lookup'!B:B),"")</f>
        <v/>
      </c>
      <c r="B1580" s="21" t="s">
        <v>136</v>
      </c>
      <c r="C1580" s="20"/>
      <c r="D1580" s="20">
        <v>28.0</v>
      </c>
      <c r="E1580" s="20" t="s">
        <v>137</v>
      </c>
      <c r="G1580" s="22"/>
      <c r="H1580" s="23" t="s">
        <v>2080</v>
      </c>
      <c r="I1580" s="20" t="s">
        <v>205</v>
      </c>
      <c r="J1580" s="20">
        <v>0.0</v>
      </c>
      <c r="K1580" s="20">
        <v>0.0</v>
      </c>
      <c r="L1580" s="20">
        <v>0.0</v>
      </c>
      <c r="M1580" s="20">
        <v>0.0</v>
      </c>
      <c r="N1580" s="20">
        <v>0.0</v>
      </c>
      <c r="O1580" s="20">
        <v>0.0</v>
      </c>
      <c r="P1580" s="20">
        <v>0.0</v>
      </c>
      <c r="Q1580" s="20">
        <v>0.0</v>
      </c>
      <c r="R1580" s="20">
        <v>0.0</v>
      </c>
      <c r="S1580" s="20">
        <v>0.0</v>
      </c>
      <c r="T1580" s="20">
        <v>0.0</v>
      </c>
      <c r="U1580" s="20">
        <v>0.0</v>
      </c>
    </row>
    <row r="1581" ht="23.25" customHeight="1">
      <c r="A1581" s="1"/>
      <c r="B1581" s="15" t="s">
        <v>2081</v>
      </c>
      <c r="C1581" s="1" t="s">
        <v>17</v>
      </c>
      <c r="D1581" s="1" t="s">
        <v>209</v>
      </c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</row>
    <row r="1582" ht="23.25" customHeight="1">
      <c r="A1582" s="17" t="str">
        <f>IF(COUNTIF('Icon Lookup'!C:C,B1582)&gt;0,LOOKUP(B1582,'Icon Lookup'!C:C,'Icon Lookup'!B:B),"")</f>
        <v/>
      </c>
      <c r="B1582" s="18" t="s">
        <v>488</v>
      </c>
      <c r="C1582" s="17"/>
      <c r="D1582" s="17">
        <v>37.0</v>
      </c>
      <c r="E1582" s="17" t="s">
        <v>98</v>
      </c>
      <c r="G1582" s="19"/>
      <c r="H1582" s="20" t="s">
        <v>2082</v>
      </c>
      <c r="I1582" s="17" t="s">
        <v>211</v>
      </c>
      <c r="J1582" s="17">
        <v>0.0</v>
      </c>
      <c r="K1582" s="17">
        <v>0.0</v>
      </c>
      <c r="L1582" s="17">
        <v>0.0</v>
      </c>
      <c r="M1582" s="17">
        <v>0.0</v>
      </c>
      <c r="N1582" s="17">
        <v>0.0</v>
      </c>
      <c r="O1582" s="17">
        <v>0.0</v>
      </c>
      <c r="P1582" s="17">
        <v>0.0</v>
      </c>
      <c r="Q1582" s="17">
        <v>0.0</v>
      </c>
      <c r="R1582" s="17">
        <v>0.0</v>
      </c>
      <c r="S1582" s="17">
        <v>0.0</v>
      </c>
      <c r="T1582" s="17">
        <v>0.0</v>
      </c>
      <c r="U1582" s="17">
        <v>0.0</v>
      </c>
    </row>
    <row r="1583" ht="23.25" customHeight="1">
      <c r="A1583" s="20" t="str">
        <f>IF(COUNTIF('Icon Lookup'!C:C,B1583)&gt;0,LOOKUP(B1583,'Icon Lookup'!C:C,'Icon Lookup'!B:B),"")</f>
        <v/>
      </c>
      <c r="B1583" s="21" t="s">
        <v>198</v>
      </c>
      <c r="C1583" s="20"/>
      <c r="D1583" s="20">
        <v>38.0</v>
      </c>
      <c r="E1583" s="20" t="s">
        <v>50</v>
      </c>
      <c r="G1583" s="22"/>
      <c r="H1583" s="23" t="s">
        <v>2083</v>
      </c>
      <c r="I1583" s="20" t="s">
        <v>205</v>
      </c>
      <c r="J1583" s="20">
        <v>0.0</v>
      </c>
      <c r="K1583" s="20">
        <v>0.0</v>
      </c>
      <c r="L1583" s="20">
        <v>0.0</v>
      </c>
      <c r="M1583" s="20">
        <v>0.0</v>
      </c>
      <c r="N1583" s="20">
        <v>0.0</v>
      </c>
      <c r="O1583" s="20">
        <v>0.0</v>
      </c>
      <c r="P1583" s="20">
        <v>0.0</v>
      </c>
      <c r="Q1583" s="20">
        <v>0.0</v>
      </c>
      <c r="R1583" s="20">
        <v>0.0</v>
      </c>
      <c r="S1583" s="20">
        <v>0.0</v>
      </c>
      <c r="T1583" s="20">
        <v>0.0</v>
      </c>
      <c r="U1583" s="20">
        <v>0.0</v>
      </c>
    </row>
    <row r="1584" ht="23.25" customHeight="1">
      <c r="A1584" s="17" t="str">
        <f>IF(COUNTIF('Icon Lookup'!C:C,B1584)&gt;0,LOOKUP(B1584,'Icon Lookup'!C:C,'Icon Lookup'!B:B),"")</f>
        <v/>
      </c>
      <c r="B1584" s="18" t="s">
        <v>136</v>
      </c>
      <c r="C1584" s="17"/>
      <c r="D1584" s="17">
        <v>36.0</v>
      </c>
      <c r="E1584" s="17" t="s">
        <v>137</v>
      </c>
      <c r="G1584" s="19"/>
      <c r="H1584" s="20" t="s">
        <v>2084</v>
      </c>
      <c r="I1584" s="17" t="s">
        <v>205</v>
      </c>
      <c r="J1584" s="17">
        <v>0.0</v>
      </c>
      <c r="K1584" s="17">
        <v>0.0</v>
      </c>
      <c r="L1584" s="17">
        <v>0.0</v>
      </c>
      <c r="M1584" s="17">
        <v>0.0</v>
      </c>
      <c r="N1584" s="17">
        <v>0.0</v>
      </c>
      <c r="O1584" s="17">
        <v>0.0</v>
      </c>
      <c r="P1584" s="17">
        <v>0.0</v>
      </c>
      <c r="Q1584" s="17">
        <v>0.0</v>
      </c>
      <c r="R1584" s="17">
        <v>0.0</v>
      </c>
      <c r="S1584" s="17">
        <v>0.0</v>
      </c>
      <c r="T1584" s="17">
        <v>0.0</v>
      </c>
      <c r="U1584" s="17">
        <v>0.0</v>
      </c>
    </row>
    <row r="1585" ht="23.25" customHeight="1">
      <c r="A1585" s="1"/>
      <c r="B1585" s="15" t="s">
        <v>2085</v>
      </c>
      <c r="C1585" s="1" t="s">
        <v>17</v>
      </c>
      <c r="D1585" s="1" t="s">
        <v>209</v>
      </c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</row>
    <row r="1586" ht="23.25" customHeight="1">
      <c r="A1586" s="20" t="str">
        <f>IF(COUNTIF('Icon Lookup'!C:C,B1586)&gt;0,LOOKUP(B1586,'Icon Lookup'!C:C,'Icon Lookup'!B:B),"")</f>
        <v/>
      </c>
      <c r="B1586" s="21" t="s">
        <v>488</v>
      </c>
      <c r="C1586" s="20"/>
      <c r="D1586" s="20">
        <v>52.0</v>
      </c>
      <c r="E1586" s="20" t="s">
        <v>98</v>
      </c>
      <c r="G1586" s="22"/>
      <c r="H1586" s="23" t="s">
        <v>2086</v>
      </c>
      <c r="I1586" s="20" t="s">
        <v>211</v>
      </c>
      <c r="J1586" s="20">
        <v>0.0</v>
      </c>
      <c r="K1586" s="20">
        <v>0.0</v>
      </c>
      <c r="L1586" s="20">
        <v>0.0</v>
      </c>
      <c r="M1586" s="20">
        <v>0.0</v>
      </c>
      <c r="N1586" s="20">
        <v>0.0</v>
      </c>
      <c r="O1586" s="20">
        <v>0.0</v>
      </c>
      <c r="P1586" s="20">
        <v>0.0</v>
      </c>
      <c r="Q1586" s="20">
        <v>0.0</v>
      </c>
      <c r="R1586" s="20">
        <v>0.0</v>
      </c>
      <c r="S1586" s="20">
        <v>0.0</v>
      </c>
      <c r="T1586" s="20">
        <v>0.0</v>
      </c>
      <c r="U1586" s="20">
        <v>0.0</v>
      </c>
    </row>
    <row r="1587" ht="23.25" customHeight="1">
      <c r="A1587" s="17" t="str">
        <f>IF(COUNTIF('Icon Lookup'!C:C,B1587)&gt;0,LOOKUP(B1587,'Icon Lookup'!C:C,'Icon Lookup'!B:B),"")</f>
        <v/>
      </c>
      <c r="B1587" s="18" t="s">
        <v>198</v>
      </c>
      <c r="C1587" s="17"/>
      <c r="D1587" s="17">
        <v>51.0</v>
      </c>
      <c r="E1587" s="17" t="s">
        <v>50</v>
      </c>
      <c r="G1587" s="19"/>
      <c r="H1587" s="20" t="s">
        <v>2087</v>
      </c>
      <c r="I1587" s="17" t="s">
        <v>205</v>
      </c>
      <c r="J1587" s="17">
        <v>0.0</v>
      </c>
      <c r="K1587" s="17">
        <v>0.0</v>
      </c>
      <c r="L1587" s="17">
        <v>0.0</v>
      </c>
      <c r="M1587" s="17">
        <v>0.0</v>
      </c>
      <c r="N1587" s="17">
        <v>0.0</v>
      </c>
      <c r="O1587" s="17">
        <v>0.0</v>
      </c>
      <c r="P1587" s="17">
        <v>0.0</v>
      </c>
      <c r="Q1587" s="17">
        <v>0.0</v>
      </c>
      <c r="R1587" s="17">
        <v>0.0</v>
      </c>
      <c r="S1587" s="17">
        <v>0.0</v>
      </c>
      <c r="T1587" s="17">
        <v>0.0</v>
      </c>
      <c r="U1587" s="17">
        <v>0.0</v>
      </c>
    </row>
    <row r="1588" ht="23.25" customHeight="1">
      <c r="A1588" s="20" t="str">
        <f>IF(COUNTIF('Icon Lookup'!C:C,B1588)&gt;0,LOOKUP(B1588,'Icon Lookup'!C:C,'Icon Lookup'!B:B),"")</f>
        <v/>
      </c>
      <c r="B1588" s="21" t="s">
        <v>311</v>
      </c>
      <c r="C1588" s="20"/>
      <c r="D1588" s="20">
        <v>53.0</v>
      </c>
      <c r="E1588" s="20" t="s">
        <v>137</v>
      </c>
      <c r="G1588" s="22"/>
      <c r="H1588" s="23" t="s">
        <v>2084</v>
      </c>
      <c r="I1588" s="20" t="s">
        <v>205</v>
      </c>
      <c r="J1588" s="20">
        <v>0.0</v>
      </c>
      <c r="K1588" s="20">
        <v>0.0</v>
      </c>
      <c r="L1588" s="20">
        <v>0.0</v>
      </c>
      <c r="M1588" s="20">
        <v>0.0</v>
      </c>
      <c r="N1588" s="20">
        <v>0.0</v>
      </c>
      <c r="O1588" s="20">
        <v>0.0</v>
      </c>
      <c r="P1588" s="20">
        <v>0.0</v>
      </c>
      <c r="Q1588" s="20">
        <v>0.0</v>
      </c>
      <c r="R1588" s="20">
        <v>0.0</v>
      </c>
      <c r="S1588" s="20">
        <v>0.0</v>
      </c>
      <c r="T1588" s="20">
        <v>0.0</v>
      </c>
      <c r="U1588" s="20">
        <v>0.0</v>
      </c>
    </row>
    <row r="1589" ht="23.25" customHeight="1">
      <c r="A1589" s="1"/>
      <c r="B1589" s="15" t="s">
        <v>2088</v>
      </c>
      <c r="C1589" s="1" t="s">
        <v>17</v>
      </c>
      <c r="D1589" s="1" t="s">
        <v>215</v>
      </c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</row>
    <row r="1590" ht="23.25" customHeight="1">
      <c r="A1590" s="17" t="str">
        <f>IF(COUNTIF('Icon Lookup'!C:C,B1590)&gt;0,LOOKUP(B1590,'Icon Lookup'!C:C,'Icon Lookup'!B:B),"")</f>
        <v/>
      </c>
      <c r="B1590" s="18" t="s">
        <v>202</v>
      </c>
      <c r="C1590" s="17"/>
      <c r="D1590" s="17">
        <v>28.0</v>
      </c>
      <c r="E1590" s="17" t="s">
        <v>203</v>
      </c>
      <c r="G1590" s="19"/>
      <c r="H1590" s="20" t="s">
        <v>2089</v>
      </c>
      <c r="I1590" s="17" t="s">
        <v>52</v>
      </c>
      <c r="J1590" s="17">
        <v>0.0</v>
      </c>
      <c r="K1590" s="17">
        <v>0.0</v>
      </c>
      <c r="L1590" s="17">
        <v>0.0</v>
      </c>
      <c r="M1590" s="17">
        <v>0.0</v>
      </c>
      <c r="N1590" s="17">
        <v>0.0</v>
      </c>
      <c r="O1590" s="17">
        <v>0.0</v>
      </c>
      <c r="P1590" s="17">
        <v>0.0</v>
      </c>
      <c r="Q1590" s="17">
        <v>0.0</v>
      </c>
      <c r="R1590" s="17">
        <v>0.0</v>
      </c>
      <c r="S1590" s="17">
        <v>0.0</v>
      </c>
      <c r="T1590" s="17">
        <v>0.0</v>
      </c>
      <c r="U1590" s="17">
        <v>0.0</v>
      </c>
    </row>
    <row r="1591" ht="23.25" customHeight="1">
      <c r="A1591" s="20" t="str">
        <f>IF(COUNTIF('Icon Lookup'!C:C,B1591)&gt;0,LOOKUP(B1591,'Icon Lookup'!C:C,'Icon Lookup'!B:B),"")</f>
        <v/>
      </c>
      <c r="B1591" s="21" t="s">
        <v>198</v>
      </c>
      <c r="C1591" s="20"/>
      <c r="D1591" s="20">
        <v>27.0</v>
      </c>
      <c r="E1591" s="20" t="s">
        <v>50</v>
      </c>
      <c r="G1591" s="22"/>
      <c r="H1591" s="23" t="s">
        <v>199</v>
      </c>
      <c r="I1591" s="20" t="s">
        <v>40</v>
      </c>
      <c r="J1591" s="20">
        <v>0.0</v>
      </c>
      <c r="K1591" s="20">
        <v>0.0</v>
      </c>
      <c r="L1591" s="20">
        <v>0.0</v>
      </c>
      <c r="M1591" s="20">
        <v>0.0</v>
      </c>
      <c r="N1591" s="20">
        <v>0.0</v>
      </c>
      <c r="O1591" s="20">
        <v>0.0</v>
      </c>
      <c r="P1591" s="20">
        <v>0.0</v>
      </c>
      <c r="Q1591" s="20">
        <v>0.0</v>
      </c>
      <c r="R1591" s="20">
        <v>0.0</v>
      </c>
      <c r="S1591" s="20">
        <v>0.0</v>
      </c>
      <c r="T1591" s="20">
        <v>0.0</v>
      </c>
      <c r="U1591" s="20">
        <v>0.0</v>
      </c>
    </row>
    <row r="1592" ht="23.25" customHeight="1">
      <c r="A1592" s="17" t="str">
        <f>IF(COUNTIF('Icon Lookup'!C:C,B1592)&gt;0,LOOKUP(B1592,'Icon Lookup'!C:C,'Icon Lookup'!B:B),"")</f>
        <v/>
      </c>
      <c r="B1592" s="18" t="s">
        <v>245</v>
      </c>
      <c r="C1592" s="17"/>
      <c r="D1592" s="17">
        <v>29.0</v>
      </c>
      <c r="E1592" s="17" t="s">
        <v>218</v>
      </c>
      <c r="G1592" s="19"/>
      <c r="H1592" s="20" t="s">
        <v>2090</v>
      </c>
      <c r="I1592" s="17" t="s">
        <v>40</v>
      </c>
      <c r="J1592" s="17">
        <v>0.0</v>
      </c>
      <c r="K1592" s="17">
        <v>0.0</v>
      </c>
      <c r="L1592" s="17">
        <v>0.0</v>
      </c>
      <c r="M1592" s="17">
        <v>0.0</v>
      </c>
      <c r="N1592" s="17">
        <v>0.0</v>
      </c>
      <c r="O1592" s="17">
        <v>0.0</v>
      </c>
      <c r="P1592" s="17">
        <v>0.0</v>
      </c>
      <c r="Q1592" s="17">
        <v>0.0</v>
      </c>
      <c r="R1592" s="17">
        <v>0.0</v>
      </c>
      <c r="S1592" s="17">
        <v>0.0</v>
      </c>
      <c r="T1592" s="17">
        <v>0.0</v>
      </c>
      <c r="U1592" s="17">
        <v>0.0</v>
      </c>
    </row>
    <row r="1593" ht="23.25" customHeight="1">
      <c r="A1593" s="1"/>
      <c r="B1593" s="15" t="s">
        <v>2091</v>
      </c>
      <c r="C1593" s="1" t="s">
        <v>17</v>
      </c>
      <c r="D1593" s="1" t="s">
        <v>215</v>
      </c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</row>
    <row r="1594" ht="23.25" customHeight="1">
      <c r="A1594" s="20" t="str">
        <f>IF(COUNTIF('Icon Lookup'!C:C,B1594)&gt;0,LOOKUP(B1594,'Icon Lookup'!C:C,'Icon Lookup'!B:B),"")</f>
        <v/>
      </c>
      <c r="B1594" s="21" t="s">
        <v>476</v>
      </c>
      <c r="C1594" s="20"/>
      <c r="D1594" s="20">
        <v>37.0</v>
      </c>
      <c r="E1594" s="20" t="s">
        <v>203</v>
      </c>
      <c r="G1594" s="22"/>
      <c r="H1594" s="23" t="s">
        <v>2092</v>
      </c>
      <c r="I1594" s="20" t="s">
        <v>52</v>
      </c>
      <c r="J1594" s="20">
        <v>0.0</v>
      </c>
      <c r="K1594" s="20">
        <v>0.0</v>
      </c>
      <c r="L1594" s="20">
        <v>0.0</v>
      </c>
      <c r="M1594" s="20">
        <v>0.0</v>
      </c>
      <c r="N1594" s="20">
        <v>0.0</v>
      </c>
      <c r="O1594" s="20">
        <v>0.0</v>
      </c>
      <c r="P1594" s="20">
        <v>0.0</v>
      </c>
      <c r="Q1594" s="20">
        <v>0.0</v>
      </c>
      <c r="R1594" s="20">
        <v>0.0</v>
      </c>
      <c r="S1594" s="20">
        <v>0.0</v>
      </c>
      <c r="T1594" s="20">
        <v>0.0</v>
      </c>
      <c r="U1594" s="20">
        <v>0.0</v>
      </c>
    </row>
    <row r="1595" ht="23.25" customHeight="1">
      <c r="A1595" s="17" t="str">
        <f>IF(COUNTIF('Icon Lookup'!C:C,B1595)&gt;0,LOOKUP(B1595,'Icon Lookup'!C:C,'Icon Lookup'!B:B),"")</f>
        <v/>
      </c>
      <c r="B1595" s="18" t="s">
        <v>198</v>
      </c>
      <c r="C1595" s="17"/>
      <c r="D1595" s="17">
        <v>36.0</v>
      </c>
      <c r="E1595" s="17" t="s">
        <v>50</v>
      </c>
      <c r="G1595" s="19"/>
      <c r="H1595" s="20" t="s">
        <v>2093</v>
      </c>
      <c r="I1595" s="17" t="s">
        <v>40</v>
      </c>
      <c r="J1595" s="17">
        <v>0.0</v>
      </c>
      <c r="K1595" s="17">
        <v>0.0</v>
      </c>
      <c r="L1595" s="17">
        <v>0.0</v>
      </c>
      <c r="M1595" s="17">
        <v>0.0</v>
      </c>
      <c r="N1595" s="17">
        <v>0.0</v>
      </c>
      <c r="O1595" s="17">
        <v>0.0</v>
      </c>
      <c r="P1595" s="17">
        <v>0.0</v>
      </c>
      <c r="Q1595" s="17">
        <v>0.0</v>
      </c>
      <c r="R1595" s="17">
        <v>0.0</v>
      </c>
      <c r="S1595" s="17">
        <v>0.0</v>
      </c>
      <c r="T1595" s="17">
        <v>0.0</v>
      </c>
      <c r="U1595" s="17">
        <v>0.0</v>
      </c>
    </row>
    <row r="1596" ht="23.25" customHeight="1">
      <c r="A1596" s="20" t="str">
        <f>IF(COUNTIF('Icon Lookup'!C:C,B1596)&gt;0,LOOKUP(B1596,'Icon Lookup'!C:C,'Icon Lookup'!B:B),"")</f>
        <v/>
      </c>
      <c r="B1596" s="21" t="s">
        <v>245</v>
      </c>
      <c r="C1596" s="20"/>
      <c r="D1596" s="20">
        <v>38.0</v>
      </c>
      <c r="E1596" s="20" t="s">
        <v>218</v>
      </c>
      <c r="G1596" s="22"/>
      <c r="H1596" s="23" t="s">
        <v>2094</v>
      </c>
      <c r="I1596" s="20" t="s">
        <v>40</v>
      </c>
      <c r="J1596" s="20">
        <v>0.0</v>
      </c>
      <c r="K1596" s="20">
        <v>0.0</v>
      </c>
      <c r="L1596" s="20">
        <v>0.0</v>
      </c>
      <c r="M1596" s="20">
        <v>0.0</v>
      </c>
      <c r="N1596" s="20">
        <v>0.0</v>
      </c>
      <c r="O1596" s="20">
        <v>0.0</v>
      </c>
      <c r="P1596" s="20">
        <v>0.0</v>
      </c>
      <c r="Q1596" s="20">
        <v>0.0</v>
      </c>
      <c r="R1596" s="20">
        <v>0.0</v>
      </c>
      <c r="S1596" s="20">
        <v>0.0</v>
      </c>
      <c r="T1596" s="20">
        <v>0.0</v>
      </c>
      <c r="U1596" s="20">
        <v>0.0</v>
      </c>
    </row>
    <row r="1597" ht="23.25" customHeight="1">
      <c r="A1597" s="1"/>
      <c r="B1597" s="15" t="s">
        <v>2095</v>
      </c>
      <c r="C1597" s="1" t="s">
        <v>17</v>
      </c>
      <c r="D1597" s="1" t="s">
        <v>215</v>
      </c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</row>
    <row r="1598" ht="23.25" customHeight="1">
      <c r="A1598" s="17" t="str">
        <f>IF(COUNTIF('Icon Lookup'!C:C,B1598)&gt;0,LOOKUP(B1598,'Icon Lookup'!C:C,'Icon Lookup'!B:B),"")</f>
        <v/>
      </c>
      <c r="B1598" s="18" t="s">
        <v>476</v>
      </c>
      <c r="C1598" s="17"/>
      <c r="D1598" s="17">
        <v>52.0</v>
      </c>
      <c r="E1598" s="17" t="s">
        <v>203</v>
      </c>
      <c r="G1598" s="19"/>
      <c r="H1598" s="20" t="s">
        <v>2096</v>
      </c>
      <c r="I1598" s="17" t="s">
        <v>52</v>
      </c>
      <c r="J1598" s="17">
        <v>0.0</v>
      </c>
      <c r="K1598" s="17">
        <v>0.0</v>
      </c>
      <c r="L1598" s="17">
        <v>0.0</v>
      </c>
      <c r="M1598" s="17">
        <v>0.0</v>
      </c>
      <c r="N1598" s="17">
        <v>0.0</v>
      </c>
      <c r="O1598" s="17">
        <v>0.0</v>
      </c>
      <c r="P1598" s="17">
        <v>0.0</v>
      </c>
      <c r="Q1598" s="17">
        <v>0.0</v>
      </c>
      <c r="R1598" s="17">
        <v>0.0</v>
      </c>
      <c r="S1598" s="17">
        <v>0.0</v>
      </c>
      <c r="T1598" s="17">
        <v>0.0</v>
      </c>
      <c r="U1598" s="17">
        <v>0.0</v>
      </c>
    </row>
    <row r="1599" ht="23.25" customHeight="1">
      <c r="A1599" s="20" t="str">
        <f>IF(COUNTIF('Icon Lookup'!C:C,B1599)&gt;0,LOOKUP(B1599,'Icon Lookup'!C:C,'Icon Lookup'!B:B),"")</f>
        <v/>
      </c>
      <c r="B1599" s="21" t="s">
        <v>198</v>
      </c>
      <c r="C1599" s="20"/>
      <c r="D1599" s="20">
        <v>51.0</v>
      </c>
      <c r="E1599" s="20" t="s">
        <v>50</v>
      </c>
      <c r="G1599" s="22"/>
      <c r="H1599" s="23" t="s">
        <v>2055</v>
      </c>
      <c r="I1599" s="20" t="s">
        <v>40</v>
      </c>
      <c r="J1599" s="20">
        <v>0.0</v>
      </c>
      <c r="K1599" s="20">
        <v>0.0</v>
      </c>
      <c r="L1599" s="20">
        <v>0.0</v>
      </c>
      <c r="M1599" s="20">
        <v>0.0</v>
      </c>
      <c r="N1599" s="20">
        <v>0.0</v>
      </c>
      <c r="O1599" s="20">
        <v>0.0</v>
      </c>
      <c r="P1599" s="20">
        <v>0.0</v>
      </c>
      <c r="Q1599" s="20">
        <v>0.0</v>
      </c>
      <c r="R1599" s="20">
        <v>0.0</v>
      </c>
      <c r="S1599" s="20">
        <v>0.0</v>
      </c>
      <c r="T1599" s="20">
        <v>0.0</v>
      </c>
      <c r="U1599" s="20">
        <v>0.0</v>
      </c>
    </row>
    <row r="1600" ht="23.25" customHeight="1">
      <c r="A1600" s="17" t="str">
        <f>IF(COUNTIF('Icon Lookup'!C:C,B1600)&gt;0,LOOKUP(B1600,'Icon Lookup'!C:C,'Icon Lookup'!B:B),"")</f>
        <v/>
      </c>
      <c r="B1600" s="18" t="s">
        <v>728</v>
      </c>
      <c r="C1600" s="17"/>
      <c r="D1600" s="17">
        <v>53.0</v>
      </c>
      <c r="E1600" s="17" t="s">
        <v>218</v>
      </c>
      <c r="G1600" s="19"/>
      <c r="H1600" s="20" t="s">
        <v>2097</v>
      </c>
      <c r="I1600" s="17" t="s">
        <v>40</v>
      </c>
      <c r="J1600" s="17">
        <v>0.0</v>
      </c>
      <c r="K1600" s="17">
        <v>0.0</v>
      </c>
      <c r="L1600" s="17">
        <v>0.0</v>
      </c>
      <c r="M1600" s="17">
        <v>0.0</v>
      </c>
      <c r="N1600" s="17">
        <v>0.0</v>
      </c>
      <c r="O1600" s="17">
        <v>0.0</v>
      </c>
      <c r="P1600" s="17">
        <v>0.0</v>
      </c>
      <c r="Q1600" s="17">
        <v>0.0</v>
      </c>
      <c r="R1600" s="17">
        <v>0.0</v>
      </c>
      <c r="S1600" s="17">
        <v>0.0</v>
      </c>
      <c r="T1600" s="17">
        <v>0.0</v>
      </c>
      <c r="U1600" s="17">
        <v>0.0</v>
      </c>
    </row>
    <row r="1601" ht="23.25" customHeight="1">
      <c r="A1601" s="1"/>
      <c r="B1601" s="15" t="s">
        <v>2098</v>
      </c>
      <c r="C1601" s="1" t="s">
        <v>17</v>
      </c>
      <c r="D1601" s="1" t="s">
        <v>1283</v>
      </c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</row>
    <row r="1602" ht="23.25" customHeight="1">
      <c r="A1602" s="20" t="str">
        <f>IF(COUNTIF('Icon Lookup'!C:C,B1602)&gt;0,LOOKUP(B1602,'Icon Lookup'!C:C,'Icon Lookup'!B:B),"")</f>
        <v/>
      </c>
      <c r="B1602" s="21" t="s">
        <v>86</v>
      </c>
      <c r="C1602" s="20"/>
      <c r="D1602" s="20">
        <v>19.0</v>
      </c>
      <c r="E1602" s="20" t="s">
        <v>87</v>
      </c>
      <c r="G1602" s="22"/>
      <c r="H1602" s="23" t="s">
        <v>2099</v>
      </c>
      <c r="I1602" s="20" t="s">
        <v>211</v>
      </c>
      <c r="J1602" s="20">
        <v>0.0</v>
      </c>
      <c r="K1602" s="20">
        <v>0.0</v>
      </c>
      <c r="L1602" s="20">
        <v>0.0</v>
      </c>
      <c r="M1602" s="20">
        <v>0.0</v>
      </c>
      <c r="N1602" s="20">
        <v>0.0</v>
      </c>
      <c r="O1602" s="20">
        <v>0.0</v>
      </c>
      <c r="P1602" s="20">
        <v>0.0</v>
      </c>
      <c r="Q1602" s="20">
        <v>0.0</v>
      </c>
      <c r="R1602" s="20">
        <v>0.0</v>
      </c>
      <c r="S1602" s="20">
        <v>0.0</v>
      </c>
      <c r="T1602" s="20">
        <v>0.0</v>
      </c>
      <c r="U1602" s="20">
        <v>0.0</v>
      </c>
    </row>
    <row r="1603" ht="23.25" customHeight="1">
      <c r="A1603" s="1"/>
      <c r="B1603" s="15" t="s">
        <v>2100</v>
      </c>
      <c r="C1603" s="1" t="s">
        <v>17</v>
      </c>
      <c r="D1603" s="1" t="s">
        <v>1283</v>
      </c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</row>
    <row r="1604" ht="23.25" customHeight="1">
      <c r="A1604" s="17" t="str">
        <f>IF(COUNTIF('Icon Lookup'!C:C,B1604)&gt;0,LOOKUP(B1604,'Icon Lookup'!C:C,'Icon Lookup'!B:B),"")</f>
        <v/>
      </c>
      <c r="B1604" s="18" t="s">
        <v>176</v>
      </c>
      <c r="C1604" s="17"/>
      <c r="D1604" s="17">
        <v>31.0</v>
      </c>
      <c r="E1604" s="17" t="s">
        <v>87</v>
      </c>
      <c r="G1604" s="19"/>
      <c r="H1604" s="20" t="s">
        <v>1545</v>
      </c>
      <c r="I1604" s="17" t="s">
        <v>211</v>
      </c>
      <c r="J1604" s="17">
        <v>0.0</v>
      </c>
      <c r="K1604" s="17">
        <v>0.0</v>
      </c>
      <c r="L1604" s="17">
        <v>0.0</v>
      </c>
      <c r="M1604" s="17">
        <v>0.0</v>
      </c>
      <c r="N1604" s="17">
        <v>0.0</v>
      </c>
      <c r="O1604" s="17">
        <v>0.0</v>
      </c>
      <c r="P1604" s="17">
        <v>0.0</v>
      </c>
      <c r="Q1604" s="17">
        <v>0.0</v>
      </c>
      <c r="R1604" s="17">
        <v>0.0</v>
      </c>
      <c r="S1604" s="17">
        <v>0.0</v>
      </c>
      <c r="T1604" s="17">
        <v>0.0</v>
      </c>
      <c r="U1604" s="17">
        <v>0.0</v>
      </c>
    </row>
    <row r="1605" ht="23.25" customHeight="1">
      <c r="A1605" s="1"/>
      <c r="B1605" s="15" t="s">
        <v>2101</v>
      </c>
      <c r="C1605" s="1" t="s">
        <v>17</v>
      </c>
      <c r="D1605" s="1" t="s">
        <v>1283</v>
      </c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</row>
    <row r="1606" ht="23.25" customHeight="1">
      <c r="A1606" s="20" t="str">
        <f>IF(COUNTIF('Icon Lookup'!C:C,B1606)&gt;0,LOOKUP(B1606,'Icon Lookup'!C:C,'Icon Lookup'!B:B),"")</f>
        <v/>
      </c>
      <c r="B1606" s="21" t="s">
        <v>176</v>
      </c>
      <c r="C1606" s="20"/>
      <c r="D1606" s="20">
        <v>55.0</v>
      </c>
      <c r="E1606" s="20" t="s">
        <v>87</v>
      </c>
      <c r="G1606" s="22"/>
      <c r="H1606" s="23" t="s">
        <v>2102</v>
      </c>
      <c r="I1606" s="20" t="s">
        <v>211</v>
      </c>
      <c r="J1606" s="20">
        <v>0.0</v>
      </c>
      <c r="K1606" s="20">
        <v>0.0</v>
      </c>
      <c r="L1606" s="20">
        <v>0.0</v>
      </c>
      <c r="M1606" s="20">
        <v>0.0</v>
      </c>
      <c r="N1606" s="20">
        <v>0.0</v>
      </c>
      <c r="O1606" s="20">
        <v>0.0</v>
      </c>
      <c r="P1606" s="20">
        <v>0.0</v>
      </c>
      <c r="Q1606" s="20">
        <v>0.0</v>
      </c>
      <c r="R1606" s="20">
        <v>0.0</v>
      </c>
      <c r="S1606" s="20">
        <v>0.0</v>
      </c>
      <c r="T1606" s="20">
        <v>0.0</v>
      </c>
      <c r="U1606" s="20">
        <v>0.0</v>
      </c>
    </row>
    <row r="1607" ht="23.25" customHeight="1">
      <c r="A1607" s="1"/>
      <c r="B1607" s="15" t="s">
        <v>2103</v>
      </c>
      <c r="C1607" s="1" t="s">
        <v>17</v>
      </c>
      <c r="D1607" s="1" t="s">
        <v>507</v>
      </c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</row>
    <row r="1608" ht="23.25" customHeight="1">
      <c r="A1608" s="17" t="str">
        <f>IF(COUNTIF('Icon Lookup'!C:C,B1608)&gt;0,LOOKUP(B1608,'Icon Lookup'!C:C,'Icon Lookup'!B:B),"")</f>
        <v/>
      </c>
      <c r="B1608" s="18" t="s">
        <v>311</v>
      </c>
      <c r="C1608" s="17"/>
      <c r="D1608" s="17">
        <v>54.0</v>
      </c>
      <c r="E1608" s="17" t="s">
        <v>137</v>
      </c>
      <c r="G1608" s="19"/>
      <c r="H1608" s="20" t="s">
        <v>508</v>
      </c>
      <c r="I1608" s="17" t="s">
        <v>52</v>
      </c>
      <c r="J1608" s="17">
        <v>0.0</v>
      </c>
      <c r="K1608" s="17">
        <v>0.0</v>
      </c>
      <c r="L1608" s="17">
        <v>0.0</v>
      </c>
      <c r="M1608" s="17">
        <v>0.0</v>
      </c>
      <c r="N1608" s="17">
        <v>0.0</v>
      </c>
      <c r="O1608" s="17">
        <v>0.0</v>
      </c>
      <c r="P1608" s="17">
        <v>0.0</v>
      </c>
      <c r="Q1608" s="17">
        <v>0.0</v>
      </c>
      <c r="R1608" s="17">
        <v>0.0</v>
      </c>
      <c r="S1608" s="17">
        <v>0.0</v>
      </c>
      <c r="T1608" s="17">
        <v>0.0</v>
      </c>
      <c r="U1608" s="17">
        <v>0.0</v>
      </c>
    </row>
    <row r="1609" ht="23.25" customHeight="1">
      <c r="A1609" s="20" t="str">
        <f>IF(COUNTIF('Icon Lookup'!C:C,B1609)&gt;0,LOOKUP(B1609,'Icon Lookup'!C:C,'Icon Lookup'!B:B),"")</f>
        <v/>
      </c>
      <c r="B1609" s="21" t="s">
        <v>410</v>
      </c>
      <c r="C1609" s="20"/>
      <c r="D1609" s="20">
        <v>54.0</v>
      </c>
      <c r="E1609" s="20" t="s">
        <v>20</v>
      </c>
      <c r="G1609" s="22"/>
      <c r="H1609" s="23" t="s">
        <v>2104</v>
      </c>
      <c r="I1609" s="20" t="s">
        <v>52</v>
      </c>
      <c r="J1609" s="20">
        <v>0.0</v>
      </c>
      <c r="K1609" s="20">
        <v>0.0</v>
      </c>
      <c r="L1609" s="20">
        <v>0.0</v>
      </c>
      <c r="M1609" s="20">
        <v>0.0</v>
      </c>
      <c r="N1609" s="20">
        <v>0.0</v>
      </c>
      <c r="O1609" s="20">
        <v>0.0</v>
      </c>
      <c r="P1609" s="20">
        <v>0.0</v>
      </c>
      <c r="Q1609" s="20">
        <v>0.0</v>
      </c>
      <c r="R1609" s="20">
        <v>0.0</v>
      </c>
      <c r="S1609" s="20">
        <v>0.0</v>
      </c>
      <c r="T1609" s="20">
        <v>0.0</v>
      </c>
      <c r="U1609" s="20">
        <v>0.0</v>
      </c>
    </row>
    <row r="1610" ht="23.25" customHeight="1">
      <c r="A1610" s="17" t="str">
        <f>IF(COUNTIF('Icon Lookup'!C:C,B1610)&gt;0,LOOKUP(B1610,'Icon Lookup'!C:C,'Icon Lookup'!B:B),"")</f>
        <v/>
      </c>
      <c r="B1610" s="18" t="s">
        <v>510</v>
      </c>
      <c r="C1610" s="17"/>
      <c r="D1610" s="17">
        <v>54.0</v>
      </c>
      <c r="E1610" s="17" t="s">
        <v>511</v>
      </c>
      <c r="G1610" s="19"/>
      <c r="H1610" s="20" t="s">
        <v>2105</v>
      </c>
      <c r="I1610" s="17" t="s">
        <v>89</v>
      </c>
      <c r="J1610" s="17">
        <v>0.0</v>
      </c>
      <c r="K1610" s="17">
        <v>0.0</v>
      </c>
      <c r="L1610" s="17">
        <v>0.0</v>
      </c>
      <c r="M1610" s="17">
        <v>0.0</v>
      </c>
      <c r="N1610" s="17">
        <v>0.0</v>
      </c>
      <c r="O1610" s="17">
        <v>0.0</v>
      </c>
      <c r="P1610" s="17">
        <v>0.0</v>
      </c>
      <c r="Q1610" s="17">
        <v>0.0</v>
      </c>
      <c r="R1610" s="17">
        <v>0.0</v>
      </c>
      <c r="S1610" s="17">
        <v>0.0</v>
      </c>
      <c r="T1610" s="17">
        <v>0.0</v>
      </c>
      <c r="U1610" s="17">
        <v>0.0</v>
      </c>
    </row>
    <row r="1611" ht="23.25" customHeight="1">
      <c r="A1611" s="1"/>
      <c r="B1611" s="15" t="s">
        <v>2106</v>
      </c>
      <c r="C1611" s="1" t="s">
        <v>17</v>
      </c>
      <c r="D1611" s="1" t="s">
        <v>514</v>
      </c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</row>
    <row r="1612" ht="23.25" customHeight="1">
      <c r="A1612" s="20" t="str">
        <f>IF(COUNTIF('Icon Lookup'!C:C,B1612)&gt;0,LOOKUP(B1612,'Icon Lookup'!C:C,'Icon Lookup'!B:B),"")</f>
        <v/>
      </c>
      <c r="B1612" s="21" t="s">
        <v>198</v>
      </c>
      <c r="C1612" s="20"/>
      <c r="D1612" s="20">
        <v>55.0</v>
      </c>
      <c r="E1612" s="20" t="s">
        <v>50</v>
      </c>
      <c r="G1612" s="22"/>
      <c r="H1612" s="23" t="s">
        <v>2107</v>
      </c>
      <c r="I1612" s="20" t="s">
        <v>105</v>
      </c>
      <c r="J1612" s="20">
        <v>0.0</v>
      </c>
      <c r="K1612" s="20">
        <v>0.0</v>
      </c>
      <c r="L1612" s="20">
        <v>0.0</v>
      </c>
      <c r="M1612" s="20">
        <v>0.0</v>
      </c>
      <c r="N1612" s="20">
        <v>0.0</v>
      </c>
      <c r="O1612" s="20">
        <v>0.0</v>
      </c>
      <c r="P1612" s="20">
        <v>0.0</v>
      </c>
      <c r="Q1612" s="20">
        <v>0.0</v>
      </c>
      <c r="R1612" s="20">
        <v>0.0</v>
      </c>
      <c r="S1612" s="20">
        <v>0.0</v>
      </c>
      <c r="T1612" s="20">
        <v>0.0</v>
      </c>
      <c r="U1612" s="20">
        <v>0.0</v>
      </c>
    </row>
    <row r="1613" ht="23.25" customHeight="1">
      <c r="A1613" s="17" t="str">
        <f>IF(COUNTIF('Icon Lookup'!C:C,B1613)&gt;0,LOOKUP(B1613,'Icon Lookup'!C:C,'Icon Lookup'!B:B),"")</f>
        <v/>
      </c>
      <c r="B1613" s="18" t="s">
        <v>515</v>
      </c>
      <c r="C1613" s="17"/>
      <c r="D1613" s="17">
        <v>55.0</v>
      </c>
      <c r="E1613" s="17" t="s">
        <v>111</v>
      </c>
      <c r="G1613" s="19"/>
      <c r="H1613" s="20" t="s">
        <v>2108</v>
      </c>
      <c r="I1613" s="17" t="s">
        <v>22</v>
      </c>
      <c r="J1613" s="17">
        <v>0.0</v>
      </c>
      <c r="K1613" s="17">
        <v>0.0</v>
      </c>
      <c r="L1613" s="17">
        <v>0.0</v>
      </c>
      <c r="M1613" s="17">
        <v>0.0</v>
      </c>
      <c r="N1613" s="17">
        <v>0.0</v>
      </c>
      <c r="O1613" s="17">
        <v>0.0</v>
      </c>
      <c r="P1613" s="17">
        <v>0.0</v>
      </c>
      <c r="Q1613" s="17">
        <v>0.0</v>
      </c>
      <c r="R1613" s="17">
        <v>0.0</v>
      </c>
      <c r="S1613" s="17">
        <v>0.0</v>
      </c>
      <c r="T1613" s="17">
        <v>0.0</v>
      </c>
      <c r="U1613" s="17">
        <v>0.0</v>
      </c>
    </row>
    <row r="1614" ht="23.25" customHeight="1">
      <c r="A1614" s="1"/>
      <c r="B1614" s="15" t="s">
        <v>2109</v>
      </c>
      <c r="C1614" s="1" t="s">
        <v>17</v>
      </c>
      <c r="D1614" s="1" t="s">
        <v>945</v>
      </c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</row>
    <row r="1615" ht="23.25" customHeight="1">
      <c r="A1615" s="20" t="str">
        <f>IF(COUNTIF('Icon Lookup'!C:C,B1615)&gt;0,LOOKUP(B1615,'Icon Lookup'!C:C,'Icon Lookup'!B:B),"")</f>
        <v/>
      </c>
      <c r="B1615" s="21" t="s">
        <v>510</v>
      </c>
      <c r="C1615" s="20"/>
      <c r="D1615" s="20">
        <v>51.0</v>
      </c>
      <c r="E1615" s="20" t="s">
        <v>511</v>
      </c>
      <c r="G1615" s="22"/>
      <c r="H1615" s="23" t="s">
        <v>2110</v>
      </c>
      <c r="I1615" s="20" t="s">
        <v>211</v>
      </c>
      <c r="J1615" s="20">
        <v>0.0</v>
      </c>
      <c r="K1615" s="20">
        <v>0.0</v>
      </c>
      <c r="L1615" s="20">
        <v>0.0</v>
      </c>
      <c r="M1615" s="20">
        <v>0.0</v>
      </c>
      <c r="N1615" s="20">
        <v>0.0</v>
      </c>
      <c r="O1615" s="20">
        <v>0.0</v>
      </c>
      <c r="P1615" s="20">
        <v>0.0</v>
      </c>
      <c r="Q1615" s="20">
        <v>0.0</v>
      </c>
      <c r="R1615" s="20">
        <v>0.0</v>
      </c>
      <c r="S1615" s="20">
        <v>0.0</v>
      </c>
      <c r="T1615" s="20">
        <v>0.0</v>
      </c>
      <c r="U1615" s="20">
        <v>0.0</v>
      </c>
    </row>
    <row r="1616" ht="23.25" customHeight="1">
      <c r="A1616" s="17" t="str">
        <f>IF(COUNTIF('Icon Lookup'!C:C,B1616)&gt;0,LOOKUP(B1616,'Icon Lookup'!C:C,'Icon Lookup'!B:B),"")</f>
        <v/>
      </c>
      <c r="B1616" s="18" t="s">
        <v>510</v>
      </c>
      <c r="C1616" s="17"/>
      <c r="D1616" s="17">
        <v>53.0</v>
      </c>
      <c r="E1616" s="17" t="s">
        <v>511</v>
      </c>
      <c r="G1616" s="19"/>
      <c r="H1616" s="20" t="s">
        <v>2111</v>
      </c>
      <c r="I1616" s="17" t="s">
        <v>22</v>
      </c>
      <c r="J1616" s="17">
        <v>0.0</v>
      </c>
      <c r="K1616" s="17">
        <v>0.0</v>
      </c>
      <c r="L1616" s="17">
        <v>0.0</v>
      </c>
      <c r="M1616" s="17">
        <v>0.0</v>
      </c>
      <c r="N1616" s="17">
        <v>0.0</v>
      </c>
      <c r="O1616" s="17">
        <v>0.0</v>
      </c>
      <c r="P1616" s="17">
        <v>0.0</v>
      </c>
      <c r="Q1616" s="17">
        <v>0.0</v>
      </c>
      <c r="R1616" s="17">
        <v>0.0</v>
      </c>
      <c r="S1616" s="17">
        <v>0.0</v>
      </c>
      <c r="T1616" s="17">
        <v>0.0</v>
      </c>
      <c r="U1616" s="17">
        <v>0.0</v>
      </c>
    </row>
    <row r="1617" ht="23.25" customHeight="1">
      <c r="A1617" s="20" t="str">
        <f>IF(COUNTIF('Icon Lookup'!C:C,B1617)&gt;0,LOOKUP(B1617,'Icon Lookup'!C:C,'Icon Lookup'!B:B),"")</f>
        <v/>
      </c>
      <c r="B1617" s="21" t="s">
        <v>510</v>
      </c>
      <c r="C1617" s="20"/>
      <c r="D1617" s="20">
        <v>52.0</v>
      </c>
      <c r="E1617" s="20" t="s">
        <v>511</v>
      </c>
      <c r="G1617" s="22"/>
      <c r="H1617" s="23" t="s">
        <v>2112</v>
      </c>
      <c r="I1617" s="20" t="s">
        <v>22</v>
      </c>
      <c r="J1617" s="20">
        <v>0.0</v>
      </c>
      <c r="K1617" s="20">
        <v>0.0</v>
      </c>
      <c r="L1617" s="20">
        <v>0.0</v>
      </c>
      <c r="M1617" s="20">
        <v>0.0</v>
      </c>
      <c r="N1617" s="20">
        <v>0.0</v>
      </c>
      <c r="O1617" s="20">
        <v>0.0</v>
      </c>
      <c r="P1617" s="20">
        <v>0.0</v>
      </c>
      <c r="Q1617" s="20">
        <v>0.0</v>
      </c>
      <c r="R1617" s="20">
        <v>0.0</v>
      </c>
      <c r="S1617" s="20">
        <v>0.0</v>
      </c>
      <c r="T1617" s="20">
        <v>0.0</v>
      </c>
      <c r="U1617" s="20">
        <v>0.0</v>
      </c>
    </row>
    <row r="1618" ht="23.25" customHeight="1">
      <c r="A1618" s="1"/>
      <c r="B1618" s="15" t="s">
        <v>2113</v>
      </c>
      <c r="C1618" s="1" t="s">
        <v>17</v>
      </c>
      <c r="D1618" s="1" t="s">
        <v>124</v>
      </c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</row>
    <row r="1619" ht="23.25" customHeight="1">
      <c r="A1619" s="17" t="str">
        <f>IF(COUNTIF('Icon Lookup'!C:C,B1619)&gt;0,LOOKUP(B1619,'Icon Lookup'!C:C,'Icon Lookup'!B:B),"")</f>
        <v/>
      </c>
      <c r="B1619" s="18" t="s">
        <v>117</v>
      </c>
      <c r="C1619" s="17"/>
      <c r="D1619" s="17">
        <v>28.0</v>
      </c>
      <c r="E1619" s="17" t="s">
        <v>26</v>
      </c>
      <c r="G1619" s="19"/>
      <c r="H1619" s="20" t="s">
        <v>2114</v>
      </c>
      <c r="I1619" s="17" t="s">
        <v>22</v>
      </c>
      <c r="J1619" s="17">
        <v>0.0</v>
      </c>
      <c r="K1619" s="17">
        <v>0.0</v>
      </c>
      <c r="L1619" s="17">
        <v>0.0</v>
      </c>
      <c r="M1619" s="17">
        <v>0.0</v>
      </c>
      <c r="N1619" s="17">
        <v>0.0</v>
      </c>
      <c r="O1619" s="17">
        <v>0.0</v>
      </c>
      <c r="P1619" s="17">
        <v>0.0</v>
      </c>
      <c r="Q1619" s="17">
        <v>0.0</v>
      </c>
      <c r="R1619" s="17">
        <v>0.0</v>
      </c>
      <c r="S1619" s="17">
        <v>0.0</v>
      </c>
      <c r="T1619" s="17">
        <v>0.0</v>
      </c>
      <c r="U1619" s="17">
        <v>0.0</v>
      </c>
    </row>
    <row r="1620" ht="23.25" customHeight="1">
      <c r="A1620" s="20" t="str">
        <f>IF(COUNTIF('Icon Lookup'!C:C,B1620)&gt;0,LOOKUP(B1620,'Icon Lookup'!C:C,'Icon Lookup'!B:B),"")</f>
        <v/>
      </c>
      <c r="B1620" s="21" t="s">
        <v>117</v>
      </c>
      <c r="C1620" s="20"/>
      <c r="D1620" s="20">
        <v>30.0</v>
      </c>
      <c r="E1620" s="20" t="s">
        <v>26</v>
      </c>
      <c r="G1620" s="22"/>
      <c r="H1620" s="23" t="s">
        <v>505</v>
      </c>
      <c r="I1620" s="20" t="s">
        <v>22</v>
      </c>
      <c r="J1620" s="20">
        <v>0.0</v>
      </c>
      <c r="K1620" s="20">
        <v>0.0</v>
      </c>
      <c r="L1620" s="20">
        <v>0.0</v>
      </c>
      <c r="M1620" s="20">
        <v>0.0</v>
      </c>
      <c r="N1620" s="20">
        <v>0.0</v>
      </c>
      <c r="O1620" s="20">
        <v>0.0</v>
      </c>
      <c r="P1620" s="20">
        <v>0.0</v>
      </c>
      <c r="Q1620" s="20">
        <v>0.0</v>
      </c>
      <c r="R1620" s="20">
        <v>0.0</v>
      </c>
      <c r="S1620" s="20">
        <v>0.0</v>
      </c>
      <c r="T1620" s="20">
        <v>0.0</v>
      </c>
      <c r="U1620" s="20">
        <v>0.0</v>
      </c>
    </row>
    <row r="1621" ht="23.25" customHeight="1">
      <c r="A1621" s="1"/>
      <c r="B1621" s="15" t="s">
        <v>2115</v>
      </c>
      <c r="C1621" s="1" t="s">
        <v>17</v>
      </c>
      <c r="D1621" s="1" t="s">
        <v>124</v>
      </c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</row>
    <row r="1622" ht="23.25" customHeight="1">
      <c r="A1622" s="17" t="str">
        <f>IF(COUNTIF('Icon Lookup'!C:C,B1622)&gt;0,LOOKUP(B1622,'Icon Lookup'!C:C,'Icon Lookup'!B:B),"")</f>
        <v/>
      </c>
      <c r="B1622" s="18" t="s">
        <v>117</v>
      </c>
      <c r="C1622" s="17"/>
      <c r="D1622" s="17">
        <v>37.0</v>
      </c>
      <c r="E1622" s="17" t="s">
        <v>26</v>
      </c>
      <c r="G1622" s="19"/>
      <c r="H1622" s="20" t="s">
        <v>2116</v>
      </c>
      <c r="I1622" s="17" t="s">
        <v>22</v>
      </c>
      <c r="J1622" s="17">
        <v>0.0</v>
      </c>
      <c r="K1622" s="17">
        <v>0.0</v>
      </c>
      <c r="L1622" s="17">
        <v>0.0</v>
      </c>
      <c r="M1622" s="17">
        <v>0.0</v>
      </c>
      <c r="N1622" s="17">
        <v>0.0</v>
      </c>
      <c r="O1622" s="17">
        <v>0.0</v>
      </c>
      <c r="P1622" s="17">
        <v>0.0</v>
      </c>
      <c r="Q1622" s="17">
        <v>0.0</v>
      </c>
      <c r="R1622" s="17">
        <v>0.0</v>
      </c>
      <c r="S1622" s="17">
        <v>0.0</v>
      </c>
      <c r="T1622" s="17">
        <v>0.0</v>
      </c>
      <c r="U1622" s="17">
        <v>0.0</v>
      </c>
    </row>
    <row r="1623" ht="23.25" customHeight="1">
      <c r="A1623" s="20" t="str">
        <f>IF(COUNTIF('Icon Lookup'!C:C,B1623)&gt;0,LOOKUP(B1623,'Icon Lookup'!C:C,'Icon Lookup'!B:B),"")</f>
        <v/>
      </c>
      <c r="B1623" s="21" t="s">
        <v>117</v>
      </c>
      <c r="C1623" s="20"/>
      <c r="D1623" s="20">
        <v>39.0</v>
      </c>
      <c r="E1623" s="20" t="s">
        <v>26</v>
      </c>
      <c r="G1623" s="22"/>
      <c r="H1623" s="23" t="s">
        <v>2117</v>
      </c>
      <c r="I1623" s="20" t="s">
        <v>22</v>
      </c>
      <c r="J1623" s="20">
        <v>0.0</v>
      </c>
      <c r="K1623" s="20">
        <v>0.0</v>
      </c>
      <c r="L1623" s="20">
        <v>0.0</v>
      </c>
      <c r="M1623" s="20">
        <v>0.0</v>
      </c>
      <c r="N1623" s="20">
        <v>0.0</v>
      </c>
      <c r="O1623" s="20">
        <v>0.0</v>
      </c>
      <c r="P1623" s="20">
        <v>0.0</v>
      </c>
      <c r="Q1623" s="20">
        <v>0.0</v>
      </c>
      <c r="R1623" s="20">
        <v>0.0</v>
      </c>
      <c r="S1623" s="20">
        <v>0.0</v>
      </c>
      <c r="T1623" s="20">
        <v>0.0</v>
      </c>
      <c r="U1623" s="20">
        <v>0.0</v>
      </c>
    </row>
    <row r="1624" ht="23.25" customHeight="1">
      <c r="A1624" s="1"/>
      <c r="B1624" s="15" t="s">
        <v>2118</v>
      </c>
      <c r="C1624" s="1" t="s">
        <v>17</v>
      </c>
      <c r="D1624" s="1" t="s">
        <v>124</v>
      </c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</row>
    <row r="1625" ht="23.25" customHeight="1">
      <c r="A1625" s="17" t="str">
        <f>IF(COUNTIF('Icon Lookup'!C:C,B1625)&gt;0,LOOKUP(B1625,'Icon Lookup'!C:C,'Icon Lookup'!B:B),"")</f>
        <v/>
      </c>
      <c r="B1625" s="18" t="s">
        <v>741</v>
      </c>
      <c r="C1625" s="17"/>
      <c r="D1625" s="17">
        <v>58.0</v>
      </c>
      <c r="E1625" s="17" t="s">
        <v>26</v>
      </c>
      <c r="G1625" s="19"/>
      <c r="H1625" s="20" t="s">
        <v>2119</v>
      </c>
      <c r="I1625" s="17" t="s">
        <v>22</v>
      </c>
      <c r="J1625" s="17">
        <v>0.0</v>
      </c>
      <c r="K1625" s="17">
        <v>0.0</v>
      </c>
      <c r="L1625" s="17">
        <v>0.0</v>
      </c>
      <c r="M1625" s="17">
        <v>0.0</v>
      </c>
      <c r="N1625" s="17">
        <v>0.0</v>
      </c>
      <c r="O1625" s="17">
        <v>0.0</v>
      </c>
      <c r="P1625" s="17">
        <v>0.0</v>
      </c>
      <c r="Q1625" s="17">
        <v>0.0</v>
      </c>
      <c r="R1625" s="17">
        <v>0.0</v>
      </c>
      <c r="S1625" s="17">
        <v>0.0</v>
      </c>
      <c r="T1625" s="17">
        <v>0.0</v>
      </c>
      <c r="U1625" s="17">
        <v>0.0</v>
      </c>
    </row>
    <row r="1626" ht="23.25" customHeight="1">
      <c r="A1626" s="20" t="str">
        <f>IF(COUNTIF('Icon Lookup'!C:C,B1626)&gt;0,LOOKUP(B1626,'Icon Lookup'!C:C,'Icon Lookup'!B:B),"")</f>
        <v/>
      </c>
      <c r="B1626" s="21" t="s">
        <v>741</v>
      </c>
      <c r="C1626" s="20"/>
      <c r="D1626" s="20">
        <v>58.0</v>
      </c>
      <c r="E1626" s="20" t="s">
        <v>26</v>
      </c>
      <c r="G1626" s="22"/>
      <c r="H1626" s="23" t="s">
        <v>2120</v>
      </c>
      <c r="I1626" s="20" t="s">
        <v>22</v>
      </c>
      <c r="J1626" s="20">
        <v>0.0</v>
      </c>
      <c r="K1626" s="20">
        <v>0.0</v>
      </c>
      <c r="L1626" s="20">
        <v>0.0</v>
      </c>
      <c r="M1626" s="20">
        <v>0.0</v>
      </c>
      <c r="N1626" s="20">
        <v>0.0</v>
      </c>
      <c r="O1626" s="20">
        <v>0.0</v>
      </c>
      <c r="P1626" s="20">
        <v>0.0</v>
      </c>
      <c r="Q1626" s="20">
        <v>0.0</v>
      </c>
      <c r="R1626" s="20">
        <v>0.0</v>
      </c>
      <c r="S1626" s="20">
        <v>0.0</v>
      </c>
      <c r="T1626" s="20">
        <v>0.0</v>
      </c>
      <c r="U1626" s="20">
        <v>0.0</v>
      </c>
    </row>
    <row r="1627" ht="23.25" customHeight="1">
      <c r="A1627" s="1"/>
      <c r="B1627" s="15" t="s">
        <v>2121</v>
      </c>
      <c r="C1627" s="1" t="s">
        <v>17</v>
      </c>
      <c r="D1627" s="1" t="s">
        <v>135</v>
      </c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</row>
    <row r="1628" ht="23.25" customHeight="1">
      <c r="A1628" s="17" t="str">
        <f>IF(COUNTIF('Icon Lookup'!C:C,B1628)&gt;0,LOOKUP(B1628,'Icon Lookup'!C:C,'Icon Lookup'!B:B),"")</f>
        <v/>
      </c>
      <c r="B1628" s="18" t="s">
        <v>136</v>
      </c>
      <c r="C1628" s="17"/>
      <c r="D1628" s="17">
        <v>31.0</v>
      </c>
      <c r="E1628" s="17" t="s">
        <v>137</v>
      </c>
      <c r="G1628" s="19"/>
      <c r="H1628" s="20" t="s">
        <v>2122</v>
      </c>
      <c r="I1628" s="17" t="s">
        <v>22</v>
      </c>
      <c r="J1628" s="17">
        <v>0.0</v>
      </c>
      <c r="K1628" s="17">
        <v>0.0</v>
      </c>
      <c r="L1628" s="17">
        <v>0.0</v>
      </c>
      <c r="M1628" s="17">
        <v>0.0</v>
      </c>
      <c r="N1628" s="17">
        <v>0.0</v>
      </c>
      <c r="O1628" s="17">
        <v>0.0</v>
      </c>
      <c r="P1628" s="17">
        <v>0.0</v>
      </c>
      <c r="Q1628" s="17">
        <v>0.0</v>
      </c>
      <c r="R1628" s="17">
        <v>0.0</v>
      </c>
      <c r="S1628" s="17">
        <v>0.0</v>
      </c>
      <c r="T1628" s="17">
        <v>0.0</v>
      </c>
      <c r="U1628" s="17">
        <v>0.0</v>
      </c>
    </row>
    <row r="1629" ht="23.25" customHeight="1">
      <c r="A1629" s="1"/>
      <c r="B1629" s="15" t="s">
        <v>2123</v>
      </c>
      <c r="C1629" s="1" t="s">
        <v>17</v>
      </c>
      <c r="D1629" s="1" t="s">
        <v>135</v>
      </c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</row>
    <row r="1630" ht="23.25" customHeight="1">
      <c r="A1630" s="20" t="str">
        <f>IF(COUNTIF('Icon Lookup'!C:C,B1630)&gt;0,LOOKUP(B1630,'Icon Lookup'!C:C,'Icon Lookup'!B:B),"")</f>
        <v/>
      </c>
      <c r="B1630" s="21" t="s">
        <v>136</v>
      </c>
      <c r="C1630" s="20"/>
      <c r="D1630" s="20">
        <v>40.0</v>
      </c>
      <c r="E1630" s="20" t="s">
        <v>137</v>
      </c>
      <c r="G1630" s="22"/>
      <c r="H1630" s="23" t="s">
        <v>2124</v>
      </c>
      <c r="I1630" s="20" t="s">
        <v>22</v>
      </c>
      <c r="J1630" s="20">
        <v>0.0</v>
      </c>
      <c r="K1630" s="20">
        <v>0.0</v>
      </c>
      <c r="L1630" s="20">
        <v>0.0</v>
      </c>
      <c r="M1630" s="20">
        <v>0.0</v>
      </c>
      <c r="N1630" s="20">
        <v>0.0</v>
      </c>
      <c r="O1630" s="20">
        <v>0.0</v>
      </c>
      <c r="P1630" s="20">
        <v>0.0</v>
      </c>
      <c r="Q1630" s="20">
        <v>0.0</v>
      </c>
      <c r="R1630" s="20">
        <v>0.0</v>
      </c>
      <c r="S1630" s="20">
        <v>0.0</v>
      </c>
      <c r="T1630" s="20">
        <v>0.0</v>
      </c>
      <c r="U1630" s="20">
        <v>0.0</v>
      </c>
    </row>
    <row r="1631" ht="23.25" customHeight="1">
      <c r="A1631" s="1"/>
      <c r="B1631" s="15" t="s">
        <v>2125</v>
      </c>
      <c r="C1631" s="1" t="s">
        <v>17</v>
      </c>
      <c r="D1631" s="1" t="s">
        <v>135</v>
      </c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</row>
    <row r="1632" ht="23.25" customHeight="1">
      <c r="A1632" s="17" t="str">
        <f>IF(COUNTIF('Icon Lookup'!C:C,B1632)&gt;0,LOOKUP(B1632,'Icon Lookup'!C:C,'Icon Lookup'!B:B),"")</f>
        <v/>
      </c>
      <c r="B1632" s="18" t="s">
        <v>311</v>
      </c>
      <c r="C1632" s="17"/>
      <c r="D1632" s="17">
        <v>60.0</v>
      </c>
      <c r="E1632" s="17" t="s">
        <v>137</v>
      </c>
      <c r="G1632" s="19"/>
      <c r="H1632" s="20" t="s">
        <v>2126</v>
      </c>
      <c r="I1632" s="17" t="s">
        <v>22</v>
      </c>
      <c r="J1632" s="17">
        <v>0.0</v>
      </c>
      <c r="K1632" s="17">
        <v>0.0</v>
      </c>
      <c r="L1632" s="17">
        <v>0.0</v>
      </c>
      <c r="M1632" s="17">
        <v>0.0</v>
      </c>
      <c r="N1632" s="17">
        <v>0.0</v>
      </c>
      <c r="O1632" s="17">
        <v>0.0</v>
      </c>
      <c r="P1632" s="17">
        <v>0.0</v>
      </c>
      <c r="Q1632" s="17">
        <v>0.0</v>
      </c>
      <c r="R1632" s="17">
        <v>0.0</v>
      </c>
      <c r="S1632" s="17">
        <v>0.0</v>
      </c>
      <c r="T1632" s="17">
        <v>0.0</v>
      </c>
      <c r="U1632" s="17">
        <v>0.0</v>
      </c>
    </row>
    <row r="1633" ht="23.25" customHeight="1">
      <c r="A1633" s="1"/>
      <c r="B1633" s="15" t="s">
        <v>2127</v>
      </c>
      <c r="C1633" s="1" t="s">
        <v>17</v>
      </c>
      <c r="D1633" s="1" t="s">
        <v>296</v>
      </c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</row>
    <row r="1634" ht="23.25" customHeight="1">
      <c r="A1634" s="20" t="str">
        <f>IF(COUNTIF('Icon Lookup'!C:C,B1634)&gt;0,LOOKUP(B1634,'Icon Lookup'!C:C,'Icon Lookup'!B:B),"")</f>
        <v/>
      </c>
      <c r="B1634" s="21" t="s">
        <v>747</v>
      </c>
      <c r="C1634" s="20"/>
      <c r="D1634" s="20">
        <v>43.0</v>
      </c>
      <c r="E1634" s="20" t="s">
        <v>298</v>
      </c>
      <c r="G1634" s="22"/>
      <c r="H1634" s="23" t="s">
        <v>299</v>
      </c>
      <c r="I1634" s="20" t="s">
        <v>22</v>
      </c>
      <c r="J1634" s="20">
        <v>0.0</v>
      </c>
      <c r="K1634" s="20">
        <v>0.0</v>
      </c>
      <c r="L1634" s="20">
        <v>0.0</v>
      </c>
      <c r="M1634" s="20">
        <v>0.0</v>
      </c>
      <c r="N1634" s="20">
        <v>0.0</v>
      </c>
      <c r="O1634" s="20">
        <v>0.0</v>
      </c>
      <c r="P1634" s="20">
        <v>0.0</v>
      </c>
      <c r="Q1634" s="20">
        <v>0.0</v>
      </c>
      <c r="R1634" s="20">
        <v>0.0</v>
      </c>
      <c r="S1634" s="20">
        <v>0.0</v>
      </c>
      <c r="T1634" s="20">
        <v>0.0</v>
      </c>
      <c r="U1634" s="20">
        <v>0.0</v>
      </c>
    </row>
    <row r="1635" ht="23.25" customHeight="1">
      <c r="A1635" s="1"/>
      <c r="B1635" s="15" t="s">
        <v>2128</v>
      </c>
      <c r="C1635" s="1" t="s">
        <v>17</v>
      </c>
      <c r="D1635" s="1" t="s">
        <v>296</v>
      </c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</row>
    <row r="1636" ht="23.25" customHeight="1">
      <c r="A1636" s="17" t="str">
        <f>IF(COUNTIF('Icon Lookup'!C:C,B1636)&gt;0,LOOKUP(B1636,'Icon Lookup'!C:C,'Icon Lookup'!B:B),"")</f>
        <v/>
      </c>
      <c r="B1636" s="18" t="s">
        <v>747</v>
      </c>
      <c r="C1636" s="17"/>
      <c r="D1636" s="17">
        <v>63.0</v>
      </c>
      <c r="E1636" s="17" t="s">
        <v>298</v>
      </c>
      <c r="G1636" s="19"/>
      <c r="H1636" s="20" t="s">
        <v>2129</v>
      </c>
      <c r="I1636" s="17" t="s">
        <v>22</v>
      </c>
      <c r="J1636" s="17">
        <v>0.0</v>
      </c>
      <c r="K1636" s="17">
        <v>0.0</v>
      </c>
      <c r="L1636" s="17">
        <v>0.0</v>
      </c>
      <c r="M1636" s="17">
        <v>0.0</v>
      </c>
      <c r="N1636" s="17">
        <v>0.0</v>
      </c>
      <c r="O1636" s="17">
        <v>0.0</v>
      </c>
      <c r="P1636" s="17">
        <v>0.0</v>
      </c>
      <c r="Q1636" s="17">
        <v>0.0</v>
      </c>
      <c r="R1636" s="17">
        <v>0.0</v>
      </c>
      <c r="S1636" s="17">
        <v>0.0</v>
      </c>
      <c r="T1636" s="17">
        <v>0.0</v>
      </c>
      <c r="U1636" s="17">
        <v>0.0</v>
      </c>
    </row>
    <row r="1637" ht="23.25" customHeight="1">
      <c r="A1637" s="1"/>
      <c r="B1637" s="15" t="s">
        <v>2130</v>
      </c>
      <c r="C1637" s="1" t="s">
        <v>17</v>
      </c>
      <c r="D1637" s="1" t="s">
        <v>957</v>
      </c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</row>
    <row r="1638" ht="23.25" customHeight="1">
      <c r="A1638" s="20" t="str">
        <f>IF(COUNTIF('Icon Lookup'!C:C,B1638)&gt;0,LOOKUP(B1638,'Icon Lookup'!C:C,'Icon Lookup'!B:B),"")</f>
        <v/>
      </c>
      <c r="B1638" s="21" t="s">
        <v>961</v>
      </c>
      <c r="C1638" s="20"/>
      <c r="D1638" s="20">
        <v>60.0</v>
      </c>
      <c r="E1638" s="20" t="s">
        <v>959</v>
      </c>
      <c r="G1638" s="22"/>
      <c r="H1638" s="23" t="s">
        <v>2131</v>
      </c>
      <c r="I1638" s="20" t="s">
        <v>612</v>
      </c>
      <c r="J1638" s="20">
        <v>0.0</v>
      </c>
      <c r="K1638" s="20">
        <v>0.0</v>
      </c>
      <c r="L1638" s="20">
        <v>0.0</v>
      </c>
      <c r="M1638" s="20">
        <v>0.0</v>
      </c>
      <c r="N1638" s="20">
        <v>0.0</v>
      </c>
      <c r="O1638" s="20">
        <v>0.0</v>
      </c>
      <c r="P1638" s="20">
        <v>0.0</v>
      </c>
      <c r="Q1638" s="20">
        <v>0.0</v>
      </c>
      <c r="R1638" s="20">
        <v>0.0</v>
      </c>
      <c r="S1638" s="20">
        <v>0.0</v>
      </c>
      <c r="T1638" s="20">
        <v>0.0</v>
      </c>
      <c r="U1638" s="20">
        <v>0.0</v>
      </c>
    </row>
    <row r="1639" ht="23.25" customHeight="1">
      <c r="A1639" s="17" t="str">
        <f>IF(COUNTIF('Icon Lookup'!C:C,B1639)&gt;0,LOOKUP(B1639,'Icon Lookup'!C:C,'Icon Lookup'!B:B),"")</f>
        <v/>
      </c>
      <c r="B1639" s="18" t="s">
        <v>961</v>
      </c>
      <c r="C1639" s="17"/>
      <c r="D1639" s="17">
        <v>60.0</v>
      </c>
      <c r="E1639" s="17" t="s">
        <v>959</v>
      </c>
      <c r="G1639" s="19"/>
      <c r="H1639" s="20" t="s">
        <v>962</v>
      </c>
      <c r="I1639" s="17" t="s">
        <v>550</v>
      </c>
      <c r="J1639" s="17">
        <v>0.0</v>
      </c>
      <c r="K1639" s="17">
        <v>0.0</v>
      </c>
      <c r="L1639" s="17">
        <v>0.0</v>
      </c>
      <c r="M1639" s="17">
        <v>0.0</v>
      </c>
      <c r="N1639" s="17">
        <v>0.0</v>
      </c>
      <c r="O1639" s="17">
        <v>0.0</v>
      </c>
      <c r="P1639" s="17">
        <v>0.0</v>
      </c>
      <c r="Q1639" s="17">
        <v>0.0</v>
      </c>
      <c r="R1639" s="17">
        <v>0.0</v>
      </c>
      <c r="S1639" s="17">
        <v>0.0</v>
      </c>
      <c r="T1639" s="17">
        <v>0.0</v>
      </c>
      <c r="U1639" s="17">
        <v>0.0</v>
      </c>
    </row>
    <row r="1640" ht="23.25" customHeight="1">
      <c r="A1640" s="1"/>
      <c r="B1640" s="15" t="s">
        <v>2132</v>
      </c>
      <c r="C1640" s="1" t="s">
        <v>17</v>
      </c>
      <c r="D1640" s="1" t="s">
        <v>1739</v>
      </c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</row>
    <row r="1641" ht="23.25" customHeight="1">
      <c r="A1641" s="20" t="str">
        <f>IF(COUNTIF('Icon Lookup'!C:C,B1641)&gt;0,LOOKUP(B1641,'Icon Lookup'!C:C,'Icon Lookup'!B:B),"")</f>
        <v/>
      </c>
      <c r="B1641" s="21" t="s">
        <v>1742</v>
      </c>
      <c r="C1641" s="20"/>
      <c r="D1641" s="20">
        <v>61.0</v>
      </c>
      <c r="E1641" s="20" t="s">
        <v>58</v>
      </c>
      <c r="G1641" s="22"/>
      <c r="H1641" s="23" t="s">
        <v>1741</v>
      </c>
      <c r="I1641" s="20" t="s">
        <v>550</v>
      </c>
      <c r="J1641" s="20">
        <v>0.0</v>
      </c>
      <c r="K1641" s="20">
        <v>0.0</v>
      </c>
      <c r="L1641" s="20">
        <v>0.0</v>
      </c>
      <c r="M1641" s="20">
        <v>0.0</v>
      </c>
      <c r="N1641" s="20">
        <v>0.0</v>
      </c>
      <c r="O1641" s="20">
        <v>0.0</v>
      </c>
      <c r="P1641" s="20">
        <v>0.0</v>
      </c>
      <c r="Q1641" s="20">
        <v>0.0</v>
      </c>
      <c r="R1641" s="20">
        <v>0.0</v>
      </c>
      <c r="S1641" s="20">
        <v>0.0</v>
      </c>
      <c r="T1641" s="20">
        <v>0.0</v>
      </c>
      <c r="U1641" s="20">
        <v>0.0</v>
      </c>
    </row>
    <row r="1642" ht="23.25" customHeight="1">
      <c r="A1642" s="17" t="str">
        <f>IF(COUNTIF('Icon Lookup'!C:C,B1642)&gt;0,LOOKUP(B1642,'Icon Lookup'!C:C,'Icon Lookup'!B:B),"")</f>
        <v/>
      </c>
      <c r="B1642" s="18" t="s">
        <v>1742</v>
      </c>
      <c r="C1642" s="17"/>
      <c r="D1642" s="17">
        <v>61.0</v>
      </c>
      <c r="E1642" s="17" t="s">
        <v>58</v>
      </c>
      <c r="G1642" s="19"/>
      <c r="H1642" s="20" t="s">
        <v>1743</v>
      </c>
      <c r="I1642" s="17" t="s">
        <v>22</v>
      </c>
      <c r="J1642" s="17">
        <v>0.0</v>
      </c>
      <c r="K1642" s="17">
        <v>0.0</v>
      </c>
      <c r="L1642" s="17">
        <v>0.0</v>
      </c>
      <c r="M1642" s="17">
        <v>0.0</v>
      </c>
      <c r="N1642" s="17">
        <v>0.0</v>
      </c>
      <c r="O1642" s="17">
        <v>0.0</v>
      </c>
      <c r="P1642" s="17">
        <v>0.0</v>
      </c>
      <c r="Q1642" s="17">
        <v>0.0</v>
      </c>
      <c r="R1642" s="17">
        <v>0.0</v>
      </c>
      <c r="S1642" s="17">
        <v>0.0</v>
      </c>
      <c r="T1642" s="17">
        <v>0.0</v>
      </c>
      <c r="U1642" s="17">
        <v>0.0</v>
      </c>
    </row>
    <row r="1643" ht="23.25" customHeight="1">
      <c r="A1643" s="1"/>
      <c r="B1643" s="15" t="s">
        <v>2133</v>
      </c>
      <c r="C1643" s="1" t="s">
        <v>17</v>
      </c>
      <c r="D1643" s="1" t="s">
        <v>595</v>
      </c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</row>
    <row r="1644" ht="23.25" customHeight="1">
      <c r="A1644" s="20" t="str">
        <f>IF(COUNTIF('Icon Lookup'!C:C,B1644)&gt;0,LOOKUP(B1644,'Icon Lookup'!C:C,'Icon Lookup'!B:B),"")</f>
        <v/>
      </c>
      <c r="B1644" s="21" t="s">
        <v>117</v>
      </c>
      <c r="C1644" s="20"/>
      <c r="D1644" s="20">
        <v>55.0</v>
      </c>
      <c r="E1644" s="20" t="s">
        <v>26</v>
      </c>
      <c r="G1644" s="22"/>
      <c r="H1644" s="23" t="s">
        <v>2134</v>
      </c>
      <c r="I1644" s="20" t="s">
        <v>211</v>
      </c>
      <c r="J1644" s="20">
        <v>0.0</v>
      </c>
      <c r="K1644" s="20">
        <v>0.0</v>
      </c>
      <c r="L1644" s="20">
        <v>0.0</v>
      </c>
      <c r="M1644" s="20">
        <v>0.0</v>
      </c>
      <c r="N1644" s="20">
        <v>0.0</v>
      </c>
      <c r="O1644" s="20">
        <v>0.0</v>
      </c>
      <c r="P1644" s="20">
        <v>0.0</v>
      </c>
      <c r="Q1644" s="20">
        <v>0.0</v>
      </c>
      <c r="R1644" s="20">
        <v>0.0</v>
      </c>
      <c r="S1644" s="20">
        <v>0.0</v>
      </c>
      <c r="T1644" s="20">
        <v>0.0</v>
      </c>
      <c r="U1644" s="20">
        <v>0.0</v>
      </c>
    </row>
    <row r="1645" ht="23.25" customHeight="1">
      <c r="A1645" s="17" t="str">
        <f>IF(COUNTIF('Icon Lookup'!C:C,B1645)&gt;0,LOOKUP(B1645,'Icon Lookup'!C:C,'Icon Lookup'!B:B),"")</f>
        <v/>
      </c>
      <c r="B1645" s="18" t="s">
        <v>273</v>
      </c>
      <c r="C1645" s="17"/>
      <c r="D1645" s="17">
        <v>55.0</v>
      </c>
      <c r="E1645" s="17" t="s">
        <v>38</v>
      </c>
      <c r="G1645" s="19"/>
      <c r="H1645" s="20" t="s">
        <v>2135</v>
      </c>
      <c r="I1645" s="17" t="s">
        <v>52</v>
      </c>
      <c r="J1645" s="17">
        <v>0.0</v>
      </c>
      <c r="K1645" s="17">
        <v>0.0</v>
      </c>
      <c r="L1645" s="17">
        <v>0.0</v>
      </c>
      <c r="M1645" s="17">
        <v>0.0</v>
      </c>
      <c r="N1645" s="17">
        <v>0.0</v>
      </c>
      <c r="O1645" s="17">
        <v>0.0</v>
      </c>
      <c r="P1645" s="17">
        <v>0.0</v>
      </c>
      <c r="Q1645" s="17">
        <v>0.0</v>
      </c>
      <c r="R1645" s="17">
        <v>0.0</v>
      </c>
      <c r="S1645" s="17">
        <v>0.0</v>
      </c>
      <c r="T1645" s="17">
        <v>0.0</v>
      </c>
      <c r="U1645" s="17">
        <v>0.0</v>
      </c>
    </row>
    <row r="1646" ht="23.25" customHeight="1">
      <c r="A1646" s="1"/>
      <c r="B1646" s="15" t="s">
        <v>2136</v>
      </c>
      <c r="C1646" s="1" t="s">
        <v>17</v>
      </c>
      <c r="D1646" s="1" t="s">
        <v>964</v>
      </c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</row>
    <row r="1647" ht="23.25" customHeight="1">
      <c r="A1647" s="20" t="str">
        <f>IF(COUNTIF('Icon Lookup'!C:C,B1647)&gt;0,LOOKUP(B1647,'Icon Lookup'!C:C,'Icon Lookup'!B:B),"")</f>
        <v/>
      </c>
      <c r="B1647" s="21" t="s">
        <v>965</v>
      </c>
      <c r="C1647" s="20"/>
      <c r="D1647" s="20">
        <v>39.0</v>
      </c>
      <c r="E1647" s="20" t="s">
        <v>145</v>
      </c>
      <c r="G1647" s="22"/>
      <c r="H1647" s="23" t="s">
        <v>2137</v>
      </c>
      <c r="I1647" s="20" t="s">
        <v>22</v>
      </c>
      <c r="J1647" s="20">
        <v>0.0</v>
      </c>
      <c r="K1647" s="20">
        <v>0.0</v>
      </c>
      <c r="L1647" s="20">
        <v>0.0</v>
      </c>
      <c r="M1647" s="20">
        <v>0.0</v>
      </c>
      <c r="N1647" s="20">
        <v>0.0</v>
      </c>
      <c r="O1647" s="20">
        <v>0.0</v>
      </c>
      <c r="P1647" s="20">
        <v>0.0</v>
      </c>
      <c r="Q1647" s="20">
        <v>0.0</v>
      </c>
      <c r="R1647" s="20">
        <v>0.0</v>
      </c>
      <c r="S1647" s="20">
        <v>0.0</v>
      </c>
      <c r="T1647" s="20">
        <v>0.0</v>
      </c>
      <c r="U1647" s="20">
        <v>0.0</v>
      </c>
    </row>
    <row r="1648" ht="23.25" customHeight="1">
      <c r="A1648" s="17" t="str">
        <f>IF(COUNTIF('Icon Lookup'!C:C,B1648)&gt;0,LOOKUP(B1648,'Icon Lookup'!C:C,'Icon Lookup'!B:B),"")</f>
        <v/>
      </c>
      <c r="B1648" s="18" t="s">
        <v>225</v>
      </c>
      <c r="C1648" s="17"/>
      <c r="D1648" s="17">
        <v>39.0</v>
      </c>
      <c r="E1648" s="17" t="s">
        <v>26</v>
      </c>
      <c r="G1648" s="19"/>
      <c r="H1648" s="20" t="s">
        <v>2138</v>
      </c>
      <c r="I1648" s="17" t="s">
        <v>22</v>
      </c>
      <c r="J1648" s="17">
        <v>0.0</v>
      </c>
      <c r="K1648" s="17">
        <v>0.0</v>
      </c>
      <c r="L1648" s="17">
        <v>0.0</v>
      </c>
      <c r="M1648" s="17">
        <v>0.0</v>
      </c>
      <c r="N1648" s="17">
        <v>0.0</v>
      </c>
      <c r="O1648" s="17">
        <v>0.0</v>
      </c>
      <c r="P1648" s="17">
        <v>0.0</v>
      </c>
      <c r="Q1648" s="17">
        <v>0.0</v>
      </c>
      <c r="R1648" s="17">
        <v>0.0</v>
      </c>
      <c r="S1648" s="17">
        <v>0.0</v>
      </c>
      <c r="T1648" s="17">
        <v>0.0</v>
      </c>
      <c r="U1648" s="17">
        <v>0.0</v>
      </c>
    </row>
    <row r="1649" ht="23.25" customHeight="1">
      <c r="A1649" s="20" t="str">
        <f>IF(COUNTIF('Icon Lookup'!C:C,B1649)&gt;0,LOOKUP(B1649,'Icon Lookup'!C:C,'Icon Lookup'!B:B),"")</f>
        <v/>
      </c>
      <c r="B1649" s="21" t="s">
        <v>190</v>
      </c>
      <c r="C1649" s="20"/>
      <c r="D1649" s="20">
        <v>39.0</v>
      </c>
      <c r="E1649" s="20" t="s">
        <v>26</v>
      </c>
      <c r="G1649" s="22"/>
      <c r="H1649" s="23" t="s">
        <v>2139</v>
      </c>
      <c r="I1649" s="20" t="s">
        <v>40</v>
      </c>
      <c r="J1649" s="20">
        <v>0.0</v>
      </c>
      <c r="K1649" s="20">
        <v>0.0</v>
      </c>
      <c r="L1649" s="20">
        <v>0.0</v>
      </c>
      <c r="M1649" s="20">
        <v>0.0</v>
      </c>
      <c r="N1649" s="20">
        <v>0.0</v>
      </c>
      <c r="O1649" s="20">
        <v>0.0</v>
      </c>
      <c r="P1649" s="20">
        <v>0.0</v>
      </c>
      <c r="Q1649" s="20">
        <v>0.0</v>
      </c>
      <c r="R1649" s="20">
        <v>0.0</v>
      </c>
      <c r="S1649" s="20">
        <v>0.0</v>
      </c>
      <c r="T1649" s="20">
        <v>0.0</v>
      </c>
      <c r="U1649" s="20">
        <v>0.0</v>
      </c>
    </row>
    <row r="1650" ht="23.25" customHeight="1">
      <c r="A1650" s="1"/>
      <c r="B1650" s="15" t="s">
        <v>2140</v>
      </c>
      <c r="C1650" s="1" t="s">
        <v>17</v>
      </c>
      <c r="D1650" s="1" t="s">
        <v>964</v>
      </c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</row>
    <row r="1651" ht="23.25" customHeight="1">
      <c r="A1651" s="17" t="str">
        <f>IF(COUNTIF('Icon Lookup'!C:C,B1651)&gt;0,LOOKUP(B1651,'Icon Lookup'!C:C,'Icon Lookup'!B:B),"")</f>
        <v/>
      </c>
      <c r="B1651" s="18" t="s">
        <v>965</v>
      </c>
      <c r="C1651" s="17"/>
      <c r="D1651" s="17">
        <v>59.0</v>
      </c>
      <c r="E1651" s="17" t="s">
        <v>145</v>
      </c>
      <c r="G1651" s="19"/>
      <c r="H1651" s="20" t="s">
        <v>2141</v>
      </c>
      <c r="I1651" s="17" t="s">
        <v>22</v>
      </c>
      <c r="J1651" s="17">
        <v>0.0</v>
      </c>
      <c r="K1651" s="17">
        <v>0.0</v>
      </c>
      <c r="L1651" s="17">
        <v>0.0</v>
      </c>
      <c r="M1651" s="17">
        <v>0.0</v>
      </c>
      <c r="N1651" s="17">
        <v>0.0</v>
      </c>
      <c r="O1651" s="17">
        <v>0.0</v>
      </c>
      <c r="P1651" s="17">
        <v>0.0</v>
      </c>
      <c r="Q1651" s="17">
        <v>0.0</v>
      </c>
      <c r="R1651" s="17">
        <v>0.0</v>
      </c>
      <c r="S1651" s="17">
        <v>0.0</v>
      </c>
      <c r="T1651" s="17">
        <v>0.0</v>
      </c>
      <c r="U1651" s="17">
        <v>0.0</v>
      </c>
    </row>
    <row r="1652" ht="23.25" customHeight="1">
      <c r="A1652" s="20" t="str">
        <f>IF(COUNTIF('Icon Lookup'!C:C,B1652)&gt;0,LOOKUP(B1652,'Icon Lookup'!C:C,'Icon Lookup'!B:B),"")</f>
        <v/>
      </c>
      <c r="B1652" s="21" t="s">
        <v>225</v>
      </c>
      <c r="C1652" s="20"/>
      <c r="D1652" s="20">
        <v>59.0</v>
      </c>
      <c r="E1652" s="20" t="s">
        <v>26</v>
      </c>
      <c r="G1652" s="22"/>
      <c r="H1652" s="23" t="s">
        <v>2142</v>
      </c>
      <c r="I1652" s="20" t="s">
        <v>22</v>
      </c>
      <c r="J1652" s="20">
        <v>0.0</v>
      </c>
      <c r="K1652" s="20">
        <v>0.0</v>
      </c>
      <c r="L1652" s="20">
        <v>0.0</v>
      </c>
      <c r="M1652" s="20">
        <v>0.0</v>
      </c>
      <c r="N1652" s="20">
        <v>0.0</v>
      </c>
      <c r="O1652" s="20">
        <v>0.0</v>
      </c>
      <c r="P1652" s="20">
        <v>0.0</v>
      </c>
      <c r="Q1652" s="20">
        <v>0.0</v>
      </c>
      <c r="R1652" s="20">
        <v>0.0</v>
      </c>
      <c r="S1652" s="20">
        <v>0.0</v>
      </c>
      <c r="T1652" s="20">
        <v>0.0</v>
      </c>
      <c r="U1652" s="20">
        <v>0.0</v>
      </c>
    </row>
    <row r="1653" ht="23.25" customHeight="1">
      <c r="A1653" s="17" t="str">
        <f>IF(COUNTIF('Icon Lookup'!C:C,B1653)&gt;0,LOOKUP(B1653,'Icon Lookup'!C:C,'Icon Lookup'!B:B),"")</f>
        <v/>
      </c>
      <c r="B1653" s="18" t="s">
        <v>190</v>
      </c>
      <c r="C1653" s="17"/>
      <c r="D1653" s="17">
        <v>59.0</v>
      </c>
      <c r="E1653" s="17" t="s">
        <v>26</v>
      </c>
      <c r="G1653" s="19"/>
      <c r="H1653" s="20" t="s">
        <v>2143</v>
      </c>
      <c r="I1653" s="17" t="s">
        <v>40</v>
      </c>
      <c r="J1653" s="17">
        <v>0.0</v>
      </c>
      <c r="K1653" s="17">
        <v>0.0</v>
      </c>
      <c r="L1653" s="17">
        <v>0.0</v>
      </c>
      <c r="M1653" s="17">
        <v>0.0</v>
      </c>
      <c r="N1653" s="17">
        <v>0.0</v>
      </c>
      <c r="O1653" s="17">
        <v>0.0</v>
      </c>
      <c r="P1653" s="17">
        <v>0.0</v>
      </c>
      <c r="Q1653" s="17">
        <v>0.0</v>
      </c>
      <c r="R1653" s="17">
        <v>0.0</v>
      </c>
      <c r="S1653" s="17">
        <v>0.0</v>
      </c>
      <c r="T1653" s="17">
        <v>0.0</v>
      </c>
      <c r="U1653" s="17">
        <v>0.0</v>
      </c>
    </row>
    <row r="1654" ht="23.25" customHeight="1">
      <c r="A1654" s="1"/>
      <c r="B1654" s="15" t="s">
        <v>2144</v>
      </c>
      <c r="C1654" s="1" t="s">
        <v>17</v>
      </c>
      <c r="D1654" s="1" t="s">
        <v>1767</v>
      </c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</row>
    <row r="1655" ht="23.25" customHeight="1">
      <c r="A1655" s="20" t="str">
        <f>IF(COUNTIF('Icon Lookup'!C:C,B1655)&gt;0,LOOKUP(B1655,'Icon Lookup'!C:C,'Icon Lookup'!B:B),"")</f>
        <v/>
      </c>
      <c r="B1655" s="21" t="s">
        <v>1768</v>
      </c>
      <c r="C1655" s="20"/>
      <c r="D1655" s="20">
        <v>60.0</v>
      </c>
      <c r="E1655" s="20" t="s">
        <v>1413</v>
      </c>
      <c r="G1655" s="22"/>
      <c r="H1655" s="23" t="s">
        <v>2145</v>
      </c>
      <c r="I1655" s="20" t="s">
        <v>550</v>
      </c>
      <c r="J1655" s="20">
        <v>0.0</v>
      </c>
      <c r="K1655" s="20">
        <v>0.0</v>
      </c>
      <c r="L1655" s="20">
        <v>0.0</v>
      </c>
      <c r="M1655" s="20">
        <v>0.0</v>
      </c>
      <c r="N1655" s="20">
        <v>0.0</v>
      </c>
      <c r="O1655" s="20">
        <v>0.0</v>
      </c>
      <c r="P1655" s="20">
        <v>0.0</v>
      </c>
      <c r="Q1655" s="20">
        <v>0.0</v>
      </c>
      <c r="R1655" s="20">
        <v>0.0</v>
      </c>
      <c r="S1655" s="20">
        <v>0.0</v>
      </c>
      <c r="T1655" s="20">
        <v>0.0</v>
      </c>
      <c r="U1655" s="20">
        <v>0.0</v>
      </c>
    </row>
    <row r="1656" ht="23.25" customHeight="1">
      <c r="A1656" s="17" t="str">
        <f>IF(COUNTIF('Icon Lookup'!C:C,B1656)&gt;0,LOOKUP(B1656,'Icon Lookup'!C:C,'Icon Lookup'!B:B),"")</f>
        <v/>
      </c>
      <c r="B1656" s="18" t="s">
        <v>1770</v>
      </c>
      <c r="C1656" s="17"/>
      <c r="D1656" s="17">
        <v>60.0</v>
      </c>
      <c r="E1656" s="17" t="s">
        <v>1771</v>
      </c>
      <c r="G1656" s="19"/>
      <c r="H1656" s="20" t="s">
        <v>1772</v>
      </c>
      <c r="I1656" s="17" t="s">
        <v>550</v>
      </c>
      <c r="J1656" s="17">
        <v>0.0</v>
      </c>
      <c r="K1656" s="17">
        <v>0.0</v>
      </c>
      <c r="L1656" s="17">
        <v>0.0</v>
      </c>
      <c r="M1656" s="17">
        <v>0.0</v>
      </c>
      <c r="N1656" s="17">
        <v>0.0</v>
      </c>
      <c r="O1656" s="17">
        <v>0.0</v>
      </c>
      <c r="P1656" s="17">
        <v>0.0</v>
      </c>
      <c r="Q1656" s="17">
        <v>0.0</v>
      </c>
      <c r="R1656" s="17">
        <v>0.0</v>
      </c>
      <c r="S1656" s="17">
        <v>0.0</v>
      </c>
      <c r="T1656" s="17">
        <v>0.0</v>
      </c>
      <c r="U1656" s="17">
        <v>0.0</v>
      </c>
    </row>
    <row r="1657" ht="23.25" customHeight="1">
      <c r="A1657" s="1"/>
      <c r="B1657" s="15" t="s">
        <v>2146</v>
      </c>
      <c r="C1657" s="1" t="s">
        <v>17</v>
      </c>
      <c r="D1657" s="1" t="s">
        <v>1774</v>
      </c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</row>
    <row r="1658" ht="23.25" customHeight="1">
      <c r="A1658" s="20" t="str">
        <f>IF(COUNTIF('Icon Lookup'!C:C,B1658)&gt;0,LOOKUP(B1658,'Icon Lookup'!C:C,'Icon Lookup'!B:B),"")</f>
        <v/>
      </c>
      <c r="B1658" s="21" t="s">
        <v>1775</v>
      </c>
      <c r="C1658" s="20"/>
      <c r="D1658" s="20">
        <v>62.0</v>
      </c>
      <c r="E1658" s="20" t="s">
        <v>26</v>
      </c>
      <c r="G1658" s="22"/>
      <c r="H1658" s="23" t="s">
        <v>1776</v>
      </c>
      <c r="I1658" s="20" t="s">
        <v>22</v>
      </c>
      <c r="J1658" s="20">
        <v>0.0</v>
      </c>
      <c r="K1658" s="20">
        <v>0.0</v>
      </c>
      <c r="L1658" s="20">
        <v>0.0</v>
      </c>
      <c r="M1658" s="20">
        <v>0.0</v>
      </c>
      <c r="N1658" s="20">
        <v>0.0</v>
      </c>
      <c r="O1658" s="20">
        <v>0.0</v>
      </c>
      <c r="P1658" s="20">
        <v>0.0</v>
      </c>
      <c r="Q1658" s="20">
        <v>0.0</v>
      </c>
      <c r="R1658" s="20">
        <v>0.0</v>
      </c>
      <c r="S1658" s="20">
        <v>0.0</v>
      </c>
      <c r="T1658" s="20">
        <v>0.0</v>
      </c>
      <c r="U1658" s="20">
        <v>0.0</v>
      </c>
    </row>
    <row r="1659" ht="23.25" customHeight="1">
      <c r="A1659" s="1"/>
      <c r="B1659" s="15" t="s">
        <v>2147</v>
      </c>
      <c r="C1659" s="1" t="s">
        <v>17</v>
      </c>
      <c r="D1659" s="1" t="s">
        <v>599</v>
      </c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</row>
    <row r="1660" ht="23.25" customHeight="1">
      <c r="A1660" s="17" t="str">
        <f>IF(COUNTIF('Icon Lookup'!C:C,B1660)&gt;0,LOOKUP(B1660,'Icon Lookup'!C:C,'Icon Lookup'!B:B),"")</f>
        <v/>
      </c>
      <c r="B1660" s="18" t="s">
        <v>600</v>
      </c>
      <c r="C1660" s="17"/>
      <c r="D1660" s="17">
        <v>54.0</v>
      </c>
      <c r="E1660" s="17" t="s">
        <v>601</v>
      </c>
      <c r="G1660" s="19"/>
      <c r="H1660" s="20" t="s">
        <v>2148</v>
      </c>
      <c r="I1660" s="17" t="s">
        <v>52</v>
      </c>
      <c r="J1660" s="17">
        <v>0.0</v>
      </c>
      <c r="K1660" s="17">
        <v>0.0</v>
      </c>
      <c r="L1660" s="17">
        <v>0.0</v>
      </c>
      <c r="M1660" s="17">
        <v>0.0</v>
      </c>
      <c r="N1660" s="17">
        <v>0.0</v>
      </c>
      <c r="O1660" s="17">
        <v>0.0</v>
      </c>
      <c r="P1660" s="17">
        <v>0.0</v>
      </c>
      <c r="Q1660" s="17">
        <v>0.0</v>
      </c>
      <c r="R1660" s="17">
        <v>0.0</v>
      </c>
      <c r="S1660" s="17">
        <v>0.0</v>
      </c>
      <c r="T1660" s="17">
        <v>0.0</v>
      </c>
      <c r="U1660" s="17">
        <v>0.0</v>
      </c>
    </row>
    <row r="1661" ht="23.25" customHeight="1">
      <c r="A1661" s="20" t="str">
        <f>IF(COUNTIF('Icon Lookup'!C:C,B1661)&gt;0,LOOKUP(B1661,'Icon Lookup'!C:C,'Icon Lookup'!B:B),"")</f>
        <v/>
      </c>
      <c r="B1661" s="21" t="s">
        <v>381</v>
      </c>
      <c r="C1661" s="20"/>
      <c r="D1661" s="20">
        <v>54.0</v>
      </c>
      <c r="E1661" s="20" t="s">
        <v>603</v>
      </c>
      <c r="G1661" s="22"/>
      <c r="H1661" s="23" t="s">
        <v>2149</v>
      </c>
      <c r="I1661" s="20" t="s">
        <v>550</v>
      </c>
      <c r="J1661" s="20">
        <v>0.0</v>
      </c>
      <c r="K1661" s="20">
        <v>0.0</v>
      </c>
      <c r="L1661" s="20">
        <v>0.0</v>
      </c>
      <c r="M1661" s="20">
        <v>0.0</v>
      </c>
      <c r="N1661" s="20">
        <v>0.0</v>
      </c>
      <c r="O1661" s="20">
        <v>0.0</v>
      </c>
      <c r="P1661" s="20">
        <v>0.0</v>
      </c>
      <c r="Q1661" s="20">
        <v>0.0</v>
      </c>
      <c r="R1661" s="20">
        <v>0.0</v>
      </c>
      <c r="S1661" s="20">
        <v>0.0</v>
      </c>
      <c r="T1661" s="20">
        <v>0.0</v>
      </c>
      <c r="U1661" s="20">
        <v>0.0</v>
      </c>
    </row>
    <row r="1662" ht="23.25" customHeight="1">
      <c r="A1662" s="17" t="str">
        <f>IF(COUNTIF('Icon Lookup'!C:C,B1662)&gt;0,LOOKUP(B1662,'Icon Lookup'!C:C,'Icon Lookup'!B:B),"")</f>
        <v/>
      </c>
      <c r="B1662" s="18" t="s">
        <v>482</v>
      </c>
      <c r="C1662" s="17"/>
      <c r="D1662" s="17">
        <v>54.0</v>
      </c>
      <c r="E1662" s="17" t="s">
        <v>218</v>
      </c>
      <c r="G1662" s="19"/>
      <c r="H1662" s="20" t="s">
        <v>2150</v>
      </c>
      <c r="I1662" s="17" t="s">
        <v>22</v>
      </c>
      <c r="J1662" s="17">
        <v>0.0</v>
      </c>
      <c r="K1662" s="17">
        <v>0.0</v>
      </c>
      <c r="L1662" s="17">
        <v>0.0</v>
      </c>
      <c r="M1662" s="17">
        <v>0.0</v>
      </c>
      <c r="N1662" s="17">
        <v>0.0</v>
      </c>
      <c r="O1662" s="17">
        <v>0.0</v>
      </c>
      <c r="P1662" s="17">
        <v>0.0</v>
      </c>
      <c r="Q1662" s="17">
        <v>0.0</v>
      </c>
      <c r="R1662" s="17">
        <v>0.0</v>
      </c>
      <c r="S1662" s="17">
        <v>0.0</v>
      </c>
      <c r="T1662" s="17">
        <v>0.0</v>
      </c>
      <c r="U1662" s="17">
        <v>0.0</v>
      </c>
    </row>
    <row r="1663" ht="23.25" customHeight="1">
      <c r="A1663" s="1"/>
      <c r="B1663" s="15" t="s">
        <v>2151</v>
      </c>
      <c r="C1663" s="1" t="s">
        <v>17</v>
      </c>
      <c r="D1663" s="1" t="s">
        <v>1002</v>
      </c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</row>
    <row r="1664" ht="23.25" customHeight="1">
      <c r="A1664" s="20" t="str">
        <f>IF(COUNTIF('Icon Lookup'!C:C,B1664)&gt;0,LOOKUP(B1664,'Icon Lookup'!C:C,'Icon Lookup'!B:B),"")</f>
        <v/>
      </c>
      <c r="B1664" s="21" t="s">
        <v>1003</v>
      </c>
      <c r="C1664" s="20"/>
      <c r="D1664" s="20">
        <v>40.0</v>
      </c>
      <c r="E1664" s="20" t="s">
        <v>1004</v>
      </c>
      <c r="G1664" s="22"/>
      <c r="H1664" s="23" t="s">
        <v>2152</v>
      </c>
      <c r="I1664" s="20" t="s">
        <v>22</v>
      </c>
      <c r="J1664" s="20">
        <v>0.0</v>
      </c>
      <c r="K1664" s="20">
        <v>0.0</v>
      </c>
      <c r="L1664" s="20">
        <v>0.0</v>
      </c>
      <c r="M1664" s="20">
        <v>0.0</v>
      </c>
      <c r="N1664" s="20">
        <v>0.0</v>
      </c>
      <c r="O1664" s="20">
        <v>0.0</v>
      </c>
      <c r="P1664" s="20">
        <v>0.0</v>
      </c>
      <c r="Q1664" s="20">
        <v>0.0</v>
      </c>
      <c r="R1664" s="20">
        <v>0.0</v>
      </c>
      <c r="S1664" s="20">
        <v>0.0</v>
      </c>
      <c r="T1664" s="20">
        <v>0.0</v>
      </c>
      <c r="U1664" s="20">
        <v>0.0</v>
      </c>
    </row>
    <row r="1665" ht="23.25" customHeight="1">
      <c r="A1665" s="17" t="str">
        <f>IF(COUNTIF('Icon Lookup'!C:C,B1665)&gt;0,LOOKUP(B1665,'Icon Lookup'!C:C,'Icon Lookup'!B:B),"")</f>
        <v/>
      </c>
      <c r="B1665" s="18" t="s">
        <v>386</v>
      </c>
      <c r="C1665" s="17"/>
      <c r="D1665" s="17">
        <v>40.0</v>
      </c>
      <c r="E1665" s="17" t="s">
        <v>387</v>
      </c>
      <c r="G1665" s="19"/>
      <c r="H1665" s="20" t="s">
        <v>2153</v>
      </c>
      <c r="I1665" s="17" t="s">
        <v>52</v>
      </c>
      <c r="J1665" s="17">
        <v>0.0</v>
      </c>
      <c r="K1665" s="17">
        <v>0.0</v>
      </c>
      <c r="L1665" s="17">
        <v>0.0</v>
      </c>
      <c r="M1665" s="17">
        <v>0.0</v>
      </c>
      <c r="N1665" s="17">
        <v>0.0</v>
      </c>
      <c r="O1665" s="17">
        <v>0.0</v>
      </c>
      <c r="P1665" s="17">
        <v>0.0</v>
      </c>
      <c r="Q1665" s="17">
        <v>0.0</v>
      </c>
      <c r="R1665" s="17">
        <v>0.0</v>
      </c>
      <c r="S1665" s="17">
        <v>0.0</v>
      </c>
      <c r="T1665" s="17">
        <v>0.0</v>
      </c>
      <c r="U1665" s="17">
        <v>0.0</v>
      </c>
    </row>
    <row r="1666" ht="23.25" customHeight="1">
      <c r="A1666" s="1"/>
      <c r="B1666" s="15" t="s">
        <v>2154</v>
      </c>
      <c r="C1666" s="1" t="s">
        <v>17</v>
      </c>
      <c r="D1666" s="1" t="s">
        <v>1002</v>
      </c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</row>
    <row r="1667" ht="23.25" customHeight="1">
      <c r="A1667" s="20" t="str">
        <f>IF(COUNTIF('Icon Lookup'!C:C,B1667)&gt;0,LOOKUP(B1667,'Icon Lookup'!C:C,'Icon Lookup'!B:B),"")</f>
        <v/>
      </c>
      <c r="B1667" s="21" t="s">
        <v>1040</v>
      </c>
      <c r="C1667" s="20"/>
      <c r="D1667" s="20">
        <v>60.0</v>
      </c>
      <c r="E1667" s="20" t="s">
        <v>1004</v>
      </c>
      <c r="G1667" s="22"/>
      <c r="H1667" s="23" t="s">
        <v>2155</v>
      </c>
      <c r="I1667" s="20" t="s">
        <v>22</v>
      </c>
      <c r="J1667" s="20">
        <v>0.0</v>
      </c>
      <c r="K1667" s="20">
        <v>0.0</v>
      </c>
      <c r="L1667" s="20">
        <v>0.0</v>
      </c>
      <c r="M1667" s="20">
        <v>0.0</v>
      </c>
      <c r="N1667" s="20">
        <v>0.0</v>
      </c>
      <c r="O1667" s="20">
        <v>0.0</v>
      </c>
      <c r="P1667" s="20">
        <v>0.0</v>
      </c>
      <c r="Q1667" s="20">
        <v>0.0</v>
      </c>
      <c r="R1667" s="20">
        <v>0.0</v>
      </c>
      <c r="S1667" s="20">
        <v>0.0</v>
      </c>
      <c r="T1667" s="20">
        <v>0.0</v>
      </c>
      <c r="U1667" s="20">
        <v>0.0</v>
      </c>
    </row>
    <row r="1668" ht="23.25" customHeight="1">
      <c r="A1668" s="17" t="str">
        <f>IF(COUNTIF('Icon Lookup'!C:C,B1668)&gt;0,LOOKUP(B1668,'Icon Lookup'!C:C,'Icon Lookup'!B:B),"")</f>
        <v/>
      </c>
      <c r="B1668" s="18" t="s">
        <v>765</v>
      </c>
      <c r="C1668" s="17"/>
      <c r="D1668" s="17">
        <v>60.0</v>
      </c>
      <c r="E1668" s="17" t="s">
        <v>387</v>
      </c>
      <c r="G1668" s="19"/>
      <c r="H1668" s="20" t="s">
        <v>2156</v>
      </c>
      <c r="I1668" s="17" t="s">
        <v>52</v>
      </c>
      <c r="J1668" s="17">
        <v>0.0</v>
      </c>
      <c r="K1668" s="17">
        <v>0.0</v>
      </c>
      <c r="L1668" s="17">
        <v>0.0</v>
      </c>
      <c r="M1668" s="17">
        <v>0.0</v>
      </c>
      <c r="N1668" s="17">
        <v>0.0</v>
      </c>
      <c r="O1668" s="17">
        <v>0.0</v>
      </c>
      <c r="P1668" s="17">
        <v>0.0</v>
      </c>
      <c r="Q1668" s="17">
        <v>0.0</v>
      </c>
      <c r="R1668" s="17">
        <v>0.0</v>
      </c>
      <c r="S1668" s="17">
        <v>0.0</v>
      </c>
      <c r="T1668" s="17">
        <v>0.0</v>
      </c>
      <c r="U1668" s="17">
        <v>0.0</v>
      </c>
    </row>
    <row r="1669" ht="23.25" customHeight="1">
      <c r="A1669" s="1"/>
      <c r="B1669" s="15" t="s">
        <v>2157</v>
      </c>
      <c r="C1669" s="1" t="s">
        <v>17</v>
      </c>
      <c r="D1669" s="1" t="s">
        <v>1823</v>
      </c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</row>
    <row r="1670" ht="23.25" customHeight="1">
      <c r="A1670" s="20" t="str">
        <f>IF(COUNTIF('Icon Lookup'!C:C,B1670)&gt;0,LOOKUP(B1670,'Icon Lookup'!C:C,'Icon Lookup'!B:B),"")</f>
        <v/>
      </c>
      <c r="B1670" s="21" t="s">
        <v>2158</v>
      </c>
      <c r="C1670" s="20"/>
      <c r="D1670" s="20">
        <v>60.0</v>
      </c>
      <c r="E1670" s="20" t="s">
        <v>137</v>
      </c>
      <c r="G1670" s="22"/>
      <c r="H1670" s="23" t="s">
        <v>2159</v>
      </c>
      <c r="I1670" s="20" t="s">
        <v>612</v>
      </c>
      <c r="J1670" s="20">
        <v>0.0</v>
      </c>
      <c r="K1670" s="20">
        <v>0.0</v>
      </c>
      <c r="L1670" s="20">
        <v>0.0</v>
      </c>
      <c r="M1670" s="20">
        <v>0.0</v>
      </c>
      <c r="N1670" s="20">
        <v>0.0</v>
      </c>
      <c r="O1670" s="20">
        <v>0.0</v>
      </c>
      <c r="P1670" s="20">
        <v>0.0</v>
      </c>
      <c r="Q1670" s="20">
        <v>0.0</v>
      </c>
      <c r="R1670" s="20">
        <v>0.0</v>
      </c>
      <c r="S1670" s="20">
        <v>0.0</v>
      </c>
      <c r="T1670" s="20">
        <v>0.0</v>
      </c>
      <c r="U1670" s="20">
        <v>0.0</v>
      </c>
    </row>
    <row r="1671" ht="23.25" customHeight="1">
      <c r="A1671" s="17" t="str">
        <f>IF(COUNTIF('Icon Lookup'!C:C,B1671)&gt;0,LOOKUP(B1671,'Icon Lookup'!C:C,'Icon Lookup'!B:B),"")</f>
        <v/>
      </c>
      <c r="B1671" s="18" t="s">
        <v>1826</v>
      </c>
      <c r="C1671" s="17"/>
      <c r="D1671" s="17">
        <v>60.0</v>
      </c>
      <c r="E1671" s="17" t="s">
        <v>66</v>
      </c>
      <c r="G1671" s="19"/>
      <c r="H1671" s="20" t="s">
        <v>2160</v>
      </c>
      <c r="I1671" s="17" t="s">
        <v>52</v>
      </c>
      <c r="J1671" s="17">
        <v>0.0</v>
      </c>
      <c r="K1671" s="17">
        <v>0.0</v>
      </c>
      <c r="L1671" s="17">
        <v>0.0</v>
      </c>
      <c r="M1671" s="17">
        <v>0.0</v>
      </c>
      <c r="N1671" s="17">
        <v>0.0</v>
      </c>
      <c r="O1671" s="17">
        <v>0.0</v>
      </c>
      <c r="P1671" s="17">
        <v>0.0</v>
      </c>
      <c r="Q1671" s="17">
        <v>0.0</v>
      </c>
      <c r="R1671" s="17">
        <v>0.0</v>
      </c>
      <c r="S1671" s="17">
        <v>0.0</v>
      </c>
      <c r="T1671" s="17">
        <v>0.0</v>
      </c>
      <c r="U1671" s="17">
        <v>0.0</v>
      </c>
    </row>
    <row r="1672" ht="23.25" customHeight="1">
      <c r="A1672" s="1"/>
      <c r="B1672" s="15" t="s">
        <v>2161</v>
      </c>
      <c r="C1672" s="1" t="s">
        <v>17</v>
      </c>
      <c r="D1672" s="1" t="s">
        <v>1829</v>
      </c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</row>
    <row r="1673" ht="23.25" customHeight="1">
      <c r="A1673" s="20" t="str">
        <f>IF(COUNTIF('Icon Lookup'!C:C,B1673)&gt;0,LOOKUP(B1673,'Icon Lookup'!C:C,'Icon Lookup'!B:B),"")</f>
        <v/>
      </c>
      <c r="B1673" s="21" t="s">
        <v>471</v>
      </c>
      <c r="C1673" s="20"/>
      <c r="D1673" s="20">
        <v>59.0</v>
      </c>
      <c r="E1673" s="20" t="s">
        <v>1109</v>
      </c>
      <c r="G1673" s="22"/>
      <c r="H1673" s="23" t="s">
        <v>1830</v>
      </c>
      <c r="I1673" s="20" t="s">
        <v>22</v>
      </c>
      <c r="J1673" s="20">
        <v>0.0</v>
      </c>
      <c r="K1673" s="20">
        <v>0.0</v>
      </c>
      <c r="L1673" s="20">
        <v>0.0</v>
      </c>
      <c r="M1673" s="20">
        <v>0.0</v>
      </c>
      <c r="N1673" s="20">
        <v>0.0</v>
      </c>
      <c r="O1673" s="20">
        <v>0.0</v>
      </c>
      <c r="P1673" s="20">
        <v>0.0</v>
      </c>
      <c r="Q1673" s="20">
        <v>0.0</v>
      </c>
      <c r="R1673" s="20">
        <v>0.0</v>
      </c>
      <c r="S1673" s="20">
        <v>0.0</v>
      </c>
      <c r="T1673" s="20">
        <v>0.0</v>
      </c>
      <c r="U1673" s="20">
        <v>0.0</v>
      </c>
    </row>
    <row r="1674" ht="23.25" customHeight="1">
      <c r="A1674" s="17" t="str">
        <f>IF(COUNTIF('Icon Lookup'!C:C,B1674)&gt;0,LOOKUP(B1674,'Icon Lookup'!C:C,'Icon Lookup'!B:B),"")</f>
        <v/>
      </c>
      <c r="B1674" s="18" t="s">
        <v>710</v>
      </c>
      <c r="C1674" s="17"/>
      <c r="D1674" s="17">
        <v>59.0</v>
      </c>
      <c r="E1674" s="17" t="s">
        <v>79</v>
      </c>
      <c r="G1674" s="19"/>
      <c r="H1674" s="20" t="s">
        <v>1831</v>
      </c>
      <c r="I1674" s="17" t="s">
        <v>550</v>
      </c>
      <c r="J1674" s="17">
        <v>0.0</v>
      </c>
      <c r="K1674" s="17">
        <v>0.0</v>
      </c>
      <c r="L1674" s="17">
        <v>0.0</v>
      </c>
      <c r="M1674" s="17">
        <v>0.0</v>
      </c>
      <c r="N1674" s="17">
        <v>0.0</v>
      </c>
      <c r="O1674" s="17">
        <v>0.0</v>
      </c>
      <c r="P1674" s="17">
        <v>0.0</v>
      </c>
      <c r="Q1674" s="17">
        <v>0.0</v>
      </c>
      <c r="R1674" s="17">
        <v>0.0</v>
      </c>
      <c r="S1674" s="17">
        <v>0.0</v>
      </c>
      <c r="T1674" s="17">
        <v>0.0</v>
      </c>
      <c r="U1674" s="17">
        <v>0.0</v>
      </c>
    </row>
    <row r="1675" ht="23.25" customHeight="1">
      <c r="A1675" s="20" t="str">
        <f>IF(COUNTIF('Icon Lookup'!C:C,B1675)&gt;0,LOOKUP(B1675,'Icon Lookup'!C:C,'Icon Lookup'!B:B),"")</f>
        <v/>
      </c>
      <c r="B1675" s="21" t="s">
        <v>1832</v>
      </c>
      <c r="C1675" s="20"/>
      <c r="D1675" s="20">
        <v>59.0</v>
      </c>
      <c r="E1675" s="20" t="s">
        <v>959</v>
      </c>
      <c r="G1675" s="22"/>
      <c r="H1675" s="23" t="s">
        <v>1833</v>
      </c>
      <c r="I1675" s="20" t="s">
        <v>205</v>
      </c>
      <c r="J1675" s="20">
        <v>0.0</v>
      </c>
      <c r="K1675" s="20">
        <v>0.0</v>
      </c>
      <c r="L1675" s="20">
        <v>0.0</v>
      </c>
      <c r="M1675" s="20">
        <v>0.0</v>
      </c>
      <c r="N1675" s="20">
        <v>0.0</v>
      </c>
      <c r="O1675" s="20">
        <v>0.0</v>
      </c>
      <c r="P1675" s="20">
        <v>0.0</v>
      </c>
      <c r="Q1675" s="20">
        <v>0.0</v>
      </c>
      <c r="R1675" s="20">
        <v>0.0</v>
      </c>
      <c r="S1675" s="20">
        <v>0.0</v>
      </c>
      <c r="T1675" s="20">
        <v>0.0</v>
      </c>
      <c r="U1675" s="20">
        <v>0.0</v>
      </c>
    </row>
    <row r="1676" ht="23.25" customHeight="1">
      <c r="A1676" s="1"/>
      <c r="B1676" s="15" t="s">
        <v>2162</v>
      </c>
      <c r="C1676" s="1" t="s">
        <v>17</v>
      </c>
      <c r="D1676" s="1" t="s">
        <v>441</v>
      </c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</row>
    <row r="1677" ht="23.25" customHeight="1">
      <c r="A1677" s="17" t="str">
        <f>IF(COUNTIF('Icon Lookup'!C:C,B1677)&gt;0,LOOKUP(B1677,'Icon Lookup'!C:C,'Icon Lookup'!B:B),"")</f>
        <v/>
      </c>
      <c r="B1677" s="18" t="s">
        <v>442</v>
      </c>
      <c r="C1677" s="17"/>
      <c r="D1677" s="17">
        <v>38.0</v>
      </c>
      <c r="E1677" s="17" t="s">
        <v>161</v>
      </c>
      <c r="G1677" s="19"/>
      <c r="H1677" s="20" t="s">
        <v>2163</v>
      </c>
      <c r="I1677" s="17" t="s">
        <v>52</v>
      </c>
      <c r="J1677" s="17">
        <v>0.0</v>
      </c>
      <c r="K1677" s="17">
        <v>0.0</v>
      </c>
      <c r="L1677" s="17">
        <v>0.0</v>
      </c>
      <c r="M1677" s="17">
        <v>0.0</v>
      </c>
      <c r="N1677" s="17">
        <v>0.0</v>
      </c>
      <c r="O1677" s="17">
        <v>0.0</v>
      </c>
      <c r="P1677" s="17">
        <v>0.0</v>
      </c>
      <c r="Q1677" s="17">
        <v>0.0</v>
      </c>
      <c r="R1677" s="17">
        <v>0.0</v>
      </c>
      <c r="S1677" s="17">
        <v>0.0</v>
      </c>
      <c r="T1677" s="17">
        <v>0.0</v>
      </c>
      <c r="U1677" s="17">
        <v>0.0</v>
      </c>
    </row>
    <row r="1678" ht="23.25" customHeight="1">
      <c r="A1678" s="20" t="str">
        <f>IF(COUNTIF('Icon Lookup'!C:C,B1678)&gt;0,LOOKUP(B1678,'Icon Lookup'!C:C,'Icon Lookup'!B:B),"")</f>
        <v/>
      </c>
      <c r="B1678" s="21" t="s">
        <v>386</v>
      </c>
      <c r="C1678" s="20"/>
      <c r="D1678" s="20">
        <v>42.0</v>
      </c>
      <c r="E1678" s="20" t="s">
        <v>387</v>
      </c>
      <c r="G1678" s="22"/>
      <c r="H1678" s="23" t="s">
        <v>2164</v>
      </c>
      <c r="I1678" s="20" t="s">
        <v>52</v>
      </c>
      <c r="J1678" s="20">
        <v>0.0</v>
      </c>
      <c r="K1678" s="20">
        <v>0.0</v>
      </c>
      <c r="L1678" s="20">
        <v>0.0</v>
      </c>
      <c r="M1678" s="20">
        <v>0.0</v>
      </c>
      <c r="N1678" s="20">
        <v>0.0</v>
      </c>
      <c r="O1678" s="20">
        <v>0.0</v>
      </c>
      <c r="P1678" s="20">
        <v>0.0</v>
      </c>
      <c r="Q1678" s="20">
        <v>0.0</v>
      </c>
      <c r="R1678" s="20">
        <v>0.0</v>
      </c>
      <c r="S1678" s="20">
        <v>0.0</v>
      </c>
      <c r="T1678" s="20">
        <v>0.0</v>
      </c>
      <c r="U1678" s="20">
        <v>0.0</v>
      </c>
    </row>
    <row r="1679" ht="23.25" customHeight="1">
      <c r="A1679" s="1"/>
      <c r="B1679" s="15" t="s">
        <v>2165</v>
      </c>
      <c r="C1679" s="1" t="s">
        <v>17</v>
      </c>
      <c r="D1679" s="1" t="s">
        <v>441</v>
      </c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</row>
    <row r="1680" ht="23.25" customHeight="1">
      <c r="A1680" s="17" t="str">
        <f>IF(COUNTIF('Icon Lookup'!C:C,B1680)&gt;0,LOOKUP(B1680,'Icon Lookup'!C:C,'Icon Lookup'!B:B),"")</f>
        <v/>
      </c>
      <c r="B1680" s="18" t="s">
        <v>767</v>
      </c>
      <c r="C1680" s="17"/>
      <c r="D1680" s="17">
        <v>58.0</v>
      </c>
      <c r="E1680" s="17" t="s">
        <v>768</v>
      </c>
      <c r="G1680" s="19"/>
      <c r="H1680" s="20" t="s">
        <v>2166</v>
      </c>
      <c r="I1680" s="17" t="s">
        <v>52</v>
      </c>
      <c r="J1680" s="17">
        <v>0.0</v>
      </c>
      <c r="K1680" s="17">
        <v>0.0</v>
      </c>
      <c r="L1680" s="17">
        <v>0.0</v>
      </c>
      <c r="M1680" s="17">
        <v>0.0</v>
      </c>
      <c r="N1680" s="17">
        <v>0.0</v>
      </c>
      <c r="O1680" s="17">
        <v>0.0</v>
      </c>
      <c r="P1680" s="17">
        <v>0.0</v>
      </c>
      <c r="Q1680" s="17">
        <v>0.0</v>
      </c>
      <c r="R1680" s="17">
        <v>0.0</v>
      </c>
      <c r="S1680" s="17">
        <v>0.0</v>
      </c>
      <c r="T1680" s="17">
        <v>0.0</v>
      </c>
      <c r="U1680" s="17">
        <v>0.0</v>
      </c>
    </row>
    <row r="1681" ht="23.25" customHeight="1">
      <c r="A1681" s="20" t="str">
        <f>IF(COUNTIF('Icon Lookup'!C:C,B1681)&gt;0,LOOKUP(B1681,'Icon Lookup'!C:C,'Icon Lookup'!B:B),"")</f>
        <v/>
      </c>
      <c r="B1681" s="21" t="s">
        <v>765</v>
      </c>
      <c r="C1681" s="20"/>
      <c r="D1681" s="20">
        <v>58.0</v>
      </c>
      <c r="E1681" s="20" t="s">
        <v>387</v>
      </c>
      <c r="G1681" s="22"/>
      <c r="H1681" s="23" t="s">
        <v>2167</v>
      </c>
      <c r="I1681" s="20" t="s">
        <v>52</v>
      </c>
      <c r="J1681" s="20">
        <v>0.0</v>
      </c>
      <c r="K1681" s="20">
        <v>0.0</v>
      </c>
      <c r="L1681" s="20">
        <v>0.0</v>
      </c>
      <c r="M1681" s="20">
        <v>0.0</v>
      </c>
      <c r="N1681" s="20">
        <v>0.0</v>
      </c>
      <c r="O1681" s="20">
        <v>0.0</v>
      </c>
      <c r="P1681" s="20">
        <v>0.0</v>
      </c>
      <c r="Q1681" s="20">
        <v>0.0</v>
      </c>
      <c r="R1681" s="20">
        <v>0.0</v>
      </c>
      <c r="S1681" s="20">
        <v>0.0</v>
      </c>
      <c r="T1681" s="20">
        <v>0.0</v>
      </c>
      <c r="U1681" s="20">
        <v>0.0</v>
      </c>
    </row>
    <row r="1682" ht="23.25" customHeight="1">
      <c r="A1682" s="1"/>
      <c r="B1682" s="15" t="s">
        <v>2168</v>
      </c>
      <c r="C1682" s="1" t="s">
        <v>17</v>
      </c>
      <c r="D1682" s="1" t="s">
        <v>1008</v>
      </c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</row>
    <row r="1683" ht="23.25" customHeight="1">
      <c r="A1683" s="17" t="str">
        <f>IF(COUNTIF('Icon Lookup'!C:C,B1683)&gt;0,LOOKUP(B1683,'Icon Lookup'!C:C,'Icon Lookup'!B:B),"")</f>
        <v/>
      </c>
      <c r="B1683" s="18" t="s">
        <v>449</v>
      </c>
      <c r="C1683" s="17"/>
      <c r="D1683" s="17">
        <v>56.0</v>
      </c>
      <c r="E1683" s="17" t="s">
        <v>161</v>
      </c>
      <c r="G1683" s="19"/>
      <c r="H1683" s="20" t="s">
        <v>1009</v>
      </c>
      <c r="I1683" s="17" t="s">
        <v>105</v>
      </c>
      <c r="J1683" s="17">
        <v>0.0</v>
      </c>
      <c r="K1683" s="17">
        <v>0.0</v>
      </c>
      <c r="L1683" s="17">
        <v>0.0</v>
      </c>
      <c r="M1683" s="17">
        <v>0.0</v>
      </c>
      <c r="N1683" s="17">
        <v>0.0</v>
      </c>
      <c r="O1683" s="17">
        <v>0.0</v>
      </c>
      <c r="P1683" s="17">
        <v>0.0</v>
      </c>
      <c r="Q1683" s="17">
        <v>0.0</v>
      </c>
      <c r="R1683" s="17">
        <v>0.0</v>
      </c>
      <c r="S1683" s="17">
        <v>0.0</v>
      </c>
      <c r="T1683" s="17">
        <v>0.0</v>
      </c>
      <c r="U1683" s="17">
        <v>0.0</v>
      </c>
    </row>
    <row r="1684" ht="23.25" customHeight="1">
      <c r="A1684" s="20" t="str">
        <f>IF(COUNTIF('Icon Lookup'!C:C,B1684)&gt;0,LOOKUP(B1684,'Icon Lookup'!C:C,'Icon Lookup'!B:B),"")</f>
        <v/>
      </c>
      <c r="B1684" s="21" t="s">
        <v>767</v>
      </c>
      <c r="C1684" s="20"/>
      <c r="D1684" s="20">
        <v>58.0</v>
      </c>
      <c r="E1684" s="20" t="s">
        <v>768</v>
      </c>
      <c r="G1684" s="22"/>
      <c r="H1684" s="23" t="s">
        <v>1010</v>
      </c>
      <c r="I1684" s="20" t="s">
        <v>52</v>
      </c>
      <c r="J1684" s="20">
        <v>0.0</v>
      </c>
      <c r="K1684" s="20">
        <v>0.0</v>
      </c>
      <c r="L1684" s="20">
        <v>0.0</v>
      </c>
      <c r="M1684" s="20">
        <v>0.0</v>
      </c>
      <c r="N1684" s="20">
        <v>0.0</v>
      </c>
      <c r="O1684" s="20">
        <v>0.0</v>
      </c>
      <c r="P1684" s="20">
        <v>0.0</v>
      </c>
      <c r="Q1684" s="20">
        <v>0.0</v>
      </c>
      <c r="R1684" s="20">
        <v>0.0</v>
      </c>
      <c r="S1684" s="20">
        <v>0.0</v>
      </c>
      <c r="T1684" s="20">
        <v>0.0</v>
      </c>
      <c r="U1684" s="20">
        <v>0.0</v>
      </c>
    </row>
    <row r="1685" ht="23.25" customHeight="1">
      <c r="A1685" s="1"/>
      <c r="B1685" s="15" t="s">
        <v>2169</v>
      </c>
      <c r="C1685" s="1" t="s">
        <v>17</v>
      </c>
      <c r="D1685" s="1" t="s">
        <v>1882</v>
      </c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</row>
    <row r="1686" ht="23.25" customHeight="1">
      <c r="A1686" s="17" t="str">
        <f>IF(COUNTIF('Icon Lookup'!C:C,B1686)&gt;0,LOOKUP(B1686,'Icon Lookup'!C:C,'Icon Lookup'!B:B),"")</f>
        <v/>
      </c>
      <c r="B1686" s="18" t="s">
        <v>2170</v>
      </c>
      <c r="C1686" s="17"/>
      <c r="D1686" s="17">
        <v>58.0</v>
      </c>
      <c r="E1686" s="17" t="s">
        <v>719</v>
      </c>
      <c r="G1686" s="19"/>
      <c r="H1686" s="20" t="s">
        <v>2171</v>
      </c>
      <c r="I1686" s="17" t="s">
        <v>550</v>
      </c>
      <c r="J1686" s="17">
        <v>0.0</v>
      </c>
      <c r="K1686" s="17">
        <v>0.0</v>
      </c>
      <c r="L1686" s="17">
        <v>0.0</v>
      </c>
      <c r="M1686" s="17">
        <v>0.0</v>
      </c>
      <c r="N1686" s="17">
        <v>0.0</v>
      </c>
      <c r="O1686" s="17">
        <v>0.0</v>
      </c>
      <c r="P1686" s="17">
        <v>0.0</v>
      </c>
      <c r="Q1686" s="17">
        <v>0.0</v>
      </c>
      <c r="R1686" s="17">
        <v>0.0</v>
      </c>
      <c r="S1686" s="17">
        <v>0.0</v>
      </c>
      <c r="T1686" s="17">
        <v>0.0</v>
      </c>
      <c r="U1686" s="17">
        <v>0.0</v>
      </c>
    </row>
    <row r="1687" ht="23.25" customHeight="1">
      <c r="A1687" s="20" t="str">
        <f>IF(COUNTIF('Icon Lookup'!C:C,B1687)&gt;0,LOOKUP(B1687,'Icon Lookup'!C:C,'Icon Lookup'!B:B),"")</f>
        <v/>
      </c>
      <c r="B1687" s="21" t="s">
        <v>1784</v>
      </c>
      <c r="C1687" s="20"/>
      <c r="D1687" s="20">
        <v>60.0</v>
      </c>
      <c r="E1687" s="20" t="s">
        <v>903</v>
      </c>
      <c r="G1687" s="22"/>
      <c r="H1687" s="23" t="s">
        <v>1886</v>
      </c>
      <c r="I1687" s="20" t="s">
        <v>211</v>
      </c>
      <c r="J1687" s="20">
        <v>0.0</v>
      </c>
      <c r="K1687" s="20">
        <v>0.0</v>
      </c>
      <c r="L1687" s="20">
        <v>0.0</v>
      </c>
      <c r="M1687" s="20">
        <v>0.0</v>
      </c>
      <c r="N1687" s="20">
        <v>0.0</v>
      </c>
      <c r="O1687" s="20">
        <v>0.0</v>
      </c>
      <c r="P1687" s="20">
        <v>0.0</v>
      </c>
      <c r="Q1687" s="20">
        <v>0.0</v>
      </c>
      <c r="R1687" s="20">
        <v>0.0</v>
      </c>
      <c r="S1687" s="20">
        <v>0.0</v>
      </c>
      <c r="T1687" s="20">
        <v>0.0</v>
      </c>
      <c r="U1687" s="20">
        <v>0.0</v>
      </c>
    </row>
    <row r="1688" ht="23.25" customHeight="1">
      <c r="A1688" s="1"/>
      <c r="B1688" s="15" t="s">
        <v>2172</v>
      </c>
      <c r="C1688" s="1" t="s">
        <v>17</v>
      </c>
      <c r="D1688" s="1" t="s">
        <v>446</v>
      </c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</row>
    <row r="1689" ht="23.25" customHeight="1">
      <c r="A1689" s="17" t="str">
        <f>IF(COUNTIF('Icon Lookup'!C:C,B1689)&gt;0,LOOKUP(B1689,'Icon Lookup'!C:C,'Icon Lookup'!B:B),"")</f>
        <v/>
      </c>
      <c r="B1689" s="18" t="s">
        <v>442</v>
      </c>
      <c r="C1689" s="17"/>
      <c r="D1689" s="17">
        <v>37.0</v>
      </c>
      <c r="E1689" s="17" t="s">
        <v>161</v>
      </c>
      <c r="G1689" s="19"/>
      <c r="H1689" s="20" t="s">
        <v>2173</v>
      </c>
      <c r="I1689" s="17" t="s">
        <v>52</v>
      </c>
      <c r="J1689" s="17">
        <v>0.0</v>
      </c>
      <c r="K1689" s="17">
        <v>0.0</v>
      </c>
      <c r="L1689" s="17">
        <v>0.0</v>
      </c>
      <c r="M1689" s="17">
        <v>0.0</v>
      </c>
      <c r="N1689" s="17">
        <v>0.0</v>
      </c>
      <c r="O1689" s="17">
        <v>0.0</v>
      </c>
      <c r="P1689" s="17">
        <v>0.0</v>
      </c>
      <c r="Q1689" s="17">
        <v>0.0</v>
      </c>
      <c r="R1689" s="17">
        <v>0.0</v>
      </c>
      <c r="S1689" s="17">
        <v>0.0</v>
      </c>
      <c r="T1689" s="17">
        <v>0.0</v>
      </c>
      <c r="U1689" s="17">
        <v>0.0</v>
      </c>
    </row>
    <row r="1690" ht="23.25" customHeight="1">
      <c r="A1690" s="20" t="str">
        <f>IF(COUNTIF('Icon Lookup'!C:C,B1690)&gt;0,LOOKUP(B1690,'Icon Lookup'!C:C,'Icon Lookup'!B:B),"")</f>
        <v/>
      </c>
      <c r="B1690" s="21" t="s">
        <v>449</v>
      </c>
      <c r="C1690" s="20"/>
      <c r="D1690" s="20">
        <v>39.0</v>
      </c>
      <c r="E1690" s="20" t="s">
        <v>161</v>
      </c>
      <c r="G1690" s="22"/>
      <c r="H1690" s="23" t="s">
        <v>2174</v>
      </c>
      <c r="I1690" s="20" t="s">
        <v>52</v>
      </c>
      <c r="J1690" s="20">
        <v>0.0</v>
      </c>
      <c r="K1690" s="20">
        <v>0.0</v>
      </c>
      <c r="L1690" s="20">
        <v>0.0</v>
      </c>
      <c r="M1690" s="20">
        <v>0.0</v>
      </c>
      <c r="N1690" s="20">
        <v>0.0</v>
      </c>
      <c r="O1690" s="20">
        <v>0.0</v>
      </c>
      <c r="P1690" s="20">
        <v>0.0</v>
      </c>
      <c r="Q1690" s="20">
        <v>0.0</v>
      </c>
      <c r="R1690" s="20">
        <v>0.0</v>
      </c>
      <c r="S1690" s="20">
        <v>0.0</v>
      </c>
      <c r="T1690" s="20">
        <v>0.0</v>
      </c>
      <c r="U1690" s="20">
        <v>0.0</v>
      </c>
    </row>
    <row r="1691" ht="23.25" customHeight="1">
      <c r="A1691" s="17" t="str">
        <f>IF(COUNTIF('Icon Lookup'!C:C,B1691)&gt;0,LOOKUP(B1691,'Icon Lookup'!C:C,'Icon Lookup'!B:B),"")</f>
        <v/>
      </c>
      <c r="B1691" s="18" t="s">
        <v>386</v>
      </c>
      <c r="C1691" s="17"/>
      <c r="D1691" s="17">
        <v>38.0</v>
      </c>
      <c r="E1691" s="17" t="s">
        <v>387</v>
      </c>
      <c r="G1691" s="19"/>
      <c r="H1691" s="20" t="s">
        <v>2175</v>
      </c>
      <c r="I1691" s="17" t="s">
        <v>52</v>
      </c>
      <c r="J1691" s="17">
        <v>0.0</v>
      </c>
      <c r="K1691" s="17">
        <v>0.0</v>
      </c>
      <c r="L1691" s="17">
        <v>0.0</v>
      </c>
      <c r="M1691" s="17">
        <v>0.0</v>
      </c>
      <c r="N1691" s="17">
        <v>0.0</v>
      </c>
      <c r="O1691" s="17">
        <v>0.0</v>
      </c>
      <c r="P1691" s="17">
        <v>0.0</v>
      </c>
      <c r="Q1691" s="17">
        <v>0.0</v>
      </c>
      <c r="R1691" s="17">
        <v>0.0</v>
      </c>
      <c r="S1691" s="17">
        <v>0.0</v>
      </c>
      <c r="T1691" s="17">
        <v>0.0</v>
      </c>
      <c r="U1691" s="17">
        <v>0.0</v>
      </c>
    </row>
    <row r="1692" ht="23.25" customHeight="1">
      <c r="A1692" s="1"/>
      <c r="B1692" s="15" t="s">
        <v>2176</v>
      </c>
      <c r="C1692" s="1" t="s">
        <v>17</v>
      </c>
      <c r="D1692" s="1" t="s">
        <v>446</v>
      </c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</row>
    <row r="1693" ht="23.25" customHeight="1">
      <c r="A1693" s="20" t="str">
        <f>IF(COUNTIF('Icon Lookup'!C:C,B1693)&gt;0,LOOKUP(B1693,'Icon Lookup'!C:C,'Icon Lookup'!B:B),"")</f>
        <v/>
      </c>
      <c r="B1693" s="21" t="s">
        <v>767</v>
      </c>
      <c r="C1693" s="20"/>
      <c r="D1693" s="20">
        <v>58.0</v>
      </c>
      <c r="E1693" s="20" t="s">
        <v>768</v>
      </c>
      <c r="G1693" s="22"/>
      <c r="H1693" s="23" t="s">
        <v>2177</v>
      </c>
      <c r="I1693" s="20" t="s">
        <v>52</v>
      </c>
      <c r="J1693" s="20">
        <v>0.0</v>
      </c>
      <c r="K1693" s="20">
        <v>0.0</v>
      </c>
      <c r="L1693" s="20">
        <v>0.0</v>
      </c>
      <c r="M1693" s="20">
        <v>0.0</v>
      </c>
      <c r="N1693" s="20">
        <v>0.0</v>
      </c>
      <c r="O1693" s="20">
        <v>0.0</v>
      </c>
      <c r="P1693" s="20">
        <v>0.0</v>
      </c>
      <c r="Q1693" s="20">
        <v>0.0</v>
      </c>
      <c r="R1693" s="20">
        <v>0.0</v>
      </c>
      <c r="S1693" s="20">
        <v>0.0</v>
      </c>
      <c r="T1693" s="20">
        <v>0.0</v>
      </c>
      <c r="U1693" s="20">
        <v>0.0</v>
      </c>
    </row>
    <row r="1694" ht="23.25" customHeight="1">
      <c r="A1694" s="17" t="str">
        <f>IF(COUNTIF('Icon Lookup'!C:C,B1694)&gt;0,LOOKUP(B1694,'Icon Lookup'!C:C,'Icon Lookup'!B:B),"")</f>
        <v/>
      </c>
      <c r="B1694" s="18" t="s">
        <v>449</v>
      </c>
      <c r="C1694" s="17"/>
      <c r="D1694" s="17">
        <v>57.0</v>
      </c>
      <c r="E1694" s="17" t="s">
        <v>161</v>
      </c>
      <c r="G1694" s="19"/>
      <c r="H1694" s="20" t="s">
        <v>2178</v>
      </c>
      <c r="I1694" s="17" t="s">
        <v>52</v>
      </c>
      <c r="J1694" s="17">
        <v>0.0</v>
      </c>
      <c r="K1694" s="17">
        <v>0.0</v>
      </c>
      <c r="L1694" s="17">
        <v>0.0</v>
      </c>
      <c r="M1694" s="17">
        <v>0.0</v>
      </c>
      <c r="N1694" s="17">
        <v>0.0</v>
      </c>
      <c r="O1694" s="17">
        <v>0.0</v>
      </c>
      <c r="P1694" s="17">
        <v>0.0</v>
      </c>
      <c r="Q1694" s="17">
        <v>0.0</v>
      </c>
      <c r="R1694" s="17">
        <v>0.0</v>
      </c>
      <c r="S1694" s="17">
        <v>0.0</v>
      </c>
      <c r="T1694" s="17">
        <v>0.0</v>
      </c>
      <c r="U1694" s="17">
        <v>0.0</v>
      </c>
    </row>
    <row r="1695" ht="23.25" customHeight="1">
      <c r="A1695" s="20" t="str">
        <f>IF(COUNTIF('Icon Lookup'!C:C,B1695)&gt;0,LOOKUP(B1695,'Icon Lookup'!C:C,'Icon Lookup'!B:B),"")</f>
        <v/>
      </c>
      <c r="B1695" s="21" t="s">
        <v>765</v>
      </c>
      <c r="C1695" s="20"/>
      <c r="D1695" s="20">
        <v>59.0</v>
      </c>
      <c r="E1695" s="20" t="s">
        <v>387</v>
      </c>
      <c r="G1695" s="22"/>
      <c r="H1695" s="23" t="s">
        <v>2179</v>
      </c>
      <c r="I1695" s="20" t="s">
        <v>52</v>
      </c>
      <c r="J1695" s="20">
        <v>0.0</v>
      </c>
      <c r="K1695" s="20">
        <v>0.0</v>
      </c>
      <c r="L1695" s="20">
        <v>0.0</v>
      </c>
      <c r="M1695" s="20">
        <v>0.0</v>
      </c>
      <c r="N1695" s="20">
        <v>0.0</v>
      </c>
      <c r="O1695" s="20">
        <v>0.0</v>
      </c>
      <c r="P1695" s="20">
        <v>0.0</v>
      </c>
      <c r="Q1695" s="20">
        <v>0.0</v>
      </c>
      <c r="R1695" s="20">
        <v>0.0</v>
      </c>
      <c r="S1695" s="20">
        <v>0.0</v>
      </c>
      <c r="T1695" s="20">
        <v>0.0</v>
      </c>
      <c r="U1695" s="20">
        <v>0.0</v>
      </c>
    </row>
    <row r="1696" ht="23.25" customHeight="1">
      <c r="A1696" s="1"/>
      <c r="B1696" s="15" t="s">
        <v>2180</v>
      </c>
      <c r="C1696" s="1" t="s">
        <v>17</v>
      </c>
      <c r="D1696" s="1" t="s">
        <v>1012</v>
      </c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</row>
    <row r="1697" ht="23.25" customHeight="1">
      <c r="A1697" s="17" t="str">
        <f>IF(COUNTIF('Icon Lookup'!C:C,B1697)&gt;0,LOOKUP(B1697,'Icon Lookup'!C:C,'Icon Lookup'!B:B),"")</f>
        <v/>
      </c>
      <c r="B1697" s="18" t="s">
        <v>582</v>
      </c>
      <c r="C1697" s="17"/>
      <c r="D1697" s="17">
        <v>58.0</v>
      </c>
      <c r="E1697" s="17" t="s">
        <v>166</v>
      </c>
      <c r="G1697" s="19"/>
      <c r="H1697" s="20" t="s">
        <v>2181</v>
      </c>
      <c r="I1697" s="17" t="s">
        <v>22</v>
      </c>
      <c r="J1697" s="17">
        <v>0.0</v>
      </c>
      <c r="K1697" s="17">
        <v>0.0</v>
      </c>
      <c r="L1697" s="17">
        <v>0.0</v>
      </c>
      <c r="M1697" s="17">
        <v>0.0</v>
      </c>
      <c r="N1697" s="17">
        <v>0.0</v>
      </c>
      <c r="O1697" s="17">
        <v>0.0</v>
      </c>
      <c r="P1697" s="17">
        <v>0.0</v>
      </c>
      <c r="Q1697" s="17">
        <v>0.0</v>
      </c>
      <c r="R1697" s="17">
        <v>0.0</v>
      </c>
      <c r="S1697" s="17">
        <v>0.0</v>
      </c>
      <c r="T1697" s="17">
        <v>0.0</v>
      </c>
      <c r="U1697" s="17">
        <v>0.0</v>
      </c>
    </row>
    <row r="1698" ht="23.25" customHeight="1">
      <c r="A1698" s="20" t="str">
        <f>IF(COUNTIF('Icon Lookup'!C:C,B1698)&gt;0,LOOKUP(B1698,'Icon Lookup'!C:C,'Icon Lookup'!B:B),"")</f>
        <v/>
      </c>
      <c r="B1698" s="21" t="s">
        <v>765</v>
      </c>
      <c r="C1698" s="20"/>
      <c r="D1698" s="20">
        <v>58.0</v>
      </c>
      <c r="E1698" s="20" t="s">
        <v>38</v>
      </c>
      <c r="G1698" s="22"/>
      <c r="H1698" s="23" t="s">
        <v>1014</v>
      </c>
      <c r="I1698" s="20" t="s">
        <v>52</v>
      </c>
      <c r="J1698" s="20">
        <v>0.0</v>
      </c>
      <c r="K1698" s="20">
        <v>0.0</v>
      </c>
      <c r="L1698" s="20">
        <v>0.0</v>
      </c>
      <c r="M1698" s="20">
        <v>0.0</v>
      </c>
      <c r="N1698" s="20">
        <v>0.0</v>
      </c>
      <c r="O1698" s="20">
        <v>0.0</v>
      </c>
      <c r="P1698" s="20">
        <v>0.0</v>
      </c>
      <c r="Q1698" s="20">
        <v>0.0</v>
      </c>
      <c r="R1698" s="20">
        <v>0.0</v>
      </c>
      <c r="S1698" s="20">
        <v>0.0</v>
      </c>
      <c r="T1698" s="20">
        <v>0.0</v>
      </c>
      <c r="U1698" s="20">
        <v>0.0</v>
      </c>
    </row>
    <row r="1699" ht="23.25" customHeight="1">
      <c r="A1699" s="1"/>
      <c r="B1699" s="15" t="s">
        <v>2182</v>
      </c>
      <c r="C1699" s="1" t="s">
        <v>17</v>
      </c>
      <c r="D1699" s="1" t="s">
        <v>1894</v>
      </c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</row>
    <row r="1700" ht="23.25" customHeight="1">
      <c r="A1700" s="17" t="str">
        <f>IF(COUNTIF('Icon Lookup'!C:C,B1700)&gt;0,LOOKUP(B1700,'Icon Lookup'!C:C,'Icon Lookup'!B:B),"")</f>
        <v/>
      </c>
      <c r="B1700" s="18" t="s">
        <v>1897</v>
      </c>
      <c r="C1700" s="17"/>
      <c r="D1700" s="17">
        <v>58.0</v>
      </c>
      <c r="E1700" s="17" t="s">
        <v>1004</v>
      </c>
      <c r="G1700" s="19"/>
      <c r="H1700" s="20" t="s">
        <v>1896</v>
      </c>
      <c r="I1700" s="17" t="s">
        <v>205</v>
      </c>
      <c r="J1700" s="17">
        <v>0.0</v>
      </c>
      <c r="K1700" s="17">
        <v>0.0</v>
      </c>
      <c r="L1700" s="17">
        <v>0.0</v>
      </c>
      <c r="M1700" s="17">
        <v>0.0</v>
      </c>
      <c r="N1700" s="17">
        <v>0.0</v>
      </c>
      <c r="O1700" s="17">
        <v>0.0</v>
      </c>
      <c r="P1700" s="17">
        <v>0.0</v>
      </c>
      <c r="Q1700" s="17">
        <v>0.0</v>
      </c>
      <c r="R1700" s="17">
        <v>0.0</v>
      </c>
      <c r="S1700" s="17">
        <v>0.0</v>
      </c>
      <c r="T1700" s="17">
        <v>0.0</v>
      </c>
      <c r="U1700" s="17">
        <v>0.0</v>
      </c>
    </row>
    <row r="1701" ht="23.25" customHeight="1">
      <c r="A1701" s="20" t="str">
        <f>IF(COUNTIF('Icon Lookup'!C:C,B1701)&gt;0,LOOKUP(B1701,'Icon Lookup'!C:C,'Icon Lookup'!B:B),"")</f>
        <v/>
      </c>
      <c r="B1701" s="21" t="s">
        <v>1897</v>
      </c>
      <c r="C1701" s="20"/>
      <c r="D1701" s="20">
        <v>60.0</v>
      </c>
      <c r="E1701" s="20" t="s">
        <v>188</v>
      </c>
      <c r="G1701" s="22"/>
      <c r="H1701" s="23" t="s">
        <v>1898</v>
      </c>
      <c r="I1701" s="20" t="s">
        <v>612</v>
      </c>
      <c r="J1701" s="20">
        <v>0.0</v>
      </c>
      <c r="K1701" s="20">
        <v>0.0</v>
      </c>
      <c r="L1701" s="20">
        <v>0.0</v>
      </c>
      <c r="M1701" s="20">
        <v>0.0</v>
      </c>
      <c r="N1701" s="20">
        <v>0.0</v>
      </c>
      <c r="O1701" s="20">
        <v>0.0</v>
      </c>
      <c r="P1701" s="20">
        <v>0.0</v>
      </c>
      <c r="Q1701" s="20">
        <v>0.0</v>
      </c>
      <c r="R1701" s="20">
        <v>0.0</v>
      </c>
      <c r="S1701" s="20">
        <v>0.0</v>
      </c>
      <c r="T1701" s="20">
        <v>0.0</v>
      </c>
      <c r="U1701" s="20">
        <v>0.0</v>
      </c>
    </row>
    <row r="1702" ht="23.25" customHeight="1">
      <c r="A1702" s="1"/>
      <c r="B1702" s="15" t="s">
        <v>2183</v>
      </c>
      <c r="C1702" s="1" t="s">
        <v>17</v>
      </c>
      <c r="D1702" s="1" t="s">
        <v>1024</v>
      </c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</row>
    <row r="1703" ht="23.25" customHeight="1">
      <c r="A1703" s="17" t="str">
        <f>IF(COUNTIF('Icon Lookup'!C:C,B1703)&gt;0,LOOKUP(B1703,'Icon Lookup'!C:C,'Icon Lookup'!B:B),"")</f>
        <v/>
      </c>
      <c r="B1703" s="18" t="s">
        <v>471</v>
      </c>
      <c r="C1703" s="17"/>
      <c r="D1703" s="17">
        <v>36.0</v>
      </c>
      <c r="E1703" s="17" t="s">
        <v>71</v>
      </c>
      <c r="G1703" s="19"/>
      <c r="H1703" s="20" t="s">
        <v>2184</v>
      </c>
      <c r="I1703" s="17" t="s">
        <v>22</v>
      </c>
      <c r="J1703" s="17">
        <v>0.0</v>
      </c>
      <c r="K1703" s="17">
        <v>0.0</v>
      </c>
      <c r="L1703" s="17">
        <v>0.0</v>
      </c>
      <c r="M1703" s="17">
        <v>0.0</v>
      </c>
      <c r="N1703" s="17">
        <v>0.0</v>
      </c>
      <c r="O1703" s="17">
        <v>0.0</v>
      </c>
      <c r="P1703" s="17">
        <v>0.0</v>
      </c>
      <c r="Q1703" s="17">
        <v>0.0</v>
      </c>
      <c r="R1703" s="17">
        <v>0.0</v>
      </c>
      <c r="S1703" s="17">
        <v>0.0</v>
      </c>
      <c r="T1703" s="17">
        <v>0.0</v>
      </c>
      <c r="U1703" s="17">
        <v>0.0</v>
      </c>
    </row>
    <row r="1704" ht="23.25" customHeight="1">
      <c r="A1704" s="20" t="str">
        <f>IF(COUNTIF('Icon Lookup'!C:C,B1704)&gt;0,LOOKUP(B1704,'Icon Lookup'!C:C,'Icon Lookup'!B:B),"")</f>
        <v/>
      </c>
      <c r="B1704" s="21" t="s">
        <v>398</v>
      </c>
      <c r="C1704" s="20"/>
      <c r="D1704" s="20">
        <v>37.0</v>
      </c>
      <c r="E1704" s="20" t="s">
        <v>677</v>
      </c>
      <c r="G1704" s="22"/>
      <c r="H1704" s="23" t="s">
        <v>2185</v>
      </c>
      <c r="I1704" s="20" t="s">
        <v>40</v>
      </c>
      <c r="J1704" s="20">
        <v>0.0</v>
      </c>
      <c r="K1704" s="20">
        <v>0.0</v>
      </c>
      <c r="L1704" s="20">
        <v>0.0</v>
      </c>
      <c r="M1704" s="20">
        <v>0.0</v>
      </c>
      <c r="N1704" s="20">
        <v>0.0</v>
      </c>
      <c r="O1704" s="20">
        <v>0.0</v>
      </c>
      <c r="P1704" s="20">
        <v>0.0</v>
      </c>
      <c r="Q1704" s="20">
        <v>0.0</v>
      </c>
      <c r="R1704" s="20">
        <v>0.0</v>
      </c>
      <c r="S1704" s="20">
        <v>0.0</v>
      </c>
      <c r="T1704" s="20">
        <v>0.0</v>
      </c>
      <c r="U1704" s="20">
        <v>0.0</v>
      </c>
    </row>
    <row r="1705" ht="23.25" customHeight="1">
      <c r="A1705" s="17" t="str">
        <f>IF(COUNTIF('Icon Lookup'!C:C,B1705)&gt;0,LOOKUP(B1705,'Icon Lookup'!C:C,'Icon Lookup'!B:B),"")</f>
        <v/>
      </c>
      <c r="B1705" s="18" t="s">
        <v>273</v>
      </c>
      <c r="C1705" s="17"/>
      <c r="D1705" s="17">
        <v>38.0</v>
      </c>
      <c r="E1705" s="17" t="s">
        <v>38</v>
      </c>
      <c r="G1705" s="19"/>
      <c r="H1705" s="20" t="s">
        <v>2186</v>
      </c>
      <c r="I1705" s="17" t="s">
        <v>46</v>
      </c>
      <c r="J1705" s="17">
        <v>0.0</v>
      </c>
      <c r="K1705" s="17">
        <v>0.0</v>
      </c>
      <c r="L1705" s="17">
        <v>0.0</v>
      </c>
      <c r="M1705" s="17">
        <v>0.0</v>
      </c>
      <c r="N1705" s="17">
        <v>0.0</v>
      </c>
      <c r="O1705" s="17">
        <v>0.0</v>
      </c>
      <c r="P1705" s="17">
        <v>0.0</v>
      </c>
      <c r="Q1705" s="17">
        <v>0.0</v>
      </c>
      <c r="R1705" s="17">
        <v>0.0</v>
      </c>
      <c r="S1705" s="17">
        <v>0.0</v>
      </c>
      <c r="T1705" s="17">
        <v>0.0</v>
      </c>
      <c r="U1705" s="17">
        <v>0.0</v>
      </c>
    </row>
    <row r="1706" ht="23.25" customHeight="1">
      <c r="A1706" s="1"/>
      <c r="B1706" s="15" t="s">
        <v>2187</v>
      </c>
      <c r="C1706" s="1" t="s">
        <v>17</v>
      </c>
      <c r="D1706" s="1" t="s">
        <v>1024</v>
      </c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</row>
    <row r="1707" ht="23.25" customHeight="1">
      <c r="A1707" s="20" t="str">
        <f>IF(COUNTIF('Icon Lookup'!C:C,B1707)&gt;0,LOOKUP(B1707,'Icon Lookup'!C:C,'Icon Lookup'!B:B),"")</f>
        <v/>
      </c>
      <c r="B1707" s="21" t="s">
        <v>471</v>
      </c>
      <c r="C1707" s="20"/>
      <c r="D1707" s="20">
        <v>57.0</v>
      </c>
      <c r="E1707" s="20" t="s">
        <v>71</v>
      </c>
      <c r="G1707" s="22"/>
      <c r="H1707" s="23" t="s">
        <v>2184</v>
      </c>
      <c r="I1707" s="20" t="s">
        <v>22</v>
      </c>
      <c r="J1707" s="20">
        <v>0.0</v>
      </c>
      <c r="K1707" s="20">
        <v>0.0</v>
      </c>
      <c r="L1707" s="20">
        <v>0.0</v>
      </c>
      <c r="M1707" s="20">
        <v>0.0</v>
      </c>
      <c r="N1707" s="20">
        <v>0.0</v>
      </c>
      <c r="O1707" s="20">
        <v>0.0</v>
      </c>
      <c r="P1707" s="20">
        <v>0.0</v>
      </c>
      <c r="Q1707" s="20">
        <v>0.0</v>
      </c>
      <c r="R1707" s="20">
        <v>0.0</v>
      </c>
      <c r="S1707" s="20">
        <v>0.0</v>
      </c>
      <c r="T1707" s="20">
        <v>0.0</v>
      </c>
      <c r="U1707" s="20">
        <v>0.0</v>
      </c>
    </row>
    <row r="1708" ht="23.25" customHeight="1">
      <c r="A1708" s="17" t="str">
        <f>IF(COUNTIF('Icon Lookup'!C:C,B1708)&gt;0,LOOKUP(B1708,'Icon Lookup'!C:C,'Icon Lookup'!B:B),"")</f>
        <v/>
      </c>
      <c r="B1708" s="18" t="s">
        <v>398</v>
      </c>
      <c r="C1708" s="17"/>
      <c r="D1708" s="17">
        <v>58.0</v>
      </c>
      <c r="E1708" s="17" t="s">
        <v>677</v>
      </c>
      <c r="G1708" s="19"/>
      <c r="H1708" s="20" t="s">
        <v>2185</v>
      </c>
      <c r="I1708" s="17" t="s">
        <v>40</v>
      </c>
      <c r="J1708" s="17">
        <v>0.0</v>
      </c>
      <c r="K1708" s="17">
        <v>0.0</v>
      </c>
      <c r="L1708" s="17">
        <v>0.0</v>
      </c>
      <c r="M1708" s="17">
        <v>0.0</v>
      </c>
      <c r="N1708" s="17">
        <v>0.0</v>
      </c>
      <c r="O1708" s="17">
        <v>0.0</v>
      </c>
      <c r="P1708" s="17">
        <v>0.0</v>
      </c>
      <c r="Q1708" s="17">
        <v>0.0</v>
      </c>
      <c r="R1708" s="17">
        <v>0.0</v>
      </c>
      <c r="S1708" s="17">
        <v>0.0</v>
      </c>
      <c r="T1708" s="17">
        <v>0.0</v>
      </c>
      <c r="U1708" s="17">
        <v>0.0</v>
      </c>
    </row>
    <row r="1709" ht="23.25" customHeight="1">
      <c r="A1709" s="20" t="str">
        <f>IF(COUNTIF('Icon Lookup'!C:C,B1709)&gt;0,LOOKUP(B1709,'Icon Lookup'!C:C,'Icon Lookup'!B:B),"")</f>
        <v/>
      </c>
      <c r="B1709" s="21" t="s">
        <v>273</v>
      </c>
      <c r="C1709" s="20"/>
      <c r="D1709" s="20">
        <v>56.0</v>
      </c>
      <c r="E1709" s="20" t="s">
        <v>38</v>
      </c>
      <c r="G1709" s="22"/>
      <c r="H1709" s="23" t="s">
        <v>2188</v>
      </c>
      <c r="I1709" s="20" t="s">
        <v>46</v>
      </c>
      <c r="J1709" s="20">
        <v>0.0</v>
      </c>
      <c r="K1709" s="20">
        <v>0.0</v>
      </c>
      <c r="L1709" s="20">
        <v>0.0</v>
      </c>
      <c r="M1709" s="20">
        <v>0.0</v>
      </c>
      <c r="N1709" s="20">
        <v>0.0</v>
      </c>
      <c r="O1709" s="20">
        <v>0.0</v>
      </c>
      <c r="P1709" s="20">
        <v>0.0</v>
      </c>
      <c r="Q1709" s="20">
        <v>0.0</v>
      </c>
      <c r="R1709" s="20">
        <v>0.0</v>
      </c>
      <c r="S1709" s="20">
        <v>0.0</v>
      </c>
      <c r="T1709" s="20">
        <v>0.0</v>
      </c>
      <c r="U1709" s="20">
        <v>0.0</v>
      </c>
    </row>
    <row r="1710" ht="23.25" customHeight="1">
      <c r="A1710" s="1"/>
      <c r="B1710" s="15" t="s">
        <v>2189</v>
      </c>
      <c r="C1710" s="1" t="s">
        <v>17</v>
      </c>
      <c r="D1710" s="1" t="s">
        <v>109</v>
      </c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</row>
    <row r="1711" ht="23.25" customHeight="1">
      <c r="A1711" s="17" t="str">
        <f>IF(COUNTIF('Icon Lookup'!C:C,B1711)&gt;0,LOOKUP(B1711,'Icon Lookup'!C:C,'Icon Lookup'!B:B),"")</f>
        <v/>
      </c>
      <c r="B1711" s="18" t="s">
        <v>515</v>
      </c>
      <c r="C1711" s="17"/>
      <c r="D1711" s="17">
        <v>31.0</v>
      </c>
      <c r="E1711" s="17" t="s">
        <v>111</v>
      </c>
      <c r="G1711" s="19"/>
      <c r="H1711" s="20" t="s">
        <v>361</v>
      </c>
      <c r="I1711" s="17" t="s">
        <v>22</v>
      </c>
      <c r="J1711" s="17">
        <v>0.0</v>
      </c>
      <c r="K1711" s="17">
        <v>0.0</v>
      </c>
      <c r="L1711" s="17">
        <v>0.0</v>
      </c>
      <c r="M1711" s="17">
        <v>0.0</v>
      </c>
      <c r="N1711" s="17">
        <v>0.0</v>
      </c>
      <c r="O1711" s="17">
        <v>0.0</v>
      </c>
      <c r="P1711" s="17">
        <v>0.0</v>
      </c>
      <c r="Q1711" s="17">
        <v>0.0</v>
      </c>
      <c r="R1711" s="17">
        <v>0.0</v>
      </c>
      <c r="S1711" s="17">
        <v>0.0</v>
      </c>
      <c r="T1711" s="17">
        <v>0.0</v>
      </c>
      <c r="U1711" s="17">
        <v>0.0</v>
      </c>
    </row>
    <row r="1712" ht="23.25" customHeight="1">
      <c r="A1712" s="1"/>
      <c r="B1712" s="15" t="s">
        <v>2190</v>
      </c>
      <c r="C1712" s="1" t="s">
        <v>17</v>
      </c>
      <c r="D1712" s="1" t="s">
        <v>109</v>
      </c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</row>
    <row r="1713" ht="23.25" customHeight="1">
      <c r="A1713" s="20" t="str">
        <f>IF(COUNTIF('Icon Lookup'!C:C,B1713)&gt;0,LOOKUP(B1713,'Icon Lookup'!C:C,'Icon Lookup'!B:B),"")</f>
        <v/>
      </c>
      <c r="B1713" s="21" t="s">
        <v>515</v>
      </c>
      <c r="C1713" s="20"/>
      <c r="D1713" s="20">
        <v>55.0</v>
      </c>
      <c r="E1713" s="20" t="s">
        <v>111</v>
      </c>
      <c r="G1713" s="22"/>
      <c r="H1713" s="23" t="s">
        <v>2191</v>
      </c>
      <c r="I1713" s="20" t="s">
        <v>22</v>
      </c>
      <c r="J1713" s="20">
        <v>0.0</v>
      </c>
      <c r="K1713" s="20">
        <v>0.0</v>
      </c>
      <c r="L1713" s="20">
        <v>0.0</v>
      </c>
      <c r="M1713" s="20">
        <v>0.0</v>
      </c>
      <c r="N1713" s="20">
        <v>0.0</v>
      </c>
      <c r="O1713" s="20">
        <v>0.0</v>
      </c>
      <c r="P1713" s="20">
        <v>0.0</v>
      </c>
      <c r="Q1713" s="20">
        <v>0.0</v>
      </c>
      <c r="R1713" s="20">
        <v>0.0</v>
      </c>
      <c r="S1713" s="20">
        <v>0.0</v>
      </c>
      <c r="T1713" s="20">
        <v>0.0</v>
      </c>
      <c r="U1713" s="20">
        <v>0.0</v>
      </c>
    </row>
    <row r="1714" ht="23.25" customHeight="1">
      <c r="A1714" s="1"/>
      <c r="B1714" s="15" t="s">
        <v>2192</v>
      </c>
      <c r="C1714" s="1" t="s">
        <v>17</v>
      </c>
      <c r="D1714" s="1" t="s">
        <v>548</v>
      </c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</row>
    <row r="1715" ht="23.25" customHeight="1">
      <c r="A1715" s="17" t="str">
        <f>IF(COUNTIF('Icon Lookup'!C:C,B1715)&gt;0,LOOKUP(B1715,'Icon Lookup'!C:C,'Icon Lookup'!B:B),"")</f>
        <v/>
      </c>
      <c r="B1715" s="18" t="s">
        <v>190</v>
      </c>
      <c r="C1715" s="17"/>
      <c r="D1715" s="17">
        <v>53.0</v>
      </c>
      <c r="E1715" s="17" t="s">
        <v>26</v>
      </c>
      <c r="G1715" s="19"/>
      <c r="H1715" s="20" t="s">
        <v>2193</v>
      </c>
      <c r="I1715" s="17" t="s">
        <v>52</v>
      </c>
      <c r="J1715" s="17">
        <v>0.0</v>
      </c>
      <c r="K1715" s="17">
        <v>0.0</v>
      </c>
      <c r="L1715" s="17">
        <v>0.0</v>
      </c>
      <c r="M1715" s="17">
        <v>0.0</v>
      </c>
      <c r="N1715" s="17">
        <v>0.0</v>
      </c>
      <c r="O1715" s="17">
        <v>0.0</v>
      </c>
      <c r="P1715" s="17">
        <v>0.0</v>
      </c>
      <c r="Q1715" s="17">
        <v>0.0</v>
      </c>
      <c r="R1715" s="17">
        <v>0.0</v>
      </c>
      <c r="S1715" s="17">
        <v>0.0</v>
      </c>
      <c r="T1715" s="17">
        <v>0.0</v>
      </c>
      <c r="U1715" s="17">
        <v>0.0</v>
      </c>
    </row>
    <row r="1716" ht="23.25" customHeight="1">
      <c r="A1716" s="20" t="str">
        <f>IF(COUNTIF('Icon Lookup'!C:C,B1716)&gt;0,LOOKUP(B1716,'Icon Lookup'!C:C,'Icon Lookup'!B:B),"")</f>
        <v/>
      </c>
      <c r="B1716" s="21" t="s">
        <v>190</v>
      </c>
      <c r="C1716" s="20"/>
      <c r="D1716" s="20">
        <v>53.0</v>
      </c>
      <c r="E1716" s="20" t="s">
        <v>26</v>
      </c>
      <c r="G1716" s="22"/>
      <c r="H1716" s="23" t="s">
        <v>613</v>
      </c>
      <c r="I1716" s="20" t="s">
        <v>550</v>
      </c>
      <c r="J1716" s="20">
        <v>0.0</v>
      </c>
      <c r="K1716" s="20">
        <v>0.0</v>
      </c>
      <c r="L1716" s="20">
        <v>0.0</v>
      </c>
      <c r="M1716" s="20">
        <v>0.0</v>
      </c>
      <c r="N1716" s="20">
        <v>0.0</v>
      </c>
      <c r="O1716" s="20">
        <v>0.0</v>
      </c>
      <c r="P1716" s="20">
        <v>0.0</v>
      </c>
      <c r="Q1716" s="20">
        <v>0.0</v>
      </c>
      <c r="R1716" s="20">
        <v>0.0</v>
      </c>
      <c r="S1716" s="20">
        <v>0.0</v>
      </c>
      <c r="T1716" s="20">
        <v>0.0</v>
      </c>
      <c r="U1716" s="20">
        <v>0.0</v>
      </c>
    </row>
    <row r="1717" ht="23.25" customHeight="1">
      <c r="A1717" s="1"/>
      <c r="B1717" s="15" t="s">
        <v>2194</v>
      </c>
      <c r="C1717" s="1" t="s">
        <v>17</v>
      </c>
      <c r="D1717" s="1" t="s">
        <v>611</v>
      </c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</row>
    <row r="1718" ht="23.25" customHeight="1">
      <c r="A1718" s="17" t="str">
        <f>IF(COUNTIF('Icon Lookup'!C:C,B1718)&gt;0,LOOKUP(B1718,'Icon Lookup'!C:C,'Icon Lookup'!B:B),"")</f>
        <v/>
      </c>
      <c r="B1718" s="18" t="s">
        <v>190</v>
      </c>
      <c r="C1718" s="17"/>
      <c r="D1718" s="17">
        <v>53.0</v>
      </c>
      <c r="E1718" s="17" t="s">
        <v>26</v>
      </c>
      <c r="G1718" s="19"/>
      <c r="H1718" s="20" t="s">
        <v>2195</v>
      </c>
      <c r="I1718" s="17" t="s">
        <v>612</v>
      </c>
      <c r="J1718" s="17">
        <v>0.0</v>
      </c>
      <c r="K1718" s="17">
        <v>0.0</v>
      </c>
      <c r="L1718" s="17">
        <v>0.0</v>
      </c>
      <c r="M1718" s="17">
        <v>0.0</v>
      </c>
      <c r="N1718" s="17">
        <v>0.0</v>
      </c>
      <c r="O1718" s="17">
        <v>0.0</v>
      </c>
      <c r="P1718" s="17">
        <v>0.0</v>
      </c>
      <c r="Q1718" s="17">
        <v>0.0</v>
      </c>
      <c r="R1718" s="17">
        <v>0.0</v>
      </c>
      <c r="S1718" s="17">
        <v>0.0</v>
      </c>
      <c r="T1718" s="17">
        <v>0.0</v>
      </c>
      <c r="U1718" s="17">
        <v>0.0</v>
      </c>
    </row>
    <row r="1719" ht="23.25" customHeight="1">
      <c r="A1719" s="20" t="str">
        <f>IF(COUNTIF('Icon Lookup'!C:C,B1719)&gt;0,LOOKUP(B1719,'Icon Lookup'!C:C,'Icon Lookup'!B:B),"")</f>
        <v/>
      </c>
      <c r="B1719" s="21" t="s">
        <v>190</v>
      </c>
      <c r="C1719" s="20"/>
      <c r="D1719" s="20">
        <v>53.0</v>
      </c>
      <c r="E1719" s="20" t="s">
        <v>26</v>
      </c>
      <c r="G1719" s="22"/>
      <c r="H1719" s="23" t="s">
        <v>613</v>
      </c>
      <c r="I1719" s="20" t="s">
        <v>550</v>
      </c>
      <c r="J1719" s="20">
        <v>0.0</v>
      </c>
      <c r="K1719" s="20">
        <v>0.0</v>
      </c>
      <c r="L1719" s="20">
        <v>0.0</v>
      </c>
      <c r="M1719" s="20">
        <v>0.0</v>
      </c>
      <c r="N1719" s="20">
        <v>0.0</v>
      </c>
      <c r="O1719" s="20">
        <v>0.0</v>
      </c>
      <c r="P1719" s="20">
        <v>0.0</v>
      </c>
      <c r="Q1719" s="20">
        <v>0.0</v>
      </c>
      <c r="R1719" s="20">
        <v>0.0</v>
      </c>
      <c r="S1719" s="20">
        <v>0.0</v>
      </c>
      <c r="T1719" s="20">
        <v>0.0</v>
      </c>
      <c r="U1719" s="20">
        <v>0.0</v>
      </c>
    </row>
    <row r="1720" ht="23.25" customHeight="1">
      <c r="A1720" s="1"/>
      <c r="B1720" s="15" t="s">
        <v>2196</v>
      </c>
      <c r="C1720" s="1" t="s">
        <v>17</v>
      </c>
      <c r="D1720" s="1" t="s">
        <v>249</v>
      </c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</row>
    <row r="1721" ht="23.25" customHeight="1">
      <c r="A1721" s="17" t="str">
        <f>IF(COUNTIF('Icon Lookup'!C:C,B1721)&gt;0,LOOKUP(B1721,'Icon Lookup'!C:C,'Icon Lookup'!B:B),"")</f>
        <v/>
      </c>
      <c r="B1721" s="18" t="s">
        <v>136</v>
      </c>
      <c r="C1721" s="17"/>
      <c r="D1721" s="17">
        <v>40.0</v>
      </c>
      <c r="E1721" s="17" t="s">
        <v>137</v>
      </c>
      <c r="G1721" s="19"/>
      <c r="H1721" s="20" t="s">
        <v>2197</v>
      </c>
      <c r="I1721" s="17" t="s">
        <v>52</v>
      </c>
      <c r="J1721" s="17">
        <v>0.0</v>
      </c>
      <c r="K1721" s="17">
        <v>0.0</v>
      </c>
      <c r="L1721" s="17">
        <v>0.0</v>
      </c>
      <c r="M1721" s="17">
        <v>0.0</v>
      </c>
      <c r="N1721" s="17">
        <v>0.0</v>
      </c>
      <c r="O1721" s="17">
        <v>0.0</v>
      </c>
      <c r="P1721" s="17">
        <v>0.0</v>
      </c>
      <c r="Q1721" s="17">
        <v>0.0</v>
      </c>
      <c r="R1721" s="17">
        <v>0.0</v>
      </c>
      <c r="S1721" s="17">
        <v>0.0</v>
      </c>
      <c r="T1721" s="17">
        <v>0.0</v>
      </c>
      <c r="U1721" s="17">
        <v>0.0</v>
      </c>
    </row>
    <row r="1722" ht="23.25" customHeight="1">
      <c r="A1722" s="1"/>
      <c r="B1722" s="15" t="s">
        <v>2198</v>
      </c>
      <c r="C1722" s="1" t="s">
        <v>17</v>
      </c>
      <c r="D1722" s="1" t="s">
        <v>252</v>
      </c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</row>
    <row r="1723" ht="23.25" customHeight="1">
      <c r="A1723" s="20" t="str">
        <f>IF(COUNTIF('Icon Lookup'!C:C,B1723)&gt;0,LOOKUP(B1723,'Icon Lookup'!C:C,'Icon Lookup'!B:B),"")</f>
        <v/>
      </c>
      <c r="B1723" s="21" t="s">
        <v>245</v>
      </c>
      <c r="C1723" s="20"/>
      <c r="D1723" s="20">
        <v>40.0</v>
      </c>
      <c r="E1723" s="20" t="s">
        <v>253</v>
      </c>
      <c r="G1723" s="22"/>
      <c r="H1723" s="23" t="s">
        <v>2199</v>
      </c>
      <c r="I1723" s="20" t="s">
        <v>52</v>
      </c>
      <c r="J1723" s="20">
        <v>0.0</v>
      </c>
      <c r="K1723" s="20">
        <v>0.0</v>
      </c>
      <c r="L1723" s="20">
        <v>0.0</v>
      </c>
      <c r="M1723" s="20">
        <v>0.0</v>
      </c>
      <c r="N1723" s="20">
        <v>0.0</v>
      </c>
      <c r="O1723" s="20">
        <v>0.0</v>
      </c>
      <c r="P1723" s="20">
        <v>0.0</v>
      </c>
      <c r="Q1723" s="20">
        <v>0.0</v>
      </c>
      <c r="R1723" s="20">
        <v>0.0</v>
      </c>
      <c r="S1723" s="20">
        <v>0.0</v>
      </c>
      <c r="T1723" s="20">
        <v>0.0</v>
      </c>
      <c r="U1723" s="20">
        <v>0.0</v>
      </c>
    </row>
    <row r="1724" ht="23.25" customHeight="1">
      <c r="A1724" s="1"/>
      <c r="B1724" s="15" t="s">
        <v>2200</v>
      </c>
      <c r="C1724" s="1" t="s">
        <v>17</v>
      </c>
      <c r="D1724" s="1" t="s">
        <v>249</v>
      </c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</row>
    <row r="1725" ht="23.25" customHeight="1">
      <c r="A1725" s="17" t="str">
        <f>IF(COUNTIF('Icon Lookup'!C:C,B1725)&gt;0,LOOKUP(B1725,'Icon Lookup'!C:C,'Icon Lookup'!B:B),"")</f>
        <v/>
      </c>
      <c r="B1725" s="18" t="s">
        <v>311</v>
      </c>
      <c r="C1725" s="17"/>
      <c r="D1725" s="17">
        <v>60.0</v>
      </c>
      <c r="E1725" s="17" t="s">
        <v>137</v>
      </c>
      <c r="G1725" s="19"/>
      <c r="H1725" s="20" t="s">
        <v>2201</v>
      </c>
      <c r="I1725" s="17" t="s">
        <v>52</v>
      </c>
      <c r="J1725" s="17">
        <v>0.0</v>
      </c>
      <c r="K1725" s="17">
        <v>0.0</v>
      </c>
      <c r="L1725" s="17">
        <v>0.0</v>
      </c>
      <c r="M1725" s="17">
        <v>0.0</v>
      </c>
      <c r="N1725" s="17">
        <v>0.0</v>
      </c>
      <c r="O1725" s="17">
        <v>0.0</v>
      </c>
      <c r="P1725" s="17">
        <v>0.0</v>
      </c>
      <c r="Q1725" s="17">
        <v>0.0</v>
      </c>
      <c r="R1725" s="17">
        <v>0.0</v>
      </c>
      <c r="S1725" s="17">
        <v>0.0</v>
      </c>
      <c r="T1725" s="17">
        <v>0.0</v>
      </c>
      <c r="U1725" s="17">
        <v>0.0</v>
      </c>
    </row>
    <row r="1726" ht="23.25" customHeight="1">
      <c r="A1726" s="1"/>
      <c r="B1726" s="15" t="s">
        <v>2202</v>
      </c>
      <c r="C1726" s="1" t="s">
        <v>17</v>
      </c>
      <c r="D1726" s="1" t="s">
        <v>252</v>
      </c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</row>
    <row r="1727" ht="23.25" customHeight="1">
      <c r="A1727" s="20" t="str">
        <f>IF(COUNTIF('Icon Lookup'!C:C,B1727)&gt;0,LOOKUP(B1727,'Icon Lookup'!C:C,'Icon Lookup'!B:B),"")</f>
        <v/>
      </c>
      <c r="B1727" s="21" t="s">
        <v>728</v>
      </c>
      <c r="C1727" s="20"/>
      <c r="D1727" s="20">
        <v>60.0</v>
      </c>
      <c r="E1727" s="20" t="s">
        <v>253</v>
      </c>
      <c r="G1727" s="22"/>
      <c r="H1727" s="23" t="s">
        <v>2203</v>
      </c>
      <c r="I1727" s="20" t="s">
        <v>52</v>
      </c>
      <c r="J1727" s="20">
        <v>0.0</v>
      </c>
      <c r="K1727" s="20">
        <v>0.0</v>
      </c>
      <c r="L1727" s="20">
        <v>0.0</v>
      </c>
      <c r="M1727" s="20">
        <v>0.0</v>
      </c>
      <c r="N1727" s="20">
        <v>0.0</v>
      </c>
      <c r="O1727" s="20">
        <v>0.0</v>
      </c>
      <c r="P1727" s="20">
        <v>0.0</v>
      </c>
      <c r="Q1727" s="20">
        <v>0.0</v>
      </c>
      <c r="R1727" s="20">
        <v>0.0</v>
      </c>
      <c r="S1727" s="20">
        <v>0.0</v>
      </c>
      <c r="T1727" s="20">
        <v>0.0</v>
      </c>
      <c r="U1727" s="20">
        <v>0.0</v>
      </c>
    </row>
    <row r="1728" ht="23.25" customHeight="1">
      <c r="A1728" s="1"/>
      <c r="B1728" s="15" t="s">
        <v>2204</v>
      </c>
      <c r="C1728" s="1" t="s">
        <v>17</v>
      </c>
      <c r="D1728" s="1" t="s">
        <v>452</v>
      </c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</row>
    <row r="1729" ht="23.25" customHeight="1">
      <c r="A1729" s="17" t="str">
        <f>IF(COUNTIF('Icon Lookup'!C:C,B1729)&gt;0,LOOKUP(B1729,'Icon Lookup'!C:C,'Icon Lookup'!B:B),"")</f>
        <v/>
      </c>
      <c r="B1729" s="18" t="s">
        <v>110</v>
      </c>
      <c r="C1729" s="17"/>
      <c r="D1729" s="17">
        <v>36.0</v>
      </c>
      <c r="E1729" s="17" t="s">
        <v>111</v>
      </c>
      <c r="G1729" s="19"/>
      <c r="H1729" s="20" t="s">
        <v>112</v>
      </c>
      <c r="I1729" s="17" t="s">
        <v>52</v>
      </c>
      <c r="J1729" s="17">
        <v>0.0</v>
      </c>
      <c r="K1729" s="17">
        <v>0.0</v>
      </c>
      <c r="L1729" s="17">
        <v>0.0</v>
      </c>
      <c r="M1729" s="17">
        <v>0.0</v>
      </c>
      <c r="N1729" s="17">
        <v>0.0</v>
      </c>
      <c r="O1729" s="17">
        <v>0.0</v>
      </c>
      <c r="P1729" s="17">
        <v>0.0</v>
      </c>
      <c r="Q1729" s="17">
        <v>0.0</v>
      </c>
      <c r="R1729" s="17">
        <v>0.0</v>
      </c>
      <c r="S1729" s="17">
        <v>0.0</v>
      </c>
      <c r="T1729" s="17">
        <v>0.0</v>
      </c>
      <c r="U1729" s="17">
        <v>0.0</v>
      </c>
    </row>
    <row r="1730" ht="23.25" customHeight="1">
      <c r="A1730" s="20" t="str">
        <f>IF(COUNTIF('Icon Lookup'!C:C,B1730)&gt;0,LOOKUP(B1730,'Icon Lookup'!C:C,'Icon Lookup'!B:B),"")</f>
        <v/>
      </c>
      <c r="B1730" s="21" t="s">
        <v>515</v>
      </c>
      <c r="C1730" s="20"/>
      <c r="D1730" s="20">
        <v>37.0</v>
      </c>
      <c r="E1730" s="20" t="s">
        <v>111</v>
      </c>
      <c r="G1730" s="22"/>
      <c r="H1730" s="23" t="s">
        <v>2205</v>
      </c>
      <c r="I1730" s="20" t="s">
        <v>22</v>
      </c>
      <c r="J1730" s="20">
        <v>0.0</v>
      </c>
      <c r="K1730" s="20">
        <v>0.0</v>
      </c>
      <c r="L1730" s="20">
        <v>0.0</v>
      </c>
      <c r="M1730" s="20">
        <v>0.0</v>
      </c>
      <c r="N1730" s="20">
        <v>0.0</v>
      </c>
      <c r="O1730" s="20">
        <v>0.0</v>
      </c>
      <c r="P1730" s="20">
        <v>0.0</v>
      </c>
      <c r="Q1730" s="20">
        <v>0.0</v>
      </c>
      <c r="R1730" s="20">
        <v>0.0</v>
      </c>
      <c r="S1730" s="20">
        <v>0.0</v>
      </c>
      <c r="T1730" s="20">
        <v>0.0</v>
      </c>
      <c r="U1730" s="20">
        <v>0.0</v>
      </c>
    </row>
    <row r="1731" ht="23.25" customHeight="1">
      <c r="A1731" s="17" t="str">
        <f>IF(COUNTIF('Icon Lookup'!C:C,B1731)&gt;0,LOOKUP(B1731,'Icon Lookup'!C:C,'Icon Lookup'!B:B),"")</f>
        <v/>
      </c>
      <c r="B1731" s="18" t="s">
        <v>515</v>
      </c>
      <c r="C1731" s="17"/>
      <c r="D1731" s="17">
        <v>38.0</v>
      </c>
      <c r="E1731" s="17" t="s">
        <v>111</v>
      </c>
      <c r="G1731" s="19"/>
      <c r="H1731" s="20" t="s">
        <v>2206</v>
      </c>
      <c r="I1731" s="17" t="s">
        <v>22</v>
      </c>
      <c r="J1731" s="17">
        <v>0.0</v>
      </c>
      <c r="K1731" s="17">
        <v>0.0</v>
      </c>
      <c r="L1731" s="17">
        <v>0.0</v>
      </c>
      <c r="M1731" s="17">
        <v>0.0</v>
      </c>
      <c r="N1731" s="17">
        <v>0.0</v>
      </c>
      <c r="O1731" s="17">
        <v>0.0</v>
      </c>
      <c r="P1731" s="17">
        <v>0.0</v>
      </c>
      <c r="Q1731" s="17">
        <v>0.0</v>
      </c>
      <c r="R1731" s="17">
        <v>0.0</v>
      </c>
      <c r="S1731" s="17">
        <v>0.0</v>
      </c>
      <c r="T1731" s="17">
        <v>0.0</v>
      </c>
      <c r="U1731" s="17">
        <v>0.0</v>
      </c>
    </row>
    <row r="1732" ht="23.25" customHeight="1">
      <c r="A1732" s="1"/>
      <c r="B1732" s="15" t="s">
        <v>2207</v>
      </c>
      <c r="C1732" s="1" t="s">
        <v>17</v>
      </c>
      <c r="D1732" s="1" t="s">
        <v>452</v>
      </c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</row>
    <row r="1733" ht="23.25" customHeight="1">
      <c r="A1733" s="20" t="str">
        <f>IF(COUNTIF('Icon Lookup'!C:C,B1733)&gt;0,LOOKUP(B1733,'Icon Lookup'!C:C,'Icon Lookup'!B:B),"")</f>
        <v/>
      </c>
      <c r="B1733" s="21" t="s">
        <v>515</v>
      </c>
      <c r="C1733" s="20"/>
      <c r="D1733" s="20">
        <v>56.0</v>
      </c>
      <c r="E1733" s="20" t="s">
        <v>111</v>
      </c>
      <c r="G1733" s="22"/>
      <c r="H1733" s="23" t="s">
        <v>2208</v>
      </c>
      <c r="I1733" s="20" t="s">
        <v>52</v>
      </c>
      <c r="J1733" s="20">
        <v>0.0</v>
      </c>
      <c r="K1733" s="20">
        <v>0.0</v>
      </c>
      <c r="L1733" s="20">
        <v>0.0</v>
      </c>
      <c r="M1733" s="20">
        <v>0.0</v>
      </c>
      <c r="N1733" s="20">
        <v>0.0</v>
      </c>
      <c r="O1733" s="20">
        <v>0.0</v>
      </c>
      <c r="P1733" s="20">
        <v>0.0</v>
      </c>
      <c r="Q1733" s="20">
        <v>0.0</v>
      </c>
      <c r="R1733" s="20">
        <v>0.0</v>
      </c>
      <c r="S1733" s="20">
        <v>0.0</v>
      </c>
      <c r="T1733" s="20">
        <v>0.0</v>
      </c>
      <c r="U1733" s="20">
        <v>0.0</v>
      </c>
    </row>
    <row r="1734" ht="23.25" customHeight="1">
      <c r="A1734" s="17" t="str">
        <f>IF(COUNTIF('Icon Lookup'!C:C,B1734)&gt;0,LOOKUP(B1734,'Icon Lookup'!C:C,'Icon Lookup'!B:B),"")</f>
        <v/>
      </c>
      <c r="B1734" s="18" t="s">
        <v>515</v>
      </c>
      <c r="C1734" s="17"/>
      <c r="D1734" s="17">
        <v>57.0</v>
      </c>
      <c r="E1734" s="17" t="s">
        <v>111</v>
      </c>
      <c r="G1734" s="19"/>
      <c r="H1734" s="20" t="s">
        <v>2209</v>
      </c>
      <c r="I1734" s="17" t="s">
        <v>22</v>
      </c>
      <c r="J1734" s="17">
        <v>0.0</v>
      </c>
      <c r="K1734" s="17">
        <v>0.0</v>
      </c>
      <c r="L1734" s="17">
        <v>0.0</v>
      </c>
      <c r="M1734" s="17">
        <v>0.0</v>
      </c>
      <c r="N1734" s="17">
        <v>0.0</v>
      </c>
      <c r="O1734" s="17">
        <v>0.0</v>
      </c>
      <c r="P1734" s="17">
        <v>0.0</v>
      </c>
      <c r="Q1734" s="17">
        <v>0.0</v>
      </c>
      <c r="R1734" s="17">
        <v>0.0</v>
      </c>
      <c r="S1734" s="17">
        <v>0.0</v>
      </c>
      <c r="T1734" s="17">
        <v>0.0</v>
      </c>
      <c r="U1734" s="17">
        <v>0.0</v>
      </c>
    </row>
    <row r="1735" ht="23.25" customHeight="1">
      <c r="A1735" s="20" t="str">
        <f>IF(COUNTIF('Icon Lookup'!C:C,B1735)&gt;0,LOOKUP(B1735,'Icon Lookup'!C:C,'Icon Lookup'!B:B),"")</f>
        <v/>
      </c>
      <c r="B1735" s="21" t="s">
        <v>515</v>
      </c>
      <c r="C1735" s="20"/>
      <c r="D1735" s="20">
        <v>58.0</v>
      </c>
      <c r="E1735" s="20" t="s">
        <v>111</v>
      </c>
      <c r="G1735" s="22"/>
      <c r="H1735" s="23" t="s">
        <v>2210</v>
      </c>
      <c r="I1735" s="20" t="s">
        <v>22</v>
      </c>
      <c r="J1735" s="20">
        <v>0.0</v>
      </c>
      <c r="K1735" s="20">
        <v>0.0</v>
      </c>
      <c r="L1735" s="20">
        <v>0.0</v>
      </c>
      <c r="M1735" s="20">
        <v>0.0</v>
      </c>
      <c r="N1735" s="20">
        <v>0.0</v>
      </c>
      <c r="O1735" s="20">
        <v>0.0</v>
      </c>
      <c r="P1735" s="20">
        <v>0.0</v>
      </c>
      <c r="Q1735" s="20">
        <v>0.0</v>
      </c>
      <c r="R1735" s="20">
        <v>0.0</v>
      </c>
      <c r="S1735" s="20">
        <v>0.0</v>
      </c>
      <c r="T1735" s="20">
        <v>0.0</v>
      </c>
      <c r="U1735" s="20">
        <v>0.0</v>
      </c>
    </row>
    <row r="1736" ht="23.25" customHeight="1">
      <c r="A1736" s="1"/>
      <c r="B1736" s="15" t="s">
        <v>2211</v>
      </c>
      <c r="C1736" s="1" t="s">
        <v>17</v>
      </c>
      <c r="D1736" s="1" t="s">
        <v>340</v>
      </c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</row>
    <row r="1737" ht="23.25" customHeight="1">
      <c r="A1737" s="17" t="str">
        <f>IF(COUNTIF('Icon Lookup'!C:C,B1737)&gt;0,LOOKUP(B1737,'Icon Lookup'!C:C,'Icon Lookup'!B:B),"")</f>
        <v/>
      </c>
      <c r="B1737" s="18" t="s">
        <v>341</v>
      </c>
      <c r="C1737" s="17"/>
      <c r="D1737" s="17">
        <v>31.0</v>
      </c>
      <c r="E1737" s="17" t="s">
        <v>342</v>
      </c>
      <c r="G1737" s="19"/>
      <c r="H1737" s="20" t="s">
        <v>2212</v>
      </c>
      <c r="I1737" s="17" t="s">
        <v>52</v>
      </c>
      <c r="J1737" s="17">
        <v>0.0</v>
      </c>
      <c r="K1737" s="17">
        <v>0.0</v>
      </c>
      <c r="L1737" s="17">
        <v>0.0</v>
      </c>
      <c r="M1737" s="17">
        <v>0.0</v>
      </c>
      <c r="N1737" s="17">
        <v>0.0</v>
      </c>
      <c r="O1737" s="17">
        <v>0.0</v>
      </c>
      <c r="P1737" s="17">
        <v>0.0</v>
      </c>
      <c r="Q1737" s="17">
        <v>0.0</v>
      </c>
      <c r="R1737" s="17">
        <v>0.0</v>
      </c>
      <c r="S1737" s="17">
        <v>0.0</v>
      </c>
      <c r="T1737" s="17">
        <v>0.0</v>
      </c>
      <c r="U1737" s="17">
        <v>0.0</v>
      </c>
    </row>
    <row r="1738" ht="23.25" customHeight="1">
      <c r="A1738" s="1"/>
      <c r="B1738" s="15" t="s">
        <v>2213</v>
      </c>
      <c r="C1738" s="1" t="s">
        <v>17</v>
      </c>
      <c r="D1738" s="1" t="s">
        <v>340</v>
      </c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</row>
    <row r="1739" ht="23.25" customHeight="1">
      <c r="A1739" s="20" t="str">
        <f>IF(COUNTIF('Icon Lookup'!C:C,B1739)&gt;0,LOOKUP(B1739,'Icon Lookup'!C:C,'Icon Lookup'!B:B),"")</f>
        <v/>
      </c>
      <c r="B1739" s="21" t="s">
        <v>341</v>
      </c>
      <c r="C1739" s="20"/>
      <c r="D1739" s="20">
        <v>40.0</v>
      </c>
      <c r="E1739" s="20" t="s">
        <v>342</v>
      </c>
      <c r="G1739" s="22"/>
      <c r="H1739" s="23" t="s">
        <v>2214</v>
      </c>
      <c r="I1739" s="20" t="s">
        <v>52</v>
      </c>
      <c r="J1739" s="20">
        <v>0.0</v>
      </c>
      <c r="K1739" s="20">
        <v>0.0</v>
      </c>
      <c r="L1739" s="20">
        <v>0.0</v>
      </c>
      <c r="M1739" s="20">
        <v>0.0</v>
      </c>
      <c r="N1739" s="20">
        <v>0.0</v>
      </c>
      <c r="O1739" s="20">
        <v>0.0</v>
      </c>
      <c r="P1739" s="20">
        <v>0.0</v>
      </c>
      <c r="Q1739" s="20">
        <v>0.0</v>
      </c>
      <c r="R1739" s="20">
        <v>0.0</v>
      </c>
      <c r="S1739" s="20">
        <v>0.0</v>
      </c>
      <c r="T1739" s="20">
        <v>0.0</v>
      </c>
      <c r="U1739" s="20">
        <v>0.0</v>
      </c>
    </row>
    <row r="1740" ht="23.25" customHeight="1">
      <c r="A1740" s="1"/>
      <c r="B1740" s="15" t="s">
        <v>2215</v>
      </c>
      <c r="C1740" s="1" t="s">
        <v>17</v>
      </c>
      <c r="D1740" s="1" t="s">
        <v>340</v>
      </c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</row>
    <row r="1741" ht="23.25" customHeight="1">
      <c r="A1741" s="17" t="str">
        <f>IF(COUNTIF('Icon Lookup'!C:C,B1741)&gt;0,LOOKUP(B1741,'Icon Lookup'!C:C,'Icon Lookup'!B:B),"")</f>
        <v/>
      </c>
      <c r="B1741" s="18" t="s">
        <v>341</v>
      </c>
      <c r="C1741" s="17"/>
      <c r="D1741" s="17">
        <v>60.0</v>
      </c>
      <c r="E1741" s="17" t="s">
        <v>342</v>
      </c>
      <c r="G1741" s="19"/>
      <c r="H1741" s="20" t="s">
        <v>2216</v>
      </c>
      <c r="I1741" s="17" t="s">
        <v>52</v>
      </c>
      <c r="J1741" s="17">
        <v>0.0</v>
      </c>
      <c r="K1741" s="17">
        <v>0.0</v>
      </c>
      <c r="L1741" s="17">
        <v>0.0</v>
      </c>
      <c r="M1741" s="17">
        <v>0.0</v>
      </c>
      <c r="N1741" s="17">
        <v>0.0</v>
      </c>
      <c r="O1741" s="17">
        <v>0.0</v>
      </c>
      <c r="P1741" s="17">
        <v>0.0</v>
      </c>
      <c r="Q1741" s="17">
        <v>0.0</v>
      </c>
      <c r="R1741" s="17">
        <v>0.0</v>
      </c>
      <c r="S1741" s="17">
        <v>0.0</v>
      </c>
      <c r="T1741" s="17">
        <v>0.0</v>
      </c>
      <c r="U1741" s="17">
        <v>0.0</v>
      </c>
    </row>
    <row r="1742" ht="23.25" customHeight="1">
      <c r="A1742" s="1"/>
      <c r="B1742" s="15" t="s">
        <v>2217</v>
      </c>
      <c r="C1742" s="1" t="s">
        <v>17</v>
      </c>
      <c r="D1742" s="1" t="s">
        <v>1051</v>
      </c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</row>
    <row r="1743" ht="23.25" customHeight="1">
      <c r="A1743" s="20" t="str">
        <f>IF(COUNTIF('Icon Lookup'!C:C,B1743)&gt;0,LOOKUP(B1743,'Icon Lookup'!C:C,'Icon Lookup'!B:B),"")</f>
        <v/>
      </c>
      <c r="B1743" s="21" t="s">
        <v>225</v>
      </c>
      <c r="C1743" s="20"/>
      <c r="D1743" s="20">
        <v>55.0</v>
      </c>
      <c r="E1743" s="20" t="s">
        <v>26</v>
      </c>
      <c r="G1743" s="22"/>
      <c r="H1743" s="23" t="s">
        <v>2142</v>
      </c>
      <c r="I1743" s="20" t="s">
        <v>22</v>
      </c>
      <c r="J1743" s="20">
        <v>0.0</v>
      </c>
      <c r="K1743" s="20">
        <v>0.0</v>
      </c>
      <c r="L1743" s="20">
        <v>0.0</v>
      </c>
      <c r="M1743" s="20">
        <v>0.0</v>
      </c>
      <c r="N1743" s="20">
        <v>0.0</v>
      </c>
      <c r="O1743" s="20">
        <v>0.0</v>
      </c>
      <c r="P1743" s="20">
        <v>0.0</v>
      </c>
      <c r="Q1743" s="20">
        <v>0.0</v>
      </c>
      <c r="R1743" s="20">
        <v>0.0</v>
      </c>
      <c r="S1743" s="20">
        <v>0.0</v>
      </c>
      <c r="T1743" s="20">
        <v>0.0</v>
      </c>
      <c r="U1743" s="20">
        <v>0.0</v>
      </c>
    </row>
    <row r="1744" ht="23.25" customHeight="1">
      <c r="A1744" s="1"/>
      <c r="B1744" s="15" t="s">
        <v>2218</v>
      </c>
      <c r="C1744" s="1" t="s">
        <v>17</v>
      </c>
      <c r="D1744" s="1" t="s">
        <v>1433</v>
      </c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</row>
    <row r="1745" ht="23.25" customHeight="1">
      <c r="A1745" s="17" t="str">
        <f>IF(COUNTIF('Icon Lookup'!C:C,B1745)&gt;0,LOOKUP(B1745,'Icon Lookup'!C:C,'Icon Lookup'!B:B),"")</f>
        <v/>
      </c>
      <c r="B1745" s="18" t="s">
        <v>160</v>
      </c>
      <c r="C1745" s="17"/>
      <c r="D1745" s="17">
        <v>41.0</v>
      </c>
      <c r="E1745" s="17" t="s">
        <v>1434</v>
      </c>
      <c r="G1745" s="19"/>
      <c r="H1745" s="20" t="s">
        <v>1379</v>
      </c>
      <c r="I1745" s="17" t="s">
        <v>89</v>
      </c>
      <c r="J1745" s="17">
        <v>0.0</v>
      </c>
      <c r="K1745" s="17">
        <v>0.0</v>
      </c>
      <c r="L1745" s="17">
        <v>0.0</v>
      </c>
      <c r="M1745" s="17">
        <v>0.0</v>
      </c>
      <c r="N1745" s="17">
        <v>0.0</v>
      </c>
      <c r="O1745" s="17">
        <v>0.0</v>
      </c>
      <c r="P1745" s="17">
        <v>0.0</v>
      </c>
      <c r="Q1745" s="17">
        <v>0.0</v>
      </c>
      <c r="R1745" s="17">
        <v>0.0</v>
      </c>
      <c r="S1745" s="17">
        <v>0.0</v>
      </c>
      <c r="T1745" s="17">
        <v>0.0</v>
      </c>
      <c r="U1745" s="17">
        <v>0.0</v>
      </c>
    </row>
    <row r="1746" ht="23.25" customHeight="1">
      <c r="A1746" s="1"/>
      <c r="B1746" s="15" t="s">
        <v>2219</v>
      </c>
      <c r="C1746" s="1" t="s">
        <v>17</v>
      </c>
      <c r="D1746" s="1" t="s">
        <v>1433</v>
      </c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</row>
    <row r="1747" ht="23.25" customHeight="1">
      <c r="A1747" s="20" t="str">
        <f>IF(COUNTIF('Icon Lookup'!C:C,B1747)&gt;0,LOOKUP(B1747,'Icon Lookup'!C:C,'Icon Lookup'!B:B),"")</f>
        <v/>
      </c>
      <c r="B1747" s="21" t="s">
        <v>160</v>
      </c>
      <c r="C1747" s="20"/>
      <c r="D1747" s="20">
        <v>56.0</v>
      </c>
      <c r="E1747" s="20" t="s">
        <v>1434</v>
      </c>
      <c r="G1747" s="22"/>
      <c r="H1747" s="23" t="s">
        <v>1379</v>
      </c>
      <c r="I1747" s="20" t="s">
        <v>89</v>
      </c>
      <c r="J1747" s="20">
        <v>0.0</v>
      </c>
      <c r="K1747" s="20">
        <v>0.0</v>
      </c>
      <c r="L1747" s="20">
        <v>0.0</v>
      </c>
      <c r="M1747" s="20">
        <v>0.0</v>
      </c>
      <c r="N1747" s="20">
        <v>0.0</v>
      </c>
      <c r="O1747" s="20">
        <v>0.0</v>
      </c>
      <c r="P1747" s="20">
        <v>0.0</v>
      </c>
      <c r="Q1747" s="20">
        <v>0.0</v>
      </c>
      <c r="R1747" s="20">
        <v>0.0</v>
      </c>
      <c r="S1747" s="20">
        <v>0.0</v>
      </c>
      <c r="T1747" s="20">
        <v>0.0</v>
      </c>
      <c r="U1747" s="20">
        <v>0.0</v>
      </c>
    </row>
    <row r="1748" ht="23.25" customHeight="1">
      <c r="A1748" s="1"/>
      <c r="B1748" s="15" t="s">
        <v>2220</v>
      </c>
      <c r="C1748" s="1" t="s">
        <v>17</v>
      </c>
      <c r="D1748" s="1" t="s">
        <v>1073</v>
      </c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</row>
    <row r="1749" ht="23.25" customHeight="1">
      <c r="A1749" s="17" t="str">
        <f>IF(COUNTIF('Icon Lookup'!C:C,B1749)&gt;0,LOOKUP(B1749,'Icon Lookup'!C:C,'Icon Lookup'!B:B),"")</f>
        <v/>
      </c>
      <c r="B1749" s="18" t="s">
        <v>225</v>
      </c>
      <c r="C1749" s="17"/>
      <c r="D1749" s="17">
        <v>36.0</v>
      </c>
      <c r="E1749" s="17" t="s">
        <v>26</v>
      </c>
      <c r="G1749" s="19"/>
      <c r="H1749" s="20" t="s">
        <v>226</v>
      </c>
      <c r="I1749" s="17" t="s">
        <v>22</v>
      </c>
      <c r="J1749" s="17">
        <v>0.0</v>
      </c>
      <c r="K1749" s="17">
        <v>0.0</v>
      </c>
      <c r="L1749" s="17">
        <v>0.0</v>
      </c>
      <c r="M1749" s="17">
        <v>0.0</v>
      </c>
      <c r="N1749" s="17">
        <v>0.0</v>
      </c>
      <c r="O1749" s="17">
        <v>0.0</v>
      </c>
      <c r="P1749" s="17">
        <v>0.0</v>
      </c>
      <c r="Q1749" s="17">
        <v>0.0</v>
      </c>
      <c r="R1749" s="17">
        <v>0.0</v>
      </c>
      <c r="S1749" s="17">
        <v>0.0</v>
      </c>
      <c r="T1749" s="17">
        <v>0.0</v>
      </c>
      <c r="U1749" s="17">
        <v>0.0</v>
      </c>
    </row>
    <row r="1750" ht="23.25" customHeight="1">
      <c r="A1750" s="20" t="str">
        <f>IF(COUNTIF('Icon Lookup'!C:C,B1750)&gt;0,LOOKUP(B1750,'Icon Lookup'!C:C,'Icon Lookup'!B:B),"")</f>
        <v/>
      </c>
      <c r="B1750" s="21" t="s">
        <v>117</v>
      </c>
      <c r="C1750" s="20"/>
      <c r="D1750" s="20">
        <v>36.0</v>
      </c>
      <c r="E1750" s="20" t="s">
        <v>26</v>
      </c>
      <c r="G1750" s="22"/>
      <c r="H1750" s="23" t="s">
        <v>2117</v>
      </c>
      <c r="I1750" s="20" t="s">
        <v>22</v>
      </c>
      <c r="J1750" s="20">
        <v>0.0</v>
      </c>
      <c r="K1750" s="20">
        <v>0.0</v>
      </c>
      <c r="L1750" s="20">
        <v>0.0</v>
      </c>
      <c r="M1750" s="20">
        <v>0.0</v>
      </c>
      <c r="N1750" s="20">
        <v>0.0</v>
      </c>
      <c r="O1750" s="20">
        <v>0.0</v>
      </c>
      <c r="P1750" s="20">
        <v>0.0</v>
      </c>
      <c r="Q1750" s="20">
        <v>0.0</v>
      </c>
      <c r="R1750" s="20">
        <v>0.0</v>
      </c>
      <c r="S1750" s="20">
        <v>0.0</v>
      </c>
      <c r="T1750" s="20">
        <v>0.0</v>
      </c>
      <c r="U1750" s="20">
        <v>0.0</v>
      </c>
    </row>
    <row r="1751" ht="23.25" customHeight="1">
      <c r="A1751" s="17" t="str">
        <f>IF(COUNTIF('Icon Lookup'!C:C,B1751)&gt;0,LOOKUP(B1751,'Icon Lookup'!C:C,'Icon Lookup'!B:B),"")</f>
        <v/>
      </c>
      <c r="B1751" s="18" t="s">
        <v>710</v>
      </c>
      <c r="C1751" s="17"/>
      <c r="D1751" s="17">
        <v>39.0</v>
      </c>
      <c r="E1751" s="17" t="s">
        <v>79</v>
      </c>
      <c r="G1751" s="19"/>
      <c r="H1751" s="20" t="s">
        <v>2221</v>
      </c>
      <c r="I1751" s="17" t="s">
        <v>22</v>
      </c>
      <c r="J1751" s="17">
        <v>0.0</v>
      </c>
      <c r="K1751" s="17">
        <v>0.0</v>
      </c>
      <c r="L1751" s="17">
        <v>0.0</v>
      </c>
      <c r="M1751" s="17">
        <v>0.0</v>
      </c>
      <c r="N1751" s="17">
        <v>0.0</v>
      </c>
      <c r="O1751" s="17">
        <v>0.0</v>
      </c>
      <c r="P1751" s="17">
        <v>0.0</v>
      </c>
      <c r="Q1751" s="17">
        <v>0.0</v>
      </c>
      <c r="R1751" s="17">
        <v>0.0</v>
      </c>
      <c r="S1751" s="17">
        <v>0.0</v>
      </c>
      <c r="T1751" s="17">
        <v>0.0</v>
      </c>
      <c r="U1751" s="17">
        <v>0.0</v>
      </c>
    </row>
    <row r="1752" ht="23.25" customHeight="1">
      <c r="A1752" s="1"/>
      <c r="B1752" s="15" t="s">
        <v>2222</v>
      </c>
      <c r="C1752" s="1" t="s">
        <v>17</v>
      </c>
      <c r="D1752" s="1" t="s">
        <v>1073</v>
      </c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</row>
    <row r="1753" ht="23.25" customHeight="1">
      <c r="A1753" s="20" t="str">
        <f>IF(COUNTIF('Icon Lookup'!C:C,B1753)&gt;0,LOOKUP(B1753,'Icon Lookup'!C:C,'Icon Lookup'!B:B),"")</f>
        <v/>
      </c>
      <c r="B1753" s="21" t="s">
        <v>225</v>
      </c>
      <c r="C1753" s="20"/>
      <c r="D1753" s="20">
        <v>56.0</v>
      </c>
      <c r="E1753" s="20" t="s">
        <v>26</v>
      </c>
      <c r="G1753" s="22"/>
      <c r="H1753" s="23" t="s">
        <v>2223</v>
      </c>
      <c r="I1753" s="20" t="s">
        <v>22</v>
      </c>
      <c r="J1753" s="20">
        <v>0.0</v>
      </c>
      <c r="K1753" s="20">
        <v>0.0</v>
      </c>
      <c r="L1753" s="20">
        <v>0.0</v>
      </c>
      <c r="M1753" s="20">
        <v>0.0</v>
      </c>
      <c r="N1753" s="20">
        <v>0.0</v>
      </c>
      <c r="O1753" s="20">
        <v>0.0</v>
      </c>
      <c r="P1753" s="20">
        <v>0.0</v>
      </c>
      <c r="Q1753" s="20">
        <v>0.0</v>
      </c>
      <c r="R1753" s="20">
        <v>0.0</v>
      </c>
      <c r="S1753" s="20">
        <v>0.0</v>
      </c>
      <c r="T1753" s="20">
        <v>0.0</v>
      </c>
      <c r="U1753" s="20">
        <v>0.0</v>
      </c>
    </row>
    <row r="1754" ht="23.25" customHeight="1">
      <c r="A1754" s="17" t="str">
        <f>IF(COUNTIF('Icon Lookup'!C:C,B1754)&gt;0,LOOKUP(B1754,'Icon Lookup'!C:C,'Icon Lookup'!B:B),"")</f>
        <v/>
      </c>
      <c r="B1754" s="18" t="s">
        <v>741</v>
      </c>
      <c r="C1754" s="17"/>
      <c r="D1754" s="17">
        <v>57.0</v>
      </c>
      <c r="E1754" s="17" t="s">
        <v>26</v>
      </c>
      <c r="G1754" s="19"/>
      <c r="H1754" s="20" t="s">
        <v>2224</v>
      </c>
      <c r="I1754" s="17" t="s">
        <v>22</v>
      </c>
      <c r="J1754" s="17">
        <v>0.0</v>
      </c>
      <c r="K1754" s="17">
        <v>0.0</v>
      </c>
      <c r="L1754" s="17">
        <v>0.0</v>
      </c>
      <c r="M1754" s="17">
        <v>0.0</v>
      </c>
      <c r="N1754" s="17">
        <v>0.0</v>
      </c>
      <c r="O1754" s="17">
        <v>0.0</v>
      </c>
      <c r="P1754" s="17">
        <v>0.0</v>
      </c>
      <c r="Q1754" s="17">
        <v>0.0</v>
      </c>
      <c r="R1754" s="17">
        <v>0.0</v>
      </c>
      <c r="S1754" s="17">
        <v>0.0</v>
      </c>
      <c r="T1754" s="17">
        <v>0.0</v>
      </c>
      <c r="U1754" s="17">
        <v>0.0</v>
      </c>
    </row>
    <row r="1755" ht="23.25" customHeight="1">
      <c r="A1755" s="20" t="str">
        <f>IF(COUNTIF('Icon Lookup'!C:C,B1755)&gt;0,LOOKUP(B1755,'Icon Lookup'!C:C,'Icon Lookup'!B:B),"")</f>
        <v/>
      </c>
      <c r="B1755" s="21" t="s">
        <v>710</v>
      </c>
      <c r="C1755" s="20"/>
      <c r="D1755" s="20">
        <v>58.0</v>
      </c>
      <c r="E1755" s="20" t="s">
        <v>79</v>
      </c>
      <c r="G1755" s="22"/>
      <c r="H1755" s="23" t="s">
        <v>2221</v>
      </c>
      <c r="I1755" s="20" t="s">
        <v>22</v>
      </c>
      <c r="J1755" s="20">
        <v>0.0</v>
      </c>
      <c r="K1755" s="20">
        <v>0.0</v>
      </c>
      <c r="L1755" s="20">
        <v>0.0</v>
      </c>
      <c r="M1755" s="20">
        <v>0.0</v>
      </c>
      <c r="N1755" s="20">
        <v>0.0</v>
      </c>
      <c r="O1755" s="20">
        <v>0.0</v>
      </c>
      <c r="P1755" s="20">
        <v>0.0</v>
      </c>
      <c r="Q1755" s="20">
        <v>0.0</v>
      </c>
      <c r="R1755" s="20">
        <v>0.0</v>
      </c>
      <c r="S1755" s="20">
        <v>0.0</v>
      </c>
      <c r="T1755" s="20">
        <v>0.0</v>
      </c>
      <c r="U1755" s="20">
        <v>0.0</v>
      </c>
    </row>
    <row r="1756" ht="23.25" customHeight="1">
      <c r="A1756" s="1"/>
      <c r="B1756" s="15" t="s">
        <v>2225</v>
      </c>
      <c r="C1756" s="1" t="s">
        <v>17</v>
      </c>
      <c r="D1756" s="1" t="s">
        <v>834</v>
      </c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</row>
    <row r="1757" ht="23.25" customHeight="1">
      <c r="A1757" s="17" t="str">
        <f>IF(COUNTIF('Icon Lookup'!C:C,B1757)&gt;0,LOOKUP(B1757,'Icon Lookup'!C:C,'Icon Lookup'!B:B),"")</f>
        <v/>
      </c>
      <c r="B1757" s="18" t="s">
        <v>1098</v>
      </c>
      <c r="C1757" s="17"/>
      <c r="D1757" s="17">
        <v>57.0</v>
      </c>
      <c r="E1757" s="17" t="s">
        <v>91</v>
      </c>
      <c r="G1757" s="19"/>
      <c r="H1757" s="20" t="s">
        <v>1447</v>
      </c>
      <c r="I1757" s="17" t="s">
        <v>22</v>
      </c>
      <c r="J1757" s="17">
        <v>0.0</v>
      </c>
      <c r="K1757" s="17">
        <v>0.0</v>
      </c>
      <c r="L1757" s="17">
        <v>0.0</v>
      </c>
      <c r="M1757" s="17">
        <v>0.0</v>
      </c>
      <c r="N1757" s="17">
        <v>0.0</v>
      </c>
      <c r="O1757" s="17">
        <v>0.0</v>
      </c>
      <c r="P1757" s="17">
        <v>0.0</v>
      </c>
      <c r="Q1757" s="17">
        <v>0.0</v>
      </c>
      <c r="R1757" s="17">
        <v>0.0</v>
      </c>
      <c r="S1757" s="17">
        <v>0.0</v>
      </c>
      <c r="T1757" s="17">
        <v>0.0</v>
      </c>
      <c r="U1757" s="17">
        <v>0.0</v>
      </c>
    </row>
    <row r="1758" ht="23.25" customHeight="1">
      <c r="A1758" s="1"/>
      <c r="B1758" s="15" t="s">
        <v>2226</v>
      </c>
      <c r="C1758" s="1" t="s">
        <v>17</v>
      </c>
      <c r="D1758" s="1" t="s">
        <v>1904</v>
      </c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</row>
    <row r="1759" ht="23.25" customHeight="1">
      <c r="A1759" s="20" t="str">
        <f>IF(COUNTIF('Icon Lookup'!C:C,B1759)&gt;0,LOOKUP(B1759,'Icon Lookup'!C:C,'Icon Lookup'!B:B),"")</f>
        <v/>
      </c>
      <c r="B1759" s="21" t="s">
        <v>1801</v>
      </c>
      <c r="C1759" s="20"/>
      <c r="D1759" s="20">
        <v>58.0</v>
      </c>
      <c r="E1759" s="20" t="s">
        <v>1802</v>
      </c>
      <c r="G1759" s="22"/>
      <c r="H1759" s="23" t="s">
        <v>1906</v>
      </c>
      <c r="I1759" s="20" t="s">
        <v>550</v>
      </c>
      <c r="J1759" s="20">
        <v>0.0</v>
      </c>
      <c r="K1759" s="20">
        <v>0.0</v>
      </c>
      <c r="L1759" s="20">
        <v>0.0</v>
      </c>
      <c r="M1759" s="20">
        <v>0.0</v>
      </c>
      <c r="N1759" s="20">
        <v>0.0</v>
      </c>
      <c r="O1759" s="20">
        <v>0.0</v>
      </c>
      <c r="P1759" s="20">
        <v>0.0</v>
      </c>
      <c r="Q1759" s="20">
        <v>0.0</v>
      </c>
      <c r="R1759" s="20">
        <v>0.0</v>
      </c>
      <c r="S1759" s="20">
        <v>0.0</v>
      </c>
      <c r="T1759" s="20">
        <v>0.0</v>
      </c>
      <c r="U1759" s="20">
        <v>0.0</v>
      </c>
    </row>
    <row r="1760" ht="23.25" customHeight="1">
      <c r="A1760" s="17" t="str">
        <f>IF(COUNTIF('Icon Lookup'!C:C,B1760)&gt;0,LOOKUP(B1760,'Icon Lookup'!C:C,'Icon Lookup'!B:B),"")</f>
        <v/>
      </c>
      <c r="B1760" s="18" t="s">
        <v>1909</v>
      </c>
      <c r="C1760" s="17"/>
      <c r="D1760" s="17">
        <v>59.0</v>
      </c>
      <c r="E1760" s="17" t="s">
        <v>382</v>
      </c>
      <c r="G1760" s="19"/>
      <c r="H1760" s="20" t="s">
        <v>1908</v>
      </c>
      <c r="I1760" s="17" t="s">
        <v>550</v>
      </c>
      <c r="J1760" s="17">
        <v>0.0</v>
      </c>
      <c r="K1760" s="17">
        <v>0.0</v>
      </c>
      <c r="L1760" s="17">
        <v>0.0</v>
      </c>
      <c r="M1760" s="17">
        <v>0.0</v>
      </c>
      <c r="N1760" s="17">
        <v>0.0</v>
      </c>
      <c r="O1760" s="17">
        <v>0.0</v>
      </c>
      <c r="P1760" s="17">
        <v>0.0</v>
      </c>
      <c r="Q1760" s="17">
        <v>0.0</v>
      </c>
      <c r="R1760" s="17">
        <v>0.0</v>
      </c>
      <c r="S1760" s="17">
        <v>0.0</v>
      </c>
      <c r="T1760" s="17">
        <v>0.0</v>
      </c>
      <c r="U1760" s="17">
        <v>0.0</v>
      </c>
    </row>
    <row r="1761" ht="23.25" customHeight="1">
      <c r="A1761" s="20" t="str">
        <f>IF(COUNTIF('Icon Lookup'!C:C,B1761)&gt;0,LOOKUP(B1761,'Icon Lookup'!C:C,'Icon Lookup'!B:B),"")</f>
        <v/>
      </c>
      <c r="B1761" s="21" t="s">
        <v>1909</v>
      </c>
      <c r="C1761" s="20"/>
      <c r="D1761" s="20">
        <v>60.0</v>
      </c>
      <c r="E1761" s="20" t="s">
        <v>276</v>
      </c>
      <c r="G1761" s="22"/>
      <c r="H1761" s="23" t="s">
        <v>1908</v>
      </c>
      <c r="I1761" s="20" t="s">
        <v>550</v>
      </c>
      <c r="J1761" s="20">
        <v>0.0</v>
      </c>
      <c r="K1761" s="20">
        <v>0.0</v>
      </c>
      <c r="L1761" s="20">
        <v>0.0</v>
      </c>
      <c r="M1761" s="20">
        <v>0.0</v>
      </c>
      <c r="N1761" s="20">
        <v>0.0</v>
      </c>
      <c r="O1761" s="20">
        <v>0.0</v>
      </c>
      <c r="P1761" s="20">
        <v>0.0</v>
      </c>
      <c r="Q1761" s="20">
        <v>0.0</v>
      </c>
      <c r="R1761" s="20">
        <v>0.0</v>
      </c>
      <c r="S1761" s="20">
        <v>0.0</v>
      </c>
      <c r="T1761" s="20">
        <v>0.0</v>
      </c>
      <c r="U1761" s="20">
        <v>0.0</v>
      </c>
    </row>
    <row r="1762" ht="23.25" customHeight="1">
      <c r="A1762" s="1"/>
      <c r="B1762" s="15" t="s">
        <v>2227</v>
      </c>
      <c r="C1762" s="1" t="s">
        <v>17</v>
      </c>
      <c r="D1762" s="1" t="s">
        <v>345</v>
      </c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</row>
    <row r="1763" ht="23.25" customHeight="1">
      <c r="A1763" s="17" t="str">
        <f>IF(COUNTIF('Icon Lookup'!C:C,B1763)&gt;0,LOOKUP(B1763,'Icon Lookup'!C:C,'Icon Lookup'!B:B),"")</f>
        <v/>
      </c>
      <c r="B1763" s="18" t="s">
        <v>198</v>
      </c>
      <c r="C1763" s="17"/>
      <c r="D1763" s="17">
        <v>40.0</v>
      </c>
      <c r="E1763" s="17" t="s">
        <v>50</v>
      </c>
      <c r="G1763" s="19"/>
      <c r="H1763" s="20" t="s">
        <v>2087</v>
      </c>
      <c r="I1763" s="17" t="s">
        <v>52</v>
      </c>
      <c r="J1763" s="17">
        <v>0.0</v>
      </c>
      <c r="K1763" s="17">
        <v>0.0</v>
      </c>
      <c r="L1763" s="17">
        <v>0.0</v>
      </c>
      <c r="M1763" s="17">
        <v>0.0</v>
      </c>
      <c r="N1763" s="17">
        <v>0.0</v>
      </c>
      <c r="O1763" s="17">
        <v>0.0</v>
      </c>
      <c r="P1763" s="17">
        <v>0.0</v>
      </c>
      <c r="Q1763" s="17">
        <v>0.0</v>
      </c>
      <c r="R1763" s="17">
        <v>0.0</v>
      </c>
      <c r="S1763" s="17">
        <v>0.0</v>
      </c>
      <c r="T1763" s="17">
        <v>0.0</v>
      </c>
      <c r="U1763" s="17">
        <v>0.0</v>
      </c>
    </row>
    <row r="1764" ht="23.25" customHeight="1">
      <c r="A1764" s="1"/>
      <c r="B1764" s="15" t="s">
        <v>2228</v>
      </c>
      <c r="C1764" s="1" t="s">
        <v>17</v>
      </c>
      <c r="D1764" s="1" t="s">
        <v>345</v>
      </c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</row>
    <row r="1765" ht="23.25" customHeight="1">
      <c r="A1765" s="20" t="str">
        <f>IF(COUNTIF('Icon Lookup'!C:C,B1765)&gt;0,LOOKUP(B1765,'Icon Lookup'!C:C,'Icon Lookup'!B:B),"")</f>
        <v/>
      </c>
      <c r="B1765" s="21" t="s">
        <v>198</v>
      </c>
      <c r="C1765" s="20"/>
      <c r="D1765" s="20">
        <v>60.0</v>
      </c>
      <c r="E1765" s="20" t="s">
        <v>50</v>
      </c>
      <c r="G1765" s="22"/>
      <c r="H1765" s="23" t="s">
        <v>2229</v>
      </c>
      <c r="I1765" s="20" t="s">
        <v>52</v>
      </c>
      <c r="J1765" s="20">
        <v>0.0</v>
      </c>
      <c r="K1765" s="20">
        <v>0.0</v>
      </c>
      <c r="L1765" s="20">
        <v>0.0</v>
      </c>
      <c r="M1765" s="20">
        <v>0.0</v>
      </c>
      <c r="N1765" s="20">
        <v>0.0</v>
      </c>
      <c r="O1765" s="20">
        <v>0.0</v>
      </c>
      <c r="P1765" s="20">
        <v>0.0</v>
      </c>
      <c r="Q1765" s="20">
        <v>0.0</v>
      </c>
      <c r="R1765" s="20">
        <v>0.0</v>
      </c>
      <c r="S1765" s="20">
        <v>0.0</v>
      </c>
      <c r="T1765" s="20">
        <v>0.0</v>
      </c>
      <c r="U1765" s="20">
        <v>0.0</v>
      </c>
    </row>
    <row r="1766" ht="23.25" customHeight="1">
      <c r="A1766" s="1"/>
      <c r="B1766" s="15" t="s">
        <v>2230</v>
      </c>
      <c r="C1766" s="1" t="s">
        <v>17</v>
      </c>
      <c r="D1766" s="1" t="s">
        <v>48</v>
      </c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</row>
    <row r="1767" ht="23.25" customHeight="1">
      <c r="A1767" s="17" t="str">
        <f>IF(COUNTIF('Icon Lookup'!C:C,B1767)&gt;0,LOOKUP(B1767,'Icon Lookup'!C:C,'Icon Lookup'!B:B),"")</f>
        <v/>
      </c>
      <c r="B1767" s="18" t="s">
        <v>49</v>
      </c>
      <c r="C1767" s="17"/>
      <c r="D1767" s="17">
        <v>19.0</v>
      </c>
      <c r="E1767" s="17" t="s">
        <v>50</v>
      </c>
      <c r="G1767" s="19"/>
      <c r="H1767" s="20" t="s">
        <v>51</v>
      </c>
      <c r="I1767" s="17" t="s">
        <v>52</v>
      </c>
      <c r="J1767" s="17">
        <v>0.0</v>
      </c>
      <c r="K1767" s="17">
        <v>0.0</v>
      </c>
      <c r="L1767" s="17">
        <v>0.0</v>
      </c>
      <c r="M1767" s="17">
        <v>0.0</v>
      </c>
      <c r="N1767" s="17">
        <v>0.0</v>
      </c>
      <c r="O1767" s="17">
        <v>0.0</v>
      </c>
      <c r="P1767" s="17">
        <v>0.0</v>
      </c>
      <c r="Q1767" s="17">
        <v>0.0</v>
      </c>
      <c r="R1767" s="17">
        <v>0.0</v>
      </c>
      <c r="S1767" s="17">
        <v>0.0</v>
      </c>
      <c r="T1767" s="17">
        <v>0.0</v>
      </c>
      <c r="U1767" s="17">
        <v>0.0</v>
      </c>
    </row>
    <row r="1768" ht="23.25" customHeight="1">
      <c r="A1768" s="1"/>
      <c r="B1768" s="15" t="s">
        <v>2231</v>
      </c>
      <c r="C1768" s="1" t="s">
        <v>17</v>
      </c>
      <c r="D1768" s="1" t="s">
        <v>48</v>
      </c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</row>
    <row r="1769" ht="23.25" customHeight="1">
      <c r="A1769" s="20" t="str">
        <f>IF(COUNTIF('Icon Lookup'!C:C,B1769)&gt;0,LOOKUP(B1769,'Icon Lookup'!C:C,'Icon Lookup'!B:B),"")</f>
        <v/>
      </c>
      <c r="B1769" s="21" t="s">
        <v>198</v>
      </c>
      <c r="C1769" s="20"/>
      <c r="D1769" s="20">
        <v>31.0</v>
      </c>
      <c r="E1769" s="20" t="s">
        <v>50</v>
      </c>
      <c r="G1769" s="22"/>
      <c r="H1769" s="23" t="s">
        <v>2232</v>
      </c>
      <c r="I1769" s="20" t="s">
        <v>52</v>
      </c>
      <c r="J1769" s="20">
        <v>0.0</v>
      </c>
      <c r="K1769" s="20">
        <v>0.0</v>
      </c>
      <c r="L1769" s="20">
        <v>0.0</v>
      </c>
      <c r="M1769" s="20">
        <v>0.0</v>
      </c>
      <c r="N1769" s="20">
        <v>0.0</v>
      </c>
      <c r="O1769" s="20">
        <v>0.0</v>
      </c>
      <c r="P1769" s="20">
        <v>0.0</v>
      </c>
      <c r="Q1769" s="20">
        <v>0.0</v>
      </c>
      <c r="R1769" s="20">
        <v>0.0</v>
      </c>
      <c r="S1769" s="20">
        <v>0.0</v>
      </c>
      <c r="T1769" s="20">
        <v>0.0</v>
      </c>
      <c r="U1769" s="20">
        <v>0.0</v>
      </c>
    </row>
    <row r="1770" ht="23.25" customHeight="1">
      <c r="A1770" s="1"/>
      <c r="B1770" s="15" t="s">
        <v>2233</v>
      </c>
      <c r="C1770" s="1" t="s">
        <v>17</v>
      </c>
      <c r="D1770" s="1" t="s">
        <v>48</v>
      </c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</row>
    <row r="1771" ht="23.25" customHeight="1">
      <c r="A1771" s="17" t="str">
        <f>IF(COUNTIF('Icon Lookup'!C:C,B1771)&gt;0,LOOKUP(B1771,'Icon Lookup'!C:C,'Icon Lookup'!B:B),"")</f>
        <v/>
      </c>
      <c r="B1771" s="18" t="s">
        <v>198</v>
      </c>
      <c r="C1771" s="17"/>
      <c r="D1771" s="17">
        <v>55.0</v>
      </c>
      <c r="E1771" s="17" t="s">
        <v>50</v>
      </c>
      <c r="G1771" s="19"/>
      <c r="H1771" s="20" t="s">
        <v>2234</v>
      </c>
      <c r="I1771" s="17" t="s">
        <v>52</v>
      </c>
      <c r="J1771" s="17">
        <v>0.0</v>
      </c>
      <c r="K1771" s="17">
        <v>0.0</v>
      </c>
      <c r="L1771" s="17">
        <v>0.0</v>
      </c>
      <c r="M1771" s="17">
        <v>0.0</v>
      </c>
      <c r="N1771" s="17">
        <v>0.0</v>
      </c>
      <c r="O1771" s="17">
        <v>0.0</v>
      </c>
      <c r="P1771" s="17">
        <v>0.0</v>
      </c>
      <c r="Q1771" s="17">
        <v>0.0</v>
      </c>
      <c r="R1771" s="17">
        <v>0.0</v>
      </c>
      <c r="S1771" s="17">
        <v>0.0</v>
      </c>
      <c r="T1771" s="17">
        <v>0.0</v>
      </c>
      <c r="U1771" s="17">
        <v>0.0</v>
      </c>
    </row>
    <row r="1772" ht="23.25" customHeight="1">
      <c r="A1772" s="1"/>
      <c r="B1772" s="15" t="s">
        <v>2235</v>
      </c>
      <c r="C1772" s="1" t="s">
        <v>17</v>
      </c>
      <c r="D1772" s="1" t="s">
        <v>1153</v>
      </c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</row>
    <row r="1773" ht="23.25" customHeight="1">
      <c r="A1773" s="20" t="str">
        <f>IF(COUNTIF('Icon Lookup'!C:C,B1773)&gt;0,LOOKUP(B1773,'Icon Lookup'!C:C,'Icon Lookup'!B:B),"")</f>
        <v/>
      </c>
      <c r="B1773" s="21" t="s">
        <v>19</v>
      </c>
      <c r="C1773" s="20"/>
      <c r="D1773" s="20">
        <v>17.0</v>
      </c>
      <c r="E1773" s="20" t="s">
        <v>20</v>
      </c>
      <c r="G1773" s="22"/>
      <c r="H1773" s="23" t="s">
        <v>2236</v>
      </c>
      <c r="I1773" s="20" t="s">
        <v>22</v>
      </c>
      <c r="J1773" s="20">
        <v>0.0</v>
      </c>
      <c r="K1773" s="20">
        <v>0.0</v>
      </c>
      <c r="L1773" s="20">
        <v>0.0</v>
      </c>
      <c r="M1773" s="20">
        <v>0.0</v>
      </c>
      <c r="N1773" s="20">
        <v>0.0</v>
      </c>
      <c r="O1773" s="20">
        <v>0.0</v>
      </c>
      <c r="P1773" s="20">
        <v>0.0</v>
      </c>
      <c r="Q1773" s="20">
        <v>0.0</v>
      </c>
      <c r="R1773" s="20">
        <v>0.0</v>
      </c>
      <c r="S1773" s="20">
        <v>0.0</v>
      </c>
      <c r="T1773" s="20">
        <v>0.0</v>
      </c>
      <c r="U1773" s="20">
        <v>0.0</v>
      </c>
    </row>
    <row r="1774" ht="23.25" customHeight="1">
      <c r="A1774" s="17" t="str">
        <f>IF(COUNTIF('Icon Lookup'!C:C,B1774)&gt;0,LOOKUP(B1774,'Icon Lookup'!C:C,'Icon Lookup'!B:B),"")</f>
        <v/>
      </c>
      <c r="B1774" s="18" t="s">
        <v>30</v>
      </c>
      <c r="C1774" s="17"/>
      <c r="D1774" s="17">
        <v>17.0</v>
      </c>
      <c r="E1774" s="17" t="s">
        <v>31</v>
      </c>
      <c r="G1774" s="19"/>
      <c r="H1774" s="20" t="s">
        <v>2237</v>
      </c>
      <c r="I1774" s="17" t="s">
        <v>22</v>
      </c>
      <c r="J1774" s="17">
        <v>0.0</v>
      </c>
      <c r="K1774" s="17">
        <v>0.0</v>
      </c>
      <c r="L1774" s="17">
        <v>0.0</v>
      </c>
      <c r="M1774" s="17">
        <v>0.0</v>
      </c>
      <c r="N1774" s="17">
        <v>0.0</v>
      </c>
      <c r="O1774" s="17">
        <v>0.0</v>
      </c>
      <c r="P1774" s="17">
        <v>0.0</v>
      </c>
      <c r="Q1774" s="17">
        <v>0.0</v>
      </c>
      <c r="R1774" s="17">
        <v>0.0</v>
      </c>
      <c r="S1774" s="17">
        <v>0.0</v>
      </c>
      <c r="T1774" s="17">
        <v>0.0</v>
      </c>
      <c r="U1774" s="17">
        <v>0.0</v>
      </c>
    </row>
    <row r="1775" ht="23.25" customHeight="1">
      <c r="A1775" s="1"/>
      <c r="B1775" s="15" t="s">
        <v>2238</v>
      </c>
      <c r="C1775" s="1" t="s">
        <v>17</v>
      </c>
      <c r="D1775" s="1" t="s">
        <v>1153</v>
      </c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</row>
    <row r="1776" ht="23.25" customHeight="1">
      <c r="A1776" s="20" t="str">
        <f>IF(COUNTIF('Icon Lookup'!C:C,B1776)&gt;0,LOOKUP(B1776,'Icon Lookup'!C:C,'Icon Lookup'!B:B),"")</f>
        <v/>
      </c>
      <c r="B1776" s="21" t="s">
        <v>117</v>
      </c>
      <c r="C1776" s="20"/>
      <c r="D1776" s="20">
        <v>29.0</v>
      </c>
      <c r="E1776" s="20" t="s">
        <v>26</v>
      </c>
      <c r="G1776" s="22"/>
      <c r="H1776" s="23" t="s">
        <v>2239</v>
      </c>
      <c r="I1776" s="20" t="s">
        <v>22</v>
      </c>
      <c r="J1776" s="20">
        <v>0.0</v>
      </c>
      <c r="K1776" s="20">
        <v>0.0</v>
      </c>
      <c r="L1776" s="20">
        <v>0.0</v>
      </c>
      <c r="M1776" s="20">
        <v>0.0</v>
      </c>
      <c r="N1776" s="20">
        <v>0.0</v>
      </c>
      <c r="O1776" s="20">
        <v>0.0</v>
      </c>
      <c r="P1776" s="20">
        <v>0.0</v>
      </c>
      <c r="Q1776" s="20">
        <v>0.0</v>
      </c>
      <c r="R1776" s="20">
        <v>0.0</v>
      </c>
      <c r="S1776" s="20">
        <v>0.0</v>
      </c>
      <c r="T1776" s="20">
        <v>0.0</v>
      </c>
      <c r="U1776" s="20">
        <v>0.0</v>
      </c>
    </row>
    <row r="1777" ht="23.25" customHeight="1">
      <c r="A1777" s="17" t="str">
        <f>IF(COUNTIF('Icon Lookup'!C:C,B1777)&gt;0,LOOKUP(B1777,'Icon Lookup'!C:C,'Icon Lookup'!B:B),"")</f>
        <v/>
      </c>
      <c r="B1777" s="18" t="s">
        <v>419</v>
      </c>
      <c r="C1777" s="17"/>
      <c r="D1777" s="17">
        <v>29.0</v>
      </c>
      <c r="E1777" s="17" t="s">
        <v>31</v>
      </c>
      <c r="G1777" s="19"/>
      <c r="H1777" s="20" t="s">
        <v>2240</v>
      </c>
      <c r="I1777" s="17" t="s">
        <v>22</v>
      </c>
      <c r="J1777" s="17">
        <v>0.0</v>
      </c>
      <c r="K1777" s="17">
        <v>0.0</v>
      </c>
      <c r="L1777" s="17">
        <v>0.0</v>
      </c>
      <c r="M1777" s="17">
        <v>0.0</v>
      </c>
      <c r="N1777" s="17">
        <v>0.0</v>
      </c>
      <c r="O1777" s="17">
        <v>0.0</v>
      </c>
      <c r="P1777" s="17">
        <v>0.0</v>
      </c>
      <c r="Q1777" s="17">
        <v>0.0</v>
      </c>
      <c r="R1777" s="17">
        <v>0.0</v>
      </c>
      <c r="S1777" s="17">
        <v>0.0</v>
      </c>
      <c r="T1777" s="17">
        <v>0.0</v>
      </c>
      <c r="U1777" s="17">
        <v>0.0</v>
      </c>
    </row>
    <row r="1778" ht="23.25" customHeight="1">
      <c r="A1778" s="1"/>
      <c r="B1778" s="15" t="s">
        <v>2241</v>
      </c>
      <c r="C1778" s="1" t="s">
        <v>17</v>
      </c>
      <c r="D1778" s="1" t="s">
        <v>1153</v>
      </c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</row>
    <row r="1779" ht="23.25" customHeight="1">
      <c r="A1779" s="20" t="str">
        <f>IF(COUNTIF('Icon Lookup'!C:C,B1779)&gt;0,LOOKUP(B1779,'Icon Lookup'!C:C,'Icon Lookup'!B:B),"")</f>
        <v/>
      </c>
      <c r="B1779" s="21" t="s">
        <v>741</v>
      </c>
      <c r="C1779" s="20"/>
      <c r="D1779" s="20">
        <v>38.0</v>
      </c>
      <c r="E1779" s="20" t="s">
        <v>26</v>
      </c>
      <c r="G1779" s="22"/>
      <c r="H1779" s="23" t="s">
        <v>2242</v>
      </c>
      <c r="I1779" s="20" t="s">
        <v>22</v>
      </c>
      <c r="J1779" s="20">
        <v>0.0</v>
      </c>
      <c r="K1779" s="20">
        <v>0.0</v>
      </c>
      <c r="L1779" s="20">
        <v>0.0</v>
      </c>
      <c r="M1779" s="20">
        <v>0.0</v>
      </c>
      <c r="N1779" s="20">
        <v>0.0</v>
      </c>
      <c r="O1779" s="20">
        <v>0.0</v>
      </c>
      <c r="P1779" s="20">
        <v>0.0</v>
      </c>
      <c r="Q1779" s="20">
        <v>0.0</v>
      </c>
      <c r="R1779" s="20">
        <v>0.0</v>
      </c>
      <c r="S1779" s="20">
        <v>0.0</v>
      </c>
      <c r="T1779" s="20">
        <v>0.0</v>
      </c>
      <c r="U1779" s="20">
        <v>0.0</v>
      </c>
    </row>
    <row r="1780" ht="23.25" customHeight="1">
      <c r="A1780" s="17" t="str">
        <f>IF(COUNTIF('Icon Lookup'!C:C,B1780)&gt;0,LOOKUP(B1780,'Icon Lookup'!C:C,'Icon Lookup'!B:B),"")</f>
        <v/>
      </c>
      <c r="B1780" s="18" t="s">
        <v>419</v>
      </c>
      <c r="C1780" s="17"/>
      <c r="D1780" s="17">
        <v>38.0</v>
      </c>
      <c r="E1780" s="17" t="s">
        <v>31</v>
      </c>
      <c r="G1780" s="19"/>
      <c r="H1780" s="20" t="s">
        <v>2243</v>
      </c>
      <c r="I1780" s="17" t="s">
        <v>22</v>
      </c>
      <c r="J1780" s="17">
        <v>0.0</v>
      </c>
      <c r="K1780" s="17">
        <v>0.0</v>
      </c>
      <c r="L1780" s="17">
        <v>0.0</v>
      </c>
      <c r="M1780" s="17">
        <v>0.0</v>
      </c>
      <c r="N1780" s="17">
        <v>0.0</v>
      </c>
      <c r="O1780" s="17">
        <v>0.0</v>
      </c>
      <c r="P1780" s="17">
        <v>0.0</v>
      </c>
      <c r="Q1780" s="17">
        <v>0.0</v>
      </c>
      <c r="R1780" s="17">
        <v>0.0</v>
      </c>
      <c r="S1780" s="17">
        <v>0.0</v>
      </c>
      <c r="T1780" s="17">
        <v>0.0</v>
      </c>
      <c r="U1780" s="17">
        <v>0.0</v>
      </c>
    </row>
    <row r="1781" ht="23.25" customHeight="1">
      <c r="A1781" s="1"/>
      <c r="B1781" s="15" t="s">
        <v>2244</v>
      </c>
      <c r="C1781" s="1" t="s">
        <v>17</v>
      </c>
      <c r="D1781" s="1" t="s">
        <v>1454</v>
      </c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</row>
    <row r="1782" ht="23.25" customHeight="1">
      <c r="A1782" s="20" t="str">
        <f>IF(COUNTIF('Icon Lookup'!C:C,B1782)&gt;0,LOOKUP(B1782,'Icon Lookup'!C:C,'Icon Lookup'!B:B),"")</f>
        <v/>
      </c>
      <c r="B1782" s="21" t="s">
        <v>97</v>
      </c>
      <c r="C1782" s="20"/>
      <c r="D1782" s="20">
        <v>29.0</v>
      </c>
      <c r="E1782" s="20" t="s">
        <v>98</v>
      </c>
      <c r="G1782" s="22"/>
      <c r="H1782" s="23" t="s">
        <v>2245</v>
      </c>
      <c r="I1782" s="20" t="s">
        <v>211</v>
      </c>
      <c r="J1782" s="20">
        <v>0.0</v>
      </c>
      <c r="K1782" s="20">
        <v>0.0</v>
      </c>
      <c r="L1782" s="20">
        <v>0.0</v>
      </c>
      <c r="M1782" s="20">
        <v>0.0</v>
      </c>
      <c r="N1782" s="20">
        <v>0.0</v>
      </c>
      <c r="O1782" s="20">
        <v>0.0</v>
      </c>
      <c r="P1782" s="20">
        <v>0.0</v>
      </c>
      <c r="Q1782" s="20">
        <v>0.0</v>
      </c>
      <c r="R1782" s="20">
        <v>0.0</v>
      </c>
      <c r="S1782" s="20">
        <v>0.0</v>
      </c>
      <c r="T1782" s="20">
        <v>0.0</v>
      </c>
      <c r="U1782" s="20">
        <v>0.0</v>
      </c>
    </row>
    <row r="1783" ht="23.25" customHeight="1">
      <c r="A1783" s="17" t="str">
        <f>IF(COUNTIF('Icon Lookup'!C:C,B1783)&gt;0,LOOKUP(B1783,'Icon Lookup'!C:C,'Icon Lookup'!B:B),"")</f>
        <v/>
      </c>
      <c r="B1783" s="18" t="s">
        <v>97</v>
      </c>
      <c r="C1783" s="17"/>
      <c r="D1783" s="17">
        <v>29.0</v>
      </c>
      <c r="E1783" s="17" t="s">
        <v>87</v>
      </c>
      <c r="G1783" s="19"/>
      <c r="H1783" s="20" t="s">
        <v>2245</v>
      </c>
      <c r="I1783" s="17" t="s">
        <v>22</v>
      </c>
      <c r="J1783" s="17">
        <v>0.0</v>
      </c>
      <c r="K1783" s="17">
        <v>0.0</v>
      </c>
      <c r="L1783" s="17">
        <v>0.0</v>
      </c>
      <c r="M1783" s="17">
        <v>0.0</v>
      </c>
      <c r="N1783" s="17">
        <v>0.0</v>
      </c>
      <c r="O1783" s="17">
        <v>0.0</v>
      </c>
      <c r="P1783" s="17">
        <v>0.0</v>
      </c>
      <c r="Q1783" s="17">
        <v>0.0</v>
      </c>
      <c r="R1783" s="17">
        <v>0.0</v>
      </c>
      <c r="S1783" s="17">
        <v>0.0</v>
      </c>
      <c r="T1783" s="17">
        <v>0.0</v>
      </c>
      <c r="U1783" s="17">
        <v>0.0</v>
      </c>
    </row>
    <row r="1784" ht="23.25" customHeight="1">
      <c r="A1784" s="1"/>
      <c r="B1784" s="15" t="s">
        <v>2246</v>
      </c>
      <c r="C1784" s="1" t="s">
        <v>17</v>
      </c>
      <c r="D1784" s="1" t="s">
        <v>1454</v>
      </c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</row>
    <row r="1785" ht="23.25" customHeight="1">
      <c r="A1785" s="20" t="str">
        <f>IF(COUNTIF('Icon Lookup'!C:C,B1785)&gt;0,LOOKUP(B1785,'Icon Lookup'!C:C,'Icon Lookup'!B:B),"")</f>
        <v/>
      </c>
      <c r="B1785" s="21" t="s">
        <v>97</v>
      </c>
      <c r="C1785" s="20"/>
      <c r="D1785" s="20">
        <v>37.0</v>
      </c>
      <c r="E1785" s="20" t="s">
        <v>98</v>
      </c>
      <c r="G1785" s="22"/>
      <c r="H1785" s="23" t="s">
        <v>2247</v>
      </c>
      <c r="I1785" s="20" t="s">
        <v>211</v>
      </c>
      <c r="J1785" s="20">
        <v>0.0</v>
      </c>
      <c r="K1785" s="20">
        <v>0.0</v>
      </c>
      <c r="L1785" s="20">
        <v>0.0</v>
      </c>
      <c r="M1785" s="20">
        <v>0.0</v>
      </c>
      <c r="N1785" s="20">
        <v>0.0</v>
      </c>
      <c r="O1785" s="20">
        <v>0.0</v>
      </c>
      <c r="P1785" s="20">
        <v>0.0</v>
      </c>
      <c r="Q1785" s="20">
        <v>0.0</v>
      </c>
      <c r="R1785" s="20">
        <v>0.0</v>
      </c>
      <c r="S1785" s="20">
        <v>0.0</v>
      </c>
      <c r="T1785" s="20">
        <v>0.0</v>
      </c>
      <c r="U1785" s="20">
        <v>0.0</v>
      </c>
    </row>
    <row r="1786" ht="23.25" customHeight="1">
      <c r="A1786" s="17" t="str">
        <f>IF(COUNTIF('Icon Lookup'!C:C,B1786)&gt;0,LOOKUP(B1786,'Icon Lookup'!C:C,'Icon Lookup'!B:B),"")</f>
        <v/>
      </c>
      <c r="B1786" s="18" t="s">
        <v>756</v>
      </c>
      <c r="C1786" s="17"/>
      <c r="D1786" s="17">
        <v>39.0</v>
      </c>
      <c r="E1786" s="17" t="s">
        <v>87</v>
      </c>
      <c r="G1786" s="19"/>
      <c r="H1786" s="20" t="s">
        <v>2248</v>
      </c>
      <c r="I1786" s="17" t="s">
        <v>22</v>
      </c>
      <c r="J1786" s="17">
        <v>0.0</v>
      </c>
      <c r="K1786" s="17">
        <v>0.0</v>
      </c>
      <c r="L1786" s="17">
        <v>0.0</v>
      </c>
      <c r="M1786" s="17">
        <v>0.0</v>
      </c>
      <c r="N1786" s="17">
        <v>0.0</v>
      </c>
      <c r="O1786" s="17">
        <v>0.0</v>
      </c>
      <c r="P1786" s="17">
        <v>0.0</v>
      </c>
      <c r="Q1786" s="17">
        <v>0.0</v>
      </c>
      <c r="R1786" s="17">
        <v>0.0</v>
      </c>
      <c r="S1786" s="17">
        <v>0.0</v>
      </c>
      <c r="T1786" s="17">
        <v>0.0</v>
      </c>
      <c r="U1786" s="17">
        <v>0.0</v>
      </c>
    </row>
    <row r="1787" ht="23.25" customHeight="1">
      <c r="A1787" s="1"/>
      <c r="B1787" s="15" t="s">
        <v>2249</v>
      </c>
      <c r="C1787" s="1" t="s">
        <v>17</v>
      </c>
      <c r="D1787" s="1" t="s">
        <v>1454</v>
      </c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</row>
    <row r="1788" ht="23.25" customHeight="1">
      <c r="A1788" s="20" t="str">
        <f>IF(COUNTIF('Icon Lookup'!C:C,B1788)&gt;0,LOOKUP(B1788,'Icon Lookup'!C:C,'Icon Lookup'!B:B),"")</f>
        <v/>
      </c>
      <c r="B1788" s="21" t="s">
        <v>756</v>
      </c>
      <c r="C1788" s="20"/>
      <c r="D1788" s="20">
        <v>57.0</v>
      </c>
      <c r="E1788" s="20" t="s">
        <v>98</v>
      </c>
      <c r="G1788" s="22"/>
      <c r="H1788" s="23" t="s">
        <v>2250</v>
      </c>
      <c r="I1788" s="20" t="s">
        <v>211</v>
      </c>
      <c r="J1788" s="20">
        <v>0.0</v>
      </c>
      <c r="K1788" s="20">
        <v>0.0</v>
      </c>
      <c r="L1788" s="20">
        <v>0.0</v>
      </c>
      <c r="M1788" s="20">
        <v>0.0</v>
      </c>
      <c r="N1788" s="20">
        <v>0.0</v>
      </c>
      <c r="O1788" s="20">
        <v>0.0</v>
      </c>
      <c r="P1788" s="20">
        <v>0.0</v>
      </c>
      <c r="Q1788" s="20">
        <v>0.0</v>
      </c>
      <c r="R1788" s="20">
        <v>0.0</v>
      </c>
      <c r="S1788" s="20">
        <v>0.0</v>
      </c>
      <c r="T1788" s="20">
        <v>0.0</v>
      </c>
      <c r="U1788" s="20">
        <v>0.0</v>
      </c>
    </row>
    <row r="1789" ht="23.25" customHeight="1">
      <c r="A1789" s="17" t="str">
        <f>IF(COUNTIF('Icon Lookup'!C:C,B1789)&gt;0,LOOKUP(B1789,'Icon Lookup'!C:C,'Icon Lookup'!B:B),"")</f>
        <v/>
      </c>
      <c r="B1789" s="18" t="s">
        <v>756</v>
      </c>
      <c r="C1789" s="17"/>
      <c r="D1789" s="17">
        <v>59.0</v>
      </c>
      <c r="E1789" s="17" t="s">
        <v>87</v>
      </c>
      <c r="G1789" s="19"/>
      <c r="H1789" s="20" t="s">
        <v>2251</v>
      </c>
      <c r="I1789" s="17" t="s">
        <v>22</v>
      </c>
      <c r="J1789" s="17">
        <v>0.0</v>
      </c>
      <c r="K1789" s="17">
        <v>0.0</v>
      </c>
      <c r="L1789" s="17">
        <v>0.0</v>
      </c>
      <c r="M1789" s="17">
        <v>0.0</v>
      </c>
      <c r="N1789" s="17">
        <v>0.0</v>
      </c>
      <c r="O1789" s="17">
        <v>0.0</v>
      </c>
      <c r="P1789" s="17">
        <v>0.0</v>
      </c>
      <c r="Q1789" s="17">
        <v>0.0</v>
      </c>
      <c r="R1789" s="17">
        <v>0.0</v>
      </c>
      <c r="S1789" s="17">
        <v>0.0</v>
      </c>
      <c r="T1789" s="17">
        <v>0.0</v>
      </c>
      <c r="U1789" s="17">
        <v>0.0</v>
      </c>
    </row>
    <row r="1790" ht="23.25" customHeight="1">
      <c r="A1790" s="1"/>
      <c r="B1790" s="15" t="s">
        <v>2252</v>
      </c>
      <c r="C1790" s="1" t="s">
        <v>17</v>
      </c>
      <c r="D1790" s="1" t="s">
        <v>56</v>
      </c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</row>
    <row r="1791" ht="23.25" customHeight="1">
      <c r="A1791" s="20" t="str">
        <f>IF(COUNTIF('Icon Lookup'!C:C,B1791)&gt;0,LOOKUP(B1791,'Icon Lookup'!C:C,'Icon Lookup'!B:B),"")</f>
        <v/>
      </c>
      <c r="B1791" s="21" t="s">
        <v>57</v>
      </c>
      <c r="C1791" s="20"/>
      <c r="D1791" s="20">
        <v>17.0</v>
      </c>
      <c r="E1791" s="20" t="s">
        <v>58</v>
      </c>
      <c r="G1791" s="22"/>
      <c r="H1791" s="23" t="s">
        <v>2253</v>
      </c>
      <c r="I1791" s="20" t="s">
        <v>52</v>
      </c>
      <c r="J1791" s="20">
        <v>0.0</v>
      </c>
      <c r="K1791" s="20">
        <v>0.0</v>
      </c>
      <c r="L1791" s="20">
        <v>0.0</v>
      </c>
      <c r="M1791" s="20">
        <v>0.0</v>
      </c>
      <c r="N1791" s="20">
        <v>0.0</v>
      </c>
      <c r="O1791" s="20">
        <v>0.0</v>
      </c>
      <c r="P1791" s="20">
        <v>0.0</v>
      </c>
      <c r="Q1791" s="20">
        <v>0.0</v>
      </c>
      <c r="R1791" s="20">
        <v>0.0</v>
      </c>
      <c r="S1791" s="20">
        <v>0.0</v>
      </c>
      <c r="T1791" s="20">
        <v>0.0</v>
      </c>
      <c r="U1791" s="20">
        <v>0.0</v>
      </c>
    </row>
    <row r="1792" ht="23.25" customHeight="1">
      <c r="A1792" s="17" t="str">
        <f>IF(COUNTIF('Icon Lookup'!C:C,B1792)&gt;0,LOOKUP(B1792,'Icon Lookup'!C:C,'Icon Lookup'!B:B),"")</f>
        <v/>
      </c>
      <c r="B1792" s="18" t="s">
        <v>685</v>
      </c>
      <c r="C1792" s="17"/>
      <c r="D1792" s="17">
        <v>17.0</v>
      </c>
      <c r="E1792" s="17" t="s">
        <v>58</v>
      </c>
      <c r="G1792" s="19"/>
      <c r="H1792" s="20" t="s">
        <v>686</v>
      </c>
      <c r="I1792" s="17" t="s">
        <v>52</v>
      </c>
      <c r="J1792" s="17">
        <v>0.0</v>
      </c>
      <c r="K1792" s="17">
        <v>0.0</v>
      </c>
      <c r="L1792" s="17">
        <v>0.0</v>
      </c>
      <c r="M1792" s="17">
        <v>0.0</v>
      </c>
      <c r="N1792" s="17">
        <v>0.0</v>
      </c>
      <c r="O1792" s="17">
        <v>0.0</v>
      </c>
      <c r="P1792" s="17">
        <v>0.0</v>
      </c>
      <c r="Q1792" s="17">
        <v>0.0</v>
      </c>
      <c r="R1792" s="17">
        <v>0.0</v>
      </c>
      <c r="S1792" s="17">
        <v>0.0</v>
      </c>
      <c r="T1792" s="17">
        <v>0.0</v>
      </c>
      <c r="U1792" s="17">
        <v>0.0</v>
      </c>
    </row>
    <row r="1793" ht="23.25" customHeight="1">
      <c r="A1793" s="1"/>
      <c r="B1793" s="15" t="s">
        <v>2254</v>
      </c>
      <c r="C1793" s="1" t="s">
        <v>17</v>
      </c>
      <c r="D1793" s="1" t="s">
        <v>56</v>
      </c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</row>
    <row r="1794" ht="23.25" customHeight="1">
      <c r="A1794" s="20" t="str">
        <f>IF(COUNTIF('Icon Lookup'!C:C,B1794)&gt;0,LOOKUP(B1794,'Icon Lookup'!C:C,'Icon Lookup'!B:B),"")</f>
        <v/>
      </c>
      <c r="B1794" s="21" t="s">
        <v>697</v>
      </c>
      <c r="C1794" s="20"/>
      <c r="D1794" s="20">
        <v>29.0</v>
      </c>
      <c r="E1794" s="20" t="s">
        <v>258</v>
      </c>
      <c r="G1794" s="22"/>
      <c r="H1794" s="23" t="s">
        <v>2255</v>
      </c>
      <c r="I1794" s="20" t="s">
        <v>52</v>
      </c>
      <c r="J1794" s="20">
        <v>0.0</v>
      </c>
      <c r="K1794" s="20">
        <v>0.0</v>
      </c>
      <c r="L1794" s="20">
        <v>0.0</v>
      </c>
      <c r="M1794" s="20">
        <v>0.0</v>
      </c>
      <c r="N1794" s="20">
        <v>0.0</v>
      </c>
      <c r="O1794" s="20">
        <v>0.0</v>
      </c>
      <c r="P1794" s="20">
        <v>0.0</v>
      </c>
      <c r="Q1794" s="20">
        <v>0.0</v>
      </c>
      <c r="R1794" s="20">
        <v>0.0</v>
      </c>
      <c r="S1794" s="20">
        <v>0.0</v>
      </c>
      <c r="T1794" s="20">
        <v>0.0</v>
      </c>
      <c r="U1794" s="20">
        <v>0.0</v>
      </c>
    </row>
    <row r="1795" ht="23.25" customHeight="1">
      <c r="A1795" s="17" t="str">
        <f>IF(COUNTIF('Icon Lookup'!C:C,B1795)&gt;0,LOOKUP(B1795,'Icon Lookup'!C:C,'Icon Lookup'!B:B),"")</f>
        <v/>
      </c>
      <c r="B1795" s="18" t="s">
        <v>685</v>
      </c>
      <c r="C1795" s="17"/>
      <c r="D1795" s="17">
        <v>29.0</v>
      </c>
      <c r="E1795" s="17" t="s">
        <v>58</v>
      </c>
      <c r="G1795" s="19"/>
      <c r="H1795" s="20" t="s">
        <v>686</v>
      </c>
      <c r="I1795" s="17" t="s">
        <v>52</v>
      </c>
      <c r="J1795" s="17">
        <v>0.0</v>
      </c>
      <c r="K1795" s="17">
        <v>0.0</v>
      </c>
      <c r="L1795" s="17">
        <v>0.0</v>
      </c>
      <c r="M1795" s="17">
        <v>0.0</v>
      </c>
      <c r="N1795" s="17">
        <v>0.0</v>
      </c>
      <c r="O1795" s="17">
        <v>0.0</v>
      </c>
      <c r="P1795" s="17">
        <v>0.0</v>
      </c>
      <c r="Q1795" s="17">
        <v>0.0</v>
      </c>
      <c r="R1795" s="17">
        <v>0.0</v>
      </c>
      <c r="S1795" s="17">
        <v>0.0</v>
      </c>
      <c r="T1795" s="17">
        <v>0.0</v>
      </c>
      <c r="U1795" s="17">
        <v>0.0</v>
      </c>
    </row>
    <row r="1796" ht="23.25" customHeight="1">
      <c r="A1796" s="1"/>
      <c r="B1796" s="15" t="s">
        <v>2256</v>
      </c>
      <c r="C1796" s="1" t="s">
        <v>17</v>
      </c>
      <c r="D1796" s="1" t="s">
        <v>56</v>
      </c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</row>
    <row r="1797" ht="23.25" customHeight="1">
      <c r="A1797" s="20" t="str">
        <f>IF(COUNTIF('Icon Lookup'!C:C,B1797)&gt;0,LOOKUP(B1797,'Icon Lookup'!C:C,'Icon Lookup'!B:B),"")</f>
        <v/>
      </c>
      <c r="B1797" s="21" t="s">
        <v>697</v>
      </c>
      <c r="C1797" s="20"/>
      <c r="D1797" s="20">
        <v>53.0</v>
      </c>
      <c r="E1797" s="20" t="s">
        <v>258</v>
      </c>
      <c r="G1797" s="22"/>
      <c r="H1797" s="23" t="s">
        <v>2257</v>
      </c>
      <c r="I1797" s="20" t="s">
        <v>52</v>
      </c>
      <c r="J1797" s="20">
        <v>0.0</v>
      </c>
      <c r="K1797" s="20">
        <v>0.0</v>
      </c>
      <c r="L1797" s="20">
        <v>0.0</v>
      </c>
      <c r="M1797" s="20">
        <v>0.0</v>
      </c>
      <c r="N1797" s="20">
        <v>0.0</v>
      </c>
      <c r="O1797" s="20">
        <v>0.0</v>
      </c>
      <c r="P1797" s="20">
        <v>0.0</v>
      </c>
      <c r="Q1797" s="20">
        <v>0.0</v>
      </c>
      <c r="R1797" s="20">
        <v>0.0</v>
      </c>
      <c r="S1797" s="20">
        <v>0.0</v>
      </c>
      <c r="T1797" s="20">
        <v>0.0</v>
      </c>
      <c r="U1797" s="20">
        <v>0.0</v>
      </c>
    </row>
    <row r="1798" ht="23.25" customHeight="1">
      <c r="A1798" s="17" t="str">
        <f>IF(COUNTIF('Icon Lookup'!C:C,B1798)&gt;0,LOOKUP(B1798,'Icon Lookup'!C:C,'Icon Lookup'!B:B),"")</f>
        <v/>
      </c>
      <c r="B1798" s="18" t="s">
        <v>687</v>
      </c>
      <c r="C1798" s="17"/>
      <c r="D1798" s="17">
        <v>53.0</v>
      </c>
      <c r="E1798" s="17" t="s">
        <v>258</v>
      </c>
      <c r="G1798" s="19"/>
      <c r="H1798" s="20" t="s">
        <v>2258</v>
      </c>
      <c r="I1798" s="17" t="s">
        <v>52</v>
      </c>
      <c r="J1798" s="17">
        <v>0.0</v>
      </c>
      <c r="K1798" s="17">
        <v>0.0</v>
      </c>
      <c r="L1798" s="17">
        <v>0.0</v>
      </c>
      <c r="M1798" s="17">
        <v>0.0</v>
      </c>
      <c r="N1798" s="17">
        <v>0.0</v>
      </c>
      <c r="O1798" s="17">
        <v>0.0</v>
      </c>
      <c r="P1798" s="17">
        <v>0.0</v>
      </c>
      <c r="Q1798" s="17">
        <v>0.0</v>
      </c>
      <c r="R1798" s="17">
        <v>0.0</v>
      </c>
      <c r="S1798" s="17">
        <v>0.0</v>
      </c>
      <c r="T1798" s="17">
        <v>0.0</v>
      </c>
      <c r="U1798" s="17">
        <v>0.0</v>
      </c>
    </row>
    <row r="1799" ht="23.25" customHeight="1">
      <c r="A1799" s="1"/>
      <c r="B1799" s="15" t="s">
        <v>2259</v>
      </c>
      <c r="C1799" s="1" t="s">
        <v>17</v>
      </c>
      <c r="D1799" s="1" t="s">
        <v>1168</v>
      </c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</row>
    <row r="1800" ht="23.25" customHeight="1">
      <c r="A1800" s="20" t="str">
        <f>IF(COUNTIF('Icon Lookup'!C:C,B1800)&gt;0,LOOKUP(B1800,'Icon Lookup'!C:C,'Icon Lookup'!B:B),"")</f>
        <v/>
      </c>
      <c r="B1800" s="21" t="s">
        <v>110</v>
      </c>
      <c r="C1800" s="20"/>
      <c r="D1800" s="20">
        <v>28.0</v>
      </c>
      <c r="E1800" s="20" t="s">
        <v>111</v>
      </c>
      <c r="G1800" s="22"/>
      <c r="H1800" s="23" t="s">
        <v>453</v>
      </c>
      <c r="I1800" s="20" t="s">
        <v>22</v>
      </c>
      <c r="J1800" s="20">
        <v>0.0</v>
      </c>
      <c r="K1800" s="20">
        <v>0.0</v>
      </c>
      <c r="L1800" s="20">
        <v>0.0</v>
      </c>
      <c r="M1800" s="20">
        <v>0.0</v>
      </c>
      <c r="N1800" s="20">
        <v>0.0</v>
      </c>
      <c r="O1800" s="20">
        <v>0.0</v>
      </c>
      <c r="P1800" s="20">
        <v>0.0</v>
      </c>
      <c r="Q1800" s="20">
        <v>0.0</v>
      </c>
      <c r="R1800" s="20">
        <v>0.0</v>
      </c>
      <c r="S1800" s="20">
        <v>0.0</v>
      </c>
      <c r="T1800" s="20">
        <v>0.0</v>
      </c>
      <c r="U1800" s="20">
        <v>0.0</v>
      </c>
    </row>
    <row r="1801" ht="23.25" customHeight="1">
      <c r="A1801" s="17" t="str">
        <f>IF(COUNTIF('Icon Lookup'!C:C,B1801)&gt;0,LOOKUP(B1801,'Icon Lookup'!C:C,'Icon Lookup'!B:B),"")</f>
        <v/>
      </c>
      <c r="B1801" s="18" t="s">
        <v>271</v>
      </c>
      <c r="C1801" s="17"/>
      <c r="D1801" s="17">
        <v>30.0</v>
      </c>
      <c r="E1801" s="17" t="s">
        <v>44</v>
      </c>
      <c r="G1801" s="19"/>
      <c r="H1801" s="20" t="s">
        <v>581</v>
      </c>
      <c r="I1801" s="17" t="s">
        <v>22</v>
      </c>
      <c r="J1801" s="17">
        <v>0.0</v>
      </c>
      <c r="K1801" s="17">
        <v>0.0</v>
      </c>
      <c r="L1801" s="17">
        <v>0.0</v>
      </c>
      <c r="M1801" s="17">
        <v>0.0</v>
      </c>
      <c r="N1801" s="17">
        <v>0.0</v>
      </c>
      <c r="O1801" s="17">
        <v>0.0</v>
      </c>
      <c r="P1801" s="17">
        <v>0.0</v>
      </c>
      <c r="Q1801" s="17">
        <v>0.0</v>
      </c>
      <c r="R1801" s="17">
        <v>0.0</v>
      </c>
      <c r="S1801" s="17">
        <v>0.0</v>
      </c>
      <c r="T1801" s="17">
        <v>0.0</v>
      </c>
      <c r="U1801" s="17">
        <v>0.0</v>
      </c>
    </row>
    <row r="1802" ht="23.25" customHeight="1">
      <c r="A1802" s="1"/>
      <c r="B1802" s="15" t="s">
        <v>2260</v>
      </c>
      <c r="C1802" s="1" t="s">
        <v>17</v>
      </c>
      <c r="D1802" s="1" t="s">
        <v>1168</v>
      </c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</row>
    <row r="1803" ht="23.25" customHeight="1">
      <c r="A1803" s="20" t="str">
        <f>IF(COUNTIF('Icon Lookup'!C:C,B1803)&gt;0,LOOKUP(B1803,'Icon Lookup'!C:C,'Icon Lookup'!B:B),"")</f>
        <v/>
      </c>
      <c r="B1803" s="21" t="s">
        <v>515</v>
      </c>
      <c r="C1803" s="20"/>
      <c r="D1803" s="20">
        <v>38.0</v>
      </c>
      <c r="E1803" s="20" t="s">
        <v>111</v>
      </c>
      <c r="G1803" s="22"/>
      <c r="H1803" s="23" t="s">
        <v>2261</v>
      </c>
      <c r="I1803" s="20" t="s">
        <v>22</v>
      </c>
      <c r="J1803" s="20">
        <v>0.0</v>
      </c>
      <c r="K1803" s="20">
        <v>0.0</v>
      </c>
      <c r="L1803" s="20">
        <v>0.0</v>
      </c>
      <c r="M1803" s="20">
        <v>0.0</v>
      </c>
      <c r="N1803" s="20">
        <v>0.0</v>
      </c>
      <c r="O1803" s="20">
        <v>0.0</v>
      </c>
      <c r="P1803" s="20">
        <v>0.0</v>
      </c>
      <c r="Q1803" s="20">
        <v>0.0</v>
      </c>
      <c r="R1803" s="20">
        <v>0.0</v>
      </c>
      <c r="S1803" s="20">
        <v>0.0</v>
      </c>
      <c r="T1803" s="20">
        <v>0.0</v>
      </c>
      <c r="U1803" s="20">
        <v>0.0</v>
      </c>
    </row>
    <row r="1804" ht="23.25" customHeight="1">
      <c r="A1804" s="17" t="str">
        <f>IF(COUNTIF('Icon Lookup'!C:C,B1804)&gt;0,LOOKUP(B1804,'Icon Lookup'!C:C,'Icon Lookup'!B:B),"")</f>
        <v/>
      </c>
      <c r="B1804" s="18" t="s">
        <v>271</v>
      </c>
      <c r="C1804" s="17"/>
      <c r="D1804" s="17">
        <v>38.0</v>
      </c>
      <c r="E1804" s="17" t="s">
        <v>44</v>
      </c>
      <c r="G1804" s="19"/>
      <c r="H1804" s="20" t="s">
        <v>2262</v>
      </c>
      <c r="I1804" s="17" t="s">
        <v>22</v>
      </c>
      <c r="J1804" s="17">
        <v>0.0</v>
      </c>
      <c r="K1804" s="17">
        <v>0.0</v>
      </c>
      <c r="L1804" s="17">
        <v>0.0</v>
      </c>
      <c r="M1804" s="17">
        <v>0.0</v>
      </c>
      <c r="N1804" s="17">
        <v>0.0</v>
      </c>
      <c r="O1804" s="17">
        <v>0.0</v>
      </c>
      <c r="P1804" s="17">
        <v>0.0</v>
      </c>
      <c r="Q1804" s="17">
        <v>0.0</v>
      </c>
      <c r="R1804" s="17">
        <v>0.0</v>
      </c>
      <c r="S1804" s="17">
        <v>0.0</v>
      </c>
      <c r="T1804" s="17">
        <v>0.0</v>
      </c>
      <c r="U1804" s="17">
        <v>0.0</v>
      </c>
    </row>
    <row r="1805" ht="23.25" customHeight="1">
      <c r="A1805" s="1"/>
      <c r="B1805" s="15" t="s">
        <v>2263</v>
      </c>
      <c r="C1805" s="1" t="s">
        <v>17</v>
      </c>
      <c r="D1805" s="1" t="s">
        <v>1168</v>
      </c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</row>
    <row r="1806" ht="23.25" customHeight="1">
      <c r="A1806" s="20" t="str">
        <f>IF(COUNTIF('Icon Lookup'!C:C,B1806)&gt;0,LOOKUP(B1806,'Icon Lookup'!C:C,'Icon Lookup'!B:B),"")</f>
        <v/>
      </c>
      <c r="B1806" s="21" t="s">
        <v>515</v>
      </c>
      <c r="C1806" s="20"/>
      <c r="D1806" s="20">
        <v>53.0</v>
      </c>
      <c r="E1806" s="20" t="s">
        <v>111</v>
      </c>
      <c r="G1806" s="22"/>
      <c r="H1806" s="23" t="s">
        <v>2261</v>
      </c>
      <c r="I1806" s="20" t="s">
        <v>22</v>
      </c>
      <c r="J1806" s="20">
        <v>0.0</v>
      </c>
      <c r="K1806" s="20">
        <v>0.0</v>
      </c>
      <c r="L1806" s="20">
        <v>0.0</v>
      </c>
      <c r="M1806" s="20">
        <v>0.0</v>
      </c>
      <c r="N1806" s="20">
        <v>0.0</v>
      </c>
      <c r="O1806" s="20">
        <v>0.0</v>
      </c>
      <c r="P1806" s="20">
        <v>0.0</v>
      </c>
      <c r="Q1806" s="20">
        <v>0.0</v>
      </c>
      <c r="R1806" s="20">
        <v>0.0</v>
      </c>
      <c r="S1806" s="20">
        <v>0.0</v>
      </c>
      <c r="T1806" s="20">
        <v>0.0</v>
      </c>
      <c r="U1806" s="20">
        <v>0.0</v>
      </c>
    </row>
    <row r="1807" ht="23.25" customHeight="1">
      <c r="A1807" s="17" t="str">
        <f>IF(COUNTIF('Icon Lookup'!C:C,B1807)&gt;0,LOOKUP(B1807,'Icon Lookup'!C:C,'Icon Lookup'!B:B),"")</f>
        <v/>
      </c>
      <c r="B1807" s="18" t="s">
        <v>921</v>
      </c>
      <c r="C1807" s="17"/>
      <c r="D1807" s="17">
        <v>53.0</v>
      </c>
      <c r="E1807" s="17" t="s">
        <v>44</v>
      </c>
      <c r="G1807" s="19"/>
      <c r="H1807" s="20" t="s">
        <v>2264</v>
      </c>
      <c r="I1807" s="17" t="s">
        <v>22</v>
      </c>
      <c r="J1807" s="17">
        <v>0.0</v>
      </c>
      <c r="K1807" s="17">
        <v>0.0</v>
      </c>
      <c r="L1807" s="17">
        <v>0.0</v>
      </c>
      <c r="M1807" s="17">
        <v>0.0</v>
      </c>
      <c r="N1807" s="17">
        <v>0.0</v>
      </c>
      <c r="O1807" s="17">
        <v>0.0</v>
      </c>
      <c r="P1807" s="17">
        <v>0.0</v>
      </c>
      <c r="Q1807" s="17">
        <v>0.0</v>
      </c>
      <c r="R1807" s="17">
        <v>0.0</v>
      </c>
      <c r="S1807" s="17">
        <v>0.0</v>
      </c>
      <c r="T1807" s="17">
        <v>0.0</v>
      </c>
      <c r="U1807" s="17">
        <v>0.0</v>
      </c>
    </row>
    <row r="1808" ht="23.25" customHeight="1">
      <c r="A1808" s="1"/>
      <c r="B1808" s="15" t="s">
        <v>2265</v>
      </c>
      <c r="C1808" s="1" t="s">
        <v>17</v>
      </c>
      <c r="D1808" s="1" t="s">
        <v>1468</v>
      </c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</row>
    <row r="1809" ht="23.25" customHeight="1">
      <c r="A1809" s="20" t="str">
        <f>IF(COUNTIF('Icon Lookup'!C:C,B1809)&gt;0,LOOKUP(B1809,'Icon Lookup'!C:C,'Icon Lookup'!B:B),"")</f>
        <v/>
      </c>
      <c r="B1809" s="21" t="s">
        <v>815</v>
      </c>
      <c r="C1809" s="20"/>
      <c r="D1809" s="20">
        <v>19.0</v>
      </c>
      <c r="E1809" s="20" t="s">
        <v>374</v>
      </c>
      <c r="G1809" s="22"/>
      <c r="H1809" s="23" t="s">
        <v>2266</v>
      </c>
      <c r="I1809" s="20" t="s">
        <v>40</v>
      </c>
      <c r="J1809" s="20">
        <v>0.0</v>
      </c>
      <c r="K1809" s="20">
        <v>0.0</v>
      </c>
      <c r="L1809" s="20">
        <v>0.0</v>
      </c>
      <c r="M1809" s="20">
        <v>0.0</v>
      </c>
      <c r="N1809" s="20">
        <v>0.0</v>
      </c>
      <c r="O1809" s="20">
        <v>0.0</v>
      </c>
      <c r="P1809" s="20">
        <v>0.0</v>
      </c>
      <c r="Q1809" s="20">
        <v>0.0</v>
      </c>
      <c r="R1809" s="20">
        <v>0.0</v>
      </c>
      <c r="S1809" s="20">
        <v>0.0</v>
      </c>
      <c r="T1809" s="20">
        <v>0.0</v>
      </c>
      <c r="U1809" s="20">
        <v>0.0</v>
      </c>
    </row>
    <row r="1810" ht="23.25" customHeight="1">
      <c r="A1810" s="1"/>
      <c r="B1810" s="15" t="s">
        <v>2267</v>
      </c>
      <c r="C1810" s="1" t="s">
        <v>17</v>
      </c>
      <c r="D1810" s="1" t="s">
        <v>1468</v>
      </c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</row>
    <row r="1811" ht="23.25" customHeight="1">
      <c r="A1811" s="17" t="str">
        <f>IF(COUNTIF('Icon Lookup'!C:C,B1811)&gt;0,LOOKUP(B1811,'Icon Lookup'!C:C,'Icon Lookup'!B:B),"")</f>
        <v/>
      </c>
      <c r="B1811" s="18" t="s">
        <v>373</v>
      </c>
      <c r="C1811" s="17"/>
      <c r="D1811" s="17">
        <v>31.0</v>
      </c>
      <c r="E1811" s="17" t="s">
        <v>374</v>
      </c>
      <c r="G1811" s="19"/>
      <c r="H1811" s="20" t="s">
        <v>2268</v>
      </c>
      <c r="I1811" s="17" t="s">
        <v>40</v>
      </c>
      <c r="J1811" s="17">
        <v>0.0</v>
      </c>
      <c r="K1811" s="17">
        <v>0.0</v>
      </c>
      <c r="L1811" s="17">
        <v>0.0</v>
      </c>
      <c r="M1811" s="17">
        <v>0.0</v>
      </c>
      <c r="N1811" s="17">
        <v>0.0</v>
      </c>
      <c r="O1811" s="17">
        <v>0.0</v>
      </c>
      <c r="P1811" s="17">
        <v>0.0</v>
      </c>
      <c r="Q1811" s="17">
        <v>0.0</v>
      </c>
      <c r="R1811" s="17">
        <v>0.0</v>
      </c>
      <c r="S1811" s="17">
        <v>0.0</v>
      </c>
      <c r="T1811" s="17">
        <v>0.0</v>
      </c>
      <c r="U1811" s="17">
        <v>0.0</v>
      </c>
    </row>
    <row r="1812" ht="23.25" customHeight="1">
      <c r="A1812" s="1"/>
      <c r="B1812" s="15" t="s">
        <v>2269</v>
      </c>
      <c r="C1812" s="1" t="s">
        <v>17</v>
      </c>
      <c r="D1812" s="1" t="s">
        <v>1468</v>
      </c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</row>
    <row r="1813" ht="23.25" customHeight="1">
      <c r="A1813" s="20" t="str">
        <f>IF(COUNTIF('Icon Lookup'!C:C,B1813)&gt;0,LOOKUP(B1813,'Icon Lookup'!C:C,'Icon Lookup'!B:B),"")</f>
        <v/>
      </c>
      <c r="B1813" s="21" t="s">
        <v>737</v>
      </c>
      <c r="C1813" s="20"/>
      <c r="D1813" s="20">
        <v>55.0</v>
      </c>
      <c r="E1813" s="20" t="s">
        <v>374</v>
      </c>
      <c r="G1813" s="22"/>
      <c r="H1813" s="23" t="s">
        <v>2270</v>
      </c>
      <c r="I1813" s="20" t="s">
        <v>40</v>
      </c>
      <c r="J1813" s="20">
        <v>0.0</v>
      </c>
      <c r="K1813" s="20">
        <v>0.0</v>
      </c>
      <c r="L1813" s="20">
        <v>0.0</v>
      </c>
      <c r="M1813" s="20">
        <v>0.0</v>
      </c>
      <c r="N1813" s="20">
        <v>0.0</v>
      </c>
      <c r="O1813" s="20">
        <v>0.0</v>
      </c>
      <c r="P1813" s="20">
        <v>0.0</v>
      </c>
      <c r="Q1813" s="20">
        <v>0.0</v>
      </c>
      <c r="R1813" s="20">
        <v>0.0</v>
      </c>
      <c r="S1813" s="20">
        <v>0.0</v>
      </c>
      <c r="T1813" s="20">
        <v>0.0</v>
      </c>
      <c r="U1813" s="20">
        <v>0.0</v>
      </c>
    </row>
    <row r="1814" ht="23.25" customHeight="1">
      <c r="A1814" s="1"/>
      <c r="B1814" s="15" t="s">
        <v>2271</v>
      </c>
      <c r="C1814" s="1" t="s">
        <v>17</v>
      </c>
      <c r="D1814" s="1" t="s">
        <v>228</v>
      </c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</row>
    <row r="1815" ht="23.25" customHeight="1">
      <c r="A1815" s="17" t="str">
        <f>IF(COUNTIF('Icon Lookup'!C:C,B1815)&gt;0,LOOKUP(B1815,'Icon Lookup'!C:C,'Icon Lookup'!B:B),"")</f>
        <v/>
      </c>
      <c r="B1815" s="18" t="s">
        <v>136</v>
      </c>
      <c r="C1815" s="17"/>
      <c r="D1815" s="17">
        <v>31.0</v>
      </c>
      <c r="E1815" s="17" t="s">
        <v>137</v>
      </c>
      <c r="G1815" s="19"/>
      <c r="H1815" s="20" t="s">
        <v>2272</v>
      </c>
      <c r="I1815" s="17" t="s">
        <v>40</v>
      </c>
      <c r="J1815" s="17">
        <v>0.0</v>
      </c>
      <c r="K1815" s="17">
        <v>0.0</v>
      </c>
      <c r="L1815" s="17">
        <v>0.0</v>
      </c>
      <c r="M1815" s="17">
        <v>0.0</v>
      </c>
      <c r="N1815" s="17">
        <v>0.0</v>
      </c>
      <c r="O1815" s="17">
        <v>0.0</v>
      </c>
      <c r="P1815" s="17">
        <v>0.0</v>
      </c>
      <c r="Q1815" s="17">
        <v>0.0</v>
      </c>
      <c r="R1815" s="17">
        <v>0.0</v>
      </c>
      <c r="S1815" s="17">
        <v>0.0</v>
      </c>
      <c r="T1815" s="17">
        <v>0.0</v>
      </c>
      <c r="U1815" s="17">
        <v>0.0</v>
      </c>
    </row>
    <row r="1816" ht="23.25" customHeight="1">
      <c r="A1816" s="1"/>
      <c r="B1816" s="15" t="s">
        <v>2273</v>
      </c>
      <c r="C1816" s="1" t="s">
        <v>17</v>
      </c>
      <c r="D1816" s="1" t="s">
        <v>228</v>
      </c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</row>
    <row r="1817" ht="23.25" customHeight="1">
      <c r="A1817" s="20" t="str">
        <f>IF(COUNTIF('Icon Lookup'!C:C,B1817)&gt;0,LOOKUP(B1817,'Icon Lookup'!C:C,'Icon Lookup'!B:B),"")</f>
        <v/>
      </c>
      <c r="B1817" s="21" t="s">
        <v>136</v>
      </c>
      <c r="C1817" s="20"/>
      <c r="D1817" s="20">
        <v>40.0</v>
      </c>
      <c r="E1817" s="20" t="s">
        <v>137</v>
      </c>
      <c r="G1817" s="22"/>
      <c r="H1817" s="23" t="s">
        <v>2274</v>
      </c>
      <c r="I1817" s="20" t="s">
        <v>40</v>
      </c>
      <c r="J1817" s="20">
        <v>0.0</v>
      </c>
      <c r="K1817" s="20">
        <v>0.0</v>
      </c>
      <c r="L1817" s="20">
        <v>0.0</v>
      </c>
      <c r="M1817" s="20">
        <v>0.0</v>
      </c>
      <c r="N1817" s="20">
        <v>0.0</v>
      </c>
      <c r="O1817" s="20">
        <v>0.0</v>
      </c>
      <c r="P1817" s="20">
        <v>0.0</v>
      </c>
      <c r="Q1817" s="20">
        <v>0.0</v>
      </c>
      <c r="R1817" s="20">
        <v>0.0</v>
      </c>
      <c r="S1817" s="20">
        <v>0.0</v>
      </c>
      <c r="T1817" s="20">
        <v>0.0</v>
      </c>
      <c r="U1817" s="20">
        <v>0.0</v>
      </c>
    </row>
    <row r="1818" ht="23.25" customHeight="1">
      <c r="A1818" s="1"/>
      <c r="B1818" s="15" t="s">
        <v>2275</v>
      </c>
      <c r="C1818" s="1" t="s">
        <v>17</v>
      </c>
      <c r="D1818" s="1" t="s">
        <v>228</v>
      </c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</row>
    <row r="1819" ht="23.25" customHeight="1">
      <c r="A1819" s="17" t="str">
        <f>IF(COUNTIF('Icon Lookup'!C:C,B1819)&gt;0,LOOKUP(B1819,'Icon Lookup'!C:C,'Icon Lookup'!B:B),"")</f>
        <v/>
      </c>
      <c r="B1819" s="18" t="s">
        <v>136</v>
      </c>
      <c r="C1819" s="17"/>
      <c r="D1819" s="17">
        <v>55.0</v>
      </c>
      <c r="E1819" s="17" t="s">
        <v>137</v>
      </c>
      <c r="G1819" s="19"/>
      <c r="H1819" s="20" t="s">
        <v>2276</v>
      </c>
      <c r="I1819" s="17" t="s">
        <v>40</v>
      </c>
      <c r="J1819" s="17">
        <v>0.0</v>
      </c>
      <c r="K1819" s="17">
        <v>0.0</v>
      </c>
      <c r="L1819" s="17">
        <v>0.0</v>
      </c>
      <c r="M1819" s="17">
        <v>0.0</v>
      </c>
      <c r="N1819" s="17">
        <v>0.0</v>
      </c>
      <c r="O1819" s="17">
        <v>0.0</v>
      </c>
      <c r="P1819" s="17">
        <v>0.0</v>
      </c>
      <c r="Q1819" s="17">
        <v>0.0</v>
      </c>
      <c r="R1819" s="17">
        <v>0.0</v>
      </c>
      <c r="S1819" s="17">
        <v>0.0</v>
      </c>
      <c r="T1819" s="17">
        <v>0.0</v>
      </c>
      <c r="U1819" s="17">
        <v>0.0</v>
      </c>
    </row>
    <row r="1820" ht="23.25" customHeight="1">
      <c r="A1820" s="1"/>
      <c r="B1820" s="15" t="s">
        <v>2277</v>
      </c>
      <c r="C1820" s="1" t="s">
        <v>17</v>
      </c>
      <c r="D1820" s="1" t="s">
        <v>1188</v>
      </c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</row>
    <row r="1821" ht="23.25" customHeight="1">
      <c r="A1821" s="20" t="str">
        <f>IF(COUNTIF('Icon Lookup'!C:C,B1821)&gt;0,LOOKUP(B1821,'Icon Lookup'!C:C,'Icon Lookup'!B:B),"")</f>
        <v/>
      </c>
      <c r="B1821" s="21" t="s">
        <v>302</v>
      </c>
      <c r="C1821" s="20"/>
      <c r="D1821" s="20">
        <v>28.0</v>
      </c>
      <c r="E1821" s="20" t="s">
        <v>20</v>
      </c>
      <c r="G1821" s="22"/>
      <c r="H1821" s="23" t="s">
        <v>2278</v>
      </c>
      <c r="I1821" s="20" t="s">
        <v>52</v>
      </c>
      <c r="J1821" s="20">
        <v>0.0</v>
      </c>
      <c r="K1821" s="20">
        <v>0.0</v>
      </c>
      <c r="L1821" s="20">
        <v>0.0</v>
      </c>
      <c r="M1821" s="20">
        <v>0.0</v>
      </c>
      <c r="N1821" s="20">
        <v>0.0</v>
      </c>
      <c r="O1821" s="20">
        <v>0.0</v>
      </c>
      <c r="P1821" s="20">
        <v>0.0</v>
      </c>
      <c r="Q1821" s="20">
        <v>0.0</v>
      </c>
      <c r="R1821" s="20">
        <v>0.0</v>
      </c>
      <c r="S1821" s="20">
        <v>0.0</v>
      </c>
      <c r="T1821" s="20">
        <v>0.0</v>
      </c>
      <c r="U1821" s="20">
        <v>0.0</v>
      </c>
    </row>
    <row r="1822" ht="23.25" customHeight="1">
      <c r="A1822" s="17" t="str">
        <f>IF(COUNTIF('Icon Lookup'!C:C,B1822)&gt;0,LOOKUP(B1822,'Icon Lookup'!C:C,'Icon Lookup'!B:B),"")</f>
        <v/>
      </c>
      <c r="B1822" s="18" t="s">
        <v>275</v>
      </c>
      <c r="C1822" s="17"/>
      <c r="D1822" s="17">
        <v>30.0</v>
      </c>
      <c r="E1822" s="17" t="s">
        <v>91</v>
      </c>
      <c r="G1822" s="19"/>
      <c r="H1822" s="20" t="s">
        <v>168</v>
      </c>
      <c r="I1822" s="17" t="s">
        <v>22</v>
      </c>
      <c r="J1822" s="17">
        <v>0.0</v>
      </c>
      <c r="K1822" s="17">
        <v>0.0</v>
      </c>
      <c r="L1822" s="17">
        <v>0.0</v>
      </c>
      <c r="M1822" s="17">
        <v>0.0</v>
      </c>
      <c r="N1822" s="17">
        <v>0.0</v>
      </c>
      <c r="O1822" s="17">
        <v>0.0</v>
      </c>
      <c r="P1822" s="17">
        <v>0.0</v>
      </c>
      <c r="Q1822" s="17">
        <v>0.0</v>
      </c>
      <c r="R1822" s="17">
        <v>0.0</v>
      </c>
      <c r="S1822" s="17">
        <v>0.0</v>
      </c>
      <c r="T1822" s="17">
        <v>0.0</v>
      </c>
      <c r="U1822" s="17">
        <v>0.0</v>
      </c>
    </row>
    <row r="1823" ht="23.25" customHeight="1">
      <c r="A1823" s="1"/>
      <c r="B1823" s="15" t="s">
        <v>2279</v>
      </c>
      <c r="C1823" s="1" t="s">
        <v>17</v>
      </c>
      <c r="D1823" s="1" t="s">
        <v>1188</v>
      </c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</row>
    <row r="1824" ht="23.25" customHeight="1">
      <c r="A1824" s="20" t="str">
        <f>IF(COUNTIF('Icon Lookup'!C:C,B1824)&gt;0,LOOKUP(B1824,'Icon Lookup'!C:C,'Icon Lookup'!B:B),"")</f>
        <v/>
      </c>
      <c r="B1824" s="21" t="s">
        <v>304</v>
      </c>
      <c r="C1824" s="20"/>
      <c r="D1824" s="20">
        <v>38.0</v>
      </c>
      <c r="E1824" s="20" t="s">
        <v>20</v>
      </c>
      <c r="G1824" s="22"/>
      <c r="H1824" s="23" t="s">
        <v>2280</v>
      </c>
      <c r="I1824" s="20" t="s">
        <v>52</v>
      </c>
      <c r="J1824" s="20">
        <v>0.0</v>
      </c>
      <c r="K1824" s="20">
        <v>0.0</v>
      </c>
      <c r="L1824" s="20">
        <v>0.0</v>
      </c>
      <c r="M1824" s="20">
        <v>0.0</v>
      </c>
      <c r="N1824" s="20">
        <v>0.0</v>
      </c>
      <c r="O1824" s="20">
        <v>0.0</v>
      </c>
      <c r="P1824" s="20">
        <v>0.0</v>
      </c>
      <c r="Q1824" s="20">
        <v>0.0</v>
      </c>
      <c r="R1824" s="20">
        <v>0.0</v>
      </c>
      <c r="S1824" s="20">
        <v>0.0</v>
      </c>
      <c r="T1824" s="20">
        <v>0.0</v>
      </c>
      <c r="U1824" s="20">
        <v>0.0</v>
      </c>
    </row>
    <row r="1825" ht="23.25" customHeight="1">
      <c r="A1825" s="17" t="str">
        <f>IF(COUNTIF('Icon Lookup'!C:C,B1825)&gt;0,LOOKUP(B1825,'Icon Lookup'!C:C,'Icon Lookup'!B:B),"")</f>
        <v/>
      </c>
      <c r="B1825" s="18" t="s">
        <v>275</v>
      </c>
      <c r="C1825" s="17"/>
      <c r="D1825" s="17">
        <v>40.0</v>
      </c>
      <c r="E1825" s="17" t="s">
        <v>91</v>
      </c>
      <c r="G1825" s="19"/>
      <c r="H1825" s="20" t="s">
        <v>623</v>
      </c>
      <c r="I1825" s="17" t="s">
        <v>22</v>
      </c>
      <c r="J1825" s="17">
        <v>0.0</v>
      </c>
      <c r="K1825" s="17">
        <v>0.0</v>
      </c>
      <c r="L1825" s="17">
        <v>0.0</v>
      </c>
      <c r="M1825" s="17">
        <v>0.0</v>
      </c>
      <c r="N1825" s="17">
        <v>0.0</v>
      </c>
      <c r="O1825" s="17">
        <v>0.0</v>
      </c>
      <c r="P1825" s="17">
        <v>0.0</v>
      </c>
      <c r="Q1825" s="17">
        <v>0.0</v>
      </c>
      <c r="R1825" s="17">
        <v>0.0</v>
      </c>
      <c r="S1825" s="17">
        <v>0.0</v>
      </c>
      <c r="T1825" s="17">
        <v>0.0</v>
      </c>
      <c r="U1825" s="17">
        <v>0.0</v>
      </c>
    </row>
    <row r="1826" ht="23.25" customHeight="1">
      <c r="A1826" s="1"/>
      <c r="B1826" s="15" t="s">
        <v>2281</v>
      </c>
      <c r="C1826" s="1" t="s">
        <v>17</v>
      </c>
      <c r="D1826" s="1" t="s">
        <v>1188</v>
      </c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</row>
    <row r="1827" ht="23.25" customHeight="1">
      <c r="A1827" s="20" t="str">
        <f>IF(COUNTIF('Icon Lookup'!C:C,B1827)&gt;0,LOOKUP(B1827,'Icon Lookup'!C:C,'Icon Lookup'!B:B),"")</f>
        <v/>
      </c>
      <c r="B1827" s="21" t="s">
        <v>304</v>
      </c>
      <c r="C1827" s="20"/>
      <c r="D1827" s="20">
        <v>53.0</v>
      </c>
      <c r="E1827" s="20" t="s">
        <v>20</v>
      </c>
      <c r="G1827" s="22"/>
      <c r="H1827" s="23" t="s">
        <v>2282</v>
      </c>
      <c r="I1827" s="20" t="s">
        <v>52</v>
      </c>
      <c r="J1827" s="20">
        <v>0.0</v>
      </c>
      <c r="K1827" s="20">
        <v>0.0</v>
      </c>
      <c r="L1827" s="20">
        <v>0.0</v>
      </c>
      <c r="M1827" s="20">
        <v>0.0</v>
      </c>
      <c r="N1827" s="20">
        <v>0.0</v>
      </c>
      <c r="O1827" s="20">
        <v>0.0</v>
      </c>
      <c r="P1827" s="20">
        <v>0.0</v>
      </c>
      <c r="Q1827" s="20">
        <v>0.0</v>
      </c>
      <c r="R1827" s="20">
        <v>0.0</v>
      </c>
      <c r="S1827" s="20">
        <v>0.0</v>
      </c>
      <c r="T1827" s="20">
        <v>0.0</v>
      </c>
      <c r="U1827" s="20">
        <v>0.0</v>
      </c>
    </row>
    <row r="1828" ht="23.25" customHeight="1">
      <c r="A1828" s="17" t="str">
        <f>IF(COUNTIF('Icon Lookup'!C:C,B1828)&gt;0,LOOKUP(B1828,'Icon Lookup'!C:C,'Icon Lookup'!B:B),"")</f>
        <v/>
      </c>
      <c r="B1828" s="18" t="s">
        <v>1098</v>
      </c>
      <c r="C1828" s="17"/>
      <c r="D1828" s="17">
        <v>55.0</v>
      </c>
      <c r="E1828" s="17" t="s">
        <v>91</v>
      </c>
      <c r="G1828" s="19"/>
      <c r="H1828" s="20" t="s">
        <v>2283</v>
      </c>
      <c r="I1828" s="17" t="s">
        <v>22</v>
      </c>
      <c r="J1828" s="17">
        <v>0.0</v>
      </c>
      <c r="K1828" s="17">
        <v>0.0</v>
      </c>
      <c r="L1828" s="17">
        <v>0.0</v>
      </c>
      <c r="M1828" s="17">
        <v>0.0</v>
      </c>
      <c r="N1828" s="17">
        <v>0.0</v>
      </c>
      <c r="O1828" s="17">
        <v>0.0</v>
      </c>
      <c r="P1828" s="17">
        <v>0.0</v>
      </c>
      <c r="Q1828" s="17">
        <v>0.0</v>
      </c>
      <c r="R1828" s="17">
        <v>0.0</v>
      </c>
      <c r="S1828" s="17">
        <v>0.0</v>
      </c>
      <c r="T1828" s="17">
        <v>0.0</v>
      </c>
      <c r="U1828" s="17">
        <v>0.0</v>
      </c>
    </row>
    <row r="1829" ht="23.25" customHeight="1">
      <c r="A1829" s="1"/>
      <c r="B1829" s="15" t="s">
        <v>2284</v>
      </c>
      <c r="C1829" s="1" t="s">
        <v>17</v>
      </c>
      <c r="D1829" s="1" t="s">
        <v>1195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</row>
    <row r="1830" ht="23.25" customHeight="1">
      <c r="A1830" s="20" t="str">
        <f>IF(COUNTIF('Icon Lookup'!C:C,B1830)&gt;0,LOOKUP(B1830,'Icon Lookup'!C:C,'Icon Lookup'!B:B),"")</f>
        <v/>
      </c>
      <c r="B1830" s="21" t="s">
        <v>225</v>
      </c>
      <c r="C1830" s="20"/>
      <c r="D1830" s="20">
        <v>55.0</v>
      </c>
      <c r="E1830" s="20" t="s">
        <v>26</v>
      </c>
      <c r="G1830" s="22"/>
      <c r="H1830" s="23" t="s">
        <v>2142</v>
      </c>
      <c r="I1830" s="20" t="s">
        <v>22</v>
      </c>
      <c r="J1830" s="20">
        <v>0.0</v>
      </c>
      <c r="K1830" s="20">
        <v>0.0</v>
      </c>
      <c r="L1830" s="20">
        <v>0.0</v>
      </c>
      <c r="M1830" s="20">
        <v>0.0</v>
      </c>
      <c r="N1830" s="20">
        <v>0.0</v>
      </c>
      <c r="O1830" s="20">
        <v>0.0</v>
      </c>
      <c r="P1830" s="20">
        <v>0.0</v>
      </c>
      <c r="Q1830" s="20">
        <v>0.0</v>
      </c>
      <c r="R1830" s="20">
        <v>0.0</v>
      </c>
      <c r="S1830" s="20">
        <v>0.0</v>
      </c>
      <c r="T1830" s="20">
        <v>0.0</v>
      </c>
      <c r="U1830" s="20">
        <v>0.0</v>
      </c>
    </row>
    <row r="1831" ht="23.25" customHeight="1">
      <c r="A1831" s="1"/>
      <c r="B1831" s="15" t="s">
        <v>2285</v>
      </c>
      <c r="C1831" s="1" t="s">
        <v>17</v>
      </c>
      <c r="D1831" s="1" t="s">
        <v>1195</v>
      </c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</row>
    <row r="1832" ht="23.25" customHeight="1">
      <c r="A1832" s="17" t="str">
        <f>IF(COUNTIF('Icon Lookup'!C:C,B1832)&gt;0,LOOKUP(B1832,'Icon Lookup'!C:C,'Icon Lookup'!B:B),"")</f>
        <v/>
      </c>
      <c r="B1832" s="18" t="s">
        <v>225</v>
      </c>
      <c r="C1832" s="17"/>
      <c r="D1832" s="17">
        <v>60.0</v>
      </c>
      <c r="E1832" s="17" t="s">
        <v>26</v>
      </c>
      <c r="G1832" s="19"/>
      <c r="H1832" s="20" t="s">
        <v>2142</v>
      </c>
      <c r="I1832" s="17" t="s">
        <v>22</v>
      </c>
      <c r="J1832" s="17">
        <v>0.0</v>
      </c>
      <c r="K1832" s="17">
        <v>0.0</v>
      </c>
      <c r="L1832" s="17">
        <v>0.0</v>
      </c>
      <c r="M1832" s="17">
        <v>0.0</v>
      </c>
      <c r="N1832" s="17">
        <v>0.0</v>
      </c>
      <c r="O1832" s="17">
        <v>0.0</v>
      </c>
      <c r="P1832" s="17">
        <v>0.0</v>
      </c>
      <c r="Q1832" s="17">
        <v>0.0</v>
      </c>
      <c r="R1832" s="17">
        <v>0.0</v>
      </c>
      <c r="S1832" s="17">
        <v>0.0</v>
      </c>
      <c r="T1832" s="17">
        <v>0.0</v>
      </c>
      <c r="U1832" s="17">
        <v>0.0</v>
      </c>
    </row>
    <row r="1833" ht="23.25" customHeight="1">
      <c r="A1833" s="1"/>
      <c r="B1833" s="15" t="s">
        <v>2286</v>
      </c>
      <c r="C1833" s="1" t="s">
        <v>17</v>
      </c>
      <c r="D1833" s="1" t="s">
        <v>335</v>
      </c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</row>
    <row r="1834" ht="23.25" customHeight="1">
      <c r="A1834" s="20" t="str">
        <f>IF(COUNTIF('Icon Lookup'!C:C,B1834)&gt;0,LOOKUP(B1834,'Icon Lookup'!C:C,'Icon Lookup'!B:B),"")</f>
        <v/>
      </c>
      <c r="B1834" s="21" t="s">
        <v>336</v>
      </c>
      <c r="C1834" s="20"/>
      <c r="D1834" s="20">
        <v>31.0</v>
      </c>
      <c r="E1834" s="20" t="s">
        <v>337</v>
      </c>
      <c r="G1834" s="22"/>
      <c r="H1834" s="23" t="s">
        <v>2287</v>
      </c>
      <c r="I1834" s="20" t="s">
        <v>22</v>
      </c>
      <c r="J1834" s="20">
        <v>0.0</v>
      </c>
      <c r="K1834" s="20">
        <v>0.0</v>
      </c>
      <c r="L1834" s="20">
        <v>0.0</v>
      </c>
      <c r="M1834" s="20">
        <v>0.0</v>
      </c>
      <c r="N1834" s="20">
        <v>0.0</v>
      </c>
      <c r="O1834" s="20">
        <v>0.0</v>
      </c>
      <c r="P1834" s="20">
        <v>0.0</v>
      </c>
      <c r="Q1834" s="20">
        <v>0.0</v>
      </c>
      <c r="R1834" s="20">
        <v>0.0</v>
      </c>
      <c r="S1834" s="20">
        <v>0.0</v>
      </c>
      <c r="T1834" s="20">
        <v>0.0</v>
      </c>
      <c r="U1834" s="20">
        <v>0.0</v>
      </c>
    </row>
    <row r="1835" ht="23.25" customHeight="1">
      <c r="A1835" s="1"/>
      <c r="B1835" s="15" t="s">
        <v>2288</v>
      </c>
      <c r="C1835" s="1" t="s">
        <v>17</v>
      </c>
      <c r="D1835" s="1" t="s">
        <v>335</v>
      </c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</row>
    <row r="1836" ht="23.25" customHeight="1">
      <c r="A1836" s="17" t="str">
        <f>IF(COUNTIF('Icon Lookup'!C:C,B1836)&gt;0,LOOKUP(B1836,'Icon Lookup'!C:C,'Icon Lookup'!B:B),"")</f>
        <v/>
      </c>
      <c r="B1836" s="18" t="s">
        <v>482</v>
      </c>
      <c r="C1836" s="17"/>
      <c r="D1836" s="17">
        <v>40.0</v>
      </c>
      <c r="E1836" s="17" t="s">
        <v>337</v>
      </c>
      <c r="G1836" s="19"/>
      <c r="H1836" s="20" t="s">
        <v>2289</v>
      </c>
      <c r="I1836" s="17" t="s">
        <v>22</v>
      </c>
      <c r="J1836" s="17">
        <v>0.0</v>
      </c>
      <c r="K1836" s="17">
        <v>0.0</v>
      </c>
      <c r="L1836" s="17">
        <v>0.0</v>
      </c>
      <c r="M1836" s="17">
        <v>0.0</v>
      </c>
      <c r="N1836" s="17">
        <v>0.0</v>
      </c>
      <c r="O1836" s="17">
        <v>0.0</v>
      </c>
      <c r="P1836" s="17">
        <v>0.0</v>
      </c>
      <c r="Q1836" s="17">
        <v>0.0</v>
      </c>
      <c r="R1836" s="17">
        <v>0.0</v>
      </c>
      <c r="S1836" s="17">
        <v>0.0</v>
      </c>
      <c r="T1836" s="17">
        <v>0.0</v>
      </c>
      <c r="U1836" s="17">
        <v>0.0</v>
      </c>
    </row>
    <row r="1837" ht="23.25" customHeight="1">
      <c r="A1837" s="1"/>
      <c r="B1837" s="15" t="s">
        <v>2290</v>
      </c>
      <c r="C1837" s="1" t="s">
        <v>17</v>
      </c>
      <c r="D1837" s="1" t="s">
        <v>335</v>
      </c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</row>
    <row r="1838" ht="23.25" customHeight="1">
      <c r="A1838" s="20" t="str">
        <f>IF(COUNTIF('Icon Lookup'!C:C,B1838)&gt;0,LOOKUP(B1838,'Icon Lookup'!C:C,'Icon Lookup'!B:B),"")</f>
        <v/>
      </c>
      <c r="B1838" s="21" t="s">
        <v>482</v>
      </c>
      <c r="C1838" s="20"/>
      <c r="D1838" s="20">
        <v>60.0</v>
      </c>
      <c r="E1838" s="20" t="s">
        <v>337</v>
      </c>
      <c r="G1838" s="22"/>
      <c r="H1838" s="23" t="s">
        <v>2291</v>
      </c>
      <c r="I1838" s="20" t="s">
        <v>22</v>
      </c>
      <c r="J1838" s="20">
        <v>0.0</v>
      </c>
      <c r="K1838" s="20">
        <v>0.0</v>
      </c>
      <c r="L1838" s="20">
        <v>0.0</v>
      </c>
      <c r="M1838" s="20">
        <v>0.0</v>
      </c>
      <c r="N1838" s="20">
        <v>0.0</v>
      </c>
      <c r="O1838" s="20">
        <v>0.0</v>
      </c>
      <c r="P1838" s="20">
        <v>0.0</v>
      </c>
      <c r="Q1838" s="20">
        <v>0.0</v>
      </c>
      <c r="R1838" s="20">
        <v>0.0</v>
      </c>
      <c r="S1838" s="20">
        <v>0.0</v>
      </c>
      <c r="T1838" s="20">
        <v>0.0</v>
      </c>
      <c r="U1838" s="20">
        <v>0.0</v>
      </c>
    </row>
    <row r="1839" ht="23.25" customHeight="1">
      <c r="A1839" s="1"/>
      <c r="B1839" s="15" t="s">
        <v>2292</v>
      </c>
      <c r="C1839" s="1" t="s">
        <v>17</v>
      </c>
      <c r="D1839" s="1" t="s">
        <v>369</v>
      </c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</row>
    <row r="1840" ht="23.25" customHeight="1">
      <c r="A1840" s="17" t="str">
        <f>IF(COUNTIF('Icon Lookup'!C:C,B1840)&gt;0,LOOKUP(B1840,'Icon Lookup'!C:C,'Icon Lookup'!B:B),"")</f>
        <v/>
      </c>
      <c r="B1840" s="18" t="s">
        <v>225</v>
      </c>
      <c r="C1840" s="17"/>
      <c r="D1840" s="17">
        <v>31.0</v>
      </c>
      <c r="E1840" s="17" t="s">
        <v>26</v>
      </c>
      <c r="G1840" s="19"/>
      <c r="H1840" s="20" t="s">
        <v>2293</v>
      </c>
      <c r="I1840" s="17" t="s">
        <v>22</v>
      </c>
      <c r="J1840" s="17">
        <v>0.0</v>
      </c>
      <c r="K1840" s="17">
        <v>0.0</v>
      </c>
      <c r="L1840" s="17">
        <v>0.0</v>
      </c>
      <c r="M1840" s="17">
        <v>0.0</v>
      </c>
      <c r="N1840" s="17">
        <v>0.0</v>
      </c>
      <c r="O1840" s="17">
        <v>0.0</v>
      </c>
      <c r="P1840" s="17">
        <v>0.0</v>
      </c>
      <c r="Q1840" s="17">
        <v>0.0</v>
      </c>
      <c r="R1840" s="17">
        <v>0.0</v>
      </c>
      <c r="S1840" s="17">
        <v>0.0</v>
      </c>
      <c r="T1840" s="17">
        <v>0.0</v>
      </c>
      <c r="U1840" s="17">
        <v>0.0</v>
      </c>
    </row>
    <row r="1841" ht="23.25" customHeight="1">
      <c r="A1841" s="20" t="str">
        <f>IF(COUNTIF('Icon Lookup'!C:C,B1841)&gt;0,LOOKUP(B1841,'Icon Lookup'!C:C,'Icon Lookup'!B:B),"")</f>
        <v/>
      </c>
      <c r="B1841" s="21" t="s">
        <v>271</v>
      </c>
      <c r="C1841" s="20"/>
      <c r="D1841" s="20">
        <v>31.0</v>
      </c>
      <c r="E1841" s="20" t="s">
        <v>44</v>
      </c>
      <c r="G1841" s="22"/>
      <c r="H1841" s="23" t="s">
        <v>2294</v>
      </c>
      <c r="I1841" s="20" t="s">
        <v>22</v>
      </c>
      <c r="J1841" s="20">
        <v>0.0</v>
      </c>
      <c r="K1841" s="20">
        <v>0.0</v>
      </c>
      <c r="L1841" s="20">
        <v>0.0</v>
      </c>
      <c r="M1841" s="20">
        <v>0.0</v>
      </c>
      <c r="N1841" s="20">
        <v>0.0</v>
      </c>
      <c r="O1841" s="20">
        <v>0.0</v>
      </c>
      <c r="P1841" s="20">
        <v>0.0</v>
      </c>
      <c r="Q1841" s="20">
        <v>0.0</v>
      </c>
      <c r="R1841" s="20">
        <v>0.0</v>
      </c>
      <c r="S1841" s="20">
        <v>0.0</v>
      </c>
      <c r="T1841" s="20">
        <v>0.0</v>
      </c>
      <c r="U1841" s="20">
        <v>0.0</v>
      </c>
    </row>
    <row r="1842" ht="23.25" customHeight="1">
      <c r="A1842" s="1"/>
      <c r="B1842" s="15" t="s">
        <v>2295</v>
      </c>
      <c r="C1842" s="1" t="s">
        <v>17</v>
      </c>
      <c r="D1842" s="1" t="s">
        <v>369</v>
      </c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</row>
    <row r="1843" ht="23.25" customHeight="1">
      <c r="A1843" s="17" t="str">
        <f>IF(COUNTIF('Icon Lookup'!C:C,B1843)&gt;0,LOOKUP(B1843,'Icon Lookup'!C:C,'Icon Lookup'!B:B),"")</f>
        <v/>
      </c>
      <c r="B1843" s="18" t="s">
        <v>225</v>
      </c>
      <c r="C1843" s="17"/>
      <c r="D1843" s="17">
        <v>40.0</v>
      </c>
      <c r="E1843" s="17" t="s">
        <v>26</v>
      </c>
      <c r="G1843" s="19"/>
      <c r="H1843" s="20" t="s">
        <v>2293</v>
      </c>
      <c r="I1843" s="17" t="s">
        <v>22</v>
      </c>
      <c r="J1843" s="17">
        <v>0.0</v>
      </c>
      <c r="K1843" s="17">
        <v>0.0</v>
      </c>
      <c r="L1843" s="17">
        <v>0.0</v>
      </c>
      <c r="M1843" s="17">
        <v>0.0</v>
      </c>
      <c r="N1843" s="17">
        <v>0.0</v>
      </c>
      <c r="O1843" s="17">
        <v>0.0</v>
      </c>
      <c r="P1843" s="17">
        <v>0.0</v>
      </c>
      <c r="Q1843" s="17">
        <v>0.0</v>
      </c>
      <c r="R1843" s="17">
        <v>0.0</v>
      </c>
      <c r="S1843" s="17">
        <v>0.0</v>
      </c>
      <c r="T1843" s="17">
        <v>0.0</v>
      </c>
      <c r="U1843" s="17">
        <v>0.0</v>
      </c>
    </row>
    <row r="1844" ht="23.25" customHeight="1">
      <c r="A1844" s="20" t="str">
        <f>IF(COUNTIF('Icon Lookup'!C:C,B1844)&gt;0,LOOKUP(B1844,'Icon Lookup'!C:C,'Icon Lookup'!B:B),"")</f>
        <v/>
      </c>
      <c r="B1844" s="21" t="s">
        <v>921</v>
      </c>
      <c r="C1844" s="20"/>
      <c r="D1844" s="20">
        <v>40.0</v>
      </c>
      <c r="E1844" s="20" t="s">
        <v>44</v>
      </c>
      <c r="G1844" s="22"/>
      <c r="H1844" s="23" t="s">
        <v>2296</v>
      </c>
      <c r="I1844" s="20" t="s">
        <v>22</v>
      </c>
      <c r="J1844" s="20">
        <v>0.0</v>
      </c>
      <c r="K1844" s="20">
        <v>0.0</v>
      </c>
      <c r="L1844" s="20">
        <v>0.0</v>
      </c>
      <c r="M1844" s="20">
        <v>0.0</v>
      </c>
      <c r="N1844" s="20">
        <v>0.0</v>
      </c>
      <c r="O1844" s="20">
        <v>0.0</v>
      </c>
      <c r="P1844" s="20">
        <v>0.0</v>
      </c>
      <c r="Q1844" s="20">
        <v>0.0</v>
      </c>
      <c r="R1844" s="20">
        <v>0.0</v>
      </c>
      <c r="S1844" s="20">
        <v>0.0</v>
      </c>
      <c r="T1844" s="20">
        <v>0.0</v>
      </c>
      <c r="U1844" s="20">
        <v>0.0</v>
      </c>
    </row>
    <row r="1845" ht="23.25" customHeight="1">
      <c r="A1845" s="1"/>
      <c r="B1845" s="15" t="s">
        <v>2297</v>
      </c>
      <c r="C1845" s="1" t="s">
        <v>17</v>
      </c>
      <c r="D1845" s="1" t="s">
        <v>369</v>
      </c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</row>
    <row r="1846" ht="23.25" customHeight="1">
      <c r="A1846" s="17" t="str">
        <f>IF(COUNTIF('Icon Lookup'!C:C,B1846)&gt;0,LOOKUP(B1846,'Icon Lookup'!C:C,'Icon Lookup'!B:B),"")</f>
        <v/>
      </c>
      <c r="B1846" s="18" t="s">
        <v>225</v>
      </c>
      <c r="C1846" s="17"/>
      <c r="D1846" s="17">
        <v>60.0</v>
      </c>
      <c r="E1846" s="17" t="s">
        <v>26</v>
      </c>
      <c r="G1846" s="19"/>
      <c r="H1846" s="20" t="s">
        <v>2298</v>
      </c>
      <c r="I1846" s="17" t="s">
        <v>22</v>
      </c>
      <c r="J1846" s="17">
        <v>0.0</v>
      </c>
      <c r="K1846" s="17">
        <v>0.0</v>
      </c>
      <c r="L1846" s="17">
        <v>0.0</v>
      </c>
      <c r="M1846" s="17">
        <v>0.0</v>
      </c>
      <c r="N1846" s="17">
        <v>0.0</v>
      </c>
      <c r="O1846" s="17">
        <v>0.0</v>
      </c>
      <c r="P1846" s="17">
        <v>0.0</v>
      </c>
      <c r="Q1846" s="17">
        <v>0.0</v>
      </c>
      <c r="R1846" s="17">
        <v>0.0</v>
      </c>
      <c r="S1846" s="17">
        <v>0.0</v>
      </c>
      <c r="T1846" s="17">
        <v>0.0</v>
      </c>
      <c r="U1846" s="17">
        <v>0.0</v>
      </c>
    </row>
    <row r="1847" ht="23.25" customHeight="1">
      <c r="A1847" s="20" t="str">
        <f>IF(COUNTIF('Icon Lookup'!C:C,B1847)&gt;0,LOOKUP(B1847,'Icon Lookup'!C:C,'Icon Lookup'!B:B),"")</f>
        <v/>
      </c>
      <c r="B1847" s="21" t="s">
        <v>921</v>
      </c>
      <c r="C1847" s="20"/>
      <c r="D1847" s="20">
        <v>60.0</v>
      </c>
      <c r="E1847" s="20" t="s">
        <v>44</v>
      </c>
      <c r="G1847" s="22"/>
      <c r="H1847" s="23" t="s">
        <v>2299</v>
      </c>
      <c r="I1847" s="20" t="s">
        <v>22</v>
      </c>
      <c r="J1847" s="20">
        <v>0.0</v>
      </c>
      <c r="K1847" s="20">
        <v>0.0</v>
      </c>
      <c r="L1847" s="20">
        <v>0.0</v>
      </c>
      <c r="M1847" s="20">
        <v>0.0</v>
      </c>
      <c r="N1847" s="20">
        <v>0.0</v>
      </c>
      <c r="O1847" s="20">
        <v>0.0</v>
      </c>
      <c r="P1847" s="20">
        <v>0.0</v>
      </c>
      <c r="Q1847" s="20">
        <v>0.0</v>
      </c>
      <c r="R1847" s="20">
        <v>0.0</v>
      </c>
      <c r="S1847" s="20">
        <v>0.0</v>
      </c>
      <c r="T1847" s="20">
        <v>0.0</v>
      </c>
      <c r="U1847" s="20">
        <v>0.0</v>
      </c>
    </row>
    <row r="1848" ht="23.25" customHeight="1">
      <c r="A1848" s="1"/>
      <c r="B1848" s="15" t="s">
        <v>2300</v>
      </c>
      <c r="C1848" s="1" t="s">
        <v>17</v>
      </c>
      <c r="D1848" s="1" t="s">
        <v>1927</v>
      </c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</row>
    <row r="1849" ht="23.25" customHeight="1">
      <c r="A1849" s="17" t="str">
        <f>IF(COUNTIF('Icon Lookup'!C:C,B1849)&gt;0,LOOKUP(B1849,'Icon Lookup'!C:C,'Icon Lookup'!B:B),"")</f>
        <v/>
      </c>
      <c r="B1849" s="18" t="s">
        <v>2301</v>
      </c>
      <c r="C1849" s="17"/>
      <c r="D1849" s="17">
        <v>60.0</v>
      </c>
      <c r="E1849" s="17" t="s">
        <v>66</v>
      </c>
      <c r="G1849" s="19"/>
      <c r="H1849" s="20" t="s">
        <v>2302</v>
      </c>
      <c r="I1849" s="17" t="s">
        <v>612</v>
      </c>
      <c r="J1849" s="17">
        <v>0.0</v>
      </c>
      <c r="K1849" s="17">
        <v>0.0</v>
      </c>
      <c r="L1849" s="17">
        <v>0.0</v>
      </c>
      <c r="M1849" s="17">
        <v>0.0</v>
      </c>
      <c r="N1849" s="17">
        <v>0.0</v>
      </c>
      <c r="O1849" s="17">
        <v>0.0</v>
      </c>
      <c r="P1849" s="17">
        <v>0.0</v>
      </c>
      <c r="Q1849" s="17">
        <v>0.0</v>
      </c>
      <c r="R1849" s="17">
        <v>0.0</v>
      </c>
      <c r="S1849" s="17">
        <v>0.0</v>
      </c>
      <c r="T1849" s="17">
        <v>0.0</v>
      </c>
      <c r="U1849" s="17">
        <v>0.0</v>
      </c>
    </row>
    <row r="1850" ht="23.25" customHeight="1">
      <c r="A1850" s="20" t="str">
        <f>IF(COUNTIF('Icon Lookup'!C:C,B1850)&gt;0,LOOKUP(B1850,'Icon Lookup'!C:C,'Icon Lookup'!B:B),"")</f>
        <v/>
      </c>
      <c r="B1850" s="21" t="s">
        <v>1878</v>
      </c>
      <c r="C1850" s="20"/>
      <c r="D1850" s="20">
        <v>60.0</v>
      </c>
      <c r="E1850" s="20" t="s">
        <v>276</v>
      </c>
      <c r="G1850" s="22"/>
      <c r="H1850" s="23" t="s">
        <v>1930</v>
      </c>
      <c r="I1850" s="20" t="s">
        <v>550</v>
      </c>
      <c r="J1850" s="20">
        <v>0.0</v>
      </c>
      <c r="K1850" s="20">
        <v>0.0</v>
      </c>
      <c r="L1850" s="20">
        <v>0.0</v>
      </c>
      <c r="M1850" s="20">
        <v>0.0</v>
      </c>
      <c r="N1850" s="20">
        <v>0.0</v>
      </c>
      <c r="O1850" s="20">
        <v>0.0</v>
      </c>
      <c r="P1850" s="20">
        <v>0.0</v>
      </c>
      <c r="Q1850" s="20">
        <v>0.0</v>
      </c>
      <c r="R1850" s="20">
        <v>0.0</v>
      </c>
      <c r="S1850" s="20">
        <v>0.0</v>
      </c>
      <c r="T1850" s="20">
        <v>0.0</v>
      </c>
      <c r="U1850" s="20">
        <v>0.0</v>
      </c>
    </row>
    <row r="1851" ht="23.25" customHeight="1">
      <c r="A1851" s="1"/>
      <c r="B1851" s="15" t="s">
        <v>2303</v>
      </c>
      <c r="C1851" s="1" t="s">
        <v>17</v>
      </c>
      <c r="D1851" s="1" t="s">
        <v>378</v>
      </c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</row>
    <row r="1852" ht="23.25" customHeight="1">
      <c r="A1852" s="17" t="str">
        <f>IF(COUNTIF('Icon Lookup'!C:C,B1852)&gt;0,LOOKUP(B1852,'Icon Lookup'!C:C,'Icon Lookup'!B:B),"")</f>
        <v/>
      </c>
      <c r="B1852" s="18" t="s">
        <v>379</v>
      </c>
      <c r="C1852" s="17"/>
      <c r="D1852" s="17">
        <v>30.0</v>
      </c>
      <c r="E1852" s="17" t="s">
        <v>71</v>
      </c>
      <c r="G1852" s="19"/>
      <c r="H1852" s="20" t="s">
        <v>2304</v>
      </c>
      <c r="I1852" s="17" t="s">
        <v>22</v>
      </c>
      <c r="J1852" s="17">
        <v>0.0</v>
      </c>
      <c r="K1852" s="17">
        <v>0.0</v>
      </c>
      <c r="L1852" s="17">
        <v>0.0</v>
      </c>
      <c r="M1852" s="17">
        <v>0.0</v>
      </c>
      <c r="N1852" s="17">
        <v>0.0</v>
      </c>
      <c r="O1852" s="17">
        <v>0.0</v>
      </c>
      <c r="P1852" s="17">
        <v>0.0</v>
      </c>
      <c r="Q1852" s="17">
        <v>0.0</v>
      </c>
      <c r="R1852" s="17">
        <v>0.0</v>
      </c>
      <c r="S1852" s="17">
        <v>0.0</v>
      </c>
      <c r="T1852" s="17">
        <v>0.0</v>
      </c>
      <c r="U1852" s="17">
        <v>0.0</v>
      </c>
    </row>
    <row r="1853" ht="23.25" customHeight="1">
      <c r="A1853" s="20" t="str">
        <f>IF(COUNTIF('Icon Lookup'!C:C,B1853)&gt;0,LOOKUP(B1853,'Icon Lookup'!C:C,'Icon Lookup'!B:B),"")</f>
        <v/>
      </c>
      <c r="B1853" s="21" t="s">
        <v>381</v>
      </c>
      <c r="C1853" s="20"/>
      <c r="D1853" s="20">
        <v>32.0</v>
      </c>
      <c r="E1853" s="20" t="s">
        <v>382</v>
      </c>
      <c r="G1853" s="22"/>
      <c r="H1853" s="23" t="s">
        <v>383</v>
      </c>
      <c r="I1853" s="20" t="s">
        <v>22</v>
      </c>
      <c r="J1853" s="20">
        <v>0.0</v>
      </c>
      <c r="K1853" s="20">
        <v>0.0</v>
      </c>
      <c r="L1853" s="20">
        <v>0.0</v>
      </c>
      <c r="M1853" s="20">
        <v>0.0</v>
      </c>
      <c r="N1853" s="20">
        <v>0.0</v>
      </c>
      <c r="O1853" s="20">
        <v>0.0</v>
      </c>
      <c r="P1853" s="20">
        <v>0.0</v>
      </c>
      <c r="Q1853" s="20">
        <v>0.0</v>
      </c>
      <c r="R1853" s="20">
        <v>0.0</v>
      </c>
      <c r="S1853" s="20">
        <v>0.0</v>
      </c>
      <c r="T1853" s="20">
        <v>0.0</v>
      </c>
      <c r="U1853" s="20">
        <v>0.0</v>
      </c>
    </row>
    <row r="1854" ht="23.25" customHeight="1">
      <c r="A1854" s="1"/>
      <c r="B1854" s="15" t="s">
        <v>2305</v>
      </c>
      <c r="C1854" s="1" t="s">
        <v>17</v>
      </c>
      <c r="D1854" s="1" t="s">
        <v>378</v>
      </c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</row>
    <row r="1855" ht="23.25" customHeight="1">
      <c r="A1855" s="17" t="str">
        <f>IF(COUNTIF('Icon Lookup'!C:C,B1855)&gt;0,LOOKUP(B1855,'Icon Lookup'!C:C,'Icon Lookup'!B:B),"")</f>
        <v/>
      </c>
      <c r="B1855" s="18" t="s">
        <v>379</v>
      </c>
      <c r="C1855" s="17"/>
      <c r="D1855" s="17">
        <v>41.0</v>
      </c>
      <c r="E1855" s="17" t="s">
        <v>71</v>
      </c>
      <c r="G1855" s="19"/>
      <c r="H1855" s="20" t="s">
        <v>2306</v>
      </c>
      <c r="I1855" s="17" t="s">
        <v>22</v>
      </c>
      <c r="J1855" s="17">
        <v>0.0</v>
      </c>
      <c r="K1855" s="17">
        <v>0.0</v>
      </c>
      <c r="L1855" s="17">
        <v>0.0</v>
      </c>
      <c r="M1855" s="17">
        <v>0.0</v>
      </c>
      <c r="N1855" s="17">
        <v>0.0</v>
      </c>
      <c r="O1855" s="17">
        <v>0.0</v>
      </c>
      <c r="P1855" s="17">
        <v>0.0</v>
      </c>
      <c r="Q1855" s="17">
        <v>0.0</v>
      </c>
      <c r="R1855" s="17">
        <v>0.0</v>
      </c>
      <c r="S1855" s="17">
        <v>0.0</v>
      </c>
      <c r="T1855" s="17">
        <v>0.0</v>
      </c>
      <c r="U1855" s="17">
        <v>0.0</v>
      </c>
    </row>
    <row r="1856" ht="23.25" customHeight="1">
      <c r="A1856" s="20" t="str">
        <f>IF(COUNTIF('Icon Lookup'!C:C,B1856)&gt;0,LOOKUP(B1856,'Icon Lookup'!C:C,'Icon Lookup'!B:B),"")</f>
        <v/>
      </c>
      <c r="B1856" s="21" t="s">
        <v>405</v>
      </c>
      <c r="C1856" s="20"/>
      <c r="D1856" s="20">
        <v>39.0</v>
      </c>
      <c r="E1856" s="20" t="s">
        <v>382</v>
      </c>
      <c r="G1856" s="22"/>
      <c r="H1856" s="23" t="s">
        <v>383</v>
      </c>
      <c r="I1856" s="20" t="s">
        <v>22</v>
      </c>
      <c r="J1856" s="20">
        <v>0.0</v>
      </c>
      <c r="K1856" s="20">
        <v>0.0</v>
      </c>
      <c r="L1856" s="20">
        <v>0.0</v>
      </c>
      <c r="M1856" s="20">
        <v>0.0</v>
      </c>
      <c r="N1856" s="20">
        <v>0.0</v>
      </c>
      <c r="O1856" s="20">
        <v>0.0</v>
      </c>
      <c r="P1856" s="20">
        <v>0.0</v>
      </c>
      <c r="Q1856" s="20">
        <v>0.0</v>
      </c>
      <c r="R1856" s="20">
        <v>0.0</v>
      </c>
      <c r="S1856" s="20">
        <v>0.0</v>
      </c>
      <c r="T1856" s="20">
        <v>0.0</v>
      </c>
      <c r="U1856" s="20">
        <v>0.0</v>
      </c>
    </row>
    <row r="1857" ht="23.25" customHeight="1">
      <c r="A1857" s="1"/>
      <c r="B1857" s="15" t="s">
        <v>2307</v>
      </c>
      <c r="C1857" s="1" t="s">
        <v>17</v>
      </c>
      <c r="D1857" s="1" t="s">
        <v>378</v>
      </c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</row>
    <row r="1858" ht="23.25" customHeight="1">
      <c r="A1858" s="17" t="str">
        <f>IF(COUNTIF('Icon Lookup'!C:C,B1858)&gt;0,LOOKUP(B1858,'Icon Lookup'!C:C,'Icon Lookup'!B:B),"")</f>
        <v/>
      </c>
      <c r="B1858" s="18" t="s">
        <v>471</v>
      </c>
      <c r="C1858" s="17"/>
      <c r="D1858" s="17">
        <v>61.0</v>
      </c>
      <c r="E1858" s="17" t="s">
        <v>71</v>
      </c>
      <c r="G1858" s="19"/>
      <c r="H1858" s="20" t="s">
        <v>2308</v>
      </c>
      <c r="I1858" s="17" t="s">
        <v>22</v>
      </c>
      <c r="J1858" s="17">
        <v>0.0</v>
      </c>
      <c r="K1858" s="17">
        <v>0.0</v>
      </c>
      <c r="L1858" s="17">
        <v>0.0</v>
      </c>
      <c r="M1858" s="17">
        <v>0.0</v>
      </c>
      <c r="N1858" s="17">
        <v>0.0</v>
      </c>
      <c r="O1858" s="17">
        <v>0.0</v>
      </c>
      <c r="P1858" s="17">
        <v>0.0</v>
      </c>
      <c r="Q1858" s="17">
        <v>0.0</v>
      </c>
      <c r="R1858" s="17">
        <v>0.0</v>
      </c>
      <c r="S1858" s="17">
        <v>0.0</v>
      </c>
      <c r="T1858" s="17">
        <v>0.0</v>
      </c>
      <c r="U1858" s="17">
        <v>0.0</v>
      </c>
    </row>
    <row r="1859" ht="23.25" customHeight="1">
      <c r="A1859" s="20" t="str">
        <f>IF(COUNTIF('Icon Lookup'!C:C,B1859)&gt;0,LOOKUP(B1859,'Icon Lookup'!C:C,'Icon Lookup'!B:B),"")</f>
        <v/>
      </c>
      <c r="B1859" s="21" t="s">
        <v>405</v>
      </c>
      <c r="C1859" s="20"/>
      <c r="D1859" s="20">
        <v>59.0</v>
      </c>
      <c r="E1859" s="20" t="s">
        <v>382</v>
      </c>
      <c r="G1859" s="22"/>
      <c r="H1859" s="23" t="s">
        <v>2309</v>
      </c>
      <c r="I1859" s="20" t="s">
        <v>22</v>
      </c>
      <c r="J1859" s="20">
        <v>0.0</v>
      </c>
      <c r="K1859" s="20">
        <v>0.0</v>
      </c>
      <c r="L1859" s="20">
        <v>0.0</v>
      </c>
      <c r="M1859" s="20">
        <v>0.0</v>
      </c>
      <c r="N1859" s="20">
        <v>0.0</v>
      </c>
      <c r="O1859" s="20">
        <v>0.0</v>
      </c>
      <c r="P1859" s="20">
        <v>0.0</v>
      </c>
      <c r="Q1859" s="20">
        <v>0.0</v>
      </c>
      <c r="R1859" s="20">
        <v>0.0</v>
      </c>
      <c r="S1859" s="20">
        <v>0.0</v>
      </c>
      <c r="T1859" s="20">
        <v>0.0</v>
      </c>
      <c r="U1859" s="20">
        <v>0.0</v>
      </c>
    </row>
    <row r="1860" ht="23.25" customHeight="1">
      <c r="A1860" s="1"/>
      <c r="B1860" s="15" t="s">
        <v>2310</v>
      </c>
      <c r="C1860" s="1" t="s">
        <v>17</v>
      </c>
      <c r="D1860" s="1" t="s">
        <v>1943</v>
      </c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</row>
    <row r="1861" ht="23.25" customHeight="1">
      <c r="A1861" s="17" t="str">
        <f>IF(COUNTIF('Icon Lookup'!C:C,B1861)&gt;0,LOOKUP(B1861,'Icon Lookup'!C:C,'Icon Lookup'!B:B),"")</f>
        <v/>
      </c>
      <c r="B1861" s="18" t="s">
        <v>2311</v>
      </c>
      <c r="C1861" s="17"/>
      <c r="D1861" s="17">
        <v>60.0</v>
      </c>
      <c r="E1861" s="17" t="s">
        <v>71</v>
      </c>
      <c r="G1861" s="19"/>
      <c r="H1861" s="20" t="s">
        <v>2312</v>
      </c>
      <c r="I1861" s="17" t="s">
        <v>22</v>
      </c>
      <c r="J1861" s="17">
        <v>0.0</v>
      </c>
      <c r="K1861" s="17">
        <v>0.0</v>
      </c>
      <c r="L1861" s="17">
        <v>0.0</v>
      </c>
      <c r="M1861" s="17">
        <v>0.0</v>
      </c>
      <c r="N1861" s="17">
        <v>0.0</v>
      </c>
      <c r="O1861" s="17">
        <v>0.0</v>
      </c>
      <c r="P1861" s="17">
        <v>0.0</v>
      </c>
      <c r="Q1861" s="17">
        <v>0.0</v>
      </c>
      <c r="R1861" s="17">
        <v>0.0</v>
      </c>
      <c r="S1861" s="17">
        <v>0.0</v>
      </c>
      <c r="T1861" s="17">
        <v>0.0</v>
      </c>
      <c r="U1861" s="17">
        <v>0.0</v>
      </c>
    </row>
    <row r="1862" ht="23.25" customHeight="1">
      <c r="A1862" s="20" t="str">
        <f>IF(COUNTIF('Icon Lookup'!C:C,B1862)&gt;0,LOOKUP(B1862,'Icon Lookup'!C:C,'Icon Lookup'!B:B),"")</f>
        <v/>
      </c>
      <c r="B1862" s="21" t="s">
        <v>1797</v>
      </c>
      <c r="C1862" s="20"/>
      <c r="D1862" s="20">
        <v>60.0</v>
      </c>
      <c r="E1862" s="20" t="s">
        <v>20</v>
      </c>
      <c r="G1862" s="22"/>
      <c r="H1862" s="23" t="s">
        <v>1946</v>
      </c>
      <c r="I1862" s="20" t="s">
        <v>211</v>
      </c>
      <c r="J1862" s="20">
        <v>0.0</v>
      </c>
      <c r="K1862" s="20">
        <v>0.0</v>
      </c>
      <c r="L1862" s="20">
        <v>0.0</v>
      </c>
      <c r="M1862" s="20">
        <v>0.0</v>
      </c>
      <c r="N1862" s="20">
        <v>0.0</v>
      </c>
      <c r="O1862" s="20">
        <v>0.0</v>
      </c>
      <c r="P1862" s="20">
        <v>0.0</v>
      </c>
      <c r="Q1862" s="20">
        <v>0.0</v>
      </c>
      <c r="R1862" s="20">
        <v>0.0</v>
      </c>
      <c r="S1862" s="20">
        <v>0.0</v>
      </c>
      <c r="T1862" s="20">
        <v>0.0</v>
      </c>
      <c r="U1862" s="20">
        <v>0.0</v>
      </c>
    </row>
    <row r="1863" ht="23.25" customHeight="1">
      <c r="A1863" s="1"/>
      <c r="B1863" s="15" t="s">
        <v>2313</v>
      </c>
      <c r="C1863" s="1" t="s">
        <v>17</v>
      </c>
      <c r="D1863" s="1" t="s">
        <v>1198</v>
      </c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</row>
    <row r="1864" ht="23.25" customHeight="1">
      <c r="A1864" s="17" t="str">
        <f>IF(COUNTIF('Icon Lookup'!C:C,B1864)&gt;0,LOOKUP(B1864,'Icon Lookup'!C:C,'Icon Lookup'!B:B),"")</f>
        <v/>
      </c>
      <c r="B1864" s="18" t="s">
        <v>653</v>
      </c>
      <c r="C1864" s="17"/>
      <c r="D1864" s="17">
        <v>54.0</v>
      </c>
      <c r="E1864" s="17" t="s">
        <v>525</v>
      </c>
      <c r="G1864" s="19"/>
      <c r="H1864" s="20" t="s">
        <v>2314</v>
      </c>
      <c r="I1864" s="17" t="s">
        <v>105</v>
      </c>
      <c r="J1864" s="17">
        <v>0.0</v>
      </c>
      <c r="K1864" s="17">
        <v>0.0</v>
      </c>
      <c r="L1864" s="17">
        <v>0.0</v>
      </c>
      <c r="M1864" s="17">
        <v>0.0</v>
      </c>
      <c r="N1864" s="17">
        <v>0.0</v>
      </c>
      <c r="O1864" s="17">
        <v>0.0</v>
      </c>
      <c r="P1864" s="17">
        <v>0.0</v>
      </c>
      <c r="Q1864" s="17">
        <v>0.0</v>
      </c>
      <c r="R1864" s="17">
        <v>0.0</v>
      </c>
      <c r="S1864" s="17">
        <v>0.0</v>
      </c>
      <c r="T1864" s="17">
        <v>0.0</v>
      </c>
      <c r="U1864" s="17">
        <v>0.0</v>
      </c>
    </row>
    <row r="1865" ht="23.25" customHeight="1">
      <c r="A1865" s="20" t="str">
        <f>IF(COUNTIF('Icon Lookup'!C:C,B1865)&gt;0,LOOKUP(B1865,'Icon Lookup'!C:C,'Icon Lookup'!B:B),"")</f>
        <v/>
      </c>
      <c r="B1865" s="21" t="s">
        <v>410</v>
      </c>
      <c r="C1865" s="20"/>
      <c r="D1865" s="20">
        <v>52.0</v>
      </c>
      <c r="E1865" s="20" t="s">
        <v>411</v>
      </c>
      <c r="G1865" s="22"/>
      <c r="H1865" s="23" t="s">
        <v>2315</v>
      </c>
      <c r="I1865" s="20" t="s">
        <v>205</v>
      </c>
      <c r="J1865" s="20">
        <v>0.0</v>
      </c>
      <c r="K1865" s="20">
        <v>0.0</v>
      </c>
      <c r="L1865" s="20">
        <v>0.0</v>
      </c>
      <c r="M1865" s="20">
        <v>0.0</v>
      </c>
      <c r="N1865" s="20">
        <v>0.0</v>
      </c>
      <c r="O1865" s="20">
        <v>0.0</v>
      </c>
      <c r="P1865" s="20">
        <v>0.0</v>
      </c>
      <c r="Q1865" s="20">
        <v>0.0</v>
      </c>
      <c r="R1865" s="20">
        <v>0.0</v>
      </c>
      <c r="S1865" s="20">
        <v>0.0</v>
      </c>
      <c r="T1865" s="20">
        <v>0.0</v>
      </c>
      <c r="U1865" s="20">
        <v>0.0</v>
      </c>
    </row>
    <row r="1866" ht="23.25" customHeight="1">
      <c r="A1866" s="1"/>
      <c r="B1866" s="15" t="s">
        <v>2316</v>
      </c>
      <c r="C1866" s="1" t="s">
        <v>17</v>
      </c>
      <c r="D1866" s="1" t="s">
        <v>1198</v>
      </c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</row>
    <row r="1867" ht="23.25" customHeight="1">
      <c r="A1867" s="17" t="str">
        <f>IF(COUNTIF('Icon Lookup'!C:C,B1867)&gt;0,LOOKUP(B1867,'Icon Lookup'!C:C,'Icon Lookup'!B:B),"")</f>
        <v/>
      </c>
      <c r="B1867" s="18" t="s">
        <v>653</v>
      </c>
      <c r="C1867" s="17"/>
      <c r="D1867" s="17">
        <v>57.0</v>
      </c>
      <c r="E1867" s="17" t="s">
        <v>525</v>
      </c>
      <c r="G1867" s="19"/>
      <c r="H1867" s="20" t="s">
        <v>2314</v>
      </c>
      <c r="I1867" s="17" t="s">
        <v>105</v>
      </c>
      <c r="J1867" s="17">
        <v>0.0</v>
      </c>
      <c r="K1867" s="17">
        <v>0.0</v>
      </c>
      <c r="L1867" s="17">
        <v>0.0</v>
      </c>
      <c r="M1867" s="17">
        <v>0.0</v>
      </c>
      <c r="N1867" s="17">
        <v>0.0</v>
      </c>
      <c r="O1867" s="17">
        <v>0.0</v>
      </c>
      <c r="P1867" s="17">
        <v>0.0</v>
      </c>
      <c r="Q1867" s="17">
        <v>0.0</v>
      </c>
      <c r="R1867" s="17">
        <v>0.0</v>
      </c>
      <c r="S1867" s="17">
        <v>0.0</v>
      </c>
      <c r="T1867" s="17">
        <v>0.0</v>
      </c>
      <c r="U1867" s="17">
        <v>0.0</v>
      </c>
    </row>
    <row r="1868" ht="23.25" customHeight="1">
      <c r="A1868" s="20" t="str">
        <f>IF(COUNTIF('Icon Lookup'!C:C,B1868)&gt;0,LOOKUP(B1868,'Icon Lookup'!C:C,'Icon Lookup'!B:B),"")</f>
        <v/>
      </c>
      <c r="B1868" s="21" t="s">
        <v>410</v>
      </c>
      <c r="C1868" s="20"/>
      <c r="D1868" s="20">
        <v>59.0</v>
      </c>
      <c r="E1868" s="20" t="s">
        <v>411</v>
      </c>
      <c r="G1868" s="22"/>
      <c r="H1868" s="23" t="s">
        <v>2317</v>
      </c>
      <c r="I1868" s="20" t="s">
        <v>205</v>
      </c>
      <c r="J1868" s="20">
        <v>0.0</v>
      </c>
      <c r="K1868" s="20">
        <v>0.0</v>
      </c>
      <c r="L1868" s="20">
        <v>0.0</v>
      </c>
      <c r="M1868" s="20">
        <v>0.0</v>
      </c>
      <c r="N1868" s="20">
        <v>0.0</v>
      </c>
      <c r="O1868" s="20">
        <v>0.0</v>
      </c>
      <c r="P1868" s="20">
        <v>0.0</v>
      </c>
      <c r="Q1868" s="20">
        <v>0.0</v>
      </c>
      <c r="R1868" s="20">
        <v>0.0</v>
      </c>
      <c r="S1868" s="20">
        <v>0.0</v>
      </c>
      <c r="T1868" s="20">
        <v>0.0</v>
      </c>
      <c r="U1868" s="20">
        <v>0.0</v>
      </c>
    </row>
    <row r="1869" ht="23.25" customHeight="1">
      <c r="A1869" s="1"/>
      <c r="B1869" s="15" t="s">
        <v>2318</v>
      </c>
      <c r="C1869" s="1" t="s">
        <v>17</v>
      </c>
      <c r="D1869" s="1" t="s">
        <v>1533</v>
      </c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</row>
    <row r="1870" ht="23.25" customHeight="1">
      <c r="A1870" s="17" t="str">
        <f>IF(COUNTIF('Icon Lookup'!C:C,B1870)&gt;0,LOOKUP(B1870,'Icon Lookup'!C:C,'Icon Lookup'!B:B),"")</f>
        <v/>
      </c>
      <c r="B1870" s="18" t="s">
        <v>410</v>
      </c>
      <c r="C1870" s="17"/>
      <c r="D1870" s="17">
        <v>55.0</v>
      </c>
      <c r="E1870" s="17" t="s">
        <v>411</v>
      </c>
      <c r="G1870" s="19"/>
      <c r="H1870" s="20" t="s">
        <v>2319</v>
      </c>
      <c r="I1870" s="17" t="s">
        <v>205</v>
      </c>
      <c r="J1870" s="17">
        <v>0.0</v>
      </c>
      <c r="K1870" s="17">
        <v>0.0</v>
      </c>
      <c r="L1870" s="17">
        <v>0.0</v>
      </c>
      <c r="M1870" s="17">
        <v>0.0</v>
      </c>
      <c r="N1870" s="17">
        <v>0.0</v>
      </c>
      <c r="O1870" s="17">
        <v>0.0</v>
      </c>
      <c r="P1870" s="17">
        <v>0.0</v>
      </c>
      <c r="Q1870" s="17">
        <v>0.0</v>
      </c>
      <c r="R1870" s="17">
        <v>0.0</v>
      </c>
      <c r="S1870" s="17">
        <v>0.0</v>
      </c>
      <c r="T1870" s="17">
        <v>0.0</v>
      </c>
      <c r="U1870" s="17">
        <v>0.0</v>
      </c>
    </row>
    <row r="1871" ht="23.25" customHeight="1">
      <c r="A1871" s="20" t="str">
        <f>IF(COUNTIF('Icon Lookup'!C:C,B1871)&gt;0,LOOKUP(B1871,'Icon Lookup'!C:C,'Icon Lookup'!B:B),"")</f>
        <v/>
      </c>
      <c r="B1871" s="21" t="s">
        <v>1098</v>
      </c>
      <c r="C1871" s="20"/>
      <c r="D1871" s="20">
        <v>58.0</v>
      </c>
      <c r="E1871" s="20" t="s">
        <v>91</v>
      </c>
      <c r="G1871" s="22"/>
      <c r="H1871" s="23" t="s">
        <v>1447</v>
      </c>
      <c r="I1871" s="20" t="s">
        <v>550</v>
      </c>
      <c r="J1871" s="20">
        <v>0.0</v>
      </c>
      <c r="K1871" s="20">
        <v>0.0</v>
      </c>
      <c r="L1871" s="20">
        <v>0.0</v>
      </c>
      <c r="M1871" s="20">
        <v>0.0</v>
      </c>
      <c r="N1871" s="20">
        <v>0.0</v>
      </c>
      <c r="O1871" s="20">
        <v>0.0</v>
      </c>
      <c r="P1871" s="20">
        <v>0.0</v>
      </c>
      <c r="Q1871" s="20">
        <v>0.0</v>
      </c>
      <c r="R1871" s="20">
        <v>0.0</v>
      </c>
      <c r="S1871" s="20">
        <v>0.0</v>
      </c>
      <c r="T1871" s="20">
        <v>0.0</v>
      </c>
      <c r="U1871" s="20">
        <v>0.0</v>
      </c>
    </row>
    <row r="1872" ht="23.25" customHeight="1">
      <c r="A1872" s="17" t="str">
        <f>IF(COUNTIF('Icon Lookup'!C:C,B1872)&gt;0,LOOKUP(B1872,'Icon Lookup'!C:C,'Icon Lookup'!B:B),"")</f>
        <v/>
      </c>
      <c r="B1872" s="18" t="s">
        <v>586</v>
      </c>
      <c r="C1872" s="17"/>
      <c r="D1872" s="17">
        <v>58.0</v>
      </c>
      <c r="E1872" s="17" t="s">
        <v>366</v>
      </c>
      <c r="G1872" s="19"/>
      <c r="H1872" s="20" t="s">
        <v>1534</v>
      </c>
      <c r="I1872" s="17" t="s">
        <v>612</v>
      </c>
      <c r="J1872" s="17">
        <v>0.0</v>
      </c>
      <c r="K1872" s="17">
        <v>0.0</v>
      </c>
      <c r="L1872" s="17">
        <v>0.0</v>
      </c>
      <c r="M1872" s="17">
        <v>0.0</v>
      </c>
      <c r="N1872" s="17">
        <v>0.0</v>
      </c>
      <c r="O1872" s="17">
        <v>0.0</v>
      </c>
      <c r="P1872" s="17">
        <v>0.0</v>
      </c>
      <c r="Q1872" s="17">
        <v>0.0</v>
      </c>
      <c r="R1872" s="17">
        <v>0.0</v>
      </c>
      <c r="S1872" s="17">
        <v>0.0</v>
      </c>
      <c r="T1872" s="17">
        <v>0.0</v>
      </c>
      <c r="U1872" s="17">
        <v>0.0</v>
      </c>
    </row>
    <row r="1873" ht="23.25" customHeight="1">
      <c r="A1873" s="1"/>
      <c r="B1873" s="15" t="s">
        <v>2320</v>
      </c>
      <c r="C1873" s="1" t="s">
        <v>17</v>
      </c>
      <c r="D1873" s="1" t="s">
        <v>1540</v>
      </c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</row>
    <row r="1874" ht="23.25" customHeight="1">
      <c r="A1874" s="20" t="str">
        <f>IF(COUNTIF('Icon Lookup'!C:C,B1874)&gt;0,LOOKUP(B1874,'Icon Lookup'!C:C,'Icon Lookup'!B:B),"")</f>
        <v/>
      </c>
      <c r="B1874" s="21" t="s">
        <v>386</v>
      </c>
      <c r="C1874" s="20"/>
      <c r="D1874" s="20">
        <v>30.0</v>
      </c>
      <c r="E1874" s="20" t="s">
        <v>38</v>
      </c>
      <c r="G1874" s="22"/>
      <c r="H1874" s="23" t="s">
        <v>2321</v>
      </c>
      <c r="I1874" s="20" t="s">
        <v>52</v>
      </c>
      <c r="J1874" s="20">
        <v>0.0</v>
      </c>
      <c r="K1874" s="20">
        <v>0.0</v>
      </c>
      <c r="L1874" s="20">
        <v>0.0</v>
      </c>
      <c r="M1874" s="20">
        <v>0.0</v>
      </c>
      <c r="N1874" s="20">
        <v>0.0</v>
      </c>
      <c r="O1874" s="20">
        <v>0.0</v>
      </c>
      <c r="P1874" s="20">
        <v>0.0</v>
      </c>
      <c r="Q1874" s="20">
        <v>0.0</v>
      </c>
      <c r="R1874" s="20">
        <v>0.0</v>
      </c>
      <c r="S1874" s="20">
        <v>0.0</v>
      </c>
      <c r="T1874" s="20">
        <v>0.0</v>
      </c>
      <c r="U1874" s="20">
        <v>0.0</v>
      </c>
    </row>
    <row r="1875" ht="23.25" customHeight="1">
      <c r="A1875" s="17" t="str">
        <f>IF(COUNTIF('Icon Lookup'!C:C,B1875)&gt;0,LOOKUP(B1875,'Icon Lookup'!C:C,'Icon Lookup'!B:B),"")</f>
        <v/>
      </c>
      <c r="B1875" s="18" t="s">
        <v>386</v>
      </c>
      <c r="C1875" s="17"/>
      <c r="D1875" s="17">
        <v>28.0</v>
      </c>
      <c r="E1875" s="17" t="s">
        <v>387</v>
      </c>
      <c r="G1875" s="19"/>
      <c r="H1875" s="20" t="s">
        <v>2322</v>
      </c>
      <c r="I1875" s="17" t="s">
        <v>52</v>
      </c>
      <c r="J1875" s="17">
        <v>0.0</v>
      </c>
      <c r="K1875" s="17">
        <v>0.0</v>
      </c>
      <c r="L1875" s="17">
        <v>0.0</v>
      </c>
      <c r="M1875" s="17">
        <v>0.0</v>
      </c>
      <c r="N1875" s="17">
        <v>0.0</v>
      </c>
      <c r="O1875" s="17">
        <v>0.0</v>
      </c>
      <c r="P1875" s="17">
        <v>0.0</v>
      </c>
      <c r="Q1875" s="17">
        <v>0.0</v>
      </c>
      <c r="R1875" s="17">
        <v>0.0</v>
      </c>
      <c r="S1875" s="17">
        <v>0.0</v>
      </c>
      <c r="T1875" s="17">
        <v>0.0</v>
      </c>
      <c r="U1875" s="17">
        <v>0.0</v>
      </c>
    </row>
    <row r="1876" ht="23.25" customHeight="1">
      <c r="A1876" s="1"/>
      <c r="B1876" s="15" t="s">
        <v>2323</v>
      </c>
      <c r="C1876" s="1" t="s">
        <v>17</v>
      </c>
      <c r="D1876" s="1" t="s">
        <v>1540</v>
      </c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</row>
    <row r="1877" ht="23.25" customHeight="1">
      <c r="A1877" s="20" t="str">
        <f>IF(COUNTIF('Icon Lookup'!C:C,B1877)&gt;0,LOOKUP(B1877,'Icon Lookup'!C:C,'Icon Lookup'!B:B),"")</f>
        <v/>
      </c>
      <c r="B1877" s="21" t="s">
        <v>386</v>
      </c>
      <c r="C1877" s="20"/>
      <c r="D1877" s="20">
        <v>40.0</v>
      </c>
      <c r="E1877" s="20" t="s">
        <v>38</v>
      </c>
      <c r="G1877" s="22"/>
      <c r="H1877" s="23" t="s">
        <v>2324</v>
      </c>
      <c r="I1877" s="20" t="s">
        <v>52</v>
      </c>
      <c r="J1877" s="20">
        <v>0.0</v>
      </c>
      <c r="K1877" s="20">
        <v>0.0</v>
      </c>
      <c r="L1877" s="20">
        <v>0.0</v>
      </c>
      <c r="M1877" s="20">
        <v>0.0</v>
      </c>
      <c r="N1877" s="20">
        <v>0.0</v>
      </c>
      <c r="O1877" s="20">
        <v>0.0</v>
      </c>
      <c r="P1877" s="20">
        <v>0.0</v>
      </c>
      <c r="Q1877" s="20">
        <v>0.0</v>
      </c>
      <c r="R1877" s="20">
        <v>0.0</v>
      </c>
      <c r="S1877" s="20">
        <v>0.0</v>
      </c>
      <c r="T1877" s="20">
        <v>0.0</v>
      </c>
      <c r="U1877" s="20">
        <v>0.0</v>
      </c>
    </row>
    <row r="1878" ht="23.25" customHeight="1">
      <c r="A1878" s="17" t="str">
        <f>IF(COUNTIF('Icon Lookup'!C:C,B1878)&gt;0,LOOKUP(B1878,'Icon Lookup'!C:C,'Icon Lookup'!B:B),"")</f>
        <v/>
      </c>
      <c r="B1878" s="18" t="s">
        <v>386</v>
      </c>
      <c r="C1878" s="17"/>
      <c r="D1878" s="17">
        <v>36.0</v>
      </c>
      <c r="E1878" s="17" t="s">
        <v>387</v>
      </c>
      <c r="G1878" s="19"/>
      <c r="H1878" s="20" t="s">
        <v>2325</v>
      </c>
      <c r="I1878" s="17" t="s">
        <v>52</v>
      </c>
      <c r="J1878" s="17">
        <v>0.0</v>
      </c>
      <c r="K1878" s="17">
        <v>0.0</v>
      </c>
      <c r="L1878" s="17">
        <v>0.0</v>
      </c>
      <c r="M1878" s="17">
        <v>0.0</v>
      </c>
      <c r="N1878" s="17">
        <v>0.0</v>
      </c>
      <c r="O1878" s="17">
        <v>0.0</v>
      </c>
      <c r="P1878" s="17">
        <v>0.0</v>
      </c>
      <c r="Q1878" s="17">
        <v>0.0</v>
      </c>
      <c r="R1878" s="17">
        <v>0.0</v>
      </c>
      <c r="S1878" s="17">
        <v>0.0</v>
      </c>
      <c r="T1878" s="17">
        <v>0.0</v>
      </c>
      <c r="U1878" s="17">
        <v>0.0</v>
      </c>
    </row>
    <row r="1879" ht="23.25" customHeight="1">
      <c r="A1879" s="1"/>
      <c r="B1879" s="15" t="s">
        <v>2326</v>
      </c>
      <c r="C1879" s="1" t="s">
        <v>17</v>
      </c>
      <c r="D1879" s="1" t="s">
        <v>1540</v>
      </c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</row>
    <row r="1880" ht="23.25" customHeight="1">
      <c r="A1880" s="20" t="str">
        <f>IF(COUNTIF('Icon Lookup'!C:C,B1880)&gt;0,LOOKUP(B1880,'Icon Lookup'!C:C,'Icon Lookup'!B:B),"")</f>
        <v/>
      </c>
      <c r="B1880" s="21" t="s">
        <v>765</v>
      </c>
      <c r="C1880" s="20"/>
      <c r="D1880" s="20">
        <v>53.0</v>
      </c>
      <c r="E1880" s="20" t="s">
        <v>38</v>
      </c>
      <c r="G1880" s="22"/>
      <c r="H1880" s="23" t="s">
        <v>2324</v>
      </c>
      <c r="I1880" s="20" t="s">
        <v>52</v>
      </c>
      <c r="J1880" s="20">
        <v>0.0</v>
      </c>
      <c r="K1880" s="20">
        <v>0.0</v>
      </c>
      <c r="L1880" s="20">
        <v>0.0</v>
      </c>
      <c r="M1880" s="20">
        <v>0.0</v>
      </c>
      <c r="N1880" s="20">
        <v>0.0</v>
      </c>
      <c r="O1880" s="20">
        <v>0.0</v>
      </c>
      <c r="P1880" s="20">
        <v>0.0</v>
      </c>
      <c r="Q1880" s="20">
        <v>0.0</v>
      </c>
      <c r="R1880" s="20">
        <v>0.0</v>
      </c>
      <c r="S1880" s="20">
        <v>0.0</v>
      </c>
      <c r="T1880" s="20">
        <v>0.0</v>
      </c>
      <c r="U1880" s="20">
        <v>0.0</v>
      </c>
    </row>
    <row r="1881" ht="23.25" customHeight="1">
      <c r="A1881" s="17" t="str">
        <f>IF(COUNTIF('Icon Lookup'!C:C,B1881)&gt;0,LOOKUP(B1881,'Icon Lookup'!C:C,'Icon Lookup'!B:B),"")</f>
        <v/>
      </c>
      <c r="B1881" s="18" t="s">
        <v>765</v>
      </c>
      <c r="C1881" s="17"/>
      <c r="D1881" s="17">
        <v>53.0</v>
      </c>
      <c r="E1881" s="17" t="s">
        <v>387</v>
      </c>
      <c r="G1881" s="19"/>
      <c r="H1881" s="20" t="s">
        <v>2327</v>
      </c>
      <c r="I1881" s="17" t="s">
        <v>52</v>
      </c>
      <c r="J1881" s="17">
        <v>0.0</v>
      </c>
      <c r="K1881" s="17">
        <v>0.0</v>
      </c>
      <c r="L1881" s="17">
        <v>0.0</v>
      </c>
      <c r="M1881" s="17">
        <v>0.0</v>
      </c>
      <c r="N1881" s="17">
        <v>0.0</v>
      </c>
      <c r="O1881" s="17">
        <v>0.0</v>
      </c>
      <c r="P1881" s="17">
        <v>0.0</v>
      </c>
      <c r="Q1881" s="17">
        <v>0.0</v>
      </c>
      <c r="R1881" s="17">
        <v>0.0</v>
      </c>
      <c r="S1881" s="17">
        <v>0.0</v>
      </c>
      <c r="T1881" s="17">
        <v>0.0</v>
      </c>
      <c r="U1881" s="17">
        <v>0.0</v>
      </c>
    </row>
    <row r="1882" ht="23.25" customHeight="1">
      <c r="A1882" s="1"/>
      <c r="B1882" s="15" t="s">
        <v>2328</v>
      </c>
      <c r="C1882" s="1" t="s">
        <v>17</v>
      </c>
      <c r="D1882" s="1" t="s">
        <v>317</v>
      </c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</row>
    <row r="1883" ht="23.25" customHeight="1">
      <c r="A1883" s="20" t="str">
        <f>IF(COUNTIF('Icon Lookup'!C:C,B1883)&gt;0,LOOKUP(B1883,'Icon Lookup'!C:C,'Icon Lookup'!B:B),"")</f>
        <v/>
      </c>
      <c r="B1883" s="21" t="s">
        <v>37</v>
      </c>
      <c r="C1883" s="20"/>
      <c r="D1883" s="20">
        <v>26.0</v>
      </c>
      <c r="E1883" s="20" t="s">
        <v>38</v>
      </c>
      <c r="G1883" s="22"/>
      <c r="H1883" s="23" t="s">
        <v>1550</v>
      </c>
      <c r="I1883" s="20" t="s">
        <v>22</v>
      </c>
      <c r="J1883" s="20">
        <v>0.0</v>
      </c>
      <c r="K1883" s="20">
        <v>0.0</v>
      </c>
      <c r="L1883" s="20">
        <v>0.0</v>
      </c>
      <c r="M1883" s="20">
        <v>0.0</v>
      </c>
      <c r="N1883" s="20">
        <v>0.0</v>
      </c>
      <c r="O1883" s="20">
        <v>0.0</v>
      </c>
      <c r="P1883" s="20">
        <v>0.0</v>
      </c>
      <c r="Q1883" s="20">
        <v>0.0</v>
      </c>
      <c r="R1883" s="20">
        <v>0.0</v>
      </c>
      <c r="S1883" s="20">
        <v>0.0</v>
      </c>
      <c r="T1883" s="20">
        <v>0.0</v>
      </c>
      <c r="U1883" s="20">
        <v>0.0</v>
      </c>
    </row>
    <row r="1884" ht="23.25" customHeight="1">
      <c r="A1884" s="17" t="str">
        <f>IF(COUNTIF('Icon Lookup'!C:C,B1884)&gt;0,LOOKUP(B1884,'Icon Lookup'!C:C,'Icon Lookup'!B:B),"")</f>
        <v/>
      </c>
      <c r="B1884" s="18" t="s">
        <v>174</v>
      </c>
      <c r="C1884" s="17"/>
      <c r="D1884" s="17">
        <v>29.0</v>
      </c>
      <c r="E1884" s="17" t="s">
        <v>38</v>
      </c>
      <c r="G1884" s="19"/>
      <c r="H1884" s="20" t="s">
        <v>1405</v>
      </c>
      <c r="I1884" s="17" t="s">
        <v>22</v>
      </c>
      <c r="J1884" s="17">
        <v>0.0</v>
      </c>
      <c r="K1884" s="17">
        <v>0.0</v>
      </c>
      <c r="L1884" s="17">
        <v>0.0</v>
      </c>
      <c r="M1884" s="17">
        <v>0.0</v>
      </c>
      <c r="N1884" s="17">
        <v>0.0</v>
      </c>
      <c r="O1884" s="17">
        <v>0.0</v>
      </c>
      <c r="P1884" s="17">
        <v>0.0</v>
      </c>
      <c r="Q1884" s="17">
        <v>0.0</v>
      </c>
      <c r="R1884" s="17">
        <v>0.0</v>
      </c>
      <c r="S1884" s="17">
        <v>0.0</v>
      </c>
      <c r="T1884" s="17">
        <v>0.0</v>
      </c>
      <c r="U1884" s="17">
        <v>0.0</v>
      </c>
    </row>
    <row r="1885" ht="23.25" customHeight="1">
      <c r="A1885" s="20" t="str">
        <f>IF(COUNTIF('Icon Lookup'!C:C,B1885)&gt;0,LOOKUP(B1885,'Icon Lookup'!C:C,'Icon Lookup'!B:B),"")</f>
        <v/>
      </c>
      <c r="B1885" s="21" t="s">
        <v>174</v>
      </c>
      <c r="C1885" s="20"/>
      <c r="D1885" s="20">
        <v>29.0</v>
      </c>
      <c r="E1885" s="20" t="s">
        <v>38</v>
      </c>
      <c r="G1885" s="22"/>
      <c r="H1885" s="23" t="s">
        <v>1405</v>
      </c>
      <c r="I1885" s="20" t="s">
        <v>52</v>
      </c>
      <c r="J1885" s="20">
        <v>0.0</v>
      </c>
      <c r="K1885" s="20">
        <v>0.0</v>
      </c>
      <c r="L1885" s="20">
        <v>0.0</v>
      </c>
      <c r="M1885" s="20">
        <v>0.0</v>
      </c>
      <c r="N1885" s="20">
        <v>0.0</v>
      </c>
      <c r="O1885" s="20">
        <v>0.0</v>
      </c>
      <c r="P1885" s="20">
        <v>0.0</v>
      </c>
      <c r="Q1885" s="20">
        <v>0.0</v>
      </c>
      <c r="R1885" s="20">
        <v>0.0</v>
      </c>
      <c r="S1885" s="20">
        <v>0.0</v>
      </c>
      <c r="T1885" s="20">
        <v>0.0</v>
      </c>
      <c r="U1885" s="20">
        <v>0.0</v>
      </c>
    </row>
    <row r="1886" ht="23.25" customHeight="1">
      <c r="A1886" s="1"/>
      <c r="B1886" s="15" t="s">
        <v>2329</v>
      </c>
      <c r="C1886" s="1" t="s">
        <v>17</v>
      </c>
      <c r="D1886" s="1" t="s">
        <v>317</v>
      </c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</row>
    <row r="1887" ht="23.25" customHeight="1">
      <c r="A1887" s="17" t="str">
        <f>IF(COUNTIF('Icon Lookup'!C:C,B1887)&gt;0,LOOKUP(B1887,'Icon Lookup'!C:C,'Icon Lookup'!B:B),"")</f>
        <v/>
      </c>
      <c r="B1887" s="18" t="s">
        <v>174</v>
      </c>
      <c r="C1887" s="17"/>
      <c r="D1887" s="17">
        <v>36.0</v>
      </c>
      <c r="E1887" s="17" t="s">
        <v>38</v>
      </c>
      <c r="G1887" s="19"/>
      <c r="H1887" s="20" t="s">
        <v>542</v>
      </c>
      <c r="I1887" s="17" t="s">
        <v>22</v>
      </c>
      <c r="J1887" s="17">
        <v>0.0</v>
      </c>
      <c r="K1887" s="17">
        <v>0.0</v>
      </c>
      <c r="L1887" s="17">
        <v>0.0</v>
      </c>
      <c r="M1887" s="17">
        <v>0.0</v>
      </c>
      <c r="N1887" s="17">
        <v>0.0</v>
      </c>
      <c r="O1887" s="17">
        <v>0.0</v>
      </c>
      <c r="P1887" s="17">
        <v>0.0</v>
      </c>
      <c r="Q1887" s="17">
        <v>0.0</v>
      </c>
      <c r="R1887" s="17">
        <v>0.0</v>
      </c>
      <c r="S1887" s="17">
        <v>0.0</v>
      </c>
      <c r="T1887" s="17">
        <v>0.0</v>
      </c>
      <c r="U1887" s="17">
        <v>0.0</v>
      </c>
    </row>
    <row r="1888" ht="23.25" customHeight="1">
      <c r="A1888" s="20" t="str">
        <f>IF(COUNTIF('Icon Lookup'!C:C,B1888)&gt;0,LOOKUP(B1888,'Icon Lookup'!C:C,'Icon Lookup'!B:B),"")</f>
        <v/>
      </c>
      <c r="B1888" s="21" t="s">
        <v>174</v>
      </c>
      <c r="C1888" s="20"/>
      <c r="D1888" s="20">
        <v>37.0</v>
      </c>
      <c r="E1888" s="20" t="s">
        <v>38</v>
      </c>
      <c r="G1888" s="22"/>
      <c r="H1888" s="23" t="s">
        <v>542</v>
      </c>
      <c r="I1888" s="20" t="s">
        <v>22</v>
      </c>
      <c r="J1888" s="20">
        <v>0.0</v>
      </c>
      <c r="K1888" s="20">
        <v>0.0</v>
      </c>
      <c r="L1888" s="20">
        <v>0.0</v>
      </c>
      <c r="M1888" s="20">
        <v>0.0</v>
      </c>
      <c r="N1888" s="20">
        <v>0.0</v>
      </c>
      <c r="O1888" s="20">
        <v>0.0</v>
      </c>
      <c r="P1888" s="20">
        <v>0.0</v>
      </c>
      <c r="Q1888" s="20">
        <v>0.0</v>
      </c>
      <c r="R1888" s="20">
        <v>0.0</v>
      </c>
      <c r="S1888" s="20">
        <v>0.0</v>
      </c>
      <c r="T1888" s="20">
        <v>0.0</v>
      </c>
      <c r="U1888" s="20">
        <v>0.0</v>
      </c>
    </row>
    <row r="1889" ht="23.25" customHeight="1">
      <c r="A1889" s="17" t="str">
        <f>IF(COUNTIF('Icon Lookup'!C:C,B1889)&gt;0,LOOKUP(B1889,'Icon Lookup'!C:C,'Icon Lookup'!B:B),"")</f>
        <v/>
      </c>
      <c r="B1889" s="18" t="s">
        <v>174</v>
      </c>
      <c r="C1889" s="17"/>
      <c r="D1889" s="17">
        <v>38.0</v>
      </c>
      <c r="E1889" s="17" t="s">
        <v>38</v>
      </c>
      <c r="G1889" s="19"/>
      <c r="H1889" s="20" t="s">
        <v>2330</v>
      </c>
      <c r="I1889" s="17" t="s">
        <v>52</v>
      </c>
      <c r="J1889" s="17">
        <v>0.0</v>
      </c>
      <c r="K1889" s="17">
        <v>0.0</v>
      </c>
      <c r="L1889" s="17">
        <v>0.0</v>
      </c>
      <c r="M1889" s="17">
        <v>0.0</v>
      </c>
      <c r="N1889" s="17">
        <v>0.0</v>
      </c>
      <c r="O1889" s="17">
        <v>0.0</v>
      </c>
      <c r="P1889" s="17">
        <v>0.0</v>
      </c>
      <c r="Q1889" s="17">
        <v>0.0</v>
      </c>
      <c r="R1889" s="17">
        <v>0.0</v>
      </c>
      <c r="S1889" s="17">
        <v>0.0</v>
      </c>
      <c r="T1889" s="17">
        <v>0.0</v>
      </c>
      <c r="U1889" s="17">
        <v>0.0</v>
      </c>
    </row>
    <row r="1890" ht="23.25" customHeight="1">
      <c r="A1890" s="1"/>
      <c r="B1890" s="15" t="s">
        <v>2331</v>
      </c>
      <c r="C1890" s="1" t="s">
        <v>17</v>
      </c>
      <c r="D1890" s="1" t="s">
        <v>317</v>
      </c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</row>
    <row r="1891" ht="23.25" customHeight="1">
      <c r="A1891" s="20" t="str">
        <f>IF(COUNTIF('Icon Lookup'!C:C,B1891)&gt;0,LOOKUP(B1891,'Icon Lookup'!C:C,'Icon Lookup'!B:B),"")</f>
        <v/>
      </c>
      <c r="B1891" s="21" t="s">
        <v>174</v>
      </c>
      <c r="C1891" s="20"/>
      <c r="D1891" s="20">
        <v>51.0</v>
      </c>
      <c r="E1891" s="20" t="s">
        <v>38</v>
      </c>
      <c r="G1891" s="22"/>
      <c r="H1891" s="23" t="s">
        <v>1617</v>
      </c>
      <c r="I1891" s="20" t="s">
        <v>22</v>
      </c>
      <c r="J1891" s="20">
        <v>0.0</v>
      </c>
      <c r="K1891" s="20">
        <v>0.0</v>
      </c>
      <c r="L1891" s="20">
        <v>0.0</v>
      </c>
      <c r="M1891" s="20">
        <v>0.0</v>
      </c>
      <c r="N1891" s="20">
        <v>0.0</v>
      </c>
      <c r="O1891" s="20">
        <v>0.0</v>
      </c>
      <c r="P1891" s="20">
        <v>0.0</v>
      </c>
      <c r="Q1891" s="20">
        <v>0.0</v>
      </c>
      <c r="R1891" s="20">
        <v>0.0</v>
      </c>
      <c r="S1891" s="20">
        <v>0.0</v>
      </c>
      <c r="T1891" s="20">
        <v>0.0</v>
      </c>
      <c r="U1891" s="20">
        <v>0.0</v>
      </c>
    </row>
    <row r="1892" ht="23.25" customHeight="1">
      <c r="A1892" s="17" t="str">
        <f>IF(COUNTIF('Icon Lookup'!C:C,B1892)&gt;0,LOOKUP(B1892,'Icon Lookup'!C:C,'Icon Lookup'!B:B),"")</f>
        <v/>
      </c>
      <c r="B1892" s="18" t="s">
        <v>1369</v>
      </c>
      <c r="C1892" s="17"/>
      <c r="D1892" s="17">
        <v>52.0</v>
      </c>
      <c r="E1892" s="17" t="s">
        <v>38</v>
      </c>
      <c r="G1892" s="19"/>
      <c r="H1892" s="20" t="s">
        <v>2332</v>
      </c>
      <c r="I1892" s="17" t="s">
        <v>22</v>
      </c>
      <c r="J1892" s="17">
        <v>0.0</v>
      </c>
      <c r="K1892" s="17">
        <v>0.0</v>
      </c>
      <c r="L1892" s="17">
        <v>0.0</v>
      </c>
      <c r="M1892" s="17">
        <v>0.0</v>
      </c>
      <c r="N1892" s="17">
        <v>0.0</v>
      </c>
      <c r="O1892" s="17">
        <v>0.0</v>
      </c>
      <c r="P1892" s="17">
        <v>0.0</v>
      </c>
      <c r="Q1892" s="17">
        <v>0.0</v>
      </c>
      <c r="R1892" s="17">
        <v>0.0</v>
      </c>
      <c r="S1892" s="17">
        <v>0.0</v>
      </c>
      <c r="T1892" s="17">
        <v>0.0</v>
      </c>
      <c r="U1892" s="17">
        <v>0.0</v>
      </c>
    </row>
    <row r="1893" ht="23.25" customHeight="1">
      <c r="A1893" s="20" t="str">
        <f>IF(COUNTIF('Icon Lookup'!C:C,B1893)&gt;0,LOOKUP(B1893,'Icon Lookup'!C:C,'Icon Lookup'!B:B),"")</f>
        <v/>
      </c>
      <c r="B1893" s="21" t="s">
        <v>1369</v>
      </c>
      <c r="C1893" s="20"/>
      <c r="D1893" s="20">
        <v>53.0</v>
      </c>
      <c r="E1893" s="20" t="s">
        <v>38</v>
      </c>
      <c r="G1893" s="22"/>
      <c r="H1893" s="23" t="s">
        <v>2333</v>
      </c>
      <c r="I1893" s="20" t="s">
        <v>52</v>
      </c>
      <c r="J1893" s="20">
        <v>0.0</v>
      </c>
      <c r="K1893" s="20">
        <v>0.0</v>
      </c>
      <c r="L1893" s="20">
        <v>0.0</v>
      </c>
      <c r="M1893" s="20">
        <v>0.0</v>
      </c>
      <c r="N1893" s="20">
        <v>0.0</v>
      </c>
      <c r="O1893" s="20">
        <v>0.0</v>
      </c>
      <c r="P1893" s="20">
        <v>0.0</v>
      </c>
      <c r="Q1893" s="20">
        <v>0.0</v>
      </c>
      <c r="R1893" s="20">
        <v>0.0</v>
      </c>
      <c r="S1893" s="20">
        <v>0.0</v>
      </c>
      <c r="T1893" s="20">
        <v>0.0</v>
      </c>
      <c r="U1893" s="20">
        <v>0.0</v>
      </c>
    </row>
    <row r="1894" ht="23.25" customHeight="1">
      <c r="A1894" s="1"/>
      <c r="B1894" s="15" t="s">
        <v>2334</v>
      </c>
      <c r="C1894" s="1" t="s">
        <v>17</v>
      </c>
      <c r="D1894" s="1" t="s">
        <v>1223</v>
      </c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</row>
    <row r="1895" ht="23.25" customHeight="1">
      <c r="A1895" s="17" t="str">
        <f>IF(COUNTIF('Icon Lookup'!C:C,B1895)&gt;0,LOOKUP(B1895,'Icon Lookup'!C:C,'Icon Lookup'!B:B),"")</f>
        <v/>
      </c>
      <c r="B1895" s="18" t="s">
        <v>1003</v>
      </c>
      <c r="C1895" s="17"/>
      <c r="D1895" s="17">
        <v>40.0</v>
      </c>
      <c r="E1895" s="17" t="s">
        <v>1004</v>
      </c>
      <c r="G1895" s="19"/>
      <c r="H1895" s="20" t="s">
        <v>1427</v>
      </c>
      <c r="I1895" s="17" t="s">
        <v>22</v>
      </c>
      <c r="J1895" s="17">
        <v>0.0</v>
      </c>
      <c r="K1895" s="17">
        <v>0.0</v>
      </c>
      <c r="L1895" s="17">
        <v>0.0</v>
      </c>
      <c r="M1895" s="17">
        <v>0.0</v>
      </c>
      <c r="N1895" s="17">
        <v>0.0</v>
      </c>
      <c r="O1895" s="17">
        <v>0.0</v>
      </c>
      <c r="P1895" s="17">
        <v>0.0</v>
      </c>
      <c r="Q1895" s="17">
        <v>0.0</v>
      </c>
      <c r="R1895" s="17">
        <v>0.0</v>
      </c>
      <c r="S1895" s="17">
        <v>0.0</v>
      </c>
      <c r="T1895" s="17">
        <v>0.0</v>
      </c>
      <c r="U1895" s="17">
        <v>0.0</v>
      </c>
    </row>
    <row r="1896" ht="23.25" customHeight="1">
      <c r="A1896" s="1"/>
      <c r="B1896" s="15" t="s">
        <v>2335</v>
      </c>
      <c r="C1896" s="1" t="s">
        <v>17</v>
      </c>
      <c r="D1896" s="1" t="s">
        <v>1223</v>
      </c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</row>
    <row r="1897" ht="23.25" customHeight="1">
      <c r="A1897" s="20" t="str">
        <f>IF(COUNTIF('Icon Lookup'!C:C,B1897)&gt;0,LOOKUP(B1897,'Icon Lookup'!C:C,'Icon Lookup'!B:B),"")</f>
        <v/>
      </c>
      <c r="B1897" s="21" t="s">
        <v>1040</v>
      </c>
      <c r="C1897" s="20"/>
      <c r="D1897" s="20">
        <v>60.0</v>
      </c>
      <c r="E1897" s="20" t="s">
        <v>1004</v>
      </c>
      <c r="G1897" s="22"/>
      <c r="H1897" s="23" t="s">
        <v>2336</v>
      </c>
      <c r="I1897" s="20" t="s">
        <v>22</v>
      </c>
      <c r="J1897" s="20">
        <v>0.0</v>
      </c>
      <c r="K1897" s="20">
        <v>0.0</v>
      </c>
      <c r="L1897" s="20">
        <v>0.0</v>
      </c>
      <c r="M1897" s="20">
        <v>0.0</v>
      </c>
      <c r="N1897" s="20">
        <v>0.0</v>
      </c>
      <c r="O1897" s="20">
        <v>0.0</v>
      </c>
      <c r="P1897" s="20">
        <v>0.0</v>
      </c>
      <c r="Q1897" s="20">
        <v>0.0</v>
      </c>
      <c r="R1897" s="20">
        <v>0.0</v>
      </c>
      <c r="S1897" s="20">
        <v>0.0</v>
      </c>
      <c r="T1897" s="20">
        <v>0.0</v>
      </c>
      <c r="U1897" s="20">
        <v>0.0</v>
      </c>
    </row>
    <row r="1898" ht="23.25" customHeight="1">
      <c r="A1898" s="1"/>
      <c r="B1898" s="15" t="s">
        <v>2337</v>
      </c>
      <c r="C1898" s="1" t="s">
        <v>17</v>
      </c>
      <c r="D1898" s="1" t="s">
        <v>498</v>
      </c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</row>
    <row r="1899" ht="23.25" customHeight="1">
      <c r="A1899" s="17" t="str">
        <f>IF(COUNTIF('Icon Lookup'!C:C,B1899)&gt;0,LOOKUP(B1899,'Icon Lookup'!C:C,'Icon Lookup'!B:B),"")</f>
        <v/>
      </c>
      <c r="B1899" s="18" t="s">
        <v>478</v>
      </c>
      <c r="C1899" s="17"/>
      <c r="D1899" s="17">
        <v>40.0</v>
      </c>
      <c r="E1899" s="17" t="s">
        <v>38</v>
      </c>
      <c r="G1899" s="19"/>
      <c r="H1899" s="20" t="s">
        <v>2338</v>
      </c>
      <c r="I1899" s="17" t="s">
        <v>22</v>
      </c>
      <c r="J1899" s="17">
        <v>0.0</v>
      </c>
      <c r="K1899" s="17">
        <v>0.0</v>
      </c>
      <c r="L1899" s="17">
        <v>0.0</v>
      </c>
      <c r="M1899" s="17">
        <v>0.0</v>
      </c>
      <c r="N1899" s="17">
        <v>0.0</v>
      </c>
      <c r="O1899" s="17">
        <v>0.0</v>
      </c>
      <c r="P1899" s="17">
        <v>0.0</v>
      </c>
      <c r="Q1899" s="17">
        <v>0.0</v>
      </c>
      <c r="R1899" s="17">
        <v>0.0</v>
      </c>
      <c r="S1899" s="17">
        <v>0.0</v>
      </c>
      <c r="T1899" s="17">
        <v>0.0</v>
      </c>
      <c r="U1899" s="17">
        <v>0.0</v>
      </c>
    </row>
    <row r="1900" ht="23.25" customHeight="1">
      <c r="A1900" s="1"/>
      <c r="B1900" s="15" t="s">
        <v>2339</v>
      </c>
      <c r="C1900" s="1" t="s">
        <v>17</v>
      </c>
      <c r="D1900" s="1" t="s">
        <v>498</v>
      </c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</row>
    <row r="1901" ht="23.25" customHeight="1">
      <c r="A1901" s="20" t="str">
        <f>IF(COUNTIF('Icon Lookup'!C:C,B1901)&gt;0,LOOKUP(B1901,'Icon Lookup'!C:C,'Icon Lookup'!B:B),"")</f>
        <v/>
      </c>
      <c r="B1901" s="21" t="s">
        <v>478</v>
      </c>
      <c r="C1901" s="20"/>
      <c r="D1901" s="20">
        <v>55.0</v>
      </c>
      <c r="E1901" s="20" t="s">
        <v>38</v>
      </c>
      <c r="G1901" s="22"/>
      <c r="H1901" s="23" t="s">
        <v>2340</v>
      </c>
      <c r="I1901" s="20" t="s">
        <v>22</v>
      </c>
      <c r="J1901" s="20">
        <v>0.0</v>
      </c>
      <c r="K1901" s="20">
        <v>0.0</v>
      </c>
      <c r="L1901" s="20">
        <v>0.0</v>
      </c>
      <c r="M1901" s="20">
        <v>0.0</v>
      </c>
      <c r="N1901" s="20">
        <v>0.0</v>
      </c>
      <c r="O1901" s="20">
        <v>0.0</v>
      </c>
      <c r="P1901" s="20">
        <v>0.0</v>
      </c>
      <c r="Q1901" s="20">
        <v>0.0</v>
      </c>
      <c r="R1901" s="20">
        <v>0.0</v>
      </c>
      <c r="S1901" s="20">
        <v>0.0</v>
      </c>
      <c r="T1901" s="20">
        <v>0.0</v>
      </c>
      <c r="U1901" s="20">
        <v>0.0</v>
      </c>
    </row>
    <row r="1902" ht="23.25" customHeight="1">
      <c r="A1902" s="1"/>
      <c r="B1902" s="15" t="s">
        <v>2341</v>
      </c>
      <c r="C1902" s="1" t="s">
        <v>17</v>
      </c>
      <c r="D1902" s="1" t="s">
        <v>523</v>
      </c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</row>
    <row r="1903" ht="23.25" customHeight="1">
      <c r="A1903" s="17" t="str">
        <f>IF(COUNTIF('Icon Lookup'!C:C,B1903)&gt;0,LOOKUP(B1903,'Icon Lookup'!C:C,'Icon Lookup'!B:B),"")</f>
        <v/>
      </c>
      <c r="B1903" s="18" t="s">
        <v>653</v>
      </c>
      <c r="C1903" s="17"/>
      <c r="D1903" s="17">
        <v>37.0</v>
      </c>
      <c r="E1903" s="17" t="s">
        <v>525</v>
      </c>
      <c r="G1903" s="19"/>
      <c r="H1903" s="20" t="s">
        <v>2342</v>
      </c>
      <c r="I1903" s="17" t="s">
        <v>52</v>
      </c>
      <c r="J1903" s="17">
        <v>0.0</v>
      </c>
      <c r="K1903" s="17">
        <v>0.0</v>
      </c>
      <c r="L1903" s="17">
        <v>0.0</v>
      </c>
      <c r="M1903" s="17">
        <v>0.0</v>
      </c>
      <c r="N1903" s="17">
        <v>0.0</v>
      </c>
      <c r="O1903" s="17">
        <v>0.0</v>
      </c>
      <c r="P1903" s="17">
        <v>0.0</v>
      </c>
      <c r="Q1903" s="17">
        <v>0.0</v>
      </c>
      <c r="R1903" s="17">
        <v>0.0</v>
      </c>
      <c r="S1903" s="17">
        <v>0.0</v>
      </c>
      <c r="T1903" s="17">
        <v>0.0</v>
      </c>
      <c r="U1903" s="17">
        <v>0.0</v>
      </c>
    </row>
    <row r="1904" ht="23.25" customHeight="1">
      <c r="A1904" s="20" t="str">
        <f>IF(COUNTIF('Icon Lookup'!C:C,B1904)&gt;0,LOOKUP(B1904,'Icon Lookup'!C:C,'Icon Lookup'!B:B),"")</f>
        <v/>
      </c>
      <c r="B1904" s="21" t="s">
        <v>478</v>
      </c>
      <c r="C1904" s="20"/>
      <c r="D1904" s="20">
        <v>39.0</v>
      </c>
      <c r="E1904" s="20" t="s">
        <v>38</v>
      </c>
      <c r="G1904" s="22"/>
      <c r="H1904" s="23" t="s">
        <v>2343</v>
      </c>
      <c r="I1904" s="20" t="s">
        <v>22</v>
      </c>
      <c r="J1904" s="20">
        <v>0.0</v>
      </c>
      <c r="K1904" s="20">
        <v>0.0</v>
      </c>
      <c r="L1904" s="20">
        <v>0.0</v>
      </c>
      <c r="M1904" s="20">
        <v>0.0</v>
      </c>
      <c r="N1904" s="20">
        <v>0.0</v>
      </c>
      <c r="O1904" s="20">
        <v>0.0</v>
      </c>
      <c r="P1904" s="20">
        <v>0.0</v>
      </c>
      <c r="Q1904" s="20">
        <v>0.0</v>
      </c>
      <c r="R1904" s="20">
        <v>0.0</v>
      </c>
      <c r="S1904" s="20">
        <v>0.0</v>
      </c>
      <c r="T1904" s="20">
        <v>0.0</v>
      </c>
      <c r="U1904" s="20">
        <v>0.0</v>
      </c>
    </row>
    <row r="1905" ht="23.25" customHeight="1">
      <c r="A1905" s="1"/>
      <c r="B1905" s="15" t="s">
        <v>2344</v>
      </c>
      <c r="C1905" s="1" t="s">
        <v>17</v>
      </c>
      <c r="D1905" s="1" t="s">
        <v>523</v>
      </c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</row>
    <row r="1906" ht="23.25" customHeight="1">
      <c r="A1906" s="17" t="str">
        <f>IF(COUNTIF('Icon Lookup'!C:C,B1906)&gt;0,LOOKUP(B1906,'Icon Lookup'!C:C,'Icon Lookup'!B:B),"")</f>
        <v/>
      </c>
      <c r="B1906" s="18" t="s">
        <v>653</v>
      </c>
      <c r="C1906" s="17"/>
      <c r="D1906" s="17">
        <v>58.0</v>
      </c>
      <c r="E1906" s="17" t="s">
        <v>525</v>
      </c>
      <c r="G1906" s="19"/>
      <c r="H1906" s="20" t="s">
        <v>2345</v>
      </c>
      <c r="I1906" s="17" t="s">
        <v>52</v>
      </c>
      <c r="J1906" s="17">
        <v>0.0</v>
      </c>
      <c r="K1906" s="17">
        <v>0.0</v>
      </c>
      <c r="L1906" s="17">
        <v>0.0</v>
      </c>
      <c r="M1906" s="17">
        <v>0.0</v>
      </c>
      <c r="N1906" s="17">
        <v>0.0</v>
      </c>
      <c r="O1906" s="17">
        <v>0.0</v>
      </c>
      <c r="P1906" s="17">
        <v>0.0</v>
      </c>
      <c r="Q1906" s="17">
        <v>0.0</v>
      </c>
      <c r="R1906" s="17">
        <v>0.0</v>
      </c>
      <c r="S1906" s="17">
        <v>0.0</v>
      </c>
      <c r="T1906" s="17">
        <v>0.0</v>
      </c>
      <c r="U1906" s="17">
        <v>0.0</v>
      </c>
    </row>
    <row r="1907" ht="23.25" customHeight="1">
      <c r="A1907" s="20" t="str">
        <f>IF(COUNTIF('Icon Lookup'!C:C,B1907)&gt;0,LOOKUP(B1907,'Icon Lookup'!C:C,'Icon Lookup'!B:B),"")</f>
        <v/>
      </c>
      <c r="B1907" s="21" t="s">
        <v>478</v>
      </c>
      <c r="C1907" s="20"/>
      <c r="D1907" s="20">
        <v>58.0</v>
      </c>
      <c r="E1907" s="20" t="s">
        <v>38</v>
      </c>
      <c r="G1907" s="22"/>
      <c r="H1907" s="23" t="s">
        <v>2343</v>
      </c>
      <c r="I1907" s="20" t="s">
        <v>22</v>
      </c>
      <c r="J1907" s="20">
        <v>0.0</v>
      </c>
      <c r="K1907" s="20">
        <v>0.0</v>
      </c>
      <c r="L1907" s="20">
        <v>0.0</v>
      </c>
      <c r="M1907" s="20">
        <v>0.0</v>
      </c>
      <c r="N1907" s="20">
        <v>0.0</v>
      </c>
      <c r="O1907" s="20">
        <v>0.0</v>
      </c>
      <c r="P1907" s="20">
        <v>0.0</v>
      </c>
      <c r="Q1907" s="20">
        <v>0.0</v>
      </c>
      <c r="R1907" s="20">
        <v>0.0</v>
      </c>
      <c r="S1907" s="20">
        <v>0.0</v>
      </c>
      <c r="T1907" s="20">
        <v>0.0</v>
      </c>
      <c r="U1907" s="20">
        <v>0.0</v>
      </c>
    </row>
    <row r="1908" ht="23.25" customHeight="1">
      <c r="A1908" s="1"/>
      <c r="B1908" s="15" t="s">
        <v>2346</v>
      </c>
      <c r="C1908" s="1" t="s">
        <v>17</v>
      </c>
      <c r="D1908" s="1" t="s">
        <v>504</v>
      </c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</row>
    <row r="1909" ht="23.25" customHeight="1">
      <c r="A1909" s="17" t="str">
        <f>IF(COUNTIF('Icon Lookup'!C:C,B1909)&gt;0,LOOKUP(B1909,'Icon Lookup'!C:C,'Icon Lookup'!B:B),"")</f>
        <v/>
      </c>
      <c r="B1909" s="18" t="s">
        <v>117</v>
      </c>
      <c r="C1909" s="17"/>
      <c r="D1909" s="17">
        <v>40.0</v>
      </c>
      <c r="E1909" s="17" t="s">
        <v>26</v>
      </c>
      <c r="G1909" s="19"/>
      <c r="H1909" s="20" t="s">
        <v>2347</v>
      </c>
      <c r="I1909" s="17" t="s">
        <v>22</v>
      </c>
      <c r="J1909" s="17">
        <v>0.0</v>
      </c>
      <c r="K1909" s="17">
        <v>0.0</v>
      </c>
      <c r="L1909" s="17">
        <v>0.0</v>
      </c>
      <c r="M1909" s="17">
        <v>0.0</v>
      </c>
      <c r="N1909" s="17">
        <v>0.0</v>
      </c>
      <c r="O1909" s="17">
        <v>0.0</v>
      </c>
      <c r="P1909" s="17">
        <v>0.0</v>
      </c>
      <c r="Q1909" s="17">
        <v>0.0</v>
      </c>
      <c r="R1909" s="17">
        <v>0.0</v>
      </c>
      <c r="S1909" s="17">
        <v>0.0</v>
      </c>
      <c r="T1909" s="17">
        <v>0.0</v>
      </c>
      <c r="U1909" s="17">
        <v>0.0</v>
      </c>
    </row>
    <row r="1910" ht="23.25" customHeight="1">
      <c r="A1910" s="1"/>
      <c r="B1910" s="15" t="s">
        <v>2348</v>
      </c>
      <c r="C1910" s="1" t="s">
        <v>17</v>
      </c>
      <c r="D1910" s="1" t="s">
        <v>504</v>
      </c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</row>
    <row r="1911" ht="23.25" customHeight="1">
      <c r="A1911" s="20" t="str">
        <f>IF(COUNTIF('Icon Lookup'!C:C,B1911)&gt;0,LOOKUP(B1911,'Icon Lookup'!C:C,'Icon Lookup'!B:B),"")</f>
        <v/>
      </c>
      <c r="B1911" s="21" t="s">
        <v>741</v>
      </c>
      <c r="C1911" s="20"/>
      <c r="D1911" s="20">
        <v>55.0</v>
      </c>
      <c r="E1911" s="20" t="s">
        <v>26</v>
      </c>
      <c r="G1911" s="22"/>
      <c r="H1911" s="23" t="s">
        <v>2349</v>
      </c>
      <c r="I1911" s="20" t="s">
        <v>22</v>
      </c>
      <c r="J1911" s="20">
        <v>0.0</v>
      </c>
      <c r="K1911" s="20">
        <v>0.0</v>
      </c>
      <c r="L1911" s="20">
        <v>0.0</v>
      </c>
      <c r="M1911" s="20">
        <v>0.0</v>
      </c>
      <c r="N1911" s="20">
        <v>0.0</v>
      </c>
      <c r="O1911" s="20">
        <v>0.0</v>
      </c>
      <c r="P1911" s="20">
        <v>0.0</v>
      </c>
      <c r="Q1911" s="20">
        <v>0.0</v>
      </c>
      <c r="R1911" s="20">
        <v>0.0</v>
      </c>
      <c r="S1911" s="20">
        <v>0.0</v>
      </c>
      <c r="T1911" s="20">
        <v>0.0</v>
      </c>
      <c r="U1911" s="20">
        <v>0.0</v>
      </c>
    </row>
    <row r="1912" ht="23.25" customHeight="1">
      <c r="A1912" s="1"/>
      <c r="B1912" s="15" t="s">
        <v>2350</v>
      </c>
      <c r="C1912" s="1" t="s">
        <v>17</v>
      </c>
      <c r="D1912" s="1" t="s">
        <v>533</v>
      </c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</row>
    <row r="1913" ht="23.25" customHeight="1">
      <c r="A1913" s="17" t="str">
        <f>IF(COUNTIF('Icon Lookup'!C:C,B1913)&gt;0,LOOKUP(B1913,'Icon Lookup'!C:C,'Icon Lookup'!B:B),"")</f>
        <v/>
      </c>
      <c r="B1913" s="18" t="s">
        <v>494</v>
      </c>
      <c r="C1913" s="17"/>
      <c r="D1913" s="17">
        <v>40.0</v>
      </c>
      <c r="E1913" s="17" t="s">
        <v>495</v>
      </c>
      <c r="G1913" s="19"/>
      <c r="H1913" s="20" t="s">
        <v>496</v>
      </c>
      <c r="I1913" s="17" t="s">
        <v>156</v>
      </c>
      <c r="J1913" s="17">
        <v>0.0</v>
      </c>
      <c r="K1913" s="17">
        <v>0.0</v>
      </c>
      <c r="L1913" s="17">
        <v>0.0</v>
      </c>
      <c r="M1913" s="17">
        <v>0.0</v>
      </c>
      <c r="N1913" s="17">
        <v>0.0</v>
      </c>
      <c r="O1913" s="17">
        <v>0.0</v>
      </c>
      <c r="P1913" s="17">
        <v>0.0</v>
      </c>
      <c r="Q1913" s="17">
        <v>0.0</v>
      </c>
      <c r="R1913" s="17">
        <v>0.0</v>
      </c>
      <c r="S1913" s="17">
        <v>0.0</v>
      </c>
      <c r="T1913" s="17">
        <v>0.0</v>
      </c>
      <c r="U1913" s="17">
        <v>0.0</v>
      </c>
    </row>
    <row r="1914" ht="23.25" customHeight="1">
      <c r="A1914" s="1"/>
      <c r="B1914" s="15" t="s">
        <v>2351</v>
      </c>
      <c r="C1914" s="1" t="s">
        <v>17</v>
      </c>
      <c r="D1914" s="1" t="s">
        <v>533</v>
      </c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</row>
    <row r="1915" ht="23.25" customHeight="1">
      <c r="A1915" s="20" t="str">
        <f>IF(COUNTIF('Icon Lookup'!C:C,B1915)&gt;0,LOOKUP(B1915,'Icon Lookup'!C:C,'Icon Lookup'!B:B),"")</f>
        <v/>
      </c>
      <c r="B1915" s="21" t="s">
        <v>494</v>
      </c>
      <c r="C1915" s="20"/>
      <c r="D1915" s="20">
        <v>55.0</v>
      </c>
      <c r="E1915" s="20" t="s">
        <v>495</v>
      </c>
      <c r="G1915" s="22"/>
      <c r="H1915" s="23" t="s">
        <v>2352</v>
      </c>
      <c r="I1915" s="20" t="s">
        <v>156</v>
      </c>
      <c r="J1915" s="20">
        <v>0.0</v>
      </c>
      <c r="K1915" s="20">
        <v>0.0</v>
      </c>
      <c r="L1915" s="20">
        <v>0.0</v>
      </c>
      <c r="M1915" s="20">
        <v>0.0</v>
      </c>
      <c r="N1915" s="20">
        <v>0.0</v>
      </c>
      <c r="O1915" s="20">
        <v>0.0</v>
      </c>
      <c r="P1915" s="20">
        <v>0.0</v>
      </c>
      <c r="Q1915" s="20">
        <v>0.0</v>
      </c>
      <c r="R1915" s="20">
        <v>0.0</v>
      </c>
      <c r="S1915" s="20">
        <v>0.0</v>
      </c>
      <c r="T1915" s="20">
        <v>0.0</v>
      </c>
      <c r="U1915" s="20">
        <v>0.0</v>
      </c>
    </row>
    <row r="1916" ht="23.25" customHeight="1">
      <c r="A1916" s="1"/>
      <c r="B1916" s="15" t="s">
        <v>2353</v>
      </c>
      <c r="C1916" s="1" t="s">
        <v>17</v>
      </c>
      <c r="D1916" s="1" t="s">
        <v>626</v>
      </c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</row>
    <row r="1917" ht="23.25" customHeight="1">
      <c r="A1917" s="17" t="str">
        <f>IF(COUNTIF('Icon Lookup'!C:C,B1917)&gt;0,LOOKUP(B1917,'Icon Lookup'!C:C,'Icon Lookup'!B:B),"")</f>
        <v/>
      </c>
      <c r="B1917" s="18" t="s">
        <v>921</v>
      </c>
      <c r="C1917" s="17"/>
      <c r="D1917" s="17">
        <v>58.0</v>
      </c>
      <c r="E1917" s="17" t="s">
        <v>44</v>
      </c>
      <c r="G1917" s="19"/>
      <c r="H1917" s="20" t="s">
        <v>2299</v>
      </c>
      <c r="I1917" s="17" t="s">
        <v>22</v>
      </c>
      <c r="J1917" s="17">
        <v>0.0</v>
      </c>
      <c r="K1917" s="17">
        <v>0.0</v>
      </c>
      <c r="L1917" s="17">
        <v>0.0</v>
      </c>
      <c r="M1917" s="17">
        <v>0.0</v>
      </c>
      <c r="N1917" s="17">
        <v>0.0</v>
      </c>
      <c r="O1917" s="17">
        <v>0.0</v>
      </c>
      <c r="P1917" s="17">
        <v>0.0</v>
      </c>
      <c r="Q1917" s="17">
        <v>0.0</v>
      </c>
      <c r="R1917" s="17">
        <v>0.0</v>
      </c>
      <c r="S1917" s="17">
        <v>0.0</v>
      </c>
      <c r="T1917" s="17">
        <v>0.0</v>
      </c>
      <c r="U1917" s="17">
        <v>0.0</v>
      </c>
    </row>
    <row r="1918" ht="23.25" customHeight="1">
      <c r="A1918" s="20" t="str">
        <f>IF(COUNTIF('Icon Lookup'!C:C,B1918)&gt;0,LOOKUP(B1918,'Icon Lookup'!C:C,'Icon Lookup'!B:B),"")</f>
        <v/>
      </c>
      <c r="B1918" s="21" t="s">
        <v>628</v>
      </c>
      <c r="C1918" s="20"/>
      <c r="D1918" s="20">
        <v>58.0</v>
      </c>
      <c r="E1918" s="20" t="s">
        <v>629</v>
      </c>
      <c r="G1918" s="22"/>
      <c r="H1918" s="23" t="s">
        <v>2354</v>
      </c>
      <c r="I1918" s="20" t="s">
        <v>52</v>
      </c>
      <c r="J1918" s="20">
        <v>0.0</v>
      </c>
      <c r="K1918" s="20">
        <v>0.0</v>
      </c>
      <c r="L1918" s="20">
        <v>0.0</v>
      </c>
      <c r="M1918" s="20">
        <v>0.0</v>
      </c>
      <c r="N1918" s="20">
        <v>0.0</v>
      </c>
      <c r="O1918" s="20">
        <v>0.0</v>
      </c>
      <c r="P1918" s="20">
        <v>0.0</v>
      </c>
      <c r="Q1918" s="20">
        <v>0.0</v>
      </c>
      <c r="R1918" s="20">
        <v>0.0</v>
      </c>
      <c r="S1918" s="20">
        <v>0.0</v>
      </c>
      <c r="T1918" s="20">
        <v>0.0</v>
      </c>
      <c r="U1918" s="20">
        <v>0.0</v>
      </c>
    </row>
    <row r="1919" ht="23.25" customHeight="1">
      <c r="A1919" s="1"/>
      <c r="B1919" s="15" t="s">
        <v>2355</v>
      </c>
      <c r="C1919" s="1" t="s">
        <v>17</v>
      </c>
      <c r="D1919" s="1" t="s">
        <v>635</v>
      </c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</row>
    <row r="1920" ht="23.25" customHeight="1">
      <c r="A1920" s="17" t="str">
        <f>IF(COUNTIF('Icon Lookup'!C:C,B1920)&gt;0,LOOKUP(B1920,'Icon Lookup'!C:C,'Icon Lookup'!B:B),"")</f>
        <v/>
      </c>
      <c r="B1920" s="18" t="s">
        <v>559</v>
      </c>
      <c r="C1920" s="17"/>
      <c r="D1920" s="17">
        <v>58.0</v>
      </c>
      <c r="E1920" s="17" t="s">
        <v>560</v>
      </c>
      <c r="G1920" s="19"/>
      <c r="H1920" s="20" t="s">
        <v>2356</v>
      </c>
      <c r="I1920" s="17" t="s">
        <v>52</v>
      </c>
      <c r="J1920" s="17">
        <v>0.0</v>
      </c>
      <c r="K1920" s="17">
        <v>0.0</v>
      </c>
      <c r="L1920" s="17">
        <v>0.0</v>
      </c>
      <c r="M1920" s="17">
        <v>0.0</v>
      </c>
      <c r="N1920" s="17">
        <v>0.0</v>
      </c>
      <c r="O1920" s="17">
        <v>0.0</v>
      </c>
      <c r="P1920" s="17">
        <v>0.0</v>
      </c>
      <c r="Q1920" s="17">
        <v>0.0</v>
      </c>
      <c r="R1920" s="17">
        <v>0.0</v>
      </c>
      <c r="S1920" s="17">
        <v>0.0</v>
      </c>
      <c r="T1920" s="17">
        <v>0.0</v>
      </c>
      <c r="U1920" s="17">
        <v>0.0</v>
      </c>
    </row>
    <row r="1921" ht="23.25" customHeight="1">
      <c r="A1921" s="20" t="str">
        <f>IF(COUNTIF('Icon Lookup'!C:C,B1921)&gt;0,LOOKUP(B1921,'Icon Lookup'!C:C,'Icon Lookup'!B:B),"")</f>
        <v/>
      </c>
      <c r="B1921" s="21" t="s">
        <v>398</v>
      </c>
      <c r="C1921" s="20"/>
      <c r="D1921" s="20">
        <v>58.0</v>
      </c>
      <c r="E1921" s="20" t="s">
        <v>399</v>
      </c>
      <c r="G1921" s="22"/>
      <c r="H1921" s="23" t="s">
        <v>2357</v>
      </c>
      <c r="I1921" s="20" t="s">
        <v>22</v>
      </c>
      <c r="J1921" s="20">
        <v>0.0</v>
      </c>
      <c r="K1921" s="20">
        <v>0.0</v>
      </c>
      <c r="L1921" s="20">
        <v>0.0</v>
      </c>
      <c r="M1921" s="20">
        <v>0.0</v>
      </c>
      <c r="N1921" s="20">
        <v>0.0</v>
      </c>
      <c r="O1921" s="20">
        <v>0.0</v>
      </c>
      <c r="P1921" s="20">
        <v>0.0</v>
      </c>
      <c r="Q1921" s="20">
        <v>0.0</v>
      </c>
      <c r="R1921" s="20">
        <v>0.0</v>
      </c>
      <c r="S1921" s="20">
        <v>0.0</v>
      </c>
      <c r="T1921" s="20">
        <v>0.0</v>
      </c>
      <c r="U1921" s="20">
        <v>0.0</v>
      </c>
    </row>
    <row r="1922" ht="23.25" customHeight="1">
      <c r="A1922" s="1"/>
      <c r="B1922" s="15" t="s">
        <v>2358</v>
      </c>
      <c r="C1922" s="1" t="s">
        <v>17</v>
      </c>
      <c r="D1922" s="1" t="s">
        <v>1958</v>
      </c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</row>
    <row r="1923" ht="23.25" customHeight="1">
      <c r="A1923" s="17" t="str">
        <f>IF(COUNTIF('Icon Lookup'!C:C,B1923)&gt;0,LOOKUP(B1923,'Icon Lookup'!C:C,'Icon Lookup'!B:B),"")</f>
        <v/>
      </c>
      <c r="B1923" s="18" t="s">
        <v>1993</v>
      </c>
      <c r="C1923" s="17"/>
      <c r="D1923" s="17">
        <v>58.0</v>
      </c>
      <c r="E1923" s="17" t="s">
        <v>382</v>
      </c>
      <c r="G1923" s="19"/>
      <c r="H1923" s="20" t="s">
        <v>1960</v>
      </c>
      <c r="I1923" s="17" t="s">
        <v>105</v>
      </c>
      <c r="J1923" s="17">
        <v>0.0</v>
      </c>
      <c r="K1923" s="17">
        <v>0.0</v>
      </c>
      <c r="L1923" s="17">
        <v>0.0</v>
      </c>
      <c r="M1923" s="17">
        <v>0.0</v>
      </c>
      <c r="N1923" s="17">
        <v>0.0</v>
      </c>
      <c r="O1923" s="17">
        <v>0.0</v>
      </c>
      <c r="P1923" s="17">
        <v>0.0</v>
      </c>
      <c r="Q1923" s="17">
        <v>0.0</v>
      </c>
      <c r="R1923" s="17">
        <v>0.0</v>
      </c>
      <c r="S1923" s="17">
        <v>0.0</v>
      </c>
      <c r="T1923" s="17">
        <v>0.0</v>
      </c>
      <c r="U1923" s="17">
        <v>0.0</v>
      </c>
    </row>
    <row r="1924" ht="23.25" customHeight="1">
      <c r="A1924" s="20" t="str">
        <f>IF(COUNTIF('Icon Lookup'!C:C,B1924)&gt;0,LOOKUP(B1924,'Icon Lookup'!C:C,'Icon Lookup'!B:B),"")</f>
        <v/>
      </c>
      <c r="B1924" s="21" t="s">
        <v>1961</v>
      </c>
      <c r="C1924" s="20"/>
      <c r="D1924" s="20">
        <v>58.0</v>
      </c>
      <c r="E1924" s="20" t="s">
        <v>959</v>
      </c>
      <c r="G1924" s="22"/>
      <c r="H1924" s="23" t="s">
        <v>1962</v>
      </c>
      <c r="I1924" s="20" t="s">
        <v>52</v>
      </c>
      <c r="J1924" s="20">
        <v>0.0</v>
      </c>
      <c r="K1924" s="20">
        <v>0.0</v>
      </c>
      <c r="L1924" s="20">
        <v>0.0</v>
      </c>
      <c r="M1924" s="20">
        <v>0.0</v>
      </c>
      <c r="N1924" s="20">
        <v>0.0</v>
      </c>
      <c r="O1924" s="20">
        <v>0.0</v>
      </c>
      <c r="P1924" s="20">
        <v>0.0</v>
      </c>
      <c r="Q1924" s="20">
        <v>0.0</v>
      </c>
      <c r="R1924" s="20">
        <v>0.0</v>
      </c>
      <c r="S1924" s="20">
        <v>0.0</v>
      </c>
      <c r="T1924" s="20">
        <v>0.0</v>
      </c>
      <c r="U1924" s="20">
        <v>0.0</v>
      </c>
    </row>
    <row r="1925" ht="23.25" customHeight="1">
      <c r="A1925" s="1"/>
      <c r="B1925" s="15" t="s">
        <v>2359</v>
      </c>
      <c r="C1925" s="1" t="s">
        <v>17</v>
      </c>
      <c r="D1925" s="1" t="s">
        <v>656</v>
      </c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</row>
    <row r="1926" ht="23.25" customHeight="1">
      <c r="A1926" s="17" t="str">
        <f>IF(COUNTIF('Icon Lookup'!C:C,B1926)&gt;0,LOOKUP(B1926,'Icon Lookup'!C:C,'Icon Lookup'!B:B),"")</f>
        <v/>
      </c>
      <c r="B1926" s="18" t="s">
        <v>657</v>
      </c>
      <c r="C1926" s="17"/>
      <c r="D1926" s="17">
        <v>60.0</v>
      </c>
      <c r="E1926" s="17" t="s">
        <v>44</v>
      </c>
      <c r="G1926" s="19"/>
      <c r="H1926" s="20" t="s">
        <v>2360</v>
      </c>
      <c r="I1926" s="17" t="s">
        <v>52</v>
      </c>
      <c r="J1926" s="17">
        <v>0.0</v>
      </c>
      <c r="K1926" s="17">
        <v>0.0</v>
      </c>
      <c r="L1926" s="17">
        <v>0.0</v>
      </c>
      <c r="M1926" s="17">
        <v>0.0</v>
      </c>
      <c r="N1926" s="17">
        <v>0.0</v>
      </c>
      <c r="O1926" s="17">
        <v>0.0</v>
      </c>
      <c r="P1926" s="17">
        <v>0.0</v>
      </c>
      <c r="Q1926" s="17">
        <v>0.0</v>
      </c>
      <c r="R1926" s="17">
        <v>0.0</v>
      </c>
      <c r="S1926" s="17">
        <v>0.0</v>
      </c>
      <c r="T1926" s="17">
        <v>0.0</v>
      </c>
      <c r="U1926" s="17">
        <v>0.0</v>
      </c>
    </row>
    <row r="1927" ht="23.25" customHeight="1">
      <c r="A1927" s="1"/>
      <c r="B1927" s="15" t="s">
        <v>2361</v>
      </c>
      <c r="C1927" s="1" t="s">
        <v>17</v>
      </c>
      <c r="D1927" s="1" t="s">
        <v>669</v>
      </c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</row>
    <row r="1928" ht="23.25" customHeight="1">
      <c r="A1928" s="20" t="str">
        <f>IF(COUNTIF('Icon Lookup'!C:C,B1928)&gt;0,LOOKUP(B1928,'Icon Lookup'!C:C,'Icon Lookup'!B:B),"")</f>
        <v/>
      </c>
      <c r="B1928" s="21" t="s">
        <v>410</v>
      </c>
      <c r="C1928" s="20"/>
      <c r="D1928" s="20">
        <v>58.0</v>
      </c>
      <c r="E1928" s="20" t="s">
        <v>411</v>
      </c>
      <c r="G1928" s="22"/>
      <c r="H1928" s="23" t="s">
        <v>2362</v>
      </c>
      <c r="I1928" s="20" t="s">
        <v>52</v>
      </c>
      <c r="J1928" s="20">
        <v>0.0</v>
      </c>
      <c r="K1928" s="20">
        <v>0.0</v>
      </c>
      <c r="L1928" s="20">
        <v>0.0</v>
      </c>
      <c r="M1928" s="20">
        <v>0.0</v>
      </c>
      <c r="N1928" s="20">
        <v>0.0</v>
      </c>
      <c r="O1928" s="20">
        <v>0.0</v>
      </c>
      <c r="P1928" s="20">
        <v>0.0</v>
      </c>
      <c r="Q1928" s="20">
        <v>0.0</v>
      </c>
      <c r="R1928" s="20">
        <v>0.0</v>
      </c>
      <c r="S1928" s="20">
        <v>0.0</v>
      </c>
      <c r="T1928" s="20">
        <v>0.0</v>
      </c>
      <c r="U1928" s="20">
        <v>0.0</v>
      </c>
    </row>
    <row r="1929" ht="23.25" customHeight="1">
      <c r="A1929" s="17" t="str">
        <f>IF(COUNTIF('Icon Lookup'!C:C,B1929)&gt;0,LOOKUP(B1929,'Icon Lookup'!C:C,'Icon Lookup'!B:B),"")</f>
        <v/>
      </c>
      <c r="B1929" s="18" t="s">
        <v>515</v>
      </c>
      <c r="C1929" s="17"/>
      <c r="D1929" s="17">
        <v>58.0</v>
      </c>
      <c r="E1929" s="17" t="s">
        <v>44</v>
      </c>
      <c r="G1929" s="19"/>
      <c r="H1929" s="20" t="s">
        <v>2363</v>
      </c>
      <c r="I1929" s="17" t="s">
        <v>550</v>
      </c>
      <c r="J1929" s="17">
        <v>0.0</v>
      </c>
      <c r="K1929" s="17">
        <v>0.0</v>
      </c>
      <c r="L1929" s="17">
        <v>0.0</v>
      </c>
      <c r="M1929" s="17">
        <v>0.0</v>
      </c>
      <c r="N1929" s="17">
        <v>0.0</v>
      </c>
      <c r="O1929" s="17">
        <v>0.0</v>
      </c>
      <c r="P1929" s="17">
        <v>0.0</v>
      </c>
      <c r="Q1929" s="17">
        <v>0.0</v>
      </c>
      <c r="R1929" s="17">
        <v>0.0</v>
      </c>
      <c r="S1929" s="17">
        <v>0.0</v>
      </c>
      <c r="T1929" s="17">
        <v>0.0</v>
      </c>
      <c r="U1929" s="17">
        <v>0.0</v>
      </c>
    </row>
    <row r="1930" ht="23.25" customHeight="1">
      <c r="A1930" s="1"/>
      <c r="B1930" s="15" t="s">
        <v>2364</v>
      </c>
      <c r="C1930" s="1" t="s">
        <v>17</v>
      </c>
      <c r="D1930" s="1" t="s">
        <v>1981</v>
      </c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</row>
    <row r="1931" ht="23.25" customHeight="1">
      <c r="A1931" s="20" t="str">
        <f>IF(COUNTIF('Icon Lookup'!C:C,B1931)&gt;0,LOOKUP(B1931,'Icon Lookup'!C:C,'Icon Lookup'!B:B),"")</f>
        <v/>
      </c>
      <c r="B1931" s="21" t="s">
        <v>1982</v>
      </c>
      <c r="C1931" s="20"/>
      <c r="D1931" s="20">
        <v>56.0</v>
      </c>
      <c r="E1931" s="20" t="s">
        <v>44</v>
      </c>
      <c r="G1931" s="22"/>
      <c r="H1931" s="23" t="s">
        <v>1983</v>
      </c>
      <c r="I1931" s="20" t="s">
        <v>105</v>
      </c>
      <c r="J1931" s="20">
        <v>0.0</v>
      </c>
      <c r="K1931" s="20">
        <v>0.0</v>
      </c>
      <c r="L1931" s="20">
        <v>0.0</v>
      </c>
      <c r="M1931" s="20">
        <v>0.0</v>
      </c>
      <c r="N1931" s="20">
        <v>0.0</v>
      </c>
      <c r="O1931" s="20">
        <v>0.0</v>
      </c>
      <c r="P1931" s="20">
        <v>0.0</v>
      </c>
      <c r="Q1931" s="20">
        <v>0.0</v>
      </c>
      <c r="R1931" s="20">
        <v>0.0</v>
      </c>
      <c r="S1931" s="20">
        <v>0.0</v>
      </c>
      <c r="T1931" s="20">
        <v>0.0</v>
      </c>
      <c r="U1931" s="20">
        <v>0.0</v>
      </c>
    </row>
    <row r="1932" ht="23.25" customHeight="1">
      <c r="A1932" s="17" t="str">
        <f>IF(COUNTIF('Icon Lookup'!C:C,B1932)&gt;0,LOOKUP(B1932,'Icon Lookup'!C:C,'Icon Lookup'!B:B),"")</f>
        <v/>
      </c>
      <c r="B1932" s="18" t="s">
        <v>1984</v>
      </c>
      <c r="C1932" s="17"/>
      <c r="D1932" s="17">
        <v>60.0</v>
      </c>
      <c r="E1932" s="17" t="s">
        <v>525</v>
      </c>
      <c r="G1932" s="19"/>
      <c r="H1932" s="20" t="s">
        <v>2365</v>
      </c>
      <c r="I1932" s="17" t="s">
        <v>612</v>
      </c>
      <c r="J1932" s="17">
        <v>0.0</v>
      </c>
      <c r="K1932" s="17">
        <v>0.0</v>
      </c>
      <c r="L1932" s="17">
        <v>0.0</v>
      </c>
      <c r="M1932" s="17">
        <v>0.0</v>
      </c>
      <c r="N1932" s="17">
        <v>0.0</v>
      </c>
      <c r="O1932" s="17">
        <v>0.0</v>
      </c>
      <c r="P1932" s="17">
        <v>0.0</v>
      </c>
      <c r="Q1932" s="17">
        <v>0.0</v>
      </c>
      <c r="R1932" s="17">
        <v>0.0</v>
      </c>
      <c r="S1932" s="17">
        <v>0.0</v>
      </c>
      <c r="T1932" s="17">
        <v>0.0</v>
      </c>
      <c r="U1932" s="17">
        <v>0.0</v>
      </c>
    </row>
    <row r="1933" ht="23.25" customHeight="1">
      <c r="A1933" s="1"/>
      <c r="B1933" s="15" t="s">
        <v>2366</v>
      </c>
      <c r="C1933" s="1" t="s">
        <v>17</v>
      </c>
      <c r="D1933" s="1" t="s">
        <v>18</v>
      </c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</row>
    <row r="1934" ht="23.25" customHeight="1">
      <c r="A1934" s="20" t="str">
        <f>IF(COUNTIF('Icon Lookup'!C:C,B1934)&gt;0,LOOKUP(B1934,'Icon Lookup'!C:C,'Icon Lookup'!B:B),"")</f>
        <v/>
      </c>
      <c r="B1934" s="21" t="s">
        <v>19</v>
      </c>
      <c r="C1934" s="20"/>
      <c r="D1934" s="20">
        <v>19.0</v>
      </c>
      <c r="E1934" s="20" t="s">
        <v>20</v>
      </c>
      <c r="G1934" s="22"/>
      <c r="H1934" s="23" t="s">
        <v>1074</v>
      </c>
      <c r="I1934" s="20" t="s">
        <v>22</v>
      </c>
      <c r="J1934" s="20">
        <v>0.0</v>
      </c>
      <c r="K1934" s="20">
        <v>0.0</v>
      </c>
      <c r="L1934" s="20">
        <v>0.0</v>
      </c>
      <c r="M1934" s="20">
        <v>0.0</v>
      </c>
      <c r="N1934" s="20">
        <v>0.0</v>
      </c>
      <c r="O1934" s="20">
        <v>0.0</v>
      </c>
      <c r="P1934" s="20">
        <v>0.0</v>
      </c>
      <c r="Q1934" s="20">
        <v>0.0</v>
      </c>
      <c r="R1934" s="20">
        <v>0.0</v>
      </c>
      <c r="S1934" s="20">
        <v>0.0</v>
      </c>
      <c r="T1934" s="20">
        <v>0.0</v>
      </c>
      <c r="U1934" s="20">
        <v>0.0</v>
      </c>
    </row>
    <row r="1935" ht="23.25" customHeight="1">
      <c r="A1935" s="1"/>
      <c r="B1935" s="15" t="s">
        <v>2367</v>
      </c>
      <c r="C1935" s="1" t="s">
        <v>17</v>
      </c>
      <c r="D1935" s="1" t="s">
        <v>18</v>
      </c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</row>
    <row r="1936" ht="23.25" customHeight="1">
      <c r="A1936" s="17" t="str">
        <f>IF(COUNTIF('Icon Lookup'!C:C,B1936)&gt;0,LOOKUP(B1936,'Icon Lookup'!C:C,'Icon Lookup'!B:B),"")</f>
        <v/>
      </c>
      <c r="B1936" s="18" t="s">
        <v>117</v>
      </c>
      <c r="C1936" s="17"/>
      <c r="D1936" s="17">
        <v>31.0</v>
      </c>
      <c r="E1936" s="17" t="s">
        <v>26</v>
      </c>
      <c r="G1936" s="19"/>
      <c r="H1936" s="20" t="s">
        <v>505</v>
      </c>
      <c r="I1936" s="17" t="s">
        <v>22</v>
      </c>
      <c r="J1936" s="17">
        <v>0.0</v>
      </c>
      <c r="K1936" s="17">
        <v>0.0</v>
      </c>
      <c r="L1936" s="17">
        <v>0.0</v>
      </c>
      <c r="M1936" s="17">
        <v>0.0</v>
      </c>
      <c r="N1936" s="17">
        <v>0.0</v>
      </c>
      <c r="O1936" s="17">
        <v>0.0</v>
      </c>
      <c r="P1936" s="17">
        <v>0.0</v>
      </c>
      <c r="Q1936" s="17">
        <v>0.0</v>
      </c>
      <c r="R1936" s="17">
        <v>0.0</v>
      </c>
      <c r="S1936" s="17">
        <v>0.0</v>
      </c>
      <c r="T1936" s="17">
        <v>0.0</v>
      </c>
      <c r="U1936" s="17">
        <v>0.0</v>
      </c>
    </row>
    <row r="1937" ht="23.25" customHeight="1">
      <c r="A1937" s="1"/>
      <c r="B1937" s="15" t="s">
        <v>2368</v>
      </c>
      <c r="C1937" s="1" t="s">
        <v>17</v>
      </c>
      <c r="D1937" s="1" t="s">
        <v>18</v>
      </c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</row>
    <row r="1938" ht="23.25" customHeight="1">
      <c r="A1938" s="20" t="str">
        <f>IF(COUNTIF('Icon Lookup'!C:C,B1938)&gt;0,LOOKUP(B1938,'Icon Lookup'!C:C,'Icon Lookup'!B:B),"")</f>
        <v/>
      </c>
      <c r="B1938" s="21" t="s">
        <v>117</v>
      </c>
      <c r="C1938" s="20"/>
      <c r="D1938" s="20">
        <v>40.0</v>
      </c>
      <c r="E1938" s="20" t="s">
        <v>26</v>
      </c>
      <c r="G1938" s="22"/>
      <c r="H1938" s="23" t="s">
        <v>2117</v>
      </c>
      <c r="I1938" s="20" t="s">
        <v>22</v>
      </c>
      <c r="J1938" s="20">
        <v>0.0</v>
      </c>
      <c r="K1938" s="20">
        <v>0.0</v>
      </c>
      <c r="L1938" s="20">
        <v>0.0</v>
      </c>
      <c r="M1938" s="20">
        <v>0.0</v>
      </c>
      <c r="N1938" s="20">
        <v>0.0</v>
      </c>
      <c r="O1938" s="20">
        <v>0.0</v>
      </c>
      <c r="P1938" s="20">
        <v>0.0</v>
      </c>
      <c r="Q1938" s="20">
        <v>0.0</v>
      </c>
      <c r="R1938" s="20">
        <v>0.0</v>
      </c>
      <c r="S1938" s="20">
        <v>0.0</v>
      </c>
      <c r="T1938" s="20">
        <v>0.0</v>
      </c>
      <c r="U1938" s="20">
        <v>0.0</v>
      </c>
    </row>
    <row r="1939" ht="23.25" customHeight="1">
      <c r="A1939" s="1"/>
      <c r="B1939" s="15" t="s">
        <v>2369</v>
      </c>
      <c r="C1939" s="1" t="s">
        <v>17</v>
      </c>
      <c r="D1939" s="1" t="s">
        <v>1229</v>
      </c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</row>
    <row r="1940" ht="23.25" customHeight="1">
      <c r="A1940" s="17" t="str">
        <f>IF(COUNTIF('Icon Lookup'!C:C,B1940)&gt;0,LOOKUP(B1940,'Icon Lookup'!C:C,'Icon Lookup'!B:B),"")</f>
        <v/>
      </c>
      <c r="B1940" s="18" t="s">
        <v>697</v>
      </c>
      <c r="C1940" s="17"/>
      <c r="D1940" s="17">
        <v>19.0</v>
      </c>
      <c r="E1940" s="17" t="s">
        <v>258</v>
      </c>
      <c r="G1940" s="19"/>
      <c r="H1940" s="20" t="s">
        <v>2370</v>
      </c>
      <c r="I1940" s="17" t="s">
        <v>22</v>
      </c>
      <c r="J1940" s="17">
        <v>0.0</v>
      </c>
      <c r="K1940" s="17">
        <v>0.0</v>
      </c>
      <c r="L1940" s="17">
        <v>0.0</v>
      </c>
      <c r="M1940" s="17">
        <v>0.0</v>
      </c>
      <c r="N1940" s="17">
        <v>0.0</v>
      </c>
      <c r="O1940" s="17">
        <v>0.0</v>
      </c>
      <c r="P1940" s="17">
        <v>0.0</v>
      </c>
      <c r="Q1940" s="17">
        <v>0.0</v>
      </c>
      <c r="R1940" s="17">
        <v>0.0</v>
      </c>
      <c r="S1940" s="17">
        <v>0.0</v>
      </c>
      <c r="T1940" s="17">
        <v>0.0</v>
      </c>
      <c r="U1940" s="17">
        <v>0.0</v>
      </c>
    </row>
    <row r="1941" ht="23.25" customHeight="1">
      <c r="A1941" s="1"/>
      <c r="B1941" s="15" t="s">
        <v>2371</v>
      </c>
      <c r="C1941" s="1" t="s">
        <v>17</v>
      </c>
      <c r="D1941" s="1" t="s">
        <v>1229</v>
      </c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</row>
    <row r="1942" ht="23.25" customHeight="1">
      <c r="A1942" s="20" t="str">
        <f>IF(COUNTIF('Icon Lookup'!C:C,B1942)&gt;0,LOOKUP(B1942,'Icon Lookup'!C:C,'Icon Lookup'!B:B),"")</f>
        <v/>
      </c>
      <c r="B1942" s="21" t="s">
        <v>697</v>
      </c>
      <c r="C1942" s="20"/>
      <c r="D1942" s="20">
        <v>31.0</v>
      </c>
      <c r="E1942" s="20" t="s">
        <v>258</v>
      </c>
      <c r="G1942" s="22"/>
      <c r="H1942" s="23" t="s">
        <v>2372</v>
      </c>
      <c r="I1942" s="20" t="s">
        <v>22</v>
      </c>
      <c r="J1942" s="20">
        <v>0.0</v>
      </c>
      <c r="K1942" s="20">
        <v>0.0</v>
      </c>
      <c r="L1942" s="20">
        <v>0.0</v>
      </c>
      <c r="M1942" s="20">
        <v>0.0</v>
      </c>
      <c r="N1942" s="20">
        <v>0.0</v>
      </c>
      <c r="O1942" s="20">
        <v>0.0</v>
      </c>
      <c r="P1942" s="20">
        <v>0.0</v>
      </c>
      <c r="Q1942" s="20">
        <v>0.0</v>
      </c>
      <c r="R1942" s="20">
        <v>0.0</v>
      </c>
      <c r="S1942" s="20">
        <v>0.0</v>
      </c>
      <c r="T1942" s="20">
        <v>0.0</v>
      </c>
      <c r="U1942" s="20">
        <v>0.0</v>
      </c>
    </row>
    <row r="1943" ht="23.25" customHeight="1">
      <c r="A1943" s="1"/>
      <c r="B1943" s="15" t="s">
        <v>2373</v>
      </c>
      <c r="C1943" s="1" t="s">
        <v>17</v>
      </c>
      <c r="D1943" s="1" t="s">
        <v>1229</v>
      </c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</row>
    <row r="1944" ht="23.25" customHeight="1">
      <c r="A1944" s="17" t="str">
        <f>IF(COUNTIF('Icon Lookup'!C:C,B1944)&gt;0,LOOKUP(B1944,'Icon Lookup'!C:C,'Icon Lookup'!B:B),"")</f>
        <v/>
      </c>
      <c r="B1944" s="18" t="s">
        <v>697</v>
      </c>
      <c r="C1944" s="17"/>
      <c r="D1944" s="17">
        <v>55.0</v>
      </c>
      <c r="E1944" s="17" t="s">
        <v>258</v>
      </c>
      <c r="G1944" s="19"/>
      <c r="H1944" s="20" t="s">
        <v>2374</v>
      </c>
      <c r="I1944" s="17" t="s">
        <v>22</v>
      </c>
      <c r="J1944" s="17">
        <v>0.0</v>
      </c>
      <c r="K1944" s="17">
        <v>0.0</v>
      </c>
      <c r="L1944" s="17">
        <v>0.0</v>
      </c>
      <c r="M1944" s="17">
        <v>0.0</v>
      </c>
      <c r="N1944" s="17">
        <v>0.0</v>
      </c>
      <c r="O1944" s="17">
        <v>0.0</v>
      </c>
      <c r="P1944" s="17">
        <v>0.0</v>
      </c>
      <c r="Q1944" s="17">
        <v>0.0</v>
      </c>
      <c r="R1944" s="17">
        <v>0.0</v>
      </c>
      <c r="S1944" s="17">
        <v>0.0</v>
      </c>
      <c r="T1944" s="17">
        <v>0.0</v>
      </c>
      <c r="U1944" s="17">
        <v>0.0</v>
      </c>
    </row>
    <row r="1945" ht="23.25" customHeight="1">
      <c r="A1945" s="1"/>
      <c r="B1945" s="15" t="s">
        <v>2375</v>
      </c>
      <c r="C1945" s="1" t="s">
        <v>17</v>
      </c>
      <c r="D1945" s="1" t="s">
        <v>414</v>
      </c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</row>
    <row r="1946" ht="23.25" customHeight="1">
      <c r="A1946" s="20" t="str">
        <f t="shared" ref="A1946:A1947" si="2">IMAGE("https://www.smogon.com/forums//media/minisprites/shellos-east.png",3)</f>
        <v/>
      </c>
      <c r="B1946" s="21" t="s">
        <v>415</v>
      </c>
      <c r="C1946" s="20"/>
      <c r="D1946" s="20">
        <v>28.0</v>
      </c>
      <c r="E1946" s="20" t="s">
        <v>366</v>
      </c>
      <c r="G1946" s="22"/>
      <c r="H1946" s="23" t="s">
        <v>2376</v>
      </c>
      <c r="I1946" s="20" t="s">
        <v>105</v>
      </c>
      <c r="J1946" s="20">
        <v>0.0</v>
      </c>
      <c r="K1946" s="20">
        <v>0.0</v>
      </c>
      <c r="L1946" s="20">
        <v>0.0</v>
      </c>
      <c r="M1946" s="20">
        <v>0.0</v>
      </c>
      <c r="N1946" s="20">
        <v>0.0</v>
      </c>
      <c r="O1946" s="20">
        <v>0.0</v>
      </c>
      <c r="P1946" s="20">
        <v>0.0</v>
      </c>
      <c r="Q1946" s="20">
        <v>0.0</v>
      </c>
      <c r="R1946" s="20">
        <v>0.0</v>
      </c>
      <c r="S1946" s="20">
        <v>0.0</v>
      </c>
      <c r="T1946" s="20">
        <v>0.0</v>
      </c>
      <c r="U1946" s="20">
        <v>0.0</v>
      </c>
    </row>
    <row r="1947" ht="23.25" customHeight="1">
      <c r="A1947" s="17" t="str">
        <f t="shared" si="2"/>
        <v/>
      </c>
      <c r="B1947" s="18" t="s">
        <v>415</v>
      </c>
      <c r="C1947" s="17"/>
      <c r="D1947" s="17">
        <v>27.0</v>
      </c>
      <c r="E1947" s="17" t="s">
        <v>366</v>
      </c>
      <c r="G1947" s="19"/>
      <c r="H1947" s="20" t="s">
        <v>587</v>
      </c>
      <c r="I1947" s="17" t="s">
        <v>105</v>
      </c>
      <c r="J1947" s="17">
        <v>0.0</v>
      </c>
      <c r="K1947" s="17">
        <v>0.0</v>
      </c>
      <c r="L1947" s="17">
        <v>0.0</v>
      </c>
      <c r="M1947" s="17">
        <v>0.0</v>
      </c>
      <c r="N1947" s="17">
        <v>0.0</v>
      </c>
      <c r="O1947" s="17">
        <v>0.0</v>
      </c>
      <c r="P1947" s="17">
        <v>0.0</v>
      </c>
      <c r="Q1947" s="17">
        <v>0.0</v>
      </c>
      <c r="R1947" s="17">
        <v>0.0</v>
      </c>
      <c r="S1947" s="17">
        <v>0.0</v>
      </c>
      <c r="T1947" s="17">
        <v>0.0</v>
      </c>
      <c r="U1947" s="17">
        <v>0.0</v>
      </c>
    </row>
    <row r="1948" ht="23.25" customHeight="1">
      <c r="A1948" s="20" t="str">
        <f>IF(COUNTIF('Icon Lookup'!C:C,B1948)&gt;0,LOOKUP(B1948,'Icon Lookup'!C:C,'Icon Lookup'!B:B),"")</f>
        <v/>
      </c>
      <c r="B1948" s="21" t="s">
        <v>365</v>
      </c>
      <c r="C1948" s="20"/>
      <c r="D1948" s="20">
        <v>29.0</v>
      </c>
      <c r="E1948" s="20" t="s">
        <v>366</v>
      </c>
      <c r="G1948" s="22"/>
      <c r="H1948" s="23" t="s">
        <v>587</v>
      </c>
      <c r="I1948" s="20" t="s">
        <v>105</v>
      </c>
      <c r="J1948" s="20">
        <v>0.0</v>
      </c>
      <c r="K1948" s="20">
        <v>0.0</v>
      </c>
      <c r="L1948" s="20">
        <v>0.0</v>
      </c>
      <c r="M1948" s="20">
        <v>0.0</v>
      </c>
      <c r="N1948" s="20">
        <v>0.0</v>
      </c>
      <c r="O1948" s="20">
        <v>0.0</v>
      </c>
      <c r="P1948" s="20">
        <v>0.0</v>
      </c>
      <c r="Q1948" s="20">
        <v>0.0</v>
      </c>
      <c r="R1948" s="20">
        <v>0.0</v>
      </c>
      <c r="S1948" s="20">
        <v>0.0</v>
      </c>
      <c r="T1948" s="20">
        <v>0.0</v>
      </c>
      <c r="U1948" s="20">
        <v>0.0</v>
      </c>
    </row>
    <row r="1949" ht="23.25" customHeight="1">
      <c r="A1949" s="1"/>
      <c r="B1949" s="15" t="s">
        <v>2377</v>
      </c>
      <c r="C1949" s="1" t="s">
        <v>17</v>
      </c>
      <c r="D1949" s="1" t="s">
        <v>414</v>
      </c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</row>
    <row r="1950" ht="23.25" customHeight="1">
      <c r="A1950" s="17" t="str">
        <f t="shared" ref="A1950:A1951" si="3">IMAGE("https://www.smogon.com/forums//media/minisprites/gastrodon-east.png",3)</f>
        <v/>
      </c>
      <c r="B1950" s="18" t="s">
        <v>2378</v>
      </c>
      <c r="C1950" s="17"/>
      <c r="D1950" s="17">
        <v>52.0</v>
      </c>
      <c r="E1950" s="17" t="s">
        <v>366</v>
      </c>
      <c r="G1950" s="19"/>
      <c r="H1950" s="20" t="s">
        <v>1537</v>
      </c>
      <c r="I1950" s="17" t="s">
        <v>105</v>
      </c>
      <c r="J1950" s="17">
        <v>0.0</v>
      </c>
      <c r="K1950" s="17">
        <v>0.0</v>
      </c>
      <c r="L1950" s="17">
        <v>0.0</v>
      </c>
      <c r="M1950" s="17">
        <v>0.0</v>
      </c>
      <c r="N1950" s="17">
        <v>0.0</v>
      </c>
      <c r="O1950" s="17">
        <v>0.0</v>
      </c>
      <c r="P1950" s="17">
        <v>0.0</v>
      </c>
      <c r="Q1950" s="17">
        <v>0.0</v>
      </c>
      <c r="R1950" s="17">
        <v>0.0</v>
      </c>
      <c r="S1950" s="17">
        <v>0.0</v>
      </c>
      <c r="T1950" s="17">
        <v>0.0</v>
      </c>
      <c r="U1950" s="17">
        <v>0.0</v>
      </c>
    </row>
    <row r="1951" ht="23.25" customHeight="1">
      <c r="A1951" s="20" t="str">
        <f t="shared" si="3"/>
        <v/>
      </c>
      <c r="B1951" s="21" t="s">
        <v>2378</v>
      </c>
      <c r="C1951" s="20"/>
      <c r="D1951" s="20">
        <v>53.0</v>
      </c>
      <c r="E1951" s="20" t="s">
        <v>366</v>
      </c>
      <c r="G1951" s="22"/>
      <c r="H1951" s="23" t="s">
        <v>1534</v>
      </c>
      <c r="I1951" s="20" t="s">
        <v>105</v>
      </c>
      <c r="J1951" s="20">
        <v>0.0</v>
      </c>
      <c r="K1951" s="20">
        <v>0.0</v>
      </c>
      <c r="L1951" s="20">
        <v>0.0</v>
      </c>
      <c r="M1951" s="20">
        <v>0.0</v>
      </c>
      <c r="N1951" s="20">
        <v>0.0</v>
      </c>
      <c r="O1951" s="20">
        <v>0.0</v>
      </c>
      <c r="P1951" s="20">
        <v>0.0</v>
      </c>
      <c r="Q1951" s="20">
        <v>0.0</v>
      </c>
      <c r="R1951" s="20">
        <v>0.0</v>
      </c>
      <c r="S1951" s="20">
        <v>0.0</v>
      </c>
      <c r="T1951" s="20">
        <v>0.0</v>
      </c>
      <c r="U1951" s="20">
        <v>0.0</v>
      </c>
    </row>
    <row r="1952" ht="23.25" customHeight="1">
      <c r="A1952" s="17" t="str">
        <f>IF(COUNTIF('Icon Lookup'!C:C,B1952)&gt;0,LOOKUP(B1952,'Icon Lookup'!C:C,'Icon Lookup'!B:B),"")</f>
        <v/>
      </c>
      <c r="B1952" s="18" t="s">
        <v>586</v>
      </c>
      <c r="C1952" s="17"/>
      <c r="D1952" s="17">
        <v>51.0</v>
      </c>
      <c r="E1952" s="17" t="s">
        <v>366</v>
      </c>
      <c r="G1952" s="19"/>
      <c r="H1952" s="20" t="s">
        <v>1325</v>
      </c>
      <c r="I1952" s="17" t="s">
        <v>105</v>
      </c>
      <c r="J1952" s="17">
        <v>0.0</v>
      </c>
      <c r="K1952" s="17">
        <v>0.0</v>
      </c>
      <c r="L1952" s="17">
        <v>0.0</v>
      </c>
      <c r="M1952" s="17">
        <v>0.0</v>
      </c>
      <c r="N1952" s="17">
        <v>0.0</v>
      </c>
      <c r="O1952" s="17">
        <v>0.0</v>
      </c>
      <c r="P1952" s="17">
        <v>0.0</v>
      </c>
      <c r="Q1952" s="17">
        <v>0.0</v>
      </c>
      <c r="R1952" s="17">
        <v>0.0</v>
      </c>
      <c r="S1952" s="17">
        <v>0.0</v>
      </c>
      <c r="T1952" s="17">
        <v>0.0</v>
      </c>
      <c r="U1952" s="17">
        <v>0.0</v>
      </c>
    </row>
    <row r="1953" ht="23.25" customHeight="1">
      <c r="A1953" s="1"/>
      <c r="B1953" s="15" t="s">
        <v>2379</v>
      </c>
      <c r="C1953" s="1" t="s">
        <v>17</v>
      </c>
      <c r="D1953" s="1" t="s">
        <v>418</v>
      </c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</row>
    <row r="1954" ht="23.25" customHeight="1">
      <c r="A1954" s="20" t="str">
        <f>IF(COUNTIF('Icon Lookup'!C:C,B1954)&gt;0,LOOKUP(B1954,'Icon Lookup'!C:C,'Icon Lookup'!B:B),"")</f>
        <v/>
      </c>
      <c r="B1954" s="21" t="s">
        <v>419</v>
      </c>
      <c r="C1954" s="20"/>
      <c r="D1954" s="20">
        <v>40.0</v>
      </c>
      <c r="E1954" s="20" t="s">
        <v>31</v>
      </c>
      <c r="G1954" s="22"/>
      <c r="H1954" s="23" t="s">
        <v>2243</v>
      </c>
      <c r="I1954" s="20" t="s">
        <v>22</v>
      </c>
      <c r="J1954" s="20">
        <v>0.0</v>
      </c>
      <c r="K1954" s="20">
        <v>0.0</v>
      </c>
      <c r="L1954" s="20">
        <v>0.0</v>
      </c>
      <c r="M1954" s="20">
        <v>0.0</v>
      </c>
      <c r="N1954" s="20">
        <v>0.0</v>
      </c>
      <c r="O1954" s="20">
        <v>0.0</v>
      </c>
      <c r="P1954" s="20">
        <v>0.0</v>
      </c>
      <c r="Q1954" s="20">
        <v>0.0</v>
      </c>
      <c r="R1954" s="20">
        <v>0.0</v>
      </c>
      <c r="S1954" s="20">
        <v>0.0</v>
      </c>
      <c r="T1954" s="20">
        <v>0.0</v>
      </c>
      <c r="U1954" s="20">
        <v>0.0</v>
      </c>
    </row>
    <row r="1955" ht="23.25" customHeight="1">
      <c r="A1955" s="1"/>
      <c r="B1955" s="15" t="s">
        <v>2380</v>
      </c>
      <c r="C1955" s="1" t="s">
        <v>17</v>
      </c>
      <c r="D1955" s="1" t="s">
        <v>270</v>
      </c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</row>
    <row r="1956" ht="23.25" customHeight="1">
      <c r="A1956" s="17" t="str">
        <f>IF(COUNTIF('Icon Lookup'!C:C,B1956)&gt;0,LOOKUP(B1956,'Icon Lookup'!C:C,'Icon Lookup'!B:B),"")</f>
        <v/>
      </c>
      <c r="B1956" s="18" t="s">
        <v>271</v>
      </c>
      <c r="C1956" s="17"/>
      <c r="D1956" s="17">
        <v>38.0</v>
      </c>
      <c r="E1956" s="17" t="s">
        <v>44</v>
      </c>
      <c r="G1956" s="19"/>
      <c r="H1956" s="20" t="s">
        <v>272</v>
      </c>
      <c r="I1956" s="17" t="s">
        <v>22</v>
      </c>
      <c r="J1956" s="17">
        <v>0.0</v>
      </c>
      <c r="K1956" s="17">
        <v>0.0</v>
      </c>
      <c r="L1956" s="17">
        <v>0.0</v>
      </c>
      <c r="M1956" s="17">
        <v>0.0</v>
      </c>
      <c r="N1956" s="17">
        <v>0.0</v>
      </c>
      <c r="O1956" s="17">
        <v>0.0</v>
      </c>
      <c r="P1956" s="17">
        <v>0.0</v>
      </c>
      <c r="Q1956" s="17">
        <v>0.0</v>
      </c>
      <c r="R1956" s="17">
        <v>0.0</v>
      </c>
      <c r="S1956" s="17">
        <v>0.0</v>
      </c>
      <c r="T1956" s="17">
        <v>0.0</v>
      </c>
      <c r="U1956" s="17">
        <v>0.0</v>
      </c>
    </row>
    <row r="1957" ht="23.25" customHeight="1">
      <c r="A1957" s="20" t="str">
        <f>IF(COUNTIF('Icon Lookup'!C:C,B1957)&gt;0,LOOKUP(B1957,'Icon Lookup'!C:C,'Icon Lookup'!B:B),"")</f>
        <v/>
      </c>
      <c r="B1957" s="21" t="s">
        <v>273</v>
      </c>
      <c r="C1957" s="20"/>
      <c r="D1957" s="20">
        <v>40.0</v>
      </c>
      <c r="E1957" s="20" t="s">
        <v>38</v>
      </c>
      <c r="G1957" s="22"/>
      <c r="H1957" s="23" t="s">
        <v>2381</v>
      </c>
      <c r="I1957" s="20" t="s">
        <v>52</v>
      </c>
      <c r="J1957" s="20">
        <v>0.0</v>
      </c>
      <c r="K1957" s="20">
        <v>0.0</v>
      </c>
      <c r="L1957" s="20">
        <v>0.0</v>
      </c>
      <c r="M1957" s="20">
        <v>0.0</v>
      </c>
      <c r="N1957" s="20">
        <v>0.0</v>
      </c>
      <c r="O1957" s="20">
        <v>0.0</v>
      </c>
      <c r="P1957" s="20">
        <v>0.0</v>
      </c>
      <c r="Q1957" s="20">
        <v>0.0</v>
      </c>
      <c r="R1957" s="20">
        <v>0.0</v>
      </c>
      <c r="S1957" s="20">
        <v>0.0</v>
      </c>
      <c r="T1957" s="20">
        <v>0.0</v>
      </c>
      <c r="U1957" s="20">
        <v>0.0</v>
      </c>
    </row>
    <row r="1958" ht="23.25" customHeight="1">
      <c r="A1958" s="17" t="str">
        <f>IF(COUNTIF('Icon Lookup'!C:C,B1958)&gt;0,LOOKUP(B1958,'Icon Lookup'!C:C,'Icon Lookup'!B:B),"")</f>
        <v/>
      </c>
      <c r="B1958" s="18" t="s">
        <v>275</v>
      </c>
      <c r="C1958" s="17"/>
      <c r="D1958" s="17">
        <v>39.0</v>
      </c>
      <c r="E1958" s="17" t="s">
        <v>276</v>
      </c>
      <c r="G1958" s="19"/>
      <c r="H1958" s="20" t="s">
        <v>835</v>
      </c>
      <c r="I1958" s="17" t="s">
        <v>22</v>
      </c>
      <c r="J1958" s="17">
        <v>0.0</v>
      </c>
      <c r="K1958" s="17">
        <v>0.0</v>
      </c>
      <c r="L1958" s="17">
        <v>0.0</v>
      </c>
      <c r="M1958" s="17">
        <v>0.0</v>
      </c>
      <c r="N1958" s="17">
        <v>0.0</v>
      </c>
      <c r="O1958" s="17">
        <v>0.0</v>
      </c>
      <c r="P1958" s="17">
        <v>0.0</v>
      </c>
      <c r="Q1958" s="17">
        <v>0.0</v>
      </c>
      <c r="R1958" s="17">
        <v>0.0</v>
      </c>
      <c r="S1958" s="17">
        <v>0.0</v>
      </c>
      <c r="T1958" s="17">
        <v>0.0</v>
      </c>
      <c r="U1958" s="17">
        <v>0.0</v>
      </c>
    </row>
    <row r="1959" ht="23.25" customHeight="1">
      <c r="A1959" s="1"/>
      <c r="B1959" s="15" t="s">
        <v>2382</v>
      </c>
      <c r="C1959" s="1" t="s">
        <v>17</v>
      </c>
      <c r="D1959" s="1" t="s">
        <v>418</v>
      </c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</row>
    <row r="1960" ht="23.25" customHeight="1">
      <c r="A1960" s="20" t="str">
        <f>IF(COUNTIF('Icon Lookup'!C:C,B1960)&gt;0,LOOKUP(B1960,'Icon Lookup'!C:C,'Icon Lookup'!B:B),"")</f>
        <v/>
      </c>
      <c r="B1960" s="21" t="s">
        <v>419</v>
      </c>
      <c r="C1960" s="20"/>
      <c r="D1960" s="20">
        <v>55.0</v>
      </c>
      <c r="E1960" s="20" t="s">
        <v>31</v>
      </c>
      <c r="G1960" s="22"/>
      <c r="H1960" s="23" t="s">
        <v>2383</v>
      </c>
      <c r="I1960" s="20" t="s">
        <v>22</v>
      </c>
      <c r="J1960" s="20">
        <v>0.0</v>
      </c>
      <c r="K1960" s="20">
        <v>0.0</v>
      </c>
      <c r="L1960" s="20">
        <v>0.0</v>
      </c>
      <c r="M1960" s="20">
        <v>0.0</v>
      </c>
      <c r="N1960" s="20">
        <v>0.0</v>
      </c>
      <c r="O1960" s="20">
        <v>0.0</v>
      </c>
      <c r="P1960" s="20">
        <v>0.0</v>
      </c>
      <c r="Q1960" s="20">
        <v>0.0</v>
      </c>
      <c r="R1960" s="20">
        <v>0.0</v>
      </c>
      <c r="S1960" s="20">
        <v>0.0</v>
      </c>
      <c r="T1960" s="20">
        <v>0.0</v>
      </c>
      <c r="U1960" s="20">
        <v>0.0</v>
      </c>
    </row>
    <row r="1961" ht="23.25" customHeight="1">
      <c r="A1961" s="1"/>
      <c r="B1961" s="15" t="s">
        <v>2384</v>
      </c>
      <c r="C1961" s="1" t="s">
        <v>17</v>
      </c>
      <c r="D1961" s="1" t="s">
        <v>270</v>
      </c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</row>
    <row r="1962" ht="23.25" customHeight="1">
      <c r="A1962" s="17" t="str">
        <f>IF(COUNTIF('Icon Lookup'!C:C,B1962)&gt;0,LOOKUP(B1962,'Icon Lookup'!C:C,'Icon Lookup'!B:B),"")</f>
        <v/>
      </c>
      <c r="B1962" s="18" t="s">
        <v>921</v>
      </c>
      <c r="C1962" s="17"/>
      <c r="D1962" s="17">
        <v>58.0</v>
      </c>
      <c r="E1962" s="17" t="s">
        <v>44</v>
      </c>
      <c r="G1962" s="19"/>
      <c r="H1962" s="20" t="s">
        <v>2385</v>
      </c>
      <c r="I1962" s="17" t="s">
        <v>22</v>
      </c>
      <c r="J1962" s="17">
        <v>0.0</v>
      </c>
      <c r="K1962" s="17">
        <v>0.0</v>
      </c>
      <c r="L1962" s="17">
        <v>0.0</v>
      </c>
      <c r="M1962" s="17">
        <v>0.0</v>
      </c>
      <c r="N1962" s="17">
        <v>0.0</v>
      </c>
      <c r="O1962" s="17">
        <v>0.0</v>
      </c>
      <c r="P1962" s="17">
        <v>0.0</v>
      </c>
      <c r="Q1962" s="17">
        <v>0.0</v>
      </c>
      <c r="R1962" s="17">
        <v>0.0</v>
      </c>
      <c r="S1962" s="17">
        <v>0.0</v>
      </c>
      <c r="T1962" s="17">
        <v>0.0</v>
      </c>
      <c r="U1962" s="17">
        <v>0.0</v>
      </c>
    </row>
    <row r="1963" ht="23.25" customHeight="1">
      <c r="A1963" s="20" t="str">
        <f>IF(COUNTIF('Icon Lookup'!C:C,B1963)&gt;0,LOOKUP(B1963,'Icon Lookup'!C:C,'Icon Lookup'!B:B),"")</f>
        <v/>
      </c>
      <c r="B1963" s="21" t="s">
        <v>273</v>
      </c>
      <c r="C1963" s="20"/>
      <c r="D1963" s="20">
        <v>59.0</v>
      </c>
      <c r="E1963" s="20" t="s">
        <v>38</v>
      </c>
      <c r="G1963" s="22"/>
      <c r="H1963" s="23" t="s">
        <v>2386</v>
      </c>
      <c r="I1963" s="20" t="s">
        <v>52</v>
      </c>
      <c r="J1963" s="20">
        <v>0.0</v>
      </c>
      <c r="K1963" s="20">
        <v>0.0</v>
      </c>
      <c r="L1963" s="20">
        <v>0.0</v>
      </c>
      <c r="M1963" s="20">
        <v>0.0</v>
      </c>
      <c r="N1963" s="20">
        <v>0.0</v>
      </c>
      <c r="O1963" s="20">
        <v>0.0</v>
      </c>
      <c r="P1963" s="20">
        <v>0.0</v>
      </c>
      <c r="Q1963" s="20">
        <v>0.0</v>
      </c>
      <c r="R1963" s="20">
        <v>0.0</v>
      </c>
      <c r="S1963" s="20">
        <v>0.0</v>
      </c>
      <c r="T1963" s="20">
        <v>0.0</v>
      </c>
      <c r="U1963" s="20">
        <v>0.0</v>
      </c>
    </row>
    <row r="1964" ht="23.25" customHeight="1">
      <c r="A1964" s="17" t="str">
        <f>IF(COUNTIF('Icon Lookup'!C:C,B1964)&gt;0,LOOKUP(B1964,'Icon Lookup'!C:C,'Icon Lookup'!B:B),"")</f>
        <v/>
      </c>
      <c r="B1964" s="18" t="s">
        <v>1098</v>
      </c>
      <c r="C1964" s="17"/>
      <c r="D1964" s="17">
        <v>60.0</v>
      </c>
      <c r="E1964" s="17" t="s">
        <v>276</v>
      </c>
      <c r="G1964" s="19"/>
      <c r="H1964" s="20" t="s">
        <v>2387</v>
      </c>
      <c r="I1964" s="17" t="s">
        <v>22</v>
      </c>
      <c r="J1964" s="17">
        <v>0.0</v>
      </c>
      <c r="K1964" s="17">
        <v>0.0</v>
      </c>
      <c r="L1964" s="17">
        <v>0.0</v>
      </c>
      <c r="M1964" s="17">
        <v>0.0</v>
      </c>
      <c r="N1964" s="17">
        <v>0.0</v>
      </c>
      <c r="O1964" s="17">
        <v>0.0</v>
      </c>
      <c r="P1964" s="17">
        <v>0.0</v>
      </c>
      <c r="Q1964" s="17">
        <v>0.0</v>
      </c>
      <c r="R1964" s="17">
        <v>0.0</v>
      </c>
      <c r="S1964" s="17">
        <v>0.0</v>
      </c>
      <c r="T1964" s="17">
        <v>0.0</v>
      </c>
      <c r="U1964" s="17">
        <v>0.0</v>
      </c>
    </row>
    <row r="1965" ht="23.25" customHeight="1">
      <c r="A1965" s="1"/>
      <c r="B1965" s="15" t="s">
        <v>2388</v>
      </c>
      <c r="C1965" s="1" t="s">
        <v>17</v>
      </c>
      <c r="D1965" s="1" t="s">
        <v>1248</v>
      </c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</row>
    <row r="1966" ht="23.25" customHeight="1">
      <c r="A1966" s="20" t="str">
        <f>IF(COUNTIF('Icon Lookup'!C:C,B1966)&gt;0,LOOKUP(B1966,'Icon Lookup'!C:C,'Icon Lookup'!B:B),"")</f>
        <v/>
      </c>
      <c r="B1966" s="21" t="s">
        <v>741</v>
      </c>
      <c r="C1966" s="20"/>
      <c r="D1966" s="20">
        <v>58.0</v>
      </c>
      <c r="E1966" s="20" t="s">
        <v>26</v>
      </c>
      <c r="G1966" s="22"/>
      <c r="H1966" s="23" t="s">
        <v>2389</v>
      </c>
      <c r="I1966" s="20" t="s">
        <v>22</v>
      </c>
      <c r="J1966" s="20">
        <v>0.0</v>
      </c>
      <c r="K1966" s="20">
        <v>0.0</v>
      </c>
      <c r="L1966" s="20">
        <v>0.0</v>
      </c>
      <c r="M1966" s="20">
        <v>0.0</v>
      </c>
      <c r="N1966" s="20">
        <v>0.0</v>
      </c>
      <c r="O1966" s="20">
        <v>0.0</v>
      </c>
      <c r="P1966" s="20">
        <v>0.0</v>
      </c>
      <c r="Q1966" s="20">
        <v>0.0</v>
      </c>
      <c r="R1966" s="20">
        <v>0.0</v>
      </c>
      <c r="S1966" s="20">
        <v>0.0</v>
      </c>
      <c r="T1966" s="20">
        <v>0.0</v>
      </c>
      <c r="U1966" s="20">
        <v>0.0</v>
      </c>
    </row>
    <row r="1967" ht="23.25" customHeight="1">
      <c r="A1967" s="17" t="str">
        <f>IF(COUNTIF('Icon Lookup'!C:C,B1967)&gt;0,LOOKUP(B1967,'Icon Lookup'!C:C,'Icon Lookup'!B:B),"")</f>
        <v/>
      </c>
      <c r="B1967" s="18" t="s">
        <v>410</v>
      </c>
      <c r="C1967" s="17"/>
      <c r="D1967" s="17">
        <v>58.0</v>
      </c>
      <c r="E1967" s="17" t="s">
        <v>411</v>
      </c>
      <c r="G1967" s="19"/>
      <c r="H1967" s="20" t="s">
        <v>2390</v>
      </c>
      <c r="I1967" s="17" t="s">
        <v>612</v>
      </c>
      <c r="J1967" s="17">
        <v>0.0</v>
      </c>
      <c r="K1967" s="17">
        <v>0.0</v>
      </c>
      <c r="L1967" s="17">
        <v>0.0</v>
      </c>
      <c r="M1967" s="17">
        <v>0.0</v>
      </c>
      <c r="N1967" s="17">
        <v>0.0</v>
      </c>
      <c r="O1967" s="17">
        <v>0.0</v>
      </c>
      <c r="P1967" s="17">
        <v>0.0</v>
      </c>
      <c r="Q1967" s="17">
        <v>0.0</v>
      </c>
      <c r="R1967" s="17">
        <v>0.0</v>
      </c>
      <c r="S1967" s="17">
        <v>0.0</v>
      </c>
      <c r="T1967" s="17">
        <v>0.0</v>
      </c>
      <c r="U1967" s="17">
        <v>0.0</v>
      </c>
    </row>
    <row r="1968" ht="23.25" customHeight="1">
      <c r="A1968" s="20" t="str">
        <f>IF(COUNTIF('Icon Lookup'!C:C,B1968)&gt;0,LOOKUP(B1968,'Icon Lookup'!C:C,'Icon Lookup'!B:B),"")</f>
        <v/>
      </c>
      <c r="B1968" s="21" t="s">
        <v>1369</v>
      </c>
      <c r="C1968" s="20"/>
      <c r="D1968" s="20">
        <v>58.0</v>
      </c>
      <c r="E1968" s="20" t="s">
        <v>1413</v>
      </c>
      <c r="G1968" s="22"/>
      <c r="H1968" s="23" t="s">
        <v>2391</v>
      </c>
      <c r="I1968" s="20" t="s">
        <v>22</v>
      </c>
      <c r="J1968" s="20">
        <v>0.0</v>
      </c>
      <c r="K1968" s="20">
        <v>0.0</v>
      </c>
      <c r="L1968" s="20">
        <v>0.0</v>
      </c>
      <c r="M1968" s="20">
        <v>0.0</v>
      </c>
      <c r="N1968" s="20">
        <v>0.0</v>
      </c>
      <c r="O1968" s="20">
        <v>0.0</v>
      </c>
      <c r="P1968" s="20">
        <v>0.0</v>
      </c>
      <c r="Q1968" s="20">
        <v>0.0</v>
      </c>
      <c r="R1968" s="20">
        <v>0.0</v>
      </c>
      <c r="S1968" s="20">
        <v>0.0</v>
      </c>
      <c r="T1968" s="20">
        <v>0.0</v>
      </c>
      <c r="U1968" s="20">
        <v>0.0</v>
      </c>
    </row>
    <row r="1969" ht="23.25" customHeight="1">
      <c r="A1969" s="1"/>
      <c r="B1969" s="15" t="s">
        <v>2392</v>
      </c>
      <c r="C1969" s="1" t="s">
        <v>17</v>
      </c>
      <c r="D1969" s="1" t="s">
        <v>2393</v>
      </c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</row>
    <row r="1970" ht="23.25" customHeight="1">
      <c r="A1970" s="17" t="str">
        <f>IF(COUNTIF('Icon Lookup'!C:C,B1970)&gt;0,LOOKUP(B1970,'Icon Lookup'!C:C,'Icon Lookup'!B:B),"")</f>
        <v/>
      </c>
      <c r="B1970" s="18" t="s">
        <v>2394</v>
      </c>
      <c r="C1970" s="17"/>
      <c r="D1970" s="17">
        <v>5.0</v>
      </c>
      <c r="E1970" s="17" t="s">
        <v>1413</v>
      </c>
      <c r="G1970" s="19"/>
      <c r="H1970" s="20" t="s">
        <v>1413</v>
      </c>
      <c r="I1970" s="17" t="s">
        <v>1045</v>
      </c>
      <c r="J1970" s="17">
        <v>0.0</v>
      </c>
      <c r="K1970" s="17">
        <v>0.0</v>
      </c>
      <c r="L1970" s="17">
        <v>0.0</v>
      </c>
      <c r="M1970" s="17">
        <v>0.0</v>
      </c>
      <c r="N1970" s="17">
        <v>0.0</v>
      </c>
      <c r="O1970" s="17">
        <v>0.0</v>
      </c>
      <c r="P1970" s="17">
        <v>0.0</v>
      </c>
      <c r="Q1970" s="17">
        <v>0.0</v>
      </c>
      <c r="R1970" s="17">
        <v>0.0</v>
      </c>
      <c r="S1970" s="17">
        <v>0.0</v>
      </c>
      <c r="T1970" s="17">
        <v>0.0</v>
      </c>
      <c r="U1970" s="17">
        <v>0.0</v>
      </c>
    </row>
    <row r="1971" ht="23.25" customHeight="1">
      <c r="A1971" s="1"/>
      <c r="B1971" s="15" t="s">
        <v>2395</v>
      </c>
      <c r="C1971" s="1" t="s">
        <v>17</v>
      </c>
      <c r="D1971" s="1" t="s">
        <v>2396</v>
      </c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</row>
    <row r="1972" ht="23.25" customHeight="1">
      <c r="A1972" s="20" t="str">
        <f>IF(COUNTIF('Icon Lookup'!C:C,B1972)&gt;0,LOOKUP(B1972,'Icon Lookup'!C:C,'Icon Lookup'!B:B),"")</f>
        <v/>
      </c>
      <c r="B1972" s="21" t="s">
        <v>494</v>
      </c>
      <c r="C1972" s="20"/>
      <c r="D1972" s="20">
        <v>39.0</v>
      </c>
      <c r="E1972" s="20" t="s">
        <v>495</v>
      </c>
      <c r="G1972" s="22"/>
      <c r="H1972" s="23" t="s">
        <v>2397</v>
      </c>
      <c r="I1972" s="20" t="s">
        <v>89</v>
      </c>
      <c r="J1972" s="20">
        <v>0.0</v>
      </c>
      <c r="K1972" s="20">
        <v>0.0</v>
      </c>
      <c r="L1972" s="20">
        <v>0.0</v>
      </c>
      <c r="M1972" s="20">
        <v>0.0</v>
      </c>
      <c r="N1972" s="20">
        <v>0.0</v>
      </c>
      <c r="O1972" s="20">
        <v>0.0</v>
      </c>
      <c r="P1972" s="20">
        <v>0.0</v>
      </c>
      <c r="Q1972" s="20">
        <v>0.0</v>
      </c>
      <c r="R1972" s="20">
        <v>0.0</v>
      </c>
      <c r="S1972" s="20">
        <v>0.0</v>
      </c>
      <c r="T1972" s="20">
        <v>0.0</v>
      </c>
      <c r="U1972" s="20">
        <v>0.0</v>
      </c>
    </row>
    <row r="1973" ht="23.25" customHeight="1">
      <c r="A1973" s="1"/>
      <c r="B1973" s="15" t="s">
        <v>2398</v>
      </c>
      <c r="C1973" s="1" t="s">
        <v>17</v>
      </c>
      <c r="D1973" s="1" t="s">
        <v>2399</v>
      </c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</row>
    <row r="1974" ht="23.25" customHeight="1">
      <c r="A1974" s="17" t="str">
        <f>IF(COUNTIF('Icon Lookup'!C:C,B1974)&gt;0,LOOKUP(B1974,'Icon Lookup'!C:C,'Icon Lookup'!B:B),"")</f>
        <v/>
      </c>
      <c r="B1974" s="18" t="s">
        <v>494</v>
      </c>
      <c r="C1974" s="17"/>
      <c r="D1974" s="17">
        <v>39.0</v>
      </c>
      <c r="E1974" s="17" t="s">
        <v>495</v>
      </c>
      <c r="G1974" s="19"/>
      <c r="H1974" s="20" t="s">
        <v>496</v>
      </c>
      <c r="I1974" s="17" t="s">
        <v>89</v>
      </c>
      <c r="J1974" s="17">
        <v>0.0</v>
      </c>
      <c r="K1974" s="17">
        <v>0.0</v>
      </c>
      <c r="L1974" s="17">
        <v>0.0</v>
      </c>
      <c r="M1974" s="17">
        <v>0.0</v>
      </c>
      <c r="N1974" s="17">
        <v>0.0</v>
      </c>
      <c r="O1974" s="17">
        <v>0.0</v>
      </c>
      <c r="P1974" s="17">
        <v>0.0</v>
      </c>
      <c r="Q1974" s="17">
        <v>0.0</v>
      </c>
      <c r="R1974" s="17">
        <v>0.0</v>
      </c>
      <c r="S1974" s="17">
        <v>0.0</v>
      </c>
      <c r="T1974" s="17">
        <v>0.0</v>
      </c>
      <c r="U1974" s="17">
        <v>0.0</v>
      </c>
    </row>
    <row r="1975" ht="23.25" customHeight="1">
      <c r="A1975" s="1"/>
      <c r="B1975" s="15" t="s">
        <v>2400</v>
      </c>
      <c r="C1975" s="1" t="s">
        <v>17</v>
      </c>
      <c r="D1975" s="1" t="s">
        <v>2401</v>
      </c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</row>
    <row r="1976" ht="23.25" customHeight="1">
      <c r="A1976" s="20" t="str">
        <f>IF(COUNTIF('Icon Lookup'!C:C,B1976)&gt;0,LOOKUP(B1976,'Icon Lookup'!C:C,'Icon Lookup'!B:B),"")</f>
        <v/>
      </c>
      <c r="B1976" s="21" t="s">
        <v>386</v>
      </c>
      <c r="C1976" s="20"/>
      <c r="D1976" s="20">
        <v>37.0</v>
      </c>
      <c r="E1976" s="20" t="s">
        <v>387</v>
      </c>
      <c r="G1976" s="22"/>
      <c r="H1976" s="23" t="s">
        <v>2402</v>
      </c>
      <c r="I1976" s="20" t="s">
        <v>156</v>
      </c>
      <c r="J1976" s="20">
        <v>0.0</v>
      </c>
      <c r="K1976" s="20">
        <v>0.0</v>
      </c>
      <c r="L1976" s="20">
        <v>0.0</v>
      </c>
      <c r="M1976" s="20">
        <v>0.0</v>
      </c>
      <c r="N1976" s="20">
        <v>0.0</v>
      </c>
      <c r="O1976" s="20">
        <v>0.0</v>
      </c>
      <c r="P1976" s="20">
        <v>0.0</v>
      </c>
      <c r="Q1976" s="20">
        <v>0.0</v>
      </c>
      <c r="R1976" s="20">
        <v>0.0</v>
      </c>
      <c r="S1976" s="20">
        <v>0.0</v>
      </c>
      <c r="T1976" s="20">
        <v>0.0</v>
      </c>
      <c r="U1976" s="20">
        <v>0.0</v>
      </c>
    </row>
    <row r="1977" ht="23.25" customHeight="1">
      <c r="A1977" s="1"/>
      <c r="B1977" s="15" t="s">
        <v>2403</v>
      </c>
      <c r="C1977" s="1" t="s">
        <v>17</v>
      </c>
      <c r="D1977" s="1" t="s">
        <v>2404</v>
      </c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</row>
    <row r="1978" ht="23.25" customHeight="1">
      <c r="A1978" s="17" t="str">
        <f>IF(COUNTIF('Icon Lookup'!C:C,B1978)&gt;0,LOOKUP(B1978,'Icon Lookup'!C:C,'Icon Lookup'!B:B),"")</f>
        <v/>
      </c>
      <c r="B1978" s="18" t="s">
        <v>386</v>
      </c>
      <c r="C1978" s="17"/>
      <c r="D1978" s="17">
        <v>35.0</v>
      </c>
      <c r="E1978" s="17" t="s">
        <v>38</v>
      </c>
      <c r="G1978" s="19"/>
      <c r="H1978" s="20" t="s">
        <v>2402</v>
      </c>
      <c r="I1978" s="17" t="s">
        <v>156</v>
      </c>
      <c r="J1978" s="17">
        <v>0.0</v>
      </c>
      <c r="K1978" s="17">
        <v>0.0</v>
      </c>
      <c r="L1978" s="17">
        <v>0.0</v>
      </c>
      <c r="M1978" s="17">
        <v>0.0</v>
      </c>
      <c r="N1978" s="17">
        <v>0.0</v>
      </c>
      <c r="O1978" s="17">
        <v>0.0</v>
      </c>
      <c r="P1978" s="17">
        <v>0.0</v>
      </c>
      <c r="Q1978" s="17">
        <v>0.0</v>
      </c>
      <c r="R1978" s="17">
        <v>0.0</v>
      </c>
      <c r="S1978" s="17">
        <v>0.0</v>
      </c>
      <c r="T1978" s="17">
        <v>0.0</v>
      </c>
      <c r="U1978" s="17">
        <v>0.0</v>
      </c>
    </row>
    <row r="1979" ht="23.25" customHeight="1">
      <c r="A1979" s="20" t="str">
        <f>IF(COUNTIF('Icon Lookup'!C:C,B1979)&gt;0,LOOKUP(B1979,'Icon Lookup'!C:C,'Icon Lookup'!B:B),"")</f>
        <v/>
      </c>
      <c r="B1979" s="21" t="s">
        <v>386</v>
      </c>
      <c r="C1979" s="20"/>
      <c r="D1979" s="20">
        <v>35.0</v>
      </c>
      <c r="E1979" s="20" t="s">
        <v>387</v>
      </c>
      <c r="G1979" s="22"/>
      <c r="H1979" s="23" t="s">
        <v>2405</v>
      </c>
      <c r="I1979" s="20" t="s">
        <v>156</v>
      </c>
      <c r="J1979" s="20">
        <v>0.0</v>
      </c>
      <c r="K1979" s="20">
        <v>0.0</v>
      </c>
      <c r="L1979" s="20">
        <v>0.0</v>
      </c>
      <c r="M1979" s="20">
        <v>0.0</v>
      </c>
      <c r="N1979" s="20">
        <v>0.0</v>
      </c>
      <c r="O1979" s="20">
        <v>0.0</v>
      </c>
      <c r="P1979" s="20">
        <v>0.0</v>
      </c>
      <c r="Q1979" s="20">
        <v>0.0</v>
      </c>
      <c r="R1979" s="20">
        <v>0.0</v>
      </c>
      <c r="S1979" s="20">
        <v>0.0</v>
      </c>
      <c r="T1979" s="20">
        <v>0.0</v>
      </c>
      <c r="U1979" s="20">
        <v>0.0</v>
      </c>
    </row>
    <row r="1980" ht="23.25" customHeight="1">
      <c r="A1980" s="1"/>
      <c r="B1980" s="15" t="s">
        <v>2406</v>
      </c>
      <c r="C1980" s="1" t="s">
        <v>17</v>
      </c>
      <c r="D1980" s="1" t="s">
        <v>2407</v>
      </c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</row>
    <row r="1981" ht="23.25" customHeight="1">
      <c r="A1981" s="17" t="str">
        <f>IF(COUNTIF('Icon Lookup'!C:C,B1981)&gt;0,LOOKUP(B1981,'Icon Lookup'!C:C,'Icon Lookup'!B:B),"")</f>
        <v/>
      </c>
      <c r="B1981" s="18" t="s">
        <v>386</v>
      </c>
      <c r="C1981" s="17"/>
      <c r="D1981" s="17">
        <v>15.0</v>
      </c>
      <c r="E1981" s="17" t="s">
        <v>387</v>
      </c>
      <c r="G1981" s="19"/>
      <c r="H1981" s="20" t="s">
        <v>1542</v>
      </c>
      <c r="I1981" s="17" t="s">
        <v>156</v>
      </c>
      <c r="J1981" s="17">
        <v>0.0</v>
      </c>
      <c r="K1981" s="17">
        <v>0.0</v>
      </c>
      <c r="L1981" s="17">
        <v>0.0</v>
      </c>
      <c r="M1981" s="17">
        <v>0.0</v>
      </c>
      <c r="N1981" s="17">
        <v>0.0</v>
      </c>
      <c r="O1981" s="17">
        <v>0.0</v>
      </c>
      <c r="P1981" s="17">
        <v>0.0</v>
      </c>
      <c r="Q1981" s="17">
        <v>0.0</v>
      </c>
      <c r="R1981" s="17">
        <v>0.0</v>
      </c>
      <c r="S1981" s="17">
        <v>0.0</v>
      </c>
      <c r="T1981" s="17">
        <v>0.0</v>
      </c>
      <c r="U1981" s="17">
        <v>0.0</v>
      </c>
    </row>
    <row r="1982" ht="23.25" customHeight="1">
      <c r="A1982" s="1"/>
      <c r="B1982" s="15" t="s">
        <v>2408</v>
      </c>
      <c r="C1982" s="1" t="s">
        <v>17</v>
      </c>
      <c r="D1982" s="1" t="s">
        <v>2409</v>
      </c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</row>
    <row r="1983" ht="23.25" customHeight="1">
      <c r="A1983" s="20" t="str">
        <f>IF(COUNTIF('Icon Lookup'!C:C,B1983)&gt;0,LOOKUP(B1983,'Icon Lookup'!C:C,'Icon Lookup'!B:B),"")</f>
        <v/>
      </c>
      <c r="B1983" s="21" t="s">
        <v>136</v>
      </c>
      <c r="C1983" s="20"/>
      <c r="D1983" s="20">
        <v>41.0</v>
      </c>
      <c r="E1983" s="20" t="s">
        <v>137</v>
      </c>
      <c r="G1983" s="22"/>
      <c r="H1983" s="23" t="s">
        <v>2410</v>
      </c>
      <c r="I1983" s="20" t="s">
        <v>22</v>
      </c>
      <c r="J1983" s="20">
        <v>0.0</v>
      </c>
      <c r="K1983" s="20">
        <v>0.0</v>
      </c>
      <c r="L1983" s="20">
        <v>0.0</v>
      </c>
      <c r="M1983" s="20">
        <v>0.0</v>
      </c>
      <c r="N1983" s="20">
        <v>0.0</v>
      </c>
      <c r="O1983" s="20">
        <v>0.0</v>
      </c>
      <c r="P1983" s="20">
        <v>0.0</v>
      </c>
      <c r="Q1983" s="20">
        <v>0.0</v>
      </c>
      <c r="R1983" s="20">
        <v>0.0</v>
      </c>
      <c r="S1983" s="20">
        <v>0.0</v>
      </c>
      <c r="T1983" s="20">
        <v>0.0</v>
      </c>
      <c r="U1983" s="20">
        <v>0.0</v>
      </c>
    </row>
    <row r="1984" ht="23.25" customHeight="1">
      <c r="A1984" s="17" t="str">
        <f>IF(COUNTIF('Icon Lookup'!C:C,B1984)&gt;0,LOOKUP(B1984,'Icon Lookup'!C:C,'Icon Lookup'!B:B),"")</f>
        <v/>
      </c>
      <c r="B1984" s="18" t="s">
        <v>136</v>
      </c>
      <c r="C1984" s="17"/>
      <c r="D1984" s="17">
        <v>41.0</v>
      </c>
      <c r="E1984" s="17" t="s">
        <v>137</v>
      </c>
      <c r="G1984" s="19"/>
      <c r="H1984" s="20" t="s">
        <v>2411</v>
      </c>
      <c r="I1984" s="17" t="s">
        <v>22</v>
      </c>
      <c r="J1984" s="17">
        <v>0.0</v>
      </c>
      <c r="K1984" s="17">
        <v>0.0</v>
      </c>
      <c r="L1984" s="17">
        <v>0.0</v>
      </c>
      <c r="M1984" s="17">
        <v>0.0</v>
      </c>
      <c r="N1984" s="17">
        <v>0.0</v>
      </c>
      <c r="O1984" s="17">
        <v>0.0</v>
      </c>
      <c r="P1984" s="17">
        <v>0.0</v>
      </c>
      <c r="Q1984" s="17">
        <v>0.0</v>
      </c>
      <c r="R1984" s="17">
        <v>0.0</v>
      </c>
      <c r="S1984" s="17">
        <v>0.0</v>
      </c>
      <c r="T1984" s="17">
        <v>0.0</v>
      </c>
      <c r="U1984" s="17">
        <v>0.0</v>
      </c>
    </row>
    <row r="1985" ht="23.25" customHeight="1">
      <c r="A1985" s="1"/>
      <c r="B1985" s="15" t="s">
        <v>2412</v>
      </c>
      <c r="C1985" s="1" t="s">
        <v>17</v>
      </c>
      <c r="D1985" s="1" t="s">
        <v>1044</v>
      </c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</row>
    <row r="1986" ht="23.25" customHeight="1">
      <c r="A1986" s="20" t="str">
        <f>IF(COUNTIF('Icon Lookup'!C:C,B1986)&gt;0,LOOKUP(B1986,'Icon Lookup'!C:C,'Icon Lookup'!B:B),"")</f>
        <v/>
      </c>
      <c r="B1986" s="21" t="s">
        <v>691</v>
      </c>
      <c r="C1986" s="20"/>
      <c r="D1986" s="20">
        <v>28.0</v>
      </c>
      <c r="E1986" s="20" t="s">
        <v>58</v>
      </c>
      <c r="G1986" s="22"/>
      <c r="H1986" s="23" t="s">
        <v>1291</v>
      </c>
      <c r="I1986" s="20" t="s">
        <v>73</v>
      </c>
      <c r="J1986" s="20">
        <v>0.0</v>
      </c>
      <c r="K1986" s="20">
        <v>0.0</v>
      </c>
      <c r="L1986" s="20">
        <v>0.0</v>
      </c>
      <c r="M1986" s="20">
        <v>0.0</v>
      </c>
      <c r="N1986" s="20">
        <v>0.0</v>
      </c>
      <c r="O1986" s="20">
        <v>0.0</v>
      </c>
      <c r="P1986" s="20">
        <v>0.0</v>
      </c>
      <c r="Q1986" s="20">
        <v>0.0</v>
      </c>
      <c r="R1986" s="20">
        <v>0.0</v>
      </c>
      <c r="S1986" s="20">
        <v>0.0</v>
      </c>
      <c r="T1986" s="20">
        <v>0.0</v>
      </c>
      <c r="U1986" s="20">
        <v>0.0</v>
      </c>
    </row>
    <row r="1987" ht="23.25" customHeight="1">
      <c r="A1987" s="17" t="str">
        <f>IF(COUNTIF('Icon Lookup'!C:C,B1987)&gt;0,LOOKUP(B1987,'Icon Lookup'!C:C,'Icon Lookup'!B:B),"")</f>
        <v/>
      </c>
      <c r="B1987" s="18" t="s">
        <v>293</v>
      </c>
      <c r="C1987" s="17"/>
      <c r="D1987" s="17">
        <v>28.0</v>
      </c>
      <c r="E1987" s="17" t="s">
        <v>61</v>
      </c>
      <c r="G1987" s="19"/>
      <c r="H1987" s="20" t="s">
        <v>294</v>
      </c>
      <c r="I1987" s="17" t="s">
        <v>94</v>
      </c>
      <c r="J1987" s="17">
        <v>0.0</v>
      </c>
      <c r="K1987" s="17">
        <v>0.0</v>
      </c>
      <c r="L1987" s="17">
        <v>0.0</v>
      </c>
      <c r="M1987" s="17">
        <v>0.0</v>
      </c>
      <c r="N1987" s="17">
        <v>0.0</v>
      </c>
      <c r="O1987" s="17">
        <v>0.0</v>
      </c>
      <c r="P1987" s="17">
        <v>0.0</v>
      </c>
      <c r="Q1987" s="17">
        <v>0.0</v>
      </c>
      <c r="R1987" s="17">
        <v>0.0</v>
      </c>
      <c r="S1987" s="17">
        <v>0.0</v>
      </c>
      <c r="T1987" s="17">
        <v>0.0</v>
      </c>
      <c r="U1987" s="17">
        <v>0.0</v>
      </c>
    </row>
    <row r="1988" ht="23.25" customHeight="1">
      <c r="A1988" s="20" t="str">
        <f>IF(COUNTIF('Icon Lookup'!C:C,B1988)&gt;0,LOOKUP(B1988,'Icon Lookup'!C:C,'Icon Lookup'!B:B),"")</f>
        <v/>
      </c>
      <c r="B1988" s="21" t="s">
        <v>687</v>
      </c>
      <c r="C1988" s="20"/>
      <c r="D1988" s="20">
        <v>28.0</v>
      </c>
      <c r="E1988" s="20" t="s">
        <v>258</v>
      </c>
      <c r="G1988" s="22"/>
      <c r="H1988" s="23" t="s">
        <v>2413</v>
      </c>
      <c r="I1988" s="20" t="s">
        <v>36</v>
      </c>
      <c r="J1988" s="20">
        <v>0.0</v>
      </c>
      <c r="K1988" s="20">
        <v>0.0</v>
      </c>
      <c r="L1988" s="20">
        <v>0.0</v>
      </c>
      <c r="M1988" s="20">
        <v>0.0</v>
      </c>
      <c r="N1988" s="20">
        <v>0.0</v>
      </c>
      <c r="O1988" s="20">
        <v>0.0</v>
      </c>
      <c r="P1988" s="20">
        <v>0.0</v>
      </c>
      <c r="Q1988" s="20">
        <v>0.0</v>
      </c>
      <c r="R1988" s="20">
        <v>0.0</v>
      </c>
      <c r="S1988" s="20">
        <v>0.0</v>
      </c>
      <c r="T1988" s="20">
        <v>0.0</v>
      </c>
      <c r="U1988" s="20">
        <v>0.0</v>
      </c>
    </row>
    <row r="1989" ht="23.25" customHeight="1">
      <c r="A1989" s="1"/>
      <c r="B1989" s="15" t="s">
        <v>2414</v>
      </c>
      <c r="C1989" s="1" t="s">
        <v>17</v>
      </c>
      <c r="D1989" s="1" t="s">
        <v>1044</v>
      </c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</row>
    <row r="1990" ht="23.25" customHeight="1">
      <c r="A1990" s="17" t="str">
        <f>IF(COUNTIF('Icon Lookup'!C:C,B1990)&gt;0,LOOKUP(B1990,'Icon Lookup'!C:C,'Icon Lookup'!B:B),"")</f>
        <v/>
      </c>
      <c r="B1990" s="18" t="s">
        <v>37</v>
      </c>
      <c r="C1990" s="17"/>
      <c r="D1990" s="17">
        <v>28.0</v>
      </c>
      <c r="E1990" s="17" t="s">
        <v>38</v>
      </c>
      <c r="G1990" s="19"/>
      <c r="H1990" s="20" t="s">
        <v>2415</v>
      </c>
      <c r="I1990" s="17" t="s">
        <v>1045</v>
      </c>
      <c r="J1990" s="17">
        <v>0.0</v>
      </c>
      <c r="K1990" s="17">
        <v>0.0</v>
      </c>
      <c r="L1990" s="17">
        <v>0.0</v>
      </c>
      <c r="M1990" s="17">
        <v>0.0</v>
      </c>
      <c r="N1990" s="17">
        <v>0.0</v>
      </c>
      <c r="O1990" s="17">
        <v>0.0</v>
      </c>
      <c r="P1990" s="17">
        <v>0.0</v>
      </c>
      <c r="Q1990" s="17">
        <v>0.0</v>
      </c>
      <c r="R1990" s="17">
        <v>0.0</v>
      </c>
      <c r="S1990" s="17">
        <v>0.0</v>
      </c>
      <c r="T1990" s="17">
        <v>0.0</v>
      </c>
      <c r="U1990" s="17">
        <v>0.0</v>
      </c>
    </row>
    <row r="1991" ht="23.25" customHeight="1">
      <c r="A1991" s="20" t="str">
        <f>IF(COUNTIF('Icon Lookup'!C:C,B1991)&gt;0,LOOKUP(B1991,'Icon Lookup'!C:C,'Icon Lookup'!B:B),"")</f>
        <v/>
      </c>
      <c r="B1991" s="21" t="s">
        <v>1017</v>
      </c>
      <c r="C1991" s="20"/>
      <c r="D1991" s="20">
        <v>28.0</v>
      </c>
      <c r="E1991" s="20" t="s">
        <v>1018</v>
      </c>
      <c r="G1991" s="22"/>
      <c r="H1991" s="23" t="s">
        <v>2416</v>
      </c>
      <c r="I1991" s="20" t="s">
        <v>197</v>
      </c>
      <c r="J1991" s="20">
        <v>0.0</v>
      </c>
      <c r="K1991" s="20">
        <v>0.0</v>
      </c>
      <c r="L1991" s="20">
        <v>0.0</v>
      </c>
      <c r="M1991" s="20">
        <v>0.0</v>
      </c>
      <c r="N1991" s="20">
        <v>0.0</v>
      </c>
      <c r="O1991" s="20">
        <v>0.0</v>
      </c>
      <c r="P1991" s="20">
        <v>0.0</v>
      </c>
      <c r="Q1991" s="20">
        <v>0.0</v>
      </c>
      <c r="R1991" s="20">
        <v>0.0</v>
      </c>
      <c r="S1991" s="20">
        <v>0.0</v>
      </c>
      <c r="T1991" s="20">
        <v>0.0</v>
      </c>
      <c r="U1991" s="20">
        <v>0.0</v>
      </c>
    </row>
    <row r="1992" ht="23.25" customHeight="1">
      <c r="A1992" s="17" t="str">
        <f>IF(COUNTIF('Icon Lookup'!C:C,B1992)&gt;0,LOOKUP(B1992,'Icon Lookup'!C:C,'Icon Lookup'!B:B),"")</f>
        <v/>
      </c>
      <c r="B1992" s="18" t="s">
        <v>288</v>
      </c>
      <c r="C1992" s="17"/>
      <c r="D1992" s="17">
        <v>28.0</v>
      </c>
      <c r="E1992" s="17" t="s">
        <v>289</v>
      </c>
      <c r="G1992" s="19"/>
      <c r="H1992" s="20" t="s">
        <v>2417</v>
      </c>
      <c r="I1992" s="17" t="s">
        <v>73</v>
      </c>
      <c r="J1992" s="17">
        <v>0.0</v>
      </c>
      <c r="K1992" s="17">
        <v>0.0</v>
      </c>
      <c r="L1992" s="17">
        <v>0.0</v>
      </c>
      <c r="M1992" s="17">
        <v>0.0</v>
      </c>
      <c r="N1992" s="17">
        <v>0.0</v>
      </c>
      <c r="O1992" s="17">
        <v>0.0</v>
      </c>
      <c r="P1992" s="17">
        <v>0.0</v>
      </c>
      <c r="Q1992" s="17">
        <v>0.0</v>
      </c>
      <c r="R1992" s="17">
        <v>0.0</v>
      </c>
      <c r="S1992" s="17">
        <v>0.0</v>
      </c>
      <c r="T1992" s="17">
        <v>0.0</v>
      </c>
      <c r="U1992" s="17">
        <v>0.0</v>
      </c>
    </row>
    <row r="1993" ht="23.25" customHeight="1">
      <c r="A1993" s="1"/>
      <c r="B1993" s="15" t="s">
        <v>2418</v>
      </c>
      <c r="C1993" s="1" t="s">
        <v>17</v>
      </c>
      <c r="D1993" s="1" t="s">
        <v>1044</v>
      </c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</row>
    <row r="1994" ht="23.25" customHeight="1">
      <c r="A1994" s="20" t="str">
        <f>IF(COUNTIF('Icon Lookup'!C:C,B1994)&gt;0,LOOKUP(B1994,'Icon Lookup'!C:C,'Icon Lookup'!B:B),"")</f>
        <v/>
      </c>
      <c r="B1994" s="21" t="s">
        <v>37</v>
      </c>
      <c r="C1994" s="20"/>
      <c r="D1994" s="20">
        <v>31.0</v>
      </c>
      <c r="E1994" s="20" t="s">
        <v>38</v>
      </c>
      <c r="G1994" s="22"/>
      <c r="H1994" s="23" t="s">
        <v>536</v>
      </c>
      <c r="I1994" s="20" t="s">
        <v>1045</v>
      </c>
      <c r="J1994" s="20">
        <v>0.0</v>
      </c>
      <c r="K1994" s="20">
        <v>0.0</v>
      </c>
      <c r="L1994" s="20">
        <v>0.0</v>
      </c>
      <c r="M1994" s="20">
        <v>0.0</v>
      </c>
      <c r="N1994" s="20">
        <v>0.0</v>
      </c>
      <c r="O1994" s="20">
        <v>0.0</v>
      </c>
      <c r="P1994" s="20">
        <v>0.0</v>
      </c>
      <c r="Q1994" s="20">
        <v>0.0</v>
      </c>
      <c r="R1994" s="20">
        <v>0.0</v>
      </c>
      <c r="S1994" s="20">
        <v>0.0</v>
      </c>
      <c r="T1994" s="20">
        <v>0.0</v>
      </c>
      <c r="U1994" s="20">
        <v>0.0</v>
      </c>
    </row>
    <row r="1995" ht="23.25" customHeight="1">
      <c r="A1995" s="17" t="str">
        <f>IF(COUNTIF('Icon Lookup'!C:C,B1995)&gt;0,LOOKUP(B1995,'Icon Lookup'!C:C,'Icon Lookup'!B:B),"")</f>
        <v/>
      </c>
      <c r="B1995" s="18" t="s">
        <v>37</v>
      </c>
      <c r="C1995" s="17"/>
      <c r="D1995" s="17">
        <v>31.0</v>
      </c>
      <c r="E1995" s="17" t="s">
        <v>38</v>
      </c>
      <c r="G1995" s="19"/>
      <c r="H1995" s="20" t="s">
        <v>1429</v>
      </c>
      <c r="I1995" s="17" t="s">
        <v>197</v>
      </c>
      <c r="J1995" s="17">
        <v>0.0</v>
      </c>
      <c r="K1995" s="17">
        <v>0.0</v>
      </c>
      <c r="L1995" s="17">
        <v>0.0</v>
      </c>
      <c r="M1995" s="17">
        <v>0.0</v>
      </c>
      <c r="N1995" s="17">
        <v>0.0</v>
      </c>
      <c r="O1995" s="17">
        <v>0.0</v>
      </c>
      <c r="P1995" s="17">
        <v>0.0</v>
      </c>
      <c r="Q1995" s="17">
        <v>0.0</v>
      </c>
      <c r="R1995" s="17">
        <v>0.0</v>
      </c>
      <c r="S1995" s="17">
        <v>0.0</v>
      </c>
      <c r="T1995" s="17">
        <v>0.0</v>
      </c>
      <c r="U1995" s="17">
        <v>0.0</v>
      </c>
    </row>
    <row r="1996" ht="23.25" customHeight="1">
      <c r="A1996" s="20" t="str">
        <f>IF(COUNTIF('Icon Lookup'!C:C,B1996)&gt;0,LOOKUP(B1996,'Icon Lookup'!C:C,'Icon Lookup'!B:B),"")</f>
        <v/>
      </c>
      <c r="B1996" s="21" t="s">
        <v>174</v>
      </c>
      <c r="C1996" s="20"/>
      <c r="D1996" s="20">
        <v>34.0</v>
      </c>
      <c r="E1996" s="20" t="s">
        <v>38</v>
      </c>
      <c r="G1996" s="22"/>
      <c r="H1996" s="23" t="s">
        <v>542</v>
      </c>
      <c r="I1996" s="20" t="s">
        <v>73</v>
      </c>
      <c r="J1996" s="20">
        <v>0.0</v>
      </c>
      <c r="K1996" s="20">
        <v>0.0</v>
      </c>
      <c r="L1996" s="20">
        <v>0.0</v>
      </c>
      <c r="M1996" s="20">
        <v>0.0</v>
      </c>
      <c r="N1996" s="20">
        <v>0.0</v>
      </c>
      <c r="O1996" s="20">
        <v>0.0</v>
      </c>
      <c r="P1996" s="20">
        <v>0.0</v>
      </c>
      <c r="Q1996" s="20">
        <v>0.0</v>
      </c>
      <c r="R1996" s="20">
        <v>0.0</v>
      </c>
      <c r="S1996" s="20">
        <v>0.0</v>
      </c>
      <c r="T1996" s="20">
        <v>0.0</v>
      </c>
      <c r="U1996" s="20">
        <v>0.0</v>
      </c>
    </row>
    <row r="1997" ht="23.25" customHeight="1">
      <c r="A1997" s="1"/>
      <c r="B1997" s="15" t="s">
        <v>2419</v>
      </c>
      <c r="C1997" s="1" t="s">
        <v>17</v>
      </c>
      <c r="D1997" s="1" t="s">
        <v>1044</v>
      </c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</row>
    <row r="1998" ht="23.25" customHeight="1">
      <c r="A1998" s="17" t="str">
        <f>IF(COUNTIF('Icon Lookup'!C:C,B1998)&gt;0,LOOKUP(B1998,'Icon Lookup'!C:C,'Icon Lookup'!B:B),"")</f>
        <v/>
      </c>
      <c r="B1998" s="18" t="s">
        <v>1003</v>
      </c>
      <c r="C1998" s="17"/>
      <c r="D1998" s="17">
        <v>32.0</v>
      </c>
      <c r="E1998" s="17" t="s">
        <v>1022</v>
      </c>
      <c r="G1998" s="19"/>
      <c r="H1998" s="20" t="s">
        <v>1410</v>
      </c>
      <c r="I1998" s="17" t="s">
        <v>94</v>
      </c>
      <c r="J1998" s="17">
        <v>0.0</v>
      </c>
      <c r="K1998" s="17">
        <v>0.0</v>
      </c>
      <c r="L1998" s="17">
        <v>0.0</v>
      </c>
      <c r="M1998" s="17">
        <v>0.0</v>
      </c>
      <c r="N1998" s="17">
        <v>0.0</v>
      </c>
      <c r="O1998" s="17">
        <v>0.0</v>
      </c>
      <c r="P1998" s="17">
        <v>0.0</v>
      </c>
      <c r="Q1998" s="17">
        <v>0.0</v>
      </c>
      <c r="R1998" s="17">
        <v>0.0</v>
      </c>
      <c r="S1998" s="17">
        <v>0.0</v>
      </c>
      <c r="T1998" s="17">
        <v>0.0</v>
      </c>
      <c r="U1998" s="17">
        <v>0.0</v>
      </c>
    </row>
    <row r="1999" ht="23.25" customHeight="1">
      <c r="A1999" s="20" t="str">
        <f>IF(COUNTIF('Icon Lookup'!C:C,B1999)&gt;0,LOOKUP(B1999,'Icon Lookup'!C:C,'Icon Lookup'!B:B),"")</f>
        <v/>
      </c>
      <c r="B1999" s="21" t="s">
        <v>1017</v>
      </c>
      <c r="C1999" s="20"/>
      <c r="D1999" s="20">
        <v>32.0</v>
      </c>
      <c r="E1999" s="20" t="s">
        <v>1126</v>
      </c>
      <c r="G1999" s="22"/>
      <c r="H1999" s="23" t="s">
        <v>2420</v>
      </c>
      <c r="I1999" s="20" t="s">
        <v>1045</v>
      </c>
      <c r="J1999" s="20">
        <v>0.0</v>
      </c>
      <c r="K1999" s="20">
        <v>0.0</v>
      </c>
      <c r="L1999" s="20">
        <v>0.0</v>
      </c>
      <c r="M1999" s="20">
        <v>0.0</v>
      </c>
      <c r="N1999" s="20">
        <v>0.0</v>
      </c>
      <c r="O1999" s="20">
        <v>0.0</v>
      </c>
      <c r="P1999" s="20">
        <v>0.0</v>
      </c>
      <c r="Q1999" s="20">
        <v>0.0</v>
      </c>
      <c r="R1999" s="20">
        <v>0.0</v>
      </c>
      <c r="S1999" s="20">
        <v>0.0</v>
      </c>
      <c r="T1999" s="20">
        <v>0.0</v>
      </c>
      <c r="U1999" s="20">
        <v>0.0</v>
      </c>
    </row>
    <row r="2000" ht="23.25" customHeight="1">
      <c r="A2000" s="17" t="str">
        <f>IF(COUNTIF('Icon Lookup'!C:C,B2000)&gt;0,LOOKUP(B2000,'Icon Lookup'!C:C,'Icon Lookup'!B:B),"")</f>
        <v/>
      </c>
      <c r="B2000" s="18" t="s">
        <v>288</v>
      </c>
      <c r="C2000" s="17"/>
      <c r="D2000" s="17">
        <v>32.0</v>
      </c>
      <c r="E2000" s="17" t="s">
        <v>289</v>
      </c>
      <c r="G2000" s="19"/>
      <c r="H2000" s="20" t="s">
        <v>2421</v>
      </c>
      <c r="I2000" s="17" t="s">
        <v>36</v>
      </c>
      <c r="J2000" s="17">
        <v>0.0</v>
      </c>
      <c r="K2000" s="17">
        <v>0.0</v>
      </c>
      <c r="L2000" s="17">
        <v>0.0</v>
      </c>
      <c r="M2000" s="17">
        <v>0.0</v>
      </c>
      <c r="N2000" s="17">
        <v>0.0</v>
      </c>
      <c r="O2000" s="17">
        <v>0.0</v>
      </c>
      <c r="P2000" s="17">
        <v>0.0</v>
      </c>
      <c r="Q2000" s="17">
        <v>0.0</v>
      </c>
      <c r="R2000" s="17">
        <v>0.0</v>
      </c>
      <c r="S2000" s="17">
        <v>0.0</v>
      </c>
      <c r="T2000" s="17">
        <v>0.0</v>
      </c>
      <c r="U2000" s="17">
        <v>0.0</v>
      </c>
    </row>
    <row r="2001" ht="23.25" customHeight="1">
      <c r="A2001" s="1"/>
      <c r="B2001" s="15" t="s">
        <v>2422</v>
      </c>
      <c r="C2001" s="1" t="s">
        <v>17</v>
      </c>
      <c r="D2001" s="1" t="s">
        <v>807</v>
      </c>
      <c r="G2001" s="16"/>
      <c r="H2001" s="26" t="s">
        <v>808</v>
      </c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</row>
    <row r="2002" ht="23.25" customHeight="1">
      <c r="A2002" s="20" t="str">
        <f>IF(COUNTIF('Icon Lookup'!C:C,B2002)&gt;0,LOOKUP(B2002,'Icon Lookup'!C:C,'Icon Lookup'!B:B),"")</f>
        <v/>
      </c>
      <c r="B2002" s="21" t="s">
        <v>741</v>
      </c>
      <c r="C2002" s="20"/>
      <c r="D2002" s="20">
        <v>58.0</v>
      </c>
      <c r="E2002" s="20" t="str">
        <f>IMAGE("https://www.serebii.net/itemdex/sprites/focussash.png")</f>
        <v/>
      </c>
      <c r="F2002" s="20" t="s">
        <v>26</v>
      </c>
      <c r="G2002" s="20" t="s">
        <v>881</v>
      </c>
      <c r="H2002" s="23" t="s">
        <v>1516</v>
      </c>
      <c r="I2002" s="20" t="s">
        <v>22</v>
      </c>
      <c r="J2002" s="20">
        <v>60.0</v>
      </c>
      <c r="K2002" s="20">
        <v>132.0</v>
      </c>
      <c r="L2002" s="20">
        <v>36.0</v>
      </c>
      <c r="M2002" s="20">
        <v>0.0</v>
      </c>
      <c r="N2002" s="20">
        <v>36.0</v>
      </c>
      <c r="O2002" s="20">
        <v>244.0</v>
      </c>
      <c r="P2002" s="20">
        <v>5.0</v>
      </c>
      <c r="Q2002" s="20">
        <v>5.0</v>
      </c>
      <c r="R2002" s="20">
        <v>5.0</v>
      </c>
      <c r="S2002" s="20">
        <v>5.0</v>
      </c>
      <c r="T2002" s="20">
        <v>5.0</v>
      </c>
      <c r="U2002" s="20">
        <v>5.0</v>
      </c>
    </row>
    <row r="2003" ht="23.25" customHeight="1">
      <c r="A2003" s="17" t="str">
        <f>IF(COUNTIF('Icon Lookup'!C:C,B2003)&gt;0,LOOKUP(B2003,'Icon Lookup'!C:C,'Icon Lookup'!B:B),"")</f>
        <v/>
      </c>
      <c r="B2003" s="18" t="s">
        <v>921</v>
      </c>
      <c r="C2003" s="17"/>
      <c r="D2003" s="17">
        <v>59.0</v>
      </c>
      <c r="E2003" s="17" t="str">
        <f>IMAGE("https://www.serebii.net/itemdex/sprites/quickclaw.png")</f>
        <v/>
      </c>
      <c r="F2003" s="17" t="s">
        <v>44</v>
      </c>
      <c r="G2003" s="17" t="s">
        <v>1371</v>
      </c>
      <c r="H2003" s="20" t="s">
        <v>2423</v>
      </c>
      <c r="I2003" s="17" t="s">
        <v>22</v>
      </c>
      <c r="J2003" s="17">
        <v>40.0</v>
      </c>
      <c r="K2003" s="17">
        <v>136.0</v>
      </c>
      <c r="L2003" s="17">
        <v>40.0</v>
      </c>
      <c r="M2003" s="17">
        <v>0.0</v>
      </c>
      <c r="N2003" s="17">
        <v>40.0</v>
      </c>
      <c r="O2003" s="17">
        <v>248.0</v>
      </c>
      <c r="P2003" s="17">
        <v>6.0</v>
      </c>
      <c r="Q2003" s="17">
        <v>6.0</v>
      </c>
      <c r="R2003" s="17">
        <v>6.0</v>
      </c>
      <c r="S2003" s="17">
        <v>6.0</v>
      </c>
      <c r="T2003" s="17">
        <v>6.0</v>
      </c>
      <c r="U2003" s="17">
        <v>6.0</v>
      </c>
    </row>
    <row r="2004" ht="23.25" customHeight="1">
      <c r="A2004" s="20" t="str">
        <f>IF(COUNTIF('Icon Lookup'!C:C,B2004)&gt;0,LOOKUP(B2004,'Icon Lookup'!C:C,'Icon Lookup'!B:B),"")</f>
        <v/>
      </c>
      <c r="B2004" s="21" t="s">
        <v>851</v>
      </c>
      <c r="C2004" s="20"/>
      <c r="D2004" s="20">
        <v>60.0</v>
      </c>
      <c r="E2004" s="20" t="s">
        <v>258</v>
      </c>
      <c r="G2004" s="22"/>
      <c r="H2004" s="23" t="s">
        <v>2424</v>
      </c>
      <c r="I2004" s="20" t="s">
        <v>22</v>
      </c>
      <c r="J2004" s="20">
        <v>44.0</v>
      </c>
      <c r="K2004" s="20">
        <v>124.0</v>
      </c>
      <c r="L2004" s="20">
        <v>44.0</v>
      </c>
      <c r="M2004" s="20">
        <v>0.0</v>
      </c>
      <c r="N2004" s="20">
        <v>44.0</v>
      </c>
      <c r="O2004" s="20">
        <v>252.0</v>
      </c>
      <c r="P2004" s="20">
        <v>9.0</v>
      </c>
      <c r="Q2004" s="20">
        <v>9.0</v>
      </c>
      <c r="R2004" s="20">
        <v>9.0</v>
      </c>
      <c r="S2004" s="20">
        <v>9.0</v>
      </c>
      <c r="T2004" s="20">
        <v>9.0</v>
      </c>
      <c r="U2004" s="20">
        <v>9.0</v>
      </c>
    </row>
    <row r="2005" ht="23.25" customHeight="1">
      <c r="A2005" s="17" t="str">
        <f>IF(COUNTIF('Icon Lookup'!C:C,B2005)&gt;0,LOOKUP(B2005,'Icon Lookup'!C:C,'Icon Lookup'!B:B),"")</f>
        <v/>
      </c>
      <c r="B2005" s="18" t="s">
        <v>710</v>
      </c>
      <c r="C2005" s="17"/>
      <c r="D2005" s="17">
        <v>59.0</v>
      </c>
      <c r="E2005" s="17" t="str">
        <f>IMAGE("https://www.serebii.net/itemdex/sprites/expertbelt.png")</f>
        <v/>
      </c>
      <c r="F2005" s="17" t="s">
        <v>79</v>
      </c>
      <c r="G2005" s="17" t="s">
        <v>907</v>
      </c>
      <c r="H2005" s="20" t="s">
        <v>1519</v>
      </c>
      <c r="I2005" s="17" t="s">
        <v>22</v>
      </c>
      <c r="J2005" s="17">
        <v>60.0</v>
      </c>
      <c r="K2005" s="17">
        <v>132.0</v>
      </c>
      <c r="L2005" s="17">
        <v>52.0</v>
      </c>
      <c r="M2005" s="17">
        <v>0.0</v>
      </c>
      <c r="N2005" s="17">
        <v>52.0</v>
      </c>
      <c r="O2005" s="17">
        <v>212.0</v>
      </c>
      <c r="P2005" s="17">
        <v>7.0</v>
      </c>
      <c r="Q2005" s="17">
        <v>7.0</v>
      </c>
      <c r="R2005" s="17">
        <v>7.0</v>
      </c>
      <c r="S2005" s="17">
        <v>7.0</v>
      </c>
      <c r="T2005" s="17">
        <v>7.0</v>
      </c>
      <c r="U2005" s="17">
        <v>7.0</v>
      </c>
    </row>
    <row r="2006" ht="23.25" customHeight="1">
      <c r="A2006" s="20" t="str">
        <f>IF(COUNTIF('Icon Lookup'!C:C,B2006)&gt;0,LOOKUP(B2006,'Icon Lookup'!C:C,'Icon Lookup'!B:B),"")</f>
        <v/>
      </c>
      <c r="B2006" s="21" t="s">
        <v>1520</v>
      </c>
      <c r="C2006" s="20"/>
      <c r="D2006" s="20">
        <v>60.0</v>
      </c>
      <c r="E2006" s="20" t="s">
        <v>382</v>
      </c>
      <c r="G2006" s="22"/>
      <c r="H2006" s="23" t="s">
        <v>1521</v>
      </c>
      <c r="I2006" s="20" t="s">
        <v>550</v>
      </c>
      <c r="J2006" s="20">
        <v>100.0</v>
      </c>
      <c r="K2006" s="20">
        <v>156.0</v>
      </c>
      <c r="L2006" s="20">
        <v>160.0</v>
      </c>
      <c r="M2006" s="20">
        <v>0.0</v>
      </c>
      <c r="N2006" s="20">
        <v>92.0</v>
      </c>
      <c r="O2006" s="20">
        <v>0.0</v>
      </c>
      <c r="P2006" s="20">
        <v>9.0</v>
      </c>
      <c r="Q2006" s="20">
        <v>9.0</v>
      </c>
      <c r="R2006" s="20">
        <v>9.0</v>
      </c>
      <c r="S2006" s="20">
        <v>9.0</v>
      </c>
      <c r="T2006" s="20">
        <v>9.0</v>
      </c>
      <c r="U2006" s="20">
        <v>9.0</v>
      </c>
    </row>
    <row r="2007" ht="23.25" customHeight="1">
      <c r="A2007" s="24" t="str">
        <f>IF(COUNTIF('Icon Lookup'!C:C,B2007)&gt;0,LOOKUP(B2007,'Icon Lookup'!C:C,'Icon Lookup'!B:B),"")</f>
        <v/>
      </c>
      <c r="B2007" s="25" t="s">
        <v>730</v>
      </c>
      <c r="C2007" s="24" t="s">
        <v>804</v>
      </c>
      <c r="D2007" s="24">
        <v>64.0</v>
      </c>
      <c r="E2007" s="24" t="str">
        <f>IMAGE("https://www.serebii.net/itemdex/sprites/leftovers.png")</f>
        <v/>
      </c>
      <c r="F2007" s="24" t="s">
        <v>267</v>
      </c>
      <c r="G2007" s="17" t="s">
        <v>859</v>
      </c>
      <c r="H2007" s="20" t="s">
        <v>1522</v>
      </c>
      <c r="I2007" s="24" t="s">
        <v>265</v>
      </c>
      <c r="J2007" s="24">
        <v>164.0</v>
      </c>
      <c r="K2007" s="24">
        <v>116.0</v>
      </c>
      <c r="L2007" s="24">
        <v>52.0</v>
      </c>
      <c r="M2007" s="24">
        <v>52.0</v>
      </c>
      <c r="N2007" s="24">
        <v>124.0</v>
      </c>
      <c r="O2007" s="24">
        <v>0.0</v>
      </c>
      <c r="P2007" s="24">
        <v>11.0</v>
      </c>
      <c r="Q2007" s="24">
        <v>11.0</v>
      </c>
      <c r="R2007" s="24">
        <v>11.0</v>
      </c>
      <c r="S2007" s="24">
        <v>11.0</v>
      </c>
      <c r="T2007" s="24">
        <v>11.0</v>
      </c>
      <c r="U2007" s="24">
        <v>11.0</v>
      </c>
    </row>
    <row r="2008" ht="23.25" customHeight="1">
      <c r="A2008" s="1"/>
      <c r="B2008" s="15" t="s">
        <v>2425</v>
      </c>
      <c r="C2008" s="1" t="s">
        <v>17</v>
      </c>
      <c r="D2008" s="1" t="s">
        <v>807</v>
      </c>
      <c r="G2008" s="16"/>
      <c r="H2008" s="26" t="s">
        <v>808</v>
      </c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</row>
    <row r="2009" ht="23.25" customHeight="1">
      <c r="A2009" s="20" t="str">
        <f>IF(COUNTIF('Icon Lookup'!C:C,B2009)&gt;0,LOOKUP(B2009,'Icon Lookup'!C:C,'Icon Lookup'!B:B),"")</f>
        <v/>
      </c>
      <c r="B2009" s="21" t="s">
        <v>741</v>
      </c>
      <c r="C2009" s="20"/>
      <c r="D2009" s="20">
        <v>58.0</v>
      </c>
      <c r="E2009" s="20" t="str">
        <f>IMAGE("https://www.serebii.net/itemdex/sprites/focussash.png")</f>
        <v/>
      </c>
      <c r="F2009" s="20" t="s">
        <v>26</v>
      </c>
      <c r="G2009" s="20" t="s">
        <v>881</v>
      </c>
      <c r="H2009" s="23" t="s">
        <v>1524</v>
      </c>
      <c r="I2009" s="20" t="s">
        <v>22</v>
      </c>
      <c r="J2009" s="20">
        <v>60.0</v>
      </c>
      <c r="K2009" s="20">
        <v>132.0</v>
      </c>
      <c r="L2009" s="20">
        <v>36.0</v>
      </c>
      <c r="M2009" s="20">
        <v>0.0</v>
      </c>
      <c r="N2009" s="20">
        <v>36.0</v>
      </c>
      <c r="O2009" s="20">
        <v>244.0</v>
      </c>
      <c r="P2009" s="20">
        <v>5.0</v>
      </c>
      <c r="Q2009" s="20">
        <v>5.0</v>
      </c>
      <c r="R2009" s="20">
        <v>5.0</v>
      </c>
      <c r="S2009" s="20">
        <v>5.0</v>
      </c>
      <c r="T2009" s="20">
        <v>5.0</v>
      </c>
      <c r="U2009" s="20">
        <v>5.0</v>
      </c>
    </row>
    <row r="2010" ht="23.25" customHeight="1">
      <c r="A2010" s="17" t="str">
        <f>IF(COUNTIF('Icon Lookup'!C:C,B2010)&gt;0,LOOKUP(B2010,'Icon Lookup'!C:C,'Icon Lookup'!B:B),"")</f>
        <v/>
      </c>
      <c r="B2010" s="18" t="s">
        <v>921</v>
      </c>
      <c r="C2010" s="17"/>
      <c r="D2010" s="17">
        <v>59.0</v>
      </c>
      <c r="E2010" s="17" t="str">
        <f>IMAGE("https://www.serebii.net/itemdex/sprites/quickclaw.png")</f>
        <v/>
      </c>
      <c r="F2010" s="17" t="s">
        <v>44</v>
      </c>
      <c r="G2010" s="17" t="s">
        <v>1371</v>
      </c>
      <c r="H2010" s="20" t="s">
        <v>2423</v>
      </c>
      <c r="I2010" s="17" t="s">
        <v>22</v>
      </c>
      <c r="J2010" s="17">
        <v>40.0</v>
      </c>
      <c r="K2010" s="17">
        <v>136.0</v>
      </c>
      <c r="L2010" s="17">
        <v>40.0</v>
      </c>
      <c r="M2010" s="17">
        <v>0.0</v>
      </c>
      <c r="N2010" s="17">
        <v>40.0</v>
      </c>
      <c r="O2010" s="17">
        <v>248.0</v>
      </c>
      <c r="P2010" s="17">
        <v>6.0</v>
      </c>
      <c r="Q2010" s="17">
        <v>6.0</v>
      </c>
      <c r="R2010" s="17">
        <v>6.0</v>
      </c>
      <c r="S2010" s="17">
        <v>6.0</v>
      </c>
      <c r="T2010" s="17">
        <v>6.0</v>
      </c>
      <c r="U2010" s="17">
        <v>6.0</v>
      </c>
    </row>
    <row r="2011" ht="23.25" customHeight="1">
      <c r="A2011" s="20" t="str">
        <f>IF(COUNTIF('Icon Lookup'!C:C,B2011)&gt;0,LOOKUP(B2011,'Icon Lookup'!C:C,'Icon Lookup'!B:B),"")</f>
        <v/>
      </c>
      <c r="B2011" s="21" t="s">
        <v>851</v>
      </c>
      <c r="C2011" s="20"/>
      <c r="D2011" s="20">
        <v>60.0</v>
      </c>
      <c r="E2011" s="20" t="s">
        <v>258</v>
      </c>
      <c r="G2011" s="22"/>
      <c r="H2011" s="23" t="s">
        <v>2424</v>
      </c>
      <c r="I2011" s="20" t="s">
        <v>22</v>
      </c>
      <c r="J2011" s="20">
        <v>44.0</v>
      </c>
      <c r="K2011" s="20">
        <v>124.0</v>
      </c>
      <c r="L2011" s="20">
        <v>44.0</v>
      </c>
      <c r="M2011" s="20">
        <v>0.0</v>
      </c>
      <c r="N2011" s="20">
        <v>44.0</v>
      </c>
      <c r="O2011" s="20">
        <v>252.0</v>
      </c>
      <c r="P2011" s="20">
        <v>9.0</v>
      </c>
      <c r="Q2011" s="20">
        <v>9.0</v>
      </c>
      <c r="R2011" s="20">
        <v>9.0</v>
      </c>
      <c r="S2011" s="20">
        <v>9.0</v>
      </c>
      <c r="T2011" s="20">
        <v>9.0</v>
      </c>
      <c r="U2011" s="20">
        <v>9.0</v>
      </c>
    </row>
    <row r="2012" ht="23.25" customHeight="1">
      <c r="A2012" s="17" t="str">
        <f>IF(COUNTIF('Icon Lookup'!C:C,B2012)&gt;0,LOOKUP(B2012,'Icon Lookup'!C:C,'Icon Lookup'!B:B),"")</f>
        <v/>
      </c>
      <c r="B2012" s="18" t="s">
        <v>906</v>
      </c>
      <c r="C2012" s="17"/>
      <c r="D2012" s="17">
        <v>59.0</v>
      </c>
      <c r="E2012" s="17" t="str">
        <f>IMAGE("https://www.serebii.net/itemdex/sprites/blacksludge.png")</f>
        <v/>
      </c>
      <c r="F2012" s="17" t="s">
        <v>50</v>
      </c>
      <c r="G2012" s="17" t="s">
        <v>844</v>
      </c>
      <c r="H2012" s="20" t="s">
        <v>2426</v>
      </c>
      <c r="I2012" s="17" t="s">
        <v>52</v>
      </c>
      <c r="J2012" s="17">
        <v>60.0</v>
      </c>
      <c r="K2012" s="17">
        <v>0.0</v>
      </c>
      <c r="L2012" s="17">
        <v>52.0</v>
      </c>
      <c r="M2012" s="17">
        <v>132.0</v>
      </c>
      <c r="N2012" s="17">
        <v>52.0</v>
      </c>
      <c r="O2012" s="17">
        <v>212.0</v>
      </c>
      <c r="P2012" s="17">
        <v>7.0</v>
      </c>
      <c r="Q2012" s="17">
        <v>7.0</v>
      </c>
      <c r="R2012" s="17">
        <v>7.0</v>
      </c>
      <c r="S2012" s="17">
        <v>7.0</v>
      </c>
      <c r="T2012" s="17">
        <v>7.0</v>
      </c>
      <c r="U2012" s="17">
        <v>7.0</v>
      </c>
    </row>
    <row r="2013" ht="23.25" customHeight="1">
      <c r="A2013" s="20" t="str">
        <f>IF(COUNTIF('Icon Lookup'!C:C,B2013)&gt;0,LOOKUP(B2013,'Icon Lookup'!C:C,'Icon Lookup'!B:B),"")</f>
        <v/>
      </c>
      <c r="B2013" s="21" t="s">
        <v>1520</v>
      </c>
      <c r="C2013" s="20"/>
      <c r="D2013" s="20">
        <v>60.0</v>
      </c>
      <c r="E2013" s="20" t="s">
        <v>382</v>
      </c>
      <c r="G2013" s="22"/>
      <c r="H2013" s="23" t="s">
        <v>1526</v>
      </c>
      <c r="I2013" s="20" t="s">
        <v>550</v>
      </c>
      <c r="J2013" s="20">
        <v>100.0</v>
      </c>
      <c r="K2013" s="20">
        <v>156.0</v>
      </c>
      <c r="L2013" s="20">
        <v>160.0</v>
      </c>
      <c r="M2013" s="20">
        <v>0.0</v>
      </c>
      <c r="N2013" s="20">
        <v>92.0</v>
      </c>
      <c r="O2013" s="20">
        <v>0.0</v>
      </c>
      <c r="P2013" s="20">
        <v>9.0</v>
      </c>
      <c r="Q2013" s="20">
        <v>9.0</v>
      </c>
      <c r="R2013" s="20">
        <v>9.0</v>
      </c>
      <c r="S2013" s="20">
        <v>9.0</v>
      </c>
      <c r="T2013" s="20">
        <v>9.0</v>
      </c>
      <c r="U2013" s="20">
        <v>9.0</v>
      </c>
    </row>
    <row r="2014" ht="23.25" customHeight="1">
      <c r="A2014" s="24" t="str">
        <f>IF(COUNTIF('Icon Lookup'!C:C,B2014)&gt;0,LOOKUP(B2014,'Icon Lookup'!C:C,'Icon Lookup'!B:B),"")</f>
        <v/>
      </c>
      <c r="B2014" s="25" t="s">
        <v>879</v>
      </c>
      <c r="C2014" s="24" t="s">
        <v>804</v>
      </c>
      <c r="D2014" s="24">
        <v>64.0</v>
      </c>
      <c r="E2014" s="24" t="str">
        <f>IMAGE("https://www.serebii.net/itemdex/sprites/expertbelt.png")</f>
        <v/>
      </c>
      <c r="F2014" s="24" t="s">
        <v>145</v>
      </c>
      <c r="G2014" s="17" t="s">
        <v>907</v>
      </c>
      <c r="H2014" s="20" t="s">
        <v>2427</v>
      </c>
      <c r="I2014" s="24" t="s">
        <v>22</v>
      </c>
      <c r="J2014" s="24">
        <v>52.0</v>
      </c>
      <c r="K2014" s="24">
        <v>188.0</v>
      </c>
      <c r="L2014" s="24">
        <v>52.0</v>
      </c>
      <c r="M2014" s="24">
        <v>0.0</v>
      </c>
      <c r="N2014" s="24">
        <v>52.0</v>
      </c>
      <c r="O2014" s="24">
        <v>164.0</v>
      </c>
      <c r="P2014" s="24">
        <v>11.0</v>
      </c>
      <c r="Q2014" s="24">
        <v>11.0</v>
      </c>
      <c r="R2014" s="24">
        <v>11.0</v>
      </c>
      <c r="S2014" s="24">
        <v>11.0</v>
      </c>
      <c r="T2014" s="24">
        <v>11.0</v>
      </c>
      <c r="U2014" s="24">
        <v>11.0</v>
      </c>
    </row>
    <row r="2015" ht="23.25" customHeight="1">
      <c r="A2015" s="1"/>
      <c r="B2015" s="15" t="s">
        <v>2428</v>
      </c>
      <c r="C2015" s="1" t="s">
        <v>17</v>
      </c>
      <c r="D2015" s="1" t="s">
        <v>807</v>
      </c>
      <c r="G2015" s="16"/>
      <c r="H2015" s="26" t="s">
        <v>808</v>
      </c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</row>
    <row r="2016" ht="23.25" customHeight="1">
      <c r="A2016" s="20" t="str">
        <f>IF(COUNTIF('Icon Lookup'!C:C,B2016)&gt;0,LOOKUP(B2016,'Icon Lookup'!C:C,'Icon Lookup'!B:B),"")</f>
        <v/>
      </c>
      <c r="B2016" s="21" t="s">
        <v>741</v>
      </c>
      <c r="C2016" s="20"/>
      <c r="D2016" s="20">
        <v>58.0</v>
      </c>
      <c r="E2016" s="20" t="str">
        <f>IMAGE("https://www.serebii.net/itemdex/sprites/focussash.png")</f>
        <v/>
      </c>
      <c r="F2016" s="20" t="s">
        <v>26</v>
      </c>
      <c r="G2016" s="20" t="s">
        <v>881</v>
      </c>
      <c r="H2016" s="23" t="s">
        <v>1529</v>
      </c>
      <c r="I2016" s="20" t="s">
        <v>22</v>
      </c>
      <c r="J2016" s="20">
        <v>60.0</v>
      </c>
      <c r="K2016" s="20">
        <v>132.0</v>
      </c>
      <c r="L2016" s="20">
        <v>36.0</v>
      </c>
      <c r="M2016" s="20">
        <v>0.0</v>
      </c>
      <c r="N2016" s="20">
        <v>36.0</v>
      </c>
      <c r="O2016" s="20">
        <v>244.0</v>
      </c>
      <c r="P2016" s="20">
        <v>5.0</v>
      </c>
      <c r="Q2016" s="20">
        <v>5.0</v>
      </c>
      <c r="R2016" s="20">
        <v>5.0</v>
      </c>
      <c r="S2016" s="20">
        <v>5.0</v>
      </c>
      <c r="T2016" s="20">
        <v>5.0</v>
      </c>
      <c r="U2016" s="20">
        <v>5.0</v>
      </c>
    </row>
    <row r="2017" ht="23.25" customHeight="1">
      <c r="A2017" s="17" t="str">
        <f>IF(COUNTIF('Icon Lookup'!C:C,B2017)&gt;0,LOOKUP(B2017,'Icon Lookup'!C:C,'Icon Lookup'!B:B),"")</f>
        <v/>
      </c>
      <c r="B2017" s="18" t="s">
        <v>906</v>
      </c>
      <c r="C2017" s="17"/>
      <c r="D2017" s="17">
        <v>59.0</v>
      </c>
      <c r="E2017" s="17" t="str">
        <f>IMAGE("https://www.serebii.net/itemdex/sprites/blacksludge.png")</f>
        <v/>
      </c>
      <c r="F2017" s="17" t="s">
        <v>959</v>
      </c>
      <c r="G2017" s="17" t="s">
        <v>844</v>
      </c>
      <c r="H2017" s="20" t="s">
        <v>2429</v>
      </c>
      <c r="I2017" s="17" t="s">
        <v>52</v>
      </c>
      <c r="J2017" s="17">
        <v>40.0</v>
      </c>
      <c r="K2017" s="17">
        <v>0.0</v>
      </c>
      <c r="L2017" s="17">
        <v>40.0</v>
      </c>
      <c r="M2017" s="17">
        <v>136.0</v>
      </c>
      <c r="N2017" s="17">
        <v>40.0</v>
      </c>
      <c r="O2017" s="17">
        <v>248.0</v>
      </c>
      <c r="P2017" s="17">
        <v>6.0</v>
      </c>
      <c r="Q2017" s="17">
        <v>6.0</v>
      </c>
      <c r="R2017" s="17">
        <v>6.0</v>
      </c>
      <c r="S2017" s="17">
        <v>6.0</v>
      </c>
      <c r="T2017" s="17">
        <v>6.0</v>
      </c>
      <c r="U2017" s="17">
        <v>6.0</v>
      </c>
    </row>
    <row r="2018" ht="23.25" customHeight="1">
      <c r="A2018" s="20" t="str">
        <f>IF(COUNTIF('Icon Lookup'!C:C,B2018)&gt;0,LOOKUP(B2018,'Icon Lookup'!C:C,'Icon Lookup'!B:B),"")</f>
        <v/>
      </c>
      <c r="B2018" s="21" t="s">
        <v>851</v>
      </c>
      <c r="C2018" s="20"/>
      <c r="D2018" s="20">
        <v>60.0</v>
      </c>
      <c r="E2018" s="20" t="s">
        <v>258</v>
      </c>
      <c r="G2018" s="22"/>
      <c r="H2018" s="23" t="s">
        <v>2424</v>
      </c>
      <c r="I2018" s="20" t="s">
        <v>22</v>
      </c>
      <c r="J2018" s="20">
        <v>44.0</v>
      </c>
      <c r="K2018" s="20">
        <v>124.0</v>
      </c>
      <c r="L2018" s="20">
        <v>44.0</v>
      </c>
      <c r="M2018" s="20">
        <v>0.0</v>
      </c>
      <c r="N2018" s="20">
        <v>44.0</v>
      </c>
      <c r="O2018" s="20">
        <v>252.0</v>
      </c>
      <c r="P2018" s="20">
        <v>9.0</v>
      </c>
      <c r="Q2018" s="20">
        <v>9.0</v>
      </c>
      <c r="R2018" s="20">
        <v>9.0</v>
      </c>
      <c r="S2018" s="20">
        <v>9.0</v>
      </c>
      <c r="T2018" s="20">
        <v>9.0</v>
      </c>
      <c r="U2018" s="20">
        <v>9.0</v>
      </c>
    </row>
    <row r="2019" ht="23.25" customHeight="1">
      <c r="A2019" s="17" t="str">
        <f>IF(COUNTIF('Icon Lookup'!C:C,B2019)&gt;0,LOOKUP(B2019,'Icon Lookup'!C:C,'Icon Lookup'!B:B),"")</f>
        <v/>
      </c>
      <c r="B2019" s="18" t="s">
        <v>710</v>
      </c>
      <c r="C2019" s="17"/>
      <c r="D2019" s="17">
        <v>59.0</v>
      </c>
      <c r="E2019" s="17" t="str">
        <f>IMAGE("https://www.serebii.net/itemdex/sprites/expertbelt.png")</f>
        <v/>
      </c>
      <c r="F2019" s="17" t="s">
        <v>79</v>
      </c>
      <c r="G2019" s="17" t="s">
        <v>907</v>
      </c>
      <c r="H2019" s="20" t="s">
        <v>1519</v>
      </c>
      <c r="I2019" s="17" t="s">
        <v>22</v>
      </c>
      <c r="J2019" s="17">
        <v>60.0</v>
      </c>
      <c r="K2019" s="17">
        <v>132.0</v>
      </c>
      <c r="L2019" s="17">
        <v>52.0</v>
      </c>
      <c r="M2019" s="17">
        <v>0.0</v>
      </c>
      <c r="N2019" s="17">
        <v>52.0</v>
      </c>
      <c r="O2019" s="17">
        <v>212.0</v>
      </c>
      <c r="P2019" s="17">
        <v>7.0</v>
      </c>
      <c r="Q2019" s="17">
        <v>7.0</v>
      </c>
      <c r="R2019" s="17">
        <v>7.0</v>
      </c>
      <c r="S2019" s="17">
        <v>7.0</v>
      </c>
      <c r="T2019" s="17">
        <v>7.0</v>
      </c>
      <c r="U2019" s="17">
        <v>7.0</v>
      </c>
    </row>
    <row r="2020" ht="23.25" customHeight="1">
      <c r="A2020" s="20" t="str">
        <f>IF(COUNTIF('Icon Lookup'!C:C,B2020)&gt;0,LOOKUP(B2020,'Icon Lookup'!C:C,'Icon Lookup'!B:B),"")</f>
        <v/>
      </c>
      <c r="B2020" s="21" t="s">
        <v>1520</v>
      </c>
      <c r="C2020" s="20"/>
      <c r="D2020" s="20">
        <v>60.0</v>
      </c>
      <c r="E2020" s="20" t="s">
        <v>382</v>
      </c>
      <c r="G2020" s="22"/>
      <c r="H2020" s="23" t="s">
        <v>1521</v>
      </c>
      <c r="I2020" s="20" t="s">
        <v>550</v>
      </c>
      <c r="J2020" s="20">
        <v>100.0</v>
      </c>
      <c r="K2020" s="20">
        <v>156.0</v>
      </c>
      <c r="L2020" s="20">
        <v>160.0</v>
      </c>
      <c r="M2020" s="20">
        <v>0.0</v>
      </c>
      <c r="N2020" s="20">
        <v>92.0</v>
      </c>
      <c r="O2020" s="20">
        <v>0.0</v>
      </c>
      <c r="P2020" s="20">
        <v>9.0</v>
      </c>
      <c r="Q2020" s="20">
        <v>9.0</v>
      </c>
      <c r="R2020" s="20">
        <v>9.0</v>
      </c>
      <c r="S2020" s="20">
        <v>9.0</v>
      </c>
      <c r="T2020" s="20">
        <v>9.0</v>
      </c>
      <c r="U2020" s="20">
        <v>9.0</v>
      </c>
    </row>
    <row r="2021" ht="23.25" customHeight="1">
      <c r="A2021" s="24" t="str">
        <f>IF(COUNTIF('Icon Lookup'!C:C,B2021)&gt;0,LOOKUP(B2021,'Icon Lookup'!C:C,'Icon Lookup'!B:B),"")</f>
        <v/>
      </c>
      <c r="B2021" s="25" t="s">
        <v>737</v>
      </c>
      <c r="C2021" s="24" t="s">
        <v>804</v>
      </c>
      <c r="D2021" s="24">
        <v>64.0</v>
      </c>
      <c r="E2021" s="24" t="str">
        <f>IMAGE("https://www.serebii.net/itemdex/sprites/quickclaw.png")</f>
        <v/>
      </c>
      <c r="F2021" s="24" t="s">
        <v>374</v>
      </c>
      <c r="G2021" s="17" t="s">
        <v>1371</v>
      </c>
      <c r="H2021" s="20" t="s">
        <v>2430</v>
      </c>
      <c r="I2021" s="24" t="s">
        <v>52</v>
      </c>
      <c r="J2021" s="24">
        <v>52.0</v>
      </c>
      <c r="K2021" s="24">
        <v>0.0</v>
      </c>
      <c r="L2021" s="24">
        <v>52.0</v>
      </c>
      <c r="M2021" s="24">
        <v>188.0</v>
      </c>
      <c r="N2021" s="24">
        <v>52.0</v>
      </c>
      <c r="O2021" s="24">
        <v>164.0</v>
      </c>
      <c r="P2021" s="24">
        <v>11.0</v>
      </c>
      <c r="Q2021" s="24">
        <v>11.0</v>
      </c>
      <c r="R2021" s="24">
        <v>11.0</v>
      </c>
      <c r="S2021" s="24">
        <v>11.0</v>
      </c>
      <c r="T2021" s="24">
        <v>11.0</v>
      </c>
      <c r="U2021" s="24">
        <v>11.0</v>
      </c>
    </row>
    <row r="2022" ht="23.25" customHeight="1">
      <c r="A2022" s="1"/>
      <c r="B2022" s="15" t="s">
        <v>2431</v>
      </c>
      <c r="C2022" s="1" t="s">
        <v>17</v>
      </c>
      <c r="D2022" s="1" t="s">
        <v>807</v>
      </c>
      <c r="G2022" s="16"/>
      <c r="H2022" s="26" t="s">
        <v>808</v>
      </c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</row>
    <row r="2023" ht="23.25" customHeight="1">
      <c r="A2023" s="20" t="str">
        <f>IF(COUNTIF('Icon Lookup'!C:C,B2023)&gt;0,LOOKUP(B2023,'Icon Lookup'!C:C,'Icon Lookup'!B:B),"")</f>
        <v/>
      </c>
      <c r="B2023" s="21" t="s">
        <v>741</v>
      </c>
      <c r="C2023" s="20"/>
      <c r="D2023" s="20">
        <v>68.0</v>
      </c>
      <c r="E2023" s="20" t="str">
        <f>IMAGE("https://www.serebii.net/itemdex/sprites/focussash.png")</f>
        <v/>
      </c>
      <c r="F2023" s="20" t="s">
        <v>26</v>
      </c>
      <c r="G2023" s="20" t="s">
        <v>881</v>
      </c>
      <c r="H2023" s="23" t="s">
        <v>1516</v>
      </c>
      <c r="I2023" s="20" t="s">
        <v>22</v>
      </c>
      <c r="J2023" s="20">
        <v>60.0</v>
      </c>
      <c r="K2023" s="20">
        <v>132.0</v>
      </c>
      <c r="L2023" s="20">
        <v>36.0</v>
      </c>
      <c r="M2023" s="20">
        <v>0.0</v>
      </c>
      <c r="N2023" s="20">
        <v>36.0</v>
      </c>
      <c r="O2023" s="20">
        <v>244.0</v>
      </c>
      <c r="P2023" s="20">
        <v>5.0</v>
      </c>
      <c r="Q2023" s="20">
        <v>5.0</v>
      </c>
      <c r="R2023" s="20">
        <v>5.0</v>
      </c>
      <c r="S2023" s="20">
        <v>5.0</v>
      </c>
      <c r="T2023" s="20">
        <v>5.0</v>
      </c>
      <c r="U2023" s="20">
        <v>5.0</v>
      </c>
    </row>
    <row r="2024" ht="23.25" customHeight="1">
      <c r="A2024" s="17" t="str">
        <f>IF(COUNTIF('Icon Lookup'!C:C,B2024)&gt;0,LOOKUP(B2024,'Icon Lookup'!C:C,'Icon Lookup'!B:B),"")</f>
        <v/>
      </c>
      <c r="B2024" s="18" t="s">
        <v>921</v>
      </c>
      <c r="C2024" s="17"/>
      <c r="D2024" s="17">
        <v>69.0</v>
      </c>
      <c r="E2024" s="17" t="str">
        <f>IMAGE("https://www.serebii.net/itemdex/sprites/quickclaw.png")</f>
        <v/>
      </c>
      <c r="F2024" s="17" t="s">
        <v>44</v>
      </c>
      <c r="G2024" s="17" t="s">
        <v>1371</v>
      </c>
      <c r="H2024" s="20" t="s">
        <v>2423</v>
      </c>
      <c r="I2024" s="17" t="s">
        <v>22</v>
      </c>
      <c r="J2024" s="17">
        <v>40.0</v>
      </c>
      <c r="K2024" s="17">
        <v>136.0</v>
      </c>
      <c r="L2024" s="17">
        <v>40.0</v>
      </c>
      <c r="M2024" s="17">
        <v>0.0</v>
      </c>
      <c r="N2024" s="17">
        <v>40.0</v>
      </c>
      <c r="O2024" s="17">
        <v>248.0</v>
      </c>
      <c r="P2024" s="17">
        <v>6.0</v>
      </c>
      <c r="Q2024" s="17">
        <v>6.0</v>
      </c>
      <c r="R2024" s="17">
        <v>6.0</v>
      </c>
      <c r="S2024" s="17">
        <v>6.0</v>
      </c>
      <c r="T2024" s="17">
        <v>6.0</v>
      </c>
      <c r="U2024" s="17">
        <v>6.0</v>
      </c>
    </row>
    <row r="2025" ht="23.25" customHeight="1">
      <c r="A2025" s="20" t="str">
        <f>IF(COUNTIF('Icon Lookup'!C:C,B2025)&gt;0,LOOKUP(B2025,'Icon Lookup'!C:C,'Icon Lookup'!B:B),"")</f>
        <v/>
      </c>
      <c r="B2025" s="21" t="s">
        <v>851</v>
      </c>
      <c r="C2025" s="20"/>
      <c r="D2025" s="20">
        <v>70.0</v>
      </c>
      <c r="E2025" s="20" t="s">
        <v>258</v>
      </c>
      <c r="G2025" s="22"/>
      <c r="H2025" s="23" t="s">
        <v>2424</v>
      </c>
      <c r="I2025" s="20" t="s">
        <v>22</v>
      </c>
      <c r="J2025" s="20">
        <v>44.0</v>
      </c>
      <c r="K2025" s="20">
        <v>124.0</v>
      </c>
      <c r="L2025" s="20">
        <v>44.0</v>
      </c>
      <c r="M2025" s="20">
        <v>0.0</v>
      </c>
      <c r="N2025" s="20">
        <v>44.0</v>
      </c>
      <c r="O2025" s="20">
        <v>252.0</v>
      </c>
      <c r="P2025" s="20">
        <v>9.0</v>
      </c>
      <c r="Q2025" s="20">
        <v>9.0</v>
      </c>
      <c r="R2025" s="20">
        <v>9.0</v>
      </c>
      <c r="S2025" s="20">
        <v>9.0</v>
      </c>
      <c r="T2025" s="20">
        <v>9.0</v>
      </c>
      <c r="U2025" s="20">
        <v>9.0</v>
      </c>
    </row>
    <row r="2026" ht="23.25" customHeight="1">
      <c r="A2026" s="17" t="str">
        <f>IF(COUNTIF('Icon Lookup'!C:C,B2026)&gt;0,LOOKUP(B2026,'Icon Lookup'!C:C,'Icon Lookup'!B:B),"")</f>
        <v/>
      </c>
      <c r="B2026" s="18" t="s">
        <v>710</v>
      </c>
      <c r="C2026" s="17"/>
      <c r="D2026" s="17">
        <v>69.0</v>
      </c>
      <c r="E2026" s="17" t="str">
        <f>IMAGE("https://www.serebii.net/itemdex/sprites/expertbelt.png")</f>
        <v/>
      </c>
      <c r="F2026" s="17" t="s">
        <v>79</v>
      </c>
      <c r="G2026" s="17" t="s">
        <v>907</v>
      </c>
      <c r="H2026" s="20" t="s">
        <v>2432</v>
      </c>
      <c r="I2026" s="17" t="s">
        <v>22</v>
      </c>
      <c r="J2026" s="17">
        <v>60.0</v>
      </c>
      <c r="K2026" s="17">
        <v>132.0</v>
      </c>
      <c r="L2026" s="17">
        <v>52.0</v>
      </c>
      <c r="M2026" s="17">
        <v>0.0</v>
      </c>
      <c r="N2026" s="17">
        <v>52.0</v>
      </c>
      <c r="O2026" s="17">
        <v>212.0</v>
      </c>
      <c r="P2026" s="17">
        <v>7.0</v>
      </c>
      <c r="Q2026" s="17">
        <v>7.0</v>
      </c>
      <c r="R2026" s="17">
        <v>7.0</v>
      </c>
      <c r="S2026" s="17">
        <v>7.0</v>
      </c>
      <c r="T2026" s="17">
        <v>7.0</v>
      </c>
      <c r="U2026" s="17">
        <v>7.0</v>
      </c>
    </row>
    <row r="2027" ht="23.25" customHeight="1">
      <c r="A2027" s="20" t="str">
        <f>IF(COUNTIF('Icon Lookup'!C:C,B2027)&gt;0,LOOKUP(B2027,'Icon Lookup'!C:C,'Icon Lookup'!B:B),"")</f>
        <v/>
      </c>
      <c r="B2027" s="21" t="s">
        <v>1520</v>
      </c>
      <c r="C2027" s="20"/>
      <c r="D2027" s="20">
        <v>70.0</v>
      </c>
      <c r="E2027" s="20" t="s">
        <v>382</v>
      </c>
      <c r="G2027" s="22"/>
      <c r="H2027" s="23" t="s">
        <v>1521</v>
      </c>
      <c r="I2027" s="20" t="s">
        <v>550</v>
      </c>
      <c r="J2027" s="20">
        <v>100.0</v>
      </c>
      <c r="K2027" s="20">
        <v>156.0</v>
      </c>
      <c r="L2027" s="20">
        <v>160.0</v>
      </c>
      <c r="M2027" s="20">
        <v>0.0</v>
      </c>
      <c r="N2027" s="20">
        <v>92.0</v>
      </c>
      <c r="O2027" s="20">
        <v>0.0</v>
      </c>
      <c r="P2027" s="20">
        <v>9.0</v>
      </c>
      <c r="Q2027" s="20">
        <v>9.0</v>
      </c>
      <c r="R2027" s="20">
        <v>9.0</v>
      </c>
      <c r="S2027" s="20">
        <v>9.0</v>
      </c>
      <c r="T2027" s="20">
        <v>9.0</v>
      </c>
      <c r="U2027" s="20">
        <v>9.0</v>
      </c>
    </row>
    <row r="2028" ht="23.25" customHeight="1">
      <c r="A2028" s="24" t="str">
        <f>IF(COUNTIF('Icon Lookup'!C:C,B2028)&gt;0,LOOKUP(B2028,'Icon Lookup'!C:C,'Icon Lookup'!B:B),"")</f>
        <v/>
      </c>
      <c r="B2028" s="25" t="s">
        <v>730</v>
      </c>
      <c r="C2028" s="24" t="s">
        <v>804</v>
      </c>
      <c r="D2028" s="24">
        <v>74.0</v>
      </c>
      <c r="E2028" s="24" t="str">
        <f>IMAGE("https://www.serebii.net/itemdex/sprites/leftovers.png")</f>
        <v/>
      </c>
      <c r="F2028" s="24" t="s">
        <v>267</v>
      </c>
      <c r="G2028" s="17" t="s">
        <v>859</v>
      </c>
      <c r="H2028" s="20" t="s">
        <v>1522</v>
      </c>
      <c r="I2028" s="24" t="s">
        <v>265</v>
      </c>
      <c r="J2028" s="24">
        <v>164.0</v>
      </c>
      <c r="K2028" s="24">
        <v>116.0</v>
      </c>
      <c r="L2028" s="24">
        <v>52.0</v>
      </c>
      <c r="M2028" s="24">
        <v>52.0</v>
      </c>
      <c r="N2028" s="24">
        <v>124.0</v>
      </c>
      <c r="O2028" s="24">
        <v>0.0</v>
      </c>
      <c r="P2028" s="24">
        <v>11.0</v>
      </c>
      <c r="Q2028" s="24">
        <v>11.0</v>
      </c>
      <c r="R2028" s="24">
        <v>11.0</v>
      </c>
      <c r="S2028" s="24">
        <v>11.0</v>
      </c>
      <c r="T2028" s="24">
        <v>11.0</v>
      </c>
      <c r="U2028" s="24">
        <v>11.0</v>
      </c>
    </row>
    <row r="2029" ht="23.25" customHeight="1">
      <c r="A2029" s="1"/>
      <c r="B2029" s="15" t="s">
        <v>2433</v>
      </c>
      <c r="C2029" s="1" t="s">
        <v>17</v>
      </c>
      <c r="D2029" s="1" t="s">
        <v>807</v>
      </c>
      <c r="G2029" s="16"/>
      <c r="H2029" s="26" t="s">
        <v>808</v>
      </c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</row>
    <row r="2030" ht="23.25" customHeight="1">
      <c r="A2030" s="20" t="str">
        <f>IF(COUNTIF('Icon Lookup'!C:C,B2030)&gt;0,LOOKUP(B2030,'Icon Lookup'!C:C,'Icon Lookup'!B:B),"")</f>
        <v/>
      </c>
      <c r="B2030" s="21" t="s">
        <v>741</v>
      </c>
      <c r="C2030" s="20"/>
      <c r="D2030" s="20">
        <v>68.0</v>
      </c>
      <c r="E2030" s="20" t="str">
        <f>IMAGE("https://www.serebii.net/itemdex/sprites/focussash.png")</f>
        <v/>
      </c>
      <c r="F2030" s="20" t="s">
        <v>26</v>
      </c>
      <c r="G2030" s="20" t="s">
        <v>881</v>
      </c>
      <c r="H2030" s="23" t="s">
        <v>1524</v>
      </c>
      <c r="I2030" s="20" t="s">
        <v>22</v>
      </c>
      <c r="J2030" s="20">
        <v>60.0</v>
      </c>
      <c r="K2030" s="20">
        <v>132.0</v>
      </c>
      <c r="L2030" s="20">
        <v>36.0</v>
      </c>
      <c r="M2030" s="20">
        <v>0.0</v>
      </c>
      <c r="N2030" s="20">
        <v>36.0</v>
      </c>
      <c r="O2030" s="20">
        <v>244.0</v>
      </c>
      <c r="P2030" s="20">
        <v>5.0</v>
      </c>
      <c r="Q2030" s="20">
        <v>5.0</v>
      </c>
      <c r="R2030" s="20">
        <v>5.0</v>
      </c>
      <c r="S2030" s="20">
        <v>5.0</v>
      </c>
      <c r="T2030" s="20">
        <v>5.0</v>
      </c>
      <c r="U2030" s="20">
        <v>5.0</v>
      </c>
    </row>
    <row r="2031" ht="23.25" customHeight="1">
      <c r="A2031" s="17" t="str">
        <f>IF(COUNTIF('Icon Lookup'!C:C,B2031)&gt;0,LOOKUP(B2031,'Icon Lookup'!C:C,'Icon Lookup'!B:B),"")</f>
        <v/>
      </c>
      <c r="B2031" s="18" t="s">
        <v>921</v>
      </c>
      <c r="C2031" s="17"/>
      <c r="D2031" s="17">
        <v>69.0</v>
      </c>
      <c r="E2031" s="17" t="str">
        <f>IMAGE("https://www.serebii.net/itemdex/sprites/quickclaw.png")</f>
        <v/>
      </c>
      <c r="F2031" s="17" t="s">
        <v>44</v>
      </c>
      <c r="G2031" s="17" t="s">
        <v>1371</v>
      </c>
      <c r="H2031" s="20" t="s">
        <v>2423</v>
      </c>
      <c r="I2031" s="17" t="s">
        <v>22</v>
      </c>
      <c r="J2031" s="17">
        <v>40.0</v>
      </c>
      <c r="K2031" s="17">
        <v>136.0</v>
      </c>
      <c r="L2031" s="17">
        <v>40.0</v>
      </c>
      <c r="M2031" s="17">
        <v>0.0</v>
      </c>
      <c r="N2031" s="17">
        <v>40.0</v>
      </c>
      <c r="O2031" s="17">
        <v>248.0</v>
      </c>
      <c r="P2031" s="17">
        <v>6.0</v>
      </c>
      <c r="Q2031" s="17">
        <v>6.0</v>
      </c>
      <c r="R2031" s="17">
        <v>6.0</v>
      </c>
      <c r="S2031" s="17">
        <v>6.0</v>
      </c>
      <c r="T2031" s="17">
        <v>6.0</v>
      </c>
      <c r="U2031" s="17">
        <v>6.0</v>
      </c>
    </row>
    <row r="2032" ht="23.25" customHeight="1">
      <c r="A2032" s="20" t="str">
        <f>IF(COUNTIF('Icon Lookup'!C:C,B2032)&gt;0,LOOKUP(B2032,'Icon Lookup'!C:C,'Icon Lookup'!B:B),"")</f>
        <v/>
      </c>
      <c r="B2032" s="21" t="s">
        <v>851</v>
      </c>
      <c r="C2032" s="20"/>
      <c r="D2032" s="20">
        <v>70.0</v>
      </c>
      <c r="E2032" s="20" t="s">
        <v>258</v>
      </c>
      <c r="G2032" s="22"/>
      <c r="H2032" s="23" t="s">
        <v>2424</v>
      </c>
      <c r="I2032" s="20" t="s">
        <v>22</v>
      </c>
      <c r="J2032" s="20">
        <v>44.0</v>
      </c>
      <c r="K2032" s="20">
        <v>124.0</v>
      </c>
      <c r="L2032" s="20">
        <v>44.0</v>
      </c>
      <c r="M2032" s="20">
        <v>0.0</v>
      </c>
      <c r="N2032" s="20">
        <v>44.0</v>
      </c>
      <c r="O2032" s="20">
        <v>252.0</v>
      </c>
      <c r="P2032" s="20">
        <v>9.0</v>
      </c>
      <c r="Q2032" s="20">
        <v>9.0</v>
      </c>
      <c r="R2032" s="20">
        <v>9.0</v>
      </c>
      <c r="S2032" s="20">
        <v>9.0</v>
      </c>
      <c r="T2032" s="20">
        <v>9.0</v>
      </c>
      <c r="U2032" s="20">
        <v>9.0</v>
      </c>
    </row>
    <row r="2033" ht="23.25" customHeight="1">
      <c r="A2033" s="17" t="str">
        <f>IF(COUNTIF('Icon Lookup'!C:C,B2033)&gt;0,LOOKUP(B2033,'Icon Lookup'!C:C,'Icon Lookup'!B:B),"")</f>
        <v/>
      </c>
      <c r="B2033" s="18" t="s">
        <v>906</v>
      </c>
      <c r="C2033" s="17"/>
      <c r="D2033" s="17">
        <v>69.0</v>
      </c>
      <c r="E2033" s="17" t="str">
        <f>IMAGE("https://www.serebii.net/itemdex/sprites/blacksludge.png")</f>
        <v/>
      </c>
      <c r="F2033" s="17" t="s">
        <v>50</v>
      </c>
      <c r="G2033" s="17" t="s">
        <v>844</v>
      </c>
      <c r="H2033" s="20" t="s">
        <v>2426</v>
      </c>
      <c r="I2033" s="17" t="s">
        <v>52</v>
      </c>
      <c r="J2033" s="17">
        <v>60.0</v>
      </c>
      <c r="K2033" s="17">
        <v>0.0</v>
      </c>
      <c r="L2033" s="17">
        <v>52.0</v>
      </c>
      <c r="M2033" s="17">
        <v>132.0</v>
      </c>
      <c r="N2033" s="17">
        <v>52.0</v>
      </c>
      <c r="O2033" s="17">
        <v>212.0</v>
      </c>
      <c r="P2033" s="17">
        <v>7.0</v>
      </c>
      <c r="Q2033" s="17">
        <v>7.0</v>
      </c>
      <c r="R2033" s="17">
        <v>7.0</v>
      </c>
      <c r="S2033" s="17">
        <v>7.0</v>
      </c>
      <c r="T2033" s="17">
        <v>7.0</v>
      </c>
      <c r="U2033" s="17">
        <v>7.0</v>
      </c>
    </row>
    <row r="2034" ht="23.25" customHeight="1">
      <c r="A2034" s="20" t="str">
        <f>IF(COUNTIF('Icon Lookup'!C:C,B2034)&gt;0,LOOKUP(B2034,'Icon Lookup'!C:C,'Icon Lookup'!B:B),"")</f>
        <v/>
      </c>
      <c r="B2034" s="21" t="s">
        <v>1520</v>
      </c>
      <c r="C2034" s="20"/>
      <c r="D2034" s="20">
        <v>70.0</v>
      </c>
      <c r="E2034" s="20" t="s">
        <v>382</v>
      </c>
      <c r="G2034" s="22"/>
      <c r="H2034" s="23" t="s">
        <v>1526</v>
      </c>
      <c r="I2034" s="20" t="s">
        <v>550</v>
      </c>
      <c r="J2034" s="20">
        <v>100.0</v>
      </c>
      <c r="K2034" s="20">
        <v>156.0</v>
      </c>
      <c r="L2034" s="20">
        <v>160.0</v>
      </c>
      <c r="M2034" s="20">
        <v>0.0</v>
      </c>
      <c r="N2034" s="20">
        <v>92.0</v>
      </c>
      <c r="O2034" s="20">
        <v>0.0</v>
      </c>
      <c r="P2034" s="20">
        <v>9.0</v>
      </c>
      <c r="Q2034" s="20">
        <v>9.0</v>
      </c>
      <c r="R2034" s="20">
        <v>9.0</v>
      </c>
      <c r="S2034" s="20">
        <v>9.0</v>
      </c>
      <c r="T2034" s="20">
        <v>9.0</v>
      </c>
      <c r="U2034" s="20">
        <v>9.0</v>
      </c>
    </row>
    <row r="2035" ht="23.25" customHeight="1">
      <c r="A2035" s="24" t="str">
        <f>IF(COUNTIF('Icon Lookup'!C:C,B2035)&gt;0,LOOKUP(B2035,'Icon Lookup'!C:C,'Icon Lookup'!B:B),"")</f>
        <v/>
      </c>
      <c r="B2035" s="25" t="s">
        <v>879</v>
      </c>
      <c r="C2035" s="24" t="s">
        <v>804</v>
      </c>
      <c r="D2035" s="24">
        <v>74.0</v>
      </c>
      <c r="E2035" s="24" t="str">
        <f>IMAGE("https://www.serebii.net/itemdex/sprites/expertbelt.png")</f>
        <v/>
      </c>
      <c r="F2035" s="24" t="s">
        <v>145</v>
      </c>
      <c r="G2035" s="17" t="s">
        <v>907</v>
      </c>
      <c r="H2035" s="20" t="s">
        <v>2427</v>
      </c>
      <c r="I2035" s="24" t="s">
        <v>22</v>
      </c>
      <c r="J2035" s="24">
        <v>52.0</v>
      </c>
      <c r="K2035" s="24">
        <v>188.0</v>
      </c>
      <c r="L2035" s="24">
        <v>52.0</v>
      </c>
      <c r="M2035" s="24">
        <v>0.0</v>
      </c>
      <c r="N2035" s="24">
        <v>52.0</v>
      </c>
      <c r="O2035" s="24">
        <v>164.0</v>
      </c>
      <c r="P2035" s="24">
        <v>11.0</v>
      </c>
      <c r="Q2035" s="24">
        <v>11.0</v>
      </c>
      <c r="R2035" s="24">
        <v>11.0</v>
      </c>
      <c r="S2035" s="24">
        <v>11.0</v>
      </c>
      <c r="T2035" s="24">
        <v>11.0</v>
      </c>
      <c r="U2035" s="24">
        <v>11.0</v>
      </c>
    </row>
    <row r="2036" ht="23.25" customHeight="1">
      <c r="A2036" s="1"/>
      <c r="B2036" s="15" t="s">
        <v>2434</v>
      </c>
      <c r="C2036" s="1" t="s">
        <v>17</v>
      </c>
      <c r="D2036" s="1" t="s">
        <v>807</v>
      </c>
      <c r="G2036" s="16"/>
      <c r="H2036" s="26" t="s">
        <v>808</v>
      </c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</row>
    <row r="2037" ht="23.25" customHeight="1">
      <c r="A2037" s="20" t="str">
        <f>IF(COUNTIF('Icon Lookup'!C:C,B2037)&gt;0,LOOKUP(B2037,'Icon Lookup'!C:C,'Icon Lookup'!B:B),"")</f>
        <v/>
      </c>
      <c r="B2037" s="21" t="s">
        <v>741</v>
      </c>
      <c r="C2037" s="20"/>
      <c r="D2037" s="20">
        <v>68.0</v>
      </c>
      <c r="E2037" s="20" t="str">
        <f>IMAGE("https://www.serebii.net/itemdex/sprites/focussash.png")</f>
        <v/>
      </c>
      <c r="F2037" s="20" t="s">
        <v>26</v>
      </c>
      <c r="G2037" s="20" t="s">
        <v>881</v>
      </c>
      <c r="H2037" s="23" t="s">
        <v>1529</v>
      </c>
      <c r="I2037" s="20" t="s">
        <v>22</v>
      </c>
      <c r="J2037" s="20">
        <v>60.0</v>
      </c>
      <c r="K2037" s="20">
        <v>132.0</v>
      </c>
      <c r="L2037" s="20">
        <v>36.0</v>
      </c>
      <c r="M2037" s="20">
        <v>0.0</v>
      </c>
      <c r="N2037" s="20">
        <v>36.0</v>
      </c>
      <c r="O2037" s="20">
        <v>244.0</v>
      </c>
      <c r="P2037" s="20">
        <v>5.0</v>
      </c>
      <c r="Q2037" s="20">
        <v>5.0</v>
      </c>
      <c r="R2037" s="20">
        <v>5.0</v>
      </c>
      <c r="S2037" s="20">
        <v>5.0</v>
      </c>
      <c r="T2037" s="20">
        <v>5.0</v>
      </c>
      <c r="U2037" s="20">
        <v>5.0</v>
      </c>
    </row>
    <row r="2038" ht="23.25" customHeight="1">
      <c r="A2038" s="17" t="str">
        <f>IF(COUNTIF('Icon Lookup'!C:C,B2038)&gt;0,LOOKUP(B2038,'Icon Lookup'!C:C,'Icon Lookup'!B:B),"")</f>
        <v/>
      </c>
      <c r="B2038" s="18" t="s">
        <v>906</v>
      </c>
      <c r="C2038" s="17"/>
      <c r="D2038" s="17">
        <v>69.0</v>
      </c>
      <c r="E2038" s="17" t="str">
        <f>IMAGE("https://www.serebii.net/itemdex/sprites/blacksludge.png")</f>
        <v/>
      </c>
      <c r="F2038" s="17" t="s">
        <v>959</v>
      </c>
      <c r="G2038" s="17" t="s">
        <v>844</v>
      </c>
      <c r="H2038" s="20" t="s">
        <v>2429</v>
      </c>
      <c r="I2038" s="17" t="s">
        <v>52</v>
      </c>
      <c r="J2038" s="17">
        <v>40.0</v>
      </c>
      <c r="K2038" s="17">
        <v>0.0</v>
      </c>
      <c r="L2038" s="17">
        <v>40.0</v>
      </c>
      <c r="M2038" s="17">
        <v>136.0</v>
      </c>
      <c r="N2038" s="17">
        <v>40.0</v>
      </c>
      <c r="O2038" s="17">
        <v>248.0</v>
      </c>
      <c r="P2038" s="17">
        <v>6.0</v>
      </c>
      <c r="Q2038" s="17">
        <v>6.0</v>
      </c>
      <c r="R2038" s="17">
        <v>6.0</v>
      </c>
      <c r="S2038" s="17">
        <v>6.0</v>
      </c>
      <c r="T2038" s="17">
        <v>6.0</v>
      </c>
      <c r="U2038" s="17">
        <v>6.0</v>
      </c>
    </row>
    <row r="2039" ht="23.25" customHeight="1">
      <c r="A2039" s="20" t="str">
        <f>IF(COUNTIF('Icon Lookup'!C:C,B2039)&gt;0,LOOKUP(B2039,'Icon Lookup'!C:C,'Icon Lookup'!B:B),"")</f>
        <v/>
      </c>
      <c r="B2039" s="21" t="s">
        <v>851</v>
      </c>
      <c r="C2039" s="20"/>
      <c r="D2039" s="20">
        <v>70.0</v>
      </c>
      <c r="E2039" s="20" t="s">
        <v>258</v>
      </c>
      <c r="G2039" s="22"/>
      <c r="H2039" s="23" t="s">
        <v>2424</v>
      </c>
      <c r="I2039" s="20" t="s">
        <v>22</v>
      </c>
      <c r="J2039" s="20">
        <v>44.0</v>
      </c>
      <c r="K2039" s="20">
        <v>124.0</v>
      </c>
      <c r="L2039" s="20">
        <v>44.0</v>
      </c>
      <c r="M2039" s="20">
        <v>0.0</v>
      </c>
      <c r="N2039" s="20">
        <v>44.0</v>
      </c>
      <c r="O2039" s="20">
        <v>252.0</v>
      </c>
      <c r="P2039" s="20">
        <v>9.0</v>
      </c>
      <c r="Q2039" s="20">
        <v>9.0</v>
      </c>
      <c r="R2039" s="20">
        <v>9.0</v>
      </c>
      <c r="S2039" s="20">
        <v>9.0</v>
      </c>
      <c r="T2039" s="20">
        <v>9.0</v>
      </c>
      <c r="U2039" s="20">
        <v>9.0</v>
      </c>
    </row>
    <row r="2040" ht="23.25" customHeight="1">
      <c r="A2040" s="17" t="str">
        <f>IF(COUNTIF('Icon Lookup'!C:C,B2040)&gt;0,LOOKUP(B2040,'Icon Lookup'!C:C,'Icon Lookup'!B:B),"")</f>
        <v/>
      </c>
      <c r="B2040" s="18" t="s">
        <v>710</v>
      </c>
      <c r="C2040" s="17"/>
      <c r="D2040" s="17">
        <v>69.0</v>
      </c>
      <c r="E2040" s="17" t="str">
        <f>IMAGE("https://www.serebii.net/itemdex/sprites/expertbelt.png")</f>
        <v/>
      </c>
      <c r="F2040" s="17" t="s">
        <v>79</v>
      </c>
      <c r="G2040" s="17" t="s">
        <v>907</v>
      </c>
      <c r="H2040" s="20" t="s">
        <v>2432</v>
      </c>
      <c r="I2040" s="17" t="s">
        <v>22</v>
      </c>
      <c r="J2040" s="17">
        <v>60.0</v>
      </c>
      <c r="K2040" s="17">
        <v>132.0</v>
      </c>
      <c r="L2040" s="17">
        <v>52.0</v>
      </c>
      <c r="M2040" s="17">
        <v>0.0</v>
      </c>
      <c r="N2040" s="17">
        <v>52.0</v>
      </c>
      <c r="O2040" s="17">
        <v>212.0</v>
      </c>
      <c r="P2040" s="17">
        <v>7.0</v>
      </c>
      <c r="Q2040" s="17">
        <v>7.0</v>
      </c>
      <c r="R2040" s="17">
        <v>7.0</v>
      </c>
      <c r="S2040" s="17">
        <v>7.0</v>
      </c>
      <c r="T2040" s="17">
        <v>7.0</v>
      </c>
      <c r="U2040" s="17">
        <v>7.0</v>
      </c>
    </row>
    <row r="2041" ht="23.25" customHeight="1">
      <c r="A2041" s="20" t="str">
        <f>IF(COUNTIF('Icon Lookup'!C:C,B2041)&gt;0,LOOKUP(B2041,'Icon Lookup'!C:C,'Icon Lookup'!B:B),"")</f>
        <v/>
      </c>
      <c r="B2041" s="21" t="s">
        <v>1520</v>
      </c>
      <c r="C2041" s="20"/>
      <c r="D2041" s="20">
        <v>70.0</v>
      </c>
      <c r="E2041" s="20" t="s">
        <v>382</v>
      </c>
      <c r="G2041" s="22"/>
      <c r="H2041" s="23" t="s">
        <v>1521</v>
      </c>
      <c r="I2041" s="20" t="s">
        <v>550</v>
      </c>
      <c r="J2041" s="20">
        <v>100.0</v>
      </c>
      <c r="K2041" s="20">
        <v>156.0</v>
      </c>
      <c r="L2041" s="20">
        <v>160.0</v>
      </c>
      <c r="M2041" s="20">
        <v>0.0</v>
      </c>
      <c r="N2041" s="20">
        <v>92.0</v>
      </c>
      <c r="O2041" s="20">
        <v>0.0</v>
      </c>
      <c r="P2041" s="20">
        <v>9.0</v>
      </c>
      <c r="Q2041" s="20">
        <v>9.0</v>
      </c>
      <c r="R2041" s="20">
        <v>9.0</v>
      </c>
      <c r="S2041" s="20">
        <v>9.0</v>
      </c>
      <c r="T2041" s="20">
        <v>9.0</v>
      </c>
      <c r="U2041" s="20">
        <v>9.0</v>
      </c>
    </row>
    <row r="2042" ht="23.25" customHeight="1">
      <c r="A2042" s="24" t="str">
        <f>IF(COUNTIF('Icon Lookup'!C:C,B2042)&gt;0,LOOKUP(B2042,'Icon Lookup'!C:C,'Icon Lookup'!B:B),"")</f>
        <v/>
      </c>
      <c r="B2042" s="25" t="s">
        <v>737</v>
      </c>
      <c r="C2042" s="24" t="s">
        <v>804</v>
      </c>
      <c r="D2042" s="24">
        <v>74.0</v>
      </c>
      <c r="E2042" s="24" t="str">
        <f>IMAGE("https://www.serebii.net/itemdex/sprites/quickclaw.png")</f>
        <v/>
      </c>
      <c r="F2042" s="24" t="s">
        <v>374</v>
      </c>
      <c r="G2042" s="17" t="s">
        <v>1371</v>
      </c>
      <c r="H2042" s="20" t="s">
        <v>2435</v>
      </c>
      <c r="I2042" s="24" t="s">
        <v>52</v>
      </c>
      <c r="J2042" s="24">
        <v>52.0</v>
      </c>
      <c r="K2042" s="24">
        <v>0.0</v>
      </c>
      <c r="L2042" s="24">
        <v>52.0</v>
      </c>
      <c r="M2042" s="24">
        <v>188.0</v>
      </c>
      <c r="N2042" s="24">
        <v>52.0</v>
      </c>
      <c r="O2042" s="24">
        <v>164.0</v>
      </c>
      <c r="P2042" s="24">
        <v>11.0</v>
      </c>
      <c r="Q2042" s="24">
        <v>11.0</v>
      </c>
      <c r="R2042" s="24">
        <v>11.0</v>
      </c>
      <c r="S2042" s="24">
        <v>11.0</v>
      </c>
      <c r="T2042" s="24">
        <v>11.0</v>
      </c>
      <c r="U2042" s="24">
        <v>11.0</v>
      </c>
    </row>
    <row r="2043" ht="23.25" customHeight="1">
      <c r="A2043" s="1"/>
      <c r="B2043" s="15" t="s">
        <v>2436</v>
      </c>
      <c r="C2043" s="1" t="s">
        <v>17</v>
      </c>
      <c r="D2043" s="1" t="s">
        <v>1044</v>
      </c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</row>
    <row r="2044" ht="23.25" customHeight="1">
      <c r="A2044" s="20" t="str">
        <f>IF(COUNTIF('Icon Lookup'!C:C,B2044)&gt;0,LOOKUP(B2044,'Icon Lookup'!C:C,'Icon Lookup'!B:B),"")</f>
        <v/>
      </c>
      <c r="B2044" s="21" t="s">
        <v>1003</v>
      </c>
      <c r="C2044" s="20"/>
      <c r="D2044" s="20">
        <v>11.0</v>
      </c>
      <c r="E2044" s="20" t="s">
        <v>1022</v>
      </c>
      <c r="G2044" s="22"/>
      <c r="H2044" s="23" t="s">
        <v>1049</v>
      </c>
      <c r="I2044" s="20" t="s">
        <v>197</v>
      </c>
      <c r="J2044" s="20">
        <v>0.0</v>
      </c>
      <c r="K2044" s="20">
        <v>0.0</v>
      </c>
      <c r="L2044" s="20">
        <v>0.0</v>
      </c>
      <c r="M2044" s="20">
        <v>0.0</v>
      </c>
      <c r="N2044" s="20">
        <v>0.0</v>
      </c>
      <c r="O2044" s="20">
        <v>0.0</v>
      </c>
      <c r="P2044" s="20">
        <v>0.0</v>
      </c>
      <c r="Q2044" s="20">
        <v>0.0</v>
      </c>
      <c r="R2044" s="20">
        <v>0.0</v>
      </c>
      <c r="S2044" s="20">
        <v>0.0</v>
      </c>
      <c r="T2044" s="20">
        <v>0.0</v>
      </c>
      <c r="U2044" s="20">
        <v>0.0</v>
      </c>
    </row>
    <row r="2045" ht="23.25" customHeight="1">
      <c r="A2045" s="1"/>
      <c r="B2045" s="15" t="s">
        <v>2437</v>
      </c>
      <c r="C2045" s="1" t="s">
        <v>17</v>
      </c>
      <c r="D2045" s="1" t="s">
        <v>2438</v>
      </c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</row>
    <row r="2046" ht="23.25" customHeight="1">
      <c r="A2046" s="17" t="str">
        <f>IF(COUNTIF('Icon Lookup'!C:C,B2046)&gt;0,LOOKUP(B2046,'Icon Lookup'!C:C,'Icon Lookup'!B:B),"")</f>
        <v/>
      </c>
      <c r="B2046" s="18" t="s">
        <v>90</v>
      </c>
      <c r="C2046" s="17"/>
      <c r="D2046" s="17">
        <v>31.0</v>
      </c>
      <c r="E2046" s="17" t="s">
        <v>91</v>
      </c>
      <c r="G2046" s="19"/>
      <c r="H2046" s="20" t="s">
        <v>423</v>
      </c>
      <c r="I2046" s="17" t="s">
        <v>89</v>
      </c>
      <c r="J2046" s="17">
        <v>0.0</v>
      </c>
      <c r="K2046" s="17">
        <v>0.0</v>
      </c>
      <c r="L2046" s="17">
        <v>0.0</v>
      </c>
      <c r="M2046" s="17">
        <v>0.0</v>
      </c>
      <c r="N2046" s="17">
        <v>0.0</v>
      </c>
      <c r="O2046" s="17">
        <v>0.0</v>
      </c>
      <c r="P2046" s="17">
        <v>0.0</v>
      </c>
      <c r="Q2046" s="17">
        <v>0.0</v>
      </c>
      <c r="R2046" s="17">
        <v>0.0</v>
      </c>
      <c r="S2046" s="17">
        <v>0.0</v>
      </c>
      <c r="T2046" s="17">
        <v>0.0</v>
      </c>
      <c r="U2046" s="17">
        <v>0.0</v>
      </c>
    </row>
    <row r="2047" ht="23.25" customHeight="1">
      <c r="A2047" s="20" t="str">
        <f>IF(COUNTIF('Icon Lookup'!C:C,B2047)&gt;0,LOOKUP(B2047,'Icon Lookup'!C:C,'Icon Lookup'!B:B),"")</f>
        <v/>
      </c>
      <c r="B2047" s="21" t="s">
        <v>275</v>
      </c>
      <c r="C2047" s="20"/>
      <c r="D2047" s="20">
        <v>31.0</v>
      </c>
      <c r="E2047" s="20" t="s">
        <v>91</v>
      </c>
      <c r="G2047" s="22"/>
      <c r="H2047" s="23" t="s">
        <v>2439</v>
      </c>
      <c r="I2047" s="20" t="s">
        <v>89</v>
      </c>
      <c r="J2047" s="20">
        <v>0.0</v>
      </c>
      <c r="K2047" s="20">
        <v>0.0</v>
      </c>
      <c r="L2047" s="20">
        <v>0.0</v>
      </c>
      <c r="M2047" s="20">
        <v>0.0</v>
      </c>
      <c r="N2047" s="20">
        <v>0.0</v>
      </c>
      <c r="O2047" s="20">
        <v>0.0</v>
      </c>
      <c r="P2047" s="20">
        <v>0.0</v>
      </c>
      <c r="Q2047" s="20">
        <v>0.0</v>
      </c>
      <c r="R2047" s="20">
        <v>0.0</v>
      </c>
      <c r="S2047" s="20">
        <v>0.0</v>
      </c>
      <c r="T2047" s="20">
        <v>0.0</v>
      </c>
      <c r="U2047" s="20">
        <v>0.0</v>
      </c>
    </row>
    <row r="2048" ht="23.25" customHeight="1">
      <c r="A2048" s="1"/>
      <c r="B2048" s="15" t="s">
        <v>2440</v>
      </c>
      <c r="C2048" s="1" t="s">
        <v>17</v>
      </c>
      <c r="D2048" s="1" t="s">
        <v>2441</v>
      </c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</row>
    <row r="2049" ht="23.25" customHeight="1">
      <c r="A2049" s="17" t="str">
        <f>IF(COUNTIF('Icon Lookup'!C:C,B2049)&gt;0,LOOKUP(B2049,'Icon Lookup'!C:C,'Icon Lookup'!B:B),"")</f>
        <v/>
      </c>
      <c r="B2049" s="18" t="s">
        <v>756</v>
      </c>
      <c r="C2049" s="17"/>
      <c r="D2049" s="17">
        <v>33.0</v>
      </c>
      <c r="E2049" s="17" t="s">
        <v>98</v>
      </c>
      <c r="G2049" s="19"/>
      <c r="H2049" s="20" t="s">
        <v>2442</v>
      </c>
      <c r="I2049" s="17" t="s">
        <v>89</v>
      </c>
      <c r="J2049" s="17">
        <v>0.0</v>
      </c>
      <c r="K2049" s="17">
        <v>0.0</v>
      </c>
      <c r="L2049" s="17">
        <v>0.0</v>
      </c>
      <c r="M2049" s="17">
        <v>0.0</v>
      </c>
      <c r="N2049" s="17">
        <v>0.0</v>
      </c>
      <c r="O2049" s="17">
        <v>0.0</v>
      </c>
      <c r="P2049" s="17">
        <v>0.0</v>
      </c>
      <c r="Q2049" s="17">
        <v>0.0</v>
      </c>
      <c r="R2049" s="17">
        <v>0.0</v>
      </c>
      <c r="S2049" s="17">
        <v>0.0</v>
      </c>
      <c r="T2049" s="17">
        <v>0.0</v>
      </c>
      <c r="U2049" s="17">
        <v>0.0</v>
      </c>
    </row>
    <row r="2050" ht="23.25" customHeight="1">
      <c r="A2050" s="1"/>
      <c r="B2050" s="15" t="s">
        <v>2443</v>
      </c>
      <c r="C2050" s="1" t="s">
        <v>17</v>
      </c>
      <c r="D2050" s="1" t="s">
        <v>2444</v>
      </c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</row>
    <row r="2051" ht="23.25" customHeight="1">
      <c r="A2051" s="20" t="str">
        <f>IF(COUNTIF('Icon Lookup'!C:C,B2051)&gt;0,LOOKUP(B2051,'Icon Lookup'!C:C,'Icon Lookup'!B:B),"")</f>
        <v/>
      </c>
      <c r="B2051" s="21" t="s">
        <v>710</v>
      </c>
      <c r="C2051" s="20"/>
      <c r="D2051" s="20">
        <v>33.0</v>
      </c>
      <c r="E2051" s="20" t="s">
        <v>121</v>
      </c>
      <c r="G2051" s="22"/>
      <c r="H2051" s="23" t="s">
        <v>711</v>
      </c>
      <c r="I2051" s="20" t="s">
        <v>156</v>
      </c>
      <c r="J2051" s="20">
        <v>0.0</v>
      </c>
      <c r="K2051" s="20">
        <v>0.0</v>
      </c>
      <c r="L2051" s="20">
        <v>0.0</v>
      </c>
      <c r="M2051" s="20">
        <v>0.0</v>
      </c>
      <c r="N2051" s="20">
        <v>0.0</v>
      </c>
      <c r="O2051" s="20">
        <v>0.0</v>
      </c>
      <c r="P2051" s="20">
        <v>0.0</v>
      </c>
      <c r="Q2051" s="20">
        <v>0.0</v>
      </c>
      <c r="R2051" s="20">
        <v>0.0</v>
      </c>
      <c r="S2051" s="20">
        <v>0.0</v>
      </c>
      <c r="T2051" s="20">
        <v>0.0</v>
      </c>
      <c r="U2051" s="20">
        <v>0.0</v>
      </c>
    </row>
    <row r="2052" ht="23.25" customHeight="1">
      <c r="A2052" s="1"/>
      <c r="B2052" s="15" t="s">
        <v>2445</v>
      </c>
      <c r="C2052" s="1" t="s">
        <v>17</v>
      </c>
      <c r="D2052" s="1" t="s">
        <v>1044</v>
      </c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</row>
    <row r="2053" ht="23.25" customHeight="1">
      <c r="A2053" s="17" t="str">
        <f>IF(COUNTIF('Icon Lookup'!C:C,B2053)&gt;0,LOOKUP(B2053,'Icon Lookup'!C:C,'Icon Lookup'!B:B),"")</f>
        <v/>
      </c>
      <c r="B2053" s="18" t="s">
        <v>1003</v>
      </c>
      <c r="C2053" s="17"/>
      <c r="D2053" s="17">
        <v>25.0</v>
      </c>
      <c r="E2053" s="17" t="s">
        <v>1022</v>
      </c>
      <c r="G2053" s="19"/>
      <c r="H2053" s="20" t="s">
        <v>2446</v>
      </c>
      <c r="I2053" s="17" t="s">
        <v>73</v>
      </c>
      <c r="J2053" s="17">
        <v>0.0</v>
      </c>
      <c r="K2053" s="17">
        <v>0.0</v>
      </c>
      <c r="L2053" s="17">
        <v>0.0</v>
      </c>
      <c r="M2053" s="17">
        <v>0.0</v>
      </c>
      <c r="N2053" s="17">
        <v>0.0</v>
      </c>
      <c r="O2053" s="17">
        <v>0.0</v>
      </c>
      <c r="P2053" s="17">
        <v>0.0</v>
      </c>
      <c r="Q2053" s="17">
        <v>0.0</v>
      </c>
      <c r="R2053" s="17">
        <v>0.0</v>
      </c>
      <c r="S2053" s="17">
        <v>0.0</v>
      </c>
      <c r="T2053" s="17">
        <v>0.0</v>
      </c>
      <c r="U2053" s="17">
        <v>0.0</v>
      </c>
    </row>
    <row r="2054" ht="23.25" customHeight="1">
      <c r="A2054" s="1"/>
      <c r="B2054" s="15" t="s">
        <v>2447</v>
      </c>
      <c r="C2054" s="1" t="s">
        <v>17</v>
      </c>
      <c r="D2054" s="1" t="s">
        <v>1044</v>
      </c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</row>
    <row r="2055" ht="23.25" customHeight="1">
      <c r="A2055" s="20" t="str">
        <f>IF(COUNTIF('Icon Lookup'!C:C,B2055)&gt;0,LOOKUP(B2055,'Icon Lookup'!C:C,'Icon Lookup'!B:B),"")</f>
        <v/>
      </c>
      <c r="B2055" s="21" t="s">
        <v>687</v>
      </c>
      <c r="C2055" s="20"/>
      <c r="D2055" s="20">
        <v>25.0</v>
      </c>
      <c r="E2055" s="20" t="s">
        <v>258</v>
      </c>
      <c r="G2055" s="22"/>
      <c r="H2055" s="23" t="s">
        <v>2448</v>
      </c>
      <c r="I2055" s="20" t="s">
        <v>94</v>
      </c>
      <c r="J2055" s="20">
        <v>0.0</v>
      </c>
      <c r="K2055" s="20">
        <v>0.0</v>
      </c>
      <c r="L2055" s="20">
        <v>0.0</v>
      </c>
      <c r="M2055" s="20">
        <v>0.0</v>
      </c>
      <c r="N2055" s="20">
        <v>0.0</v>
      </c>
      <c r="O2055" s="20">
        <v>0.0</v>
      </c>
      <c r="P2055" s="20">
        <v>0.0</v>
      </c>
      <c r="Q2055" s="20">
        <v>0.0</v>
      </c>
      <c r="R2055" s="20">
        <v>0.0</v>
      </c>
      <c r="S2055" s="20">
        <v>0.0</v>
      </c>
      <c r="T2055" s="20">
        <v>0.0</v>
      </c>
      <c r="U2055" s="20">
        <v>0.0</v>
      </c>
    </row>
    <row r="2056" ht="23.25" customHeight="1">
      <c r="A2056" s="17" t="str">
        <f>IF(COUNTIF('Icon Lookup'!C:C,B2056)&gt;0,LOOKUP(B2056,'Icon Lookup'!C:C,'Icon Lookup'!B:B),"")</f>
        <v/>
      </c>
      <c r="B2056" s="18" t="s">
        <v>1017</v>
      </c>
      <c r="C2056" s="17"/>
      <c r="D2056" s="17">
        <v>25.0</v>
      </c>
      <c r="E2056" s="17" t="s">
        <v>1018</v>
      </c>
      <c r="G2056" s="19"/>
      <c r="H2056" s="20" t="s">
        <v>2449</v>
      </c>
      <c r="I2056" s="17" t="s">
        <v>36</v>
      </c>
      <c r="J2056" s="17">
        <v>0.0</v>
      </c>
      <c r="K2056" s="17">
        <v>0.0</v>
      </c>
      <c r="L2056" s="17">
        <v>0.0</v>
      </c>
      <c r="M2056" s="17">
        <v>0.0</v>
      </c>
      <c r="N2056" s="17">
        <v>0.0</v>
      </c>
      <c r="O2056" s="17">
        <v>0.0</v>
      </c>
      <c r="P2056" s="17">
        <v>0.0</v>
      </c>
      <c r="Q2056" s="17">
        <v>0.0</v>
      </c>
      <c r="R2056" s="17">
        <v>0.0</v>
      </c>
      <c r="S2056" s="17">
        <v>0.0</v>
      </c>
      <c r="T2056" s="17">
        <v>0.0</v>
      </c>
      <c r="U2056" s="17">
        <v>0.0</v>
      </c>
    </row>
    <row r="2057" ht="23.25" customHeight="1">
      <c r="A2057" s="1"/>
      <c r="B2057" s="15" t="s">
        <v>2450</v>
      </c>
      <c r="C2057" s="1" t="s">
        <v>17</v>
      </c>
      <c r="D2057" s="1" t="s">
        <v>1044</v>
      </c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</row>
    <row r="2058" ht="23.25" customHeight="1">
      <c r="A2058" s="20" t="str">
        <f>IF(COUNTIF('Icon Lookup'!C:C,B2058)&gt;0,LOOKUP(B2058,'Icon Lookup'!C:C,'Icon Lookup'!B:B),"")</f>
        <v/>
      </c>
      <c r="B2058" s="21" t="s">
        <v>293</v>
      </c>
      <c r="C2058" s="20"/>
      <c r="D2058" s="20">
        <v>25.0</v>
      </c>
      <c r="E2058" s="20" t="s">
        <v>61</v>
      </c>
      <c r="G2058" s="22"/>
      <c r="H2058" s="23" t="s">
        <v>2451</v>
      </c>
      <c r="I2058" s="20" t="s">
        <v>1045</v>
      </c>
      <c r="J2058" s="20">
        <v>0.0</v>
      </c>
      <c r="K2058" s="20">
        <v>0.0</v>
      </c>
      <c r="L2058" s="20">
        <v>0.0</v>
      </c>
      <c r="M2058" s="20">
        <v>0.0</v>
      </c>
      <c r="N2058" s="20">
        <v>0.0</v>
      </c>
      <c r="O2058" s="20">
        <v>0.0</v>
      </c>
      <c r="P2058" s="20">
        <v>0.0</v>
      </c>
      <c r="Q2058" s="20">
        <v>0.0</v>
      </c>
      <c r="R2058" s="20">
        <v>0.0</v>
      </c>
      <c r="S2058" s="20">
        <v>0.0</v>
      </c>
      <c r="T2058" s="20">
        <v>0.0</v>
      </c>
      <c r="U2058" s="20">
        <v>0.0</v>
      </c>
    </row>
    <row r="2059" ht="23.25" customHeight="1">
      <c r="A2059" s="17" t="str">
        <f>IF(COUNTIF('Icon Lookup'!C:C,B2059)&gt;0,LOOKUP(B2059,'Icon Lookup'!C:C,'Icon Lookup'!B:B),"")</f>
        <v/>
      </c>
      <c r="B2059" s="18" t="s">
        <v>288</v>
      </c>
      <c r="C2059" s="17"/>
      <c r="D2059" s="17">
        <v>25.0</v>
      </c>
      <c r="E2059" s="17" t="s">
        <v>289</v>
      </c>
      <c r="G2059" s="19"/>
      <c r="H2059" s="20" t="s">
        <v>290</v>
      </c>
      <c r="I2059" s="17" t="s">
        <v>197</v>
      </c>
      <c r="J2059" s="17">
        <v>0.0</v>
      </c>
      <c r="K2059" s="17">
        <v>0.0</v>
      </c>
      <c r="L2059" s="17">
        <v>0.0</v>
      </c>
      <c r="M2059" s="17">
        <v>0.0</v>
      </c>
      <c r="N2059" s="17">
        <v>0.0</v>
      </c>
      <c r="O2059" s="17">
        <v>0.0</v>
      </c>
      <c r="P2059" s="17">
        <v>0.0</v>
      </c>
      <c r="Q2059" s="17">
        <v>0.0</v>
      </c>
      <c r="R2059" s="17">
        <v>0.0</v>
      </c>
      <c r="S2059" s="17">
        <v>0.0</v>
      </c>
      <c r="T2059" s="17">
        <v>0.0</v>
      </c>
      <c r="U2059" s="17">
        <v>0.0</v>
      </c>
    </row>
    <row r="2060" ht="23.25" customHeight="1">
      <c r="A2060" s="1"/>
      <c r="B2060" s="15" t="s">
        <v>2452</v>
      </c>
      <c r="C2060" s="1" t="s">
        <v>17</v>
      </c>
      <c r="D2060" s="1" t="s">
        <v>801</v>
      </c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</row>
    <row r="2061" ht="23.25" customHeight="1">
      <c r="A2061" s="20" t="str">
        <f>IF(COUNTIF('Icon Lookup'!C:C,B2061)&gt;0,LOOKUP(B2061,'Icon Lookup'!C:C,'Icon Lookup'!B:B),"")</f>
        <v/>
      </c>
      <c r="B2061" s="21" t="s">
        <v>2453</v>
      </c>
      <c r="C2061" s="20"/>
      <c r="D2061" s="20">
        <v>68.0</v>
      </c>
      <c r="E2061" s="20" t="str">
        <f>IMAGE("https://www.serebii.net/itemdex/sprites/smoothrock.png")</f>
        <v/>
      </c>
      <c r="F2061" s="20" t="s">
        <v>511</v>
      </c>
      <c r="G2061" s="20" t="s">
        <v>2454</v>
      </c>
      <c r="H2061" s="23" t="s">
        <v>2455</v>
      </c>
      <c r="I2061" s="20" t="s">
        <v>550</v>
      </c>
      <c r="J2061" s="20">
        <v>248.0</v>
      </c>
      <c r="K2061" s="20">
        <v>252.0</v>
      </c>
      <c r="L2061" s="20">
        <v>8.0</v>
      </c>
      <c r="M2061" s="20">
        <v>0.0</v>
      </c>
      <c r="N2061" s="20">
        <v>0.0</v>
      </c>
      <c r="O2061" s="20">
        <v>0.0</v>
      </c>
      <c r="P2061" s="20">
        <v>31.0</v>
      </c>
      <c r="Q2061" s="20">
        <v>31.0</v>
      </c>
      <c r="R2061" s="20">
        <v>31.0</v>
      </c>
      <c r="S2061" s="20">
        <v>31.0</v>
      </c>
      <c r="T2061" s="20">
        <v>31.0</v>
      </c>
      <c r="U2061" s="20">
        <v>31.0</v>
      </c>
    </row>
    <row r="2062" ht="23.25" customHeight="1">
      <c r="A2062" s="17" t="str">
        <f>IF(COUNTIF('Icon Lookup'!C:C,B2062)&gt;0,LOOKUP(B2062,'Icon Lookup'!C:C,'Icon Lookup'!B:B),"")</f>
        <v/>
      </c>
      <c r="B2062" s="18" t="s">
        <v>1820</v>
      </c>
      <c r="C2062" s="17"/>
      <c r="D2062" s="17">
        <v>66.0</v>
      </c>
      <c r="E2062" s="17" t="str">
        <f>IMAGE("https://www.serebii.net/itemdex/sprites/scopelens.png")</f>
        <v/>
      </c>
      <c r="F2062" s="17" t="s">
        <v>849</v>
      </c>
      <c r="G2062" s="17" t="s">
        <v>855</v>
      </c>
      <c r="H2062" s="20" t="s">
        <v>2456</v>
      </c>
      <c r="I2062" s="17" t="s">
        <v>22</v>
      </c>
      <c r="J2062" s="17">
        <v>6.0</v>
      </c>
      <c r="K2062" s="17">
        <v>252.0</v>
      </c>
      <c r="L2062" s="17">
        <v>0.0</v>
      </c>
      <c r="M2062" s="17">
        <v>0.0</v>
      </c>
      <c r="N2062" s="17">
        <v>0.0</v>
      </c>
      <c r="O2062" s="17">
        <v>252.0</v>
      </c>
      <c r="P2062" s="17">
        <v>31.0</v>
      </c>
      <c r="Q2062" s="17">
        <v>31.0</v>
      </c>
      <c r="R2062" s="17">
        <v>31.0</v>
      </c>
      <c r="S2062" s="17">
        <v>31.0</v>
      </c>
      <c r="T2062" s="17">
        <v>31.0</v>
      </c>
      <c r="U2062" s="17">
        <v>31.0</v>
      </c>
    </row>
    <row r="2063" ht="23.25" customHeight="1">
      <c r="A2063" s="20" t="str">
        <f>IF(COUNTIF('Icon Lookup'!C:C,B2063)&gt;0,LOOKUP(B2063,'Icon Lookup'!C:C,'Icon Lookup'!B:B),"")</f>
        <v/>
      </c>
      <c r="B2063" s="21" t="s">
        <v>2457</v>
      </c>
      <c r="C2063" s="20"/>
      <c r="D2063" s="20">
        <v>70.0</v>
      </c>
      <c r="E2063" s="20" t="str">
        <f>IMAGE("https://www.serebii.net/itemdex/sprites/sitrusberry.png")</f>
        <v/>
      </c>
      <c r="F2063" s="20" t="s">
        <v>44</v>
      </c>
      <c r="G2063" s="20" t="s">
        <v>824</v>
      </c>
      <c r="H2063" s="23" t="s">
        <v>2458</v>
      </c>
      <c r="I2063" s="20" t="s">
        <v>550</v>
      </c>
      <c r="J2063" s="20">
        <v>248.0</v>
      </c>
      <c r="K2063" s="20">
        <v>252.0</v>
      </c>
      <c r="L2063" s="20">
        <v>8.0</v>
      </c>
      <c r="M2063" s="20">
        <v>0.0</v>
      </c>
      <c r="N2063" s="20">
        <v>0.0</v>
      </c>
      <c r="O2063" s="20">
        <v>0.0</v>
      </c>
      <c r="P2063" s="20">
        <v>31.0</v>
      </c>
      <c r="Q2063" s="20">
        <v>31.0</v>
      </c>
      <c r="R2063" s="20">
        <v>31.0</v>
      </c>
      <c r="S2063" s="20">
        <v>31.0</v>
      </c>
      <c r="T2063" s="20">
        <v>31.0</v>
      </c>
      <c r="U2063" s="20">
        <v>31.0</v>
      </c>
    </row>
    <row r="2064" ht="23.25" customHeight="1">
      <c r="A2064" s="17" t="str">
        <f>IF(COUNTIF('Icon Lookup'!C:C,B2064)&gt;0,LOOKUP(B2064,'Icon Lookup'!C:C,'Icon Lookup'!B:B),"")</f>
        <v/>
      </c>
      <c r="B2064" s="18" t="s">
        <v>2459</v>
      </c>
      <c r="C2064" s="17"/>
      <c r="D2064" s="17">
        <v>68.0</v>
      </c>
      <c r="E2064" s="17" t="str">
        <f>IMAGE("https://www.serebii.net/itemdex/sprites/focussash.png")</f>
        <v/>
      </c>
      <c r="F2064" s="17" t="s">
        <v>2460</v>
      </c>
      <c r="G2064" s="17" t="s">
        <v>881</v>
      </c>
      <c r="H2064" s="20" t="s">
        <v>2461</v>
      </c>
      <c r="I2064" s="17" t="s">
        <v>612</v>
      </c>
      <c r="J2064" s="17">
        <v>0.0</v>
      </c>
      <c r="K2064" s="17">
        <v>0.0</v>
      </c>
      <c r="L2064" s="17">
        <v>252.0</v>
      </c>
      <c r="M2064" s="17">
        <v>252.0</v>
      </c>
      <c r="N2064" s="17">
        <v>0.0</v>
      </c>
      <c r="O2064" s="17">
        <v>4.0</v>
      </c>
      <c r="P2064" s="17">
        <v>31.0</v>
      </c>
      <c r="Q2064" s="17">
        <v>31.0</v>
      </c>
      <c r="R2064" s="17">
        <v>31.0</v>
      </c>
      <c r="S2064" s="17">
        <v>31.0</v>
      </c>
      <c r="T2064" s="17">
        <v>31.0</v>
      </c>
      <c r="U2064" s="17">
        <v>31.0</v>
      </c>
    </row>
    <row r="2065" ht="23.25" customHeight="1">
      <c r="A2065" s="20" t="str">
        <f>IF(COUNTIF('Icon Lookup'!C:C,B2065)&gt;0,LOOKUP(B2065,'Icon Lookup'!C:C,'Icon Lookup'!B:B),"")</f>
        <v/>
      </c>
      <c r="B2065" s="21" t="s">
        <v>2462</v>
      </c>
      <c r="C2065" s="20"/>
      <c r="D2065" s="20">
        <v>64.0</v>
      </c>
      <c r="E2065" s="20" t="str">
        <f>IMAGE("https://www.serebii.net/itemdex/sprites/choiceband.png")</f>
        <v/>
      </c>
      <c r="F2065" s="20" t="s">
        <v>87</v>
      </c>
      <c r="G2065" s="20" t="s">
        <v>2463</v>
      </c>
      <c r="H2065" s="23" t="s">
        <v>2464</v>
      </c>
      <c r="I2065" s="20" t="s">
        <v>550</v>
      </c>
      <c r="J2065" s="20">
        <v>0.0</v>
      </c>
      <c r="K2065" s="20">
        <v>252.0</v>
      </c>
      <c r="L2065" s="20">
        <v>80.0</v>
      </c>
      <c r="M2065" s="20">
        <v>0.0</v>
      </c>
      <c r="N2065" s="20">
        <v>176.0</v>
      </c>
      <c r="O2065" s="20">
        <v>0.0</v>
      </c>
      <c r="P2065" s="20">
        <v>31.0</v>
      </c>
      <c r="Q2065" s="20">
        <v>31.0</v>
      </c>
      <c r="R2065" s="20">
        <v>31.0</v>
      </c>
      <c r="S2065" s="20">
        <v>31.0</v>
      </c>
      <c r="T2065" s="20">
        <v>31.0</v>
      </c>
      <c r="U2065" s="20">
        <v>31.0</v>
      </c>
    </row>
    <row r="2066" ht="23.25" customHeight="1">
      <c r="A2066" s="24" t="str">
        <f>IF(COUNTIF('Icon Lookup'!C:C,B2066)&gt;0,LOOKUP(B2066,'Icon Lookup'!C:C,'Icon Lookup'!B:B),"")</f>
        <v/>
      </c>
      <c r="B2066" s="25" t="s">
        <v>714</v>
      </c>
      <c r="C2066" s="24" t="s">
        <v>804</v>
      </c>
      <c r="D2066" s="24">
        <v>72.0</v>
      </c>
      <c r="E2066" s="24" t="str">
        <f>IMAGE("https://www.serebii.net/itemdex/sprites/lifeorb.png")</f>
        <v/>
      </c>
      <c r="F2066" s="24" t="s">
        <v>872</v>
      </c>
      <c r="G2066" s="17" t="s">
        <v>873</v>
      </c>
      <c r="H2066" s="20" t="s">
        <v>2465</v>
      </c>
      <c r="I2066" s="24" t="s">
        <v>550</v>
      </c>
      <c r="J2066" s="24">
        <v>32.0</v>
      </c>
      <c r="K2066" s="24">
        <v>252.0</v>
      </c>
      <c r="L2066" s="24">
        <v>216.0</v>
      </c>
      <c r="M2066" s="24">
        <v>0.0</v>
      </c>
      <c r="N2066" s="24">
        <v>8.0</v>
      </c>
      <c r="O2066" s="24">
        <v>0.0</v>
      </c>
      <c r="P2066" s="24">
        <v>31.0</v>
      </c>
      <c r="Q2066" s="24">
        <v>31.0</v>
      </c>
      <c r="R2066" s="24">
        <v>31.0</v>
      </c>
      <c r="S2066" s="24">
        <v>31.0</v>
      </c>
      <c r="T2066" s="24">
        <v>31.0</v>
      </c>
      <c r="U2066" s="24">
        <v>31.0</v>
      </c>
    </row>
    <row r="2067" ht="23.25" customHeight="1">
      <c r="A2067" s="1"/>
      <c r="B2067" s="15" t="s">
        <v>2466</v>
      </c>
      <c r="C2067" s="1" t="s">
        <v>17</v>
      </c>
      <c r="D2067" s="1" t="s">
        <v>1104</v>
      </c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</row>
    <row r="2068" ht="23.25" customHeight="1">
      <c r="A2068" s="20" t="str">
        <f>IF(COUNTIF('Icon Lookup'!C:C,B2068)&gt;0,LOOKUP(B2068,'Icon Lookup'!C:C,'Icon Lookup'!B:B),"")</f>
        <v/>
      </c>
      <c r="B2068" s="21" t="s">
        <v>2467</v>
      </c>
      <c r="C2068" s="20"/>
      <c r="D2068" s="20">
        <v>66.0</v>
      </c>
      <c r="E2068" s="20" t="str">
        <f>IMAGE("https://www.serebii.net/itemdex/sprites/heatrock.png")</f>
        <v/>
      </c>
      <c r="F2068" s="20" t="s">
        <v>66</v>
      </c>
      <c r="G2068" s="20" t="s">
        <v>2468</v>
      </c>
      <c r="H2068" s="23" t="s">
        <v>2469</v>
      </c>
      <c r="I2068" s="20" t="s">
        <v>52</v>
      </c>
      <c r="J2068" s="20">
        <v>76.0</v>
      </c>
      <c r="K2068" s="20">
        <v>0.0</v>
      </c>
      <c r="L2068" s="20">
        <v>44.0</v>
      </c>
      <c r="M2068" s="20">
        <v>128.0</v>
      </c>
      <c r="N2068" s="20">
        <v>8.0</v>
      </c>
      <c r="O2068" s="20">
        <v>252.0</v>
      </c>
      <c r="P2068" s="20">
        <v>31.0</v>
      </c>
      <c r="Q2068" s="20">
        <v>31.0</v>
      </c>
      <c r="R2068" s="20">
        <v>31.0</v>
      </c>
      <c r="S2068" s="20">
        <v>31.0</v>
      </c>
      <c r="T2068" s="20">
        <v>31.0</v>
      </c>
      <c r="U2068" s="20">
        <v>31.0</v>
      </c>
    </row>
    <row r="2069" ht="23.25" customHeight="1">
      <c r="A2069" s="17" t="str">
        <f>IF(COUNTIF('Icon Lookup'!C:C,B2069)&gt;0,LOOKUP(B2069,'Icon Lookup'!C:C,'Icon Lookup'!B:B),"")</f>
        <v/>
      </c>
      <c r="B2069" s="18" t="s">
        <v>2470</v>
      </c>
      <c r="C2069" s="17"/>
      <c r="D2069" s="17">
        <v>70.0</v>
      </c>
      <c r="E2069" s="17" t="str">
        <f>IMAGE("https://www.serebii.net/itemdex/sprites/choicescarf.png")</f>
        <v/>
      </c>
      <c r="F2069" s="17" t="s">
        <v>2471</v>
      </c>
      <c r="G2069" s="17" t="s">
        <v>2472</v>
      </c>
      <c r="H2069" s="20" t="s">
        <v>2473</v>
      </c>
      <c r="I2069" s="17" t="s">
        <v>52</v>
      </c>
      <c r="J2069" s="17">
        <v>6.0</v>
      </c>
      <c r="K2069" s="17">
        <v>0.0</v>
      </c>
      <c r="L2069" s="17">
        <v>0.0</v>
      </c>
      <c r="M2069" s="17">
        <v>252.0</v>
      </c>
      <c r="N2069" s="17">
        <v>0.0</v>
      </c>
      <c r="O2069" s="17">
        <v>252.0</v>
      </c>
      <c r="P2069" s="17">
        <v>31.0</v>
      </c>
      <c r="Q2069" s="17">
        <v>31.0</v>
      </c>
      <c r="R2069" s="17">
        <v>31.0</v>
      </c>
      <c r="S2069" s="17">
        <v>31.0</v>
      </c>
      <c r="T2069" s="17">
        <v>31.0</v>
      </c>
      <c r="U2069" s="17">
        <v>31.0</v>
      </c>
    </row>
    <row r="2070" ht="23.25" customHeight="1">
      <c r="A2070" s="20" t="str">
        <f>IF(COUNTIF('Icon Lookup'!C:C,B2070)&gt;0,LOOKUP(B2070,'Icon Lookup'!C:C,'Icon Lookup'!B:B),"")</f>
        <v/>
      </c>
      <c r="B2070" s="21" t="s">
        <v>600</v>
      </c>
      <c r="C2070" s="20"/>
      <c r="D2070" s="20">
        <v>69.0</v>
      </c>
      <c r="E2070" s="20" t="str">
        <f>IMAGE("https://www.serebii.net/itemdex/sprites/focussash.png")</f>
        <v/>
      </c>
      <c r="F2070" s="20" t="s">
        <v>601</v>
      </c>
      <c r="G2070" s="20" t="s">
        <v>881</v>
      </c>
      <c r="H2070" s="23" t="s">
        <v>2474</v>
      </c>
      <c r="I2070" s="20" t="s">
        <v>2475</v>
      </c>
      <c r="J2070" s="20">
        <v>0.0</v>
      </c>
      <c r="K2070" s="20">
        <v>252.0</v>
      </c>
      <c r="L2070" s="20">
        <v>0.0</v>
      </c>
      <c r="M2070" s="20">
        <v>252.0</v>
      </c>
      <c r="N2070" s="20">
        <v>0.0</v>
      </c>
      <c r="O2070" s="20">
        <v>6.0</v>
      </c>
      <c r="P2070" s="20">
        <v>31.0</v>
      </c>
      <c r="Q2070" s="20">
        <v>31.0</v>
      </c>
      <c r="R2070" s="20">
        <v>31.0</v>
      </c>
      <c r="S2070" s="20">
        <v>31.0</v>
      </c>
      <c r="T2070" s="20">
        <v>31.0</v>
      </c>
      <c r="U2070" s="20">
        <v>31.0</v>
      </c>
    </row>
    <row r="2071" ht="23.25" customHeight="1">
      <c r="A2071" s="17" t="str">
        <f>IF(COUNTIF('Icon Lookup'!C:C,B2071)&gt;0,LOOKUP(B2071,'Icon Lookup'!C:C,'Icon Lookup'!B:B),"")</f>
        <v/>
      </c>
      <c r="B2071" s="18" t="s">
        <v>1920</v>
      </c>
      <c r="C2071" s="17"/>
      <c r="D2071" s="17">
        <v>68.0</v>
      </c>
      <c r="E2071" s="17" t="str">
        <f>IMAGE("https://www.serebii.net/itemdex/sprites/toxicorb.png")</f>
        <v/>
      </c>
      <c r="F2071" s="17" t="s">
        <v>1921</v>
      </c>
      <c r="G2071" s="17" t="s">
        <v>2476</v>
      </c>
      <c r="H2071" s="20" t="s">
        <v>2477</v>
      </c>
      <c r="I2071" s="17" t="s">
        <v>22</v>
      </c>
      <c r="J2071" s="17">
        <v>120.0</v>
      </c>
      <c r="K2071" s="17">
        <v>138.0</v>
      </c>
      <c r="L2071" s="17">
        <v>0.0</v>
      </c>
      <c r="M2071" s="17">
        <v>0.0</v>
      </c>
      <c r="N2071" s="17">
        <v>0.0</v>
      </c>
      <c r="O2071" s="17">
        <v>252.0</v>
      </c>
      <c r="P2071" s="17">
        <v>31.0</v>
      </c>
      <c r="Q2071" s="17">
        <v>31.0</v>
      </c>
      <c r="R2071" s="17">
        <v>31.0</v>
      </c>
      <c r="S2071" s="17">
        <v>31.0</v>
      </c>
      <c r="T2071" s="17">
        <v>31.0</v>
      </c>
      <c r="U2071" s="17">
        <v>31.0</v>
      </c>
    </row>
    <row r="2072" ht="23.25" customHeight="1">
      <c r="A2072" s="20" t="str">
        <f>IF(COUNTIF('Icon Lookup'!C:C,B2072)&gt;0,LOOKUP(B2072,'Icon Lookup'!C:C,'Icon Lookup'!B:B),"")</f>
        <v/>
      </c>
      <c r="B2072" s="21" t="s">
        <v>730</v>
      </c>
      <c r="C2072" s="20"/>
      <c r="D2072" s="20">
        <v>68.0</v>
      </c>
      <c r="E2072" s="20" t="str">
        <f>IMAGE("https://www.serebii.net/itemdex/sprites/lifeorb.png")</f>
        <v/>
      </c>
      <c r="F2072" s="20" t="s">
        <v>267</v>
      </c>
      <c r="G2072" s="20" t="s">
        <v>873</v>
      </c>
      <c r="H2072" s="23" t="s">
        <v>2478</v>
      </c>
      <c r="I2072" s="20" t="s">
        <v>550</v>
      </c>
      <c r="J2072" s="20">
        <v>252.0</v>
      </c>
      <c r="K2072" s="20">
        <v>252.0</v>
      </c>
      <c r="L2072" s="20">
        <v>0.0</v>
      </c>
      <c r="M2072" s="20">
        <v>0.0</v>
      </c>
      <c r="N2072" s="20">
        <v>0.0</v>
      </c>
      <c r="O2072" s="20">
        <v>6.0</v>
      </c>
      <c r="P2072" s="20">
        <v>31.0</v>
      </c>
      <c r="Q2072" s="20">
        <v>31.0</v>
      </c>
      <c r="R2072" s="20">
        <v>31.0</v>
      </c>
      <c r="S2072" s="20">
        <v>31.0</v>
      </c>
      <c r="T2072" s="20">
        <v>31.0</v>
      </c>
      <c r="U2072" s="20">
        <v>31.0</v>
      </c>
    </row>
    <row r="2073" ht="23.25" customHeight="1">
      <c r="A2073" s="24" t="str">
        <f>IF(COUNTIF('Icon Lookup'!C:C,B2073)&gt;0,LOOKUP(B2073,'Icon Lookup'!C:C,'Icon Lookup'!B:B),"")</f>
        <v/>
      </c>
      <c r="B2073" s="25" t="s">
        <v>906</v>
      </c>
      <c r="C2073" s="24" t="s">
        <v>804</v>
      </c>
      <c r="D2073" s="24">
        <v>72.0</v>
      </c>
      <c r="E2073" s="24" t="str">
        <f>IMAGE("https://www.serebii.net/itemdex/sprites/powerherb.png")</f>
        <v/>
      </c>
      <c r="F2073" s="24" t="s">
        <v>959</v>
      </c>
      <c r="G2073" s="17" t="s">
        <v>2479</v>
      </c>
      <c r="H2073" s="20" t="s">
        <v>2480</v>
      </c>
      <c r="I2073" s="24" t="s">
        <v>612</v>
      </c>
      <c r="J2073" s="24">
        <v>6.0</v>
      </c>
      <c r="K2073" s="24">
        <v>0.0</v>
      </c>
      <c r="L2073" s="24">
        <v>0.0</v>
      </c>
      <c r="M2073" s="24">
        <v>252.0</v>
      </c>
      <c r="N2073" s="24">
        <v>0.0</v>
      </c>
      <c r="O2073" s="24">
        <v>252.0</v>
      </c>
      <c r="P2073" s="24">
        <v>31.0</v>
      </c>
      <c r="Q2073" s="24">
        <v>31.0</v>
      </c>
      <c r="R2073" s="24">
        <v>31.0</v>
      </c>
      <c r="S2073" s="24">
        <v>31.0</v>
      </c>
      <c r="T2073" s="24">
        <v>31.0</v>
      </c>
      <c r="U2073" s="24">
        <v>31.0</v>
      </c>
    </row>
    <row r="2074" ht="23.25" customHeight="1">
      <c r="A2074" s="1"/>
      <c r="B2074" s="15" t="s">
        <v>2481</v>
      </c>
      <c r="C2074" s="1" t="s">
        <v>17</v>
      </c>
      <c r="D2074" s="1" t="s">
        <v>1112</v>
      </c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</row>
    <row r="2075" ht="23.25" customHeight="1">
      <c r="A2075" s="20" t="str">
        <f>IF(COUNTIF('Icon Lookup'!C:C,B2075)&gt;0,LOOKUP(B2075,'Icon Lookup'!C:C,'Icon Lookup'!B:B),"")</f>
        <v/>
      </c>
      <c r="B2075" s="21" t="s">
        <v>2482</v>
      </c>
      <c r="C2075" s="20"/>
      <c r="D2075" s="20">
        <v>68.0</v>
      </c>
      <c r="E2075" s="20" t="str">
        <f>IMAGE("https://www.serebii.net/itemdex/sprites/damprock.png")</f>
        <v/>
      </c>
      <c r="F2075" s="20" t="s">
        <v>411</v>
      </c>
      <c r="G2075" s="20" t="s">
        <v>1114</v>
      </c>
      <c r="H2075" s="23" t="s">
        <v>2483</v>
      </c>
      <c r="I2075" s="20" t="s">
        <v>52</v>
      </c>
      <c r="J2075" s="20">
        <v>6.0</v>
      </c>
      <c r="K2075" s="20">
        <v>0.0</v>
      </c>
      <c r="L2075" s="20">
        <v>0.0</v>
      </c>
      <c r="M2075" s="20">
        <v>252.0</v>
      </c>
      <c r="N2075" s="20">
        <v>0.0</v>
      </c>
      <c r="O2075" s="20">
        <v>252.0</v>
      </c>
      <c r="P2075" s="20">
        <v>31.0</v>
      </c>
      <c r="Q2075" s="20">
        <v>31.0</v>
      </c>
      <c r="R2075" s="20">
        <v>31.0</v>
      </c>
      <c r="S2075" s="20">
        <v>31.0</v>
      </c>
      <c r="T2075" s="20">
        <v>31.0</v>
      </c>
      <c r="U2075" s="20">
        <v>31.0</v>
      </c>
    </row>
    <row r="2076" ht="23.25" customHeight="1">
      <c r="A2076" s="17" t="str">
        <f>IF(COUNTIF('Icon Lookup'!C:C,B2076)&gt;0,LOOKUP(B2076,'Icon Lookup'!C:C,'Icon Lookup'!B:B),"")</f>
        <v/>
      </c>
      <c r="B2076" s="18" t="s">
        <v>2484</v>
      </c>
      <c r="C2076" s="17"/>
      <c r="D2076" s="17">
        <v>68.0</v>
      </c>
      <c r="E2076" s="17" t="str">
        <f>IMAGE("https://www.serebii.net/itemdex/sprites/chestoberry.png")</f>
        <v/>
      </c>
      <c r="F2076" s="17" t="s">
        <v>44</v>
      </c>
      <c r="G2076" s="17" t="s">
        <v>865</v>
      </c>
      <c r="H2076" s="20" t="s">
        <v>2485</v>
      </c>
      <c r="I2076" s="17" t="s">
        <v>52</v>
      </c>
      <c r="J2076" s="17">
        <v>6.0</v>
      </c>
      <c r="K2076" s="17">
        <v>0.0</v>
      </c>
      <c r="L2076" s="17">
        <v>0.0</v>
      </c>
      <c r="M2076" s="17">
        <v>252.0</v>
      </c>
      <c r="N2076" s="17">
        <v>0.0</v>
      </c>
      <c r="O2076" s="17">
        <v>252.0</v>
      </c>
      <c r="P2076" s="17">
        <v>31.0</v>
      </c>
      <c r="Q2076" s="17">
        <v>31.0</v>
      </c>
      <c r="R2076" s="17">
        <v>31.0</v>
      </c>
      <c r="S2076" s="17">
        <v>31.0</v>
      </c>
      <c r="T2076" s="17">
        <v>31.0</v>
      </c>
      <c r="U2076" s="17">
        <v>31.0</v>
      </c>
    </row>
    <row r="2077" ht="23.25" customHeight="1">
      <c r="A2077" s="20" t="str">
        <f>IF(COUNTIF('Icon Lookup'!C:C,B2077)&gt;0,LOOKUP(B2077,'Icon Lookup'!C:C,'Icon Lookup'!B:B),"")</f>
        <v/>
      </c>
      <c r="B2077" s="21" t="s">
        <v>2486</v>
      </c>
      <c r="C2077" s="20"/>
      <c r="D2077" s="20">
        <v>68.0</v>
      </c>
      <c r="E2077" s="20" t="str">
        <f>IMAGE("https://www.serebii.net/itemdex/sprites/sitrusberry.png")</f>
        <v/>
      </c>
      <c r="F2077" s="20" t="s">
        <v>44</v>
      </c>
      <c r="G2077" s="20" t="s">
        <v>824</v>
      </c>
      <c r="H2077" s="23" t="s">
        <v>2487</v>
      </c>
      <c r="I2077" s="20" t="s">
        <v>612</v>
      </c>
      <c r="J2077" s="20">
        <v>6.0</v>
      </c>
      <c r="K2077" s="20">
        <v>0.0</v>
      </c>
      <c r="L2077" s="20">
        <v>0.0</v>
      </c>
      <c r="M2077" s="20">
        <v>252.0</v>
      </c>
      <c r="N2077" s="20">
        <v>0.0</v>
      </c>
      <c r="O2077" s="20">
        <v>252.0</v>
      </c>
      <c r="P2077" s="20">
        <v>31.0</v>
      </c>
      <c r="Q2077" s="20">
        <v>31.0</v>
      </c>
      <c r="R2077" s="20">
        <v>31.0</v>
      </c>
      <c r="S2077" s="20">
        <v>31.0</v>
      </c>
      <c r="T2077" s="20">
        <v>31.0</v>
      </c>
      <c r="U2077" s="20">
        <v>31.0</v>
      </c>
    </row>
    <row r="2078" ht="23.25" customHeight="1">
      <c r="A2078" s="17" t="str">
        <f>IF(COUNTIF('Icon Lookup'!C:C,B2078)&gt;0,LOOKUP(B2078,'Icon Lookup'!C:C,'Icon Lookup'!B:B),"")</f>
        <v/>
      </c>
      <c r="B2078" s="18" t="s">
        <v>2488</v>
      </c>
      <c r="C2078" s="17"/>
      <c r="D2078" s="17">
        <v>70.0</v>
      </c>
      <c r="E2078" s="17" t="str">
        <f>IMAGE("https://www.serebii.net/itemdex/sprites/focussash.png")</f>
        <v/>
      </c>
      <c r="F2078" s="17" t="s">
        <v>44</v>
      </c>
      <c r="G2078" s="17" t="s">
        <v>881</v>
      </c>
      <c r="H2078" s="20" t="s">
        <v>2489</v>
      </c>
      <c r="I2078" s="17" t="s">
        <v>22</v>
      </c>
      <c r="J2078" s="17">
        <v>6.0</v>
      </c>
      <c r="K2078" s="17">
        <v>252.0</v>
      </c>
      <c r="L2078" s="17">
        <v>0.0</v>
      </c>
      <c r="M2078" s="17">
        <v>0.0</v>
      </c>
      <c r="N2078" s="17">
        <v>0.0</v>
      </c>
      <c r="O2078" s="17">
        <v>252.0</v>
      </c>
      <c r="P2078" s="17">
        <v>31.0</v>
      </c>
      <c r="Q2078" s="17">
        <v>31.0</v>
      </c>
      <c r="R2078" s="17">
        <v>31.0</v>
      </c>
      <c r="S2078" s="17">
        <v>31.0</v>
      </c>
      <c r="T2078" s="17">
        <v>31.0</v>
      </c>
      <c r="U2078" s="17">
        <v>31.0</v>
      </c>
    </row>
    <row r="2079" ht="23.25" customHeight="1">
      <c r="A2079" s="20" t="str">
        <f>IF(COUNTIF('Icon Lookup'!C:C,B2079)&gt;0,LOOKUP(B2079,'Icon Lookup'!C:C,'Icon Lookup'!B:B),"")</f>
        <v/>
      </c>
      <c r="B2079" s="21" t="s">
        <v>190</v>
      </c>
      <c r="C2079" s="20"/>
      <c r="D2079" s="20">
        <v>70.0</v>
      </c>
      <c r="E2079" s="20" t="str">
        <f>IMAGE("https://www.serebii.net/itemdex/sprites/wacanberry.png")</f>
        <v/>
      </c>
      <c r="F2079" s="20" t="s">
        <v>26</v>
      </c>
      <c r="G2079" s="20" t="s">
        <v>1373</v>
      </c>
      <c r="H2079" s="23" t="s">
        <v>2490</v>
      </c>
      <c r="I2079" s="20" t="s">
        <v>22</v>
      </c>
      <c r="J2079" s="20">
        <v>6.0</v>
      </c>
      <c r="K2079" s="20">
        <v>252.0</v>
      </c>
      <c r="L2079" s="20">
        <v>0.0</v>
      </c>
      <c r="M2079" s="20">
        <v>0.0</v>
      </c>
      <c r="N2079" s="20">
        <v>0.0</v>
      </c>
      <c r="O2079" s="20">
        <v>252.0</v>
      </c>
      <c r="P2079" s="20">
        <v>31.0</v>
      </c>
      <c r="Q2079" s="20">
        <v>31.0</v>
      </c>
      <c r="R2079" s="20">
        <v>31.0</v>
      </c>
      <c r="S2079" s="20">
        <v>31.0</v>
      </c>
      <c r="T2079" s="20">
        <v>31.0</v>
      </c>
      <c r="U2079" s="20">
        <v>31.0</v>
      </c>
    </row>
    <row r="2080" ht="23.25" customHeight="1">
      <c r="A2080" s="24" t="str">
        <f>IF(COUNTIF('Icon Lookup'!C:C,B2080)&gt;0,LOOKUP(B2080,'Icon Lookup'!C:C,'Icon Lookup'!B:B),"")</f>
        <v/>
      </c>
      <c r="B2080" s="25" t="s">
        <v>921</v>
      </c>
      <c r="C2080" s="24" t="s">
        <v>804</v>
      </c>
      <c r="D2080" s="24">
        <v>72.0</v>
      </c>
      <c r="E2080" s="24" t="str">
        <f>IMAGE("https://www.serebii.net/itemdex/sprites/lifeorb.png")</f>
        <v/>
      </c>
      <c r="F2080" s="24" t="s">
        <v>44</v>
      </c>
      <c r="G2080" s="17" t="s">
        <v>873</v>
      </c>
      <c r="H2080" s="20" t="s">
        <v>2491</v>
      </c>
      <c r="I2080" s="24" t="s">
        <v>22</v>
      </c>
      <c r="J2080" s="24">
        <v>6.0</v>
      </c>
      <c r="K2080" s="24">
        <v>252.0</v>
      </c>
      <c r="L2080" s="24">
        <v>0.0</v>
      </c>
      <c r="M2080" s="24">
        <v>0.0</v>
      </c>
      <c r="N2080" s="24">
        <v>0.0</v>
      </c>
      <c r="O2080" s="24">
        <v>252.0</v>
      </c>
      <c r="P2080" s="24">
        <v>31.0</v>
      </c>
      <c r="Q2080" s="24">
        <v>31.0</v>
      </c>
      <c r="R2080" s="24">
        <v>31.0</v>
      </c>
      <c r="S2080" s="24">
        <v>31.0</v>
      </c>
      <c r="T2080" s="24">
        <v>31.0</v>
      </c>
      <c r="U2080" s="24">
        <v>31.0</v>
      </c>
    </row>
    <row r="2081" ht="23.25" customHeight="1">
      <c r="A2081" s="1"/>
      <c r="B2081" s="15" t="s">
        <v>2492</v>
      </c>
      <c r="C2081" s="1" t="s">
        <v>17</v>
      </c>
      <c r="D2081" s="1" t="s">
        <v>1118</v>
      </c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</row>
    <row r="2082" ht="23.25" customHeight="1">
      <c r="A2082" s="20" t="str">
        <f>IF(COUNTIF('Icon Lookup'!C:C,B2082)&gt;0,LOOKUP(B2082,'Icon Lookup'!C:C,'Icon Lookup'!B:B),"")</f>
        <v/>
      </c>
      <c r="B2082" s="21" t="s">
        <v>2493</v>
      </c>
      <c r="C2082" s="20"/>
      <c r="D2082" s="20">
        <v>64.0</v>
      </c>
      <c r="E2082" s="20" t="str">
        <f>IMAGE("https://www.serebii.net/itemdex/sprites/expertbelt.png")</f>
        <v/>
      </c>
      <c r="F2082" s="20" t="s">
        <v>26</v>
      </c>
      <c r="G2082" s="20" t="s">
        <v>907</v>
      </c>
      <c r="H2082" s="23" t="s">
        <v>2494</v>
      </c>
      <c r="I2082" s="20" t="s">
        <v>550</v>
      </c>
      <c r="J2082" s="20">
        <v>252.0</v>
      </c>
      <c r="K2082" s="20">
        <v>252.0</v>
      </c>
      <c r="L2082" s="20">
        <v>0.0</v>
      </c>
      <c r="M2082" s="20">
        <v>0.0</v>
      </c>
      <c r="N2082" s="20">
        <v>0.0</v>
      </c>
      <c r="O2082" s="20">
        <v>6.0</v>
      </c>
      <c r="P2082" s="20">
        <v>31.0</v>
      </c>
      <c r="Q2082" s="20">
        <v>31.0</v>
      </c>
      <c r="R2082" s="20">
        <v>31.0</v>
      </c>
      <c r="S2082" s="20">
        <v>31.0</v>
      </c>
      <c r="T2082" s="20">
        <v>31.0</v>
      </c>
      <c r="U2082" s="20">
        <v>31.0</v>
      </c>
    </row>
    <row r="2083" ht="23.25" customHeight="1">
      <c r="A2083" s="17" t="str">
        <f>IF(COUNTIF('Icon Lookup'!C:C,B2083)&gt;0,LOOKUP(B2083,'Icon Lookup'!C:C,'Icon Lookup'!B:B),"")</f>
        <v/>
      </c>
      <c r="B2083" s="18" t="s">
        <v>1920</v>
      </c>
      <c r="C2083" s="17"/>
      <c r="D2083" s="17">
        <v>66.0</v>
      </c>
      <c r="E2083" s="17" t="str">
        <f>IMAGE("https://www.serebii.net/itemdex/sprites/lifeorb.png")</f>
        <v/>
      </c>
      <c r="F2083" s="17" t="s">
        <v>1109</v>
      </c>
      <c r="G2083" s="17" t="s">
        <v>873</v>
      </c>
      <c r="H2083" s="20" t="s">
        <v>2495</v>
      </c>
      <c r="I2083" s="17" t="s">
        <v>550</v>
      </c>
      <c r="J2083" s="17">
        <v>6.0</v>
      </c>
      <c r="K2083" s="17">
        <v>252.0</v>
      </c>
      <c r="L2083" s="17">
        <v>0.0</v>
      </c>
      <c r="M2083" s="17">
        <v>0.0</v>
      </c>
      <c r="N2083" s="17">
        <v>0.0</v>
      </c>
      <c r="O2083" s="17">
        <v>252.0</v>
      </c>
      <c r="P2083" s="17">
        <v>31.0</v>
      </c>
      <c r="Q2083" s="17">
        <v>31.0</v>
      </c>
      <c r="R2083" s="17">
        <v>31.0</v>
      </c>
      <c r="S2083" s="17">
        <v>31.0</v>
      </c>
      <c r="T2083" s="17">
        <v>31.0</v>
      </c>
      <c r="U2083" s="17">
        <v>31.0</v>
      </c>
    </row>
    <row r="2084" ht="23.25" customHeight="1">
      <c r="A2084" s="20" t="str">
        <f>IF(COUNTIF('Icon Lookup'!C:C,B2084)&gt;0,LOOKUP(B2084,'Icon Lookup'!C:C,'Icon Lookup'!B:B),"")</f>
        <v/>
      </c>
      <c r="B2084" s="21" t="s">
        <v>851</v>
      </c>
      <c r="C2084" s="20"/>
      <c r="D2084" s="20">
        <v>68.0</v>
      </c>
      <c r="E2084" s="20" t="str">
        <f>IMAGE("https://www.serebii.net/itemdex/sprites/flameorb.png")</f>
        <v/>
      </c>
      <c r="F2084" s="20" t="s">
        <v>276</v>
      </c>
      <c r="G2084" s="20" t="s">
        <v>852</v>
      </c>
      <c r="H2084" s="23" t="s">
        <v>2496</v>
      </c>
      <c r="I2084" s="20" t="s">
        <v>22</v>
      </c>
      <c r="J2084" s="20">
        <v>6.0</v>
      </c>
      <c r="K2084" s="20">
        <v>252.0</v>
      </c>
      <c r="L2084" s="20">
        <v>0.0</v>
      </c>
      <c r="M2084" s="20">
        <v>0.0</v>
      </c>
      <c r="N2084" s="20">
        <v>0.0</v>
      </c>
      <c r="O2084" s="20">
        <v>252.0</v>
      </c>
      <c r="P2084" s="20">
        <v>31.0</v>
      </c>
      <c r="Q2084" s="20">
        <v>31.0</v>
      </c>
      <c r="R2084" s="20">
        <v>31.0</v>
      </c>
      <c r="S2084" s="20">
        <v>31.0</v>
      </c>
      <c r="T2084" s="20">
        <v>31.0</v>
      </c>
      <c r="U2084" s="20">
        <v>31.0</v>
      </c>
    </row>
    <row r="2085" ht="23.25" customHeight="1">
      <c r="A2085" s="17" t="str">
        <f>IF(COUNTIF('Icon Lookup'!C:C,B2085)&gt;0,LOOKUP(B2085,'Icon Lookup'!C:C,'Icon Lookup'!B:B),"")</f>
        <v/>
      </c>
      <c r="B2085" s="18" t="s">
        <v>879</v>
      </c>
      <c r="C2085" s="17"/>
      <c r="D2085" s="17">
        <v>70.0</v>
      </c>
      <c r="E2085" s="17" t="str">
        <f>IMAGE("https://www.serebii.net/itemdex/sprites/whiteherb.png")</f>
        <v/>
      </c>
      <c r="F2085" s="17" t="s">
        <v>145</v>
      </c>
      <c r="G2085" s="17" t="s">
        <v>2497</v>
      </c>
      <c r="H2085" s="20" t="s">
        <v>2498</v>
      </c>
      <c r="I2085" s="17" t="s">
        <v>2499</v>
      </c>
      <c r="J2085" s="17">
        <v>0.0</v>
      </c>
      <c r="K2085" s="17">
        <v>252.0</v>
      </c>
      <c r="L2085" s="17">
        <v>0.0</v>
      </c>
      <c r="M2085" s="17">
        <v>252.0</v>
      </c>
      <c r="N2085" s="17">
        <v>0.0</v>
      </c>
      <c r="O2085" s="17">
        <v>6.0</v>
      </c>
      <c r="P2085" s="17">
        <v>31.0</v>
      </c>
      <c r="Q2085" s="17">
        <v>31.0</v>
      </c>
      <c r="R2085" s="17">
        <v>31.0</v>
      </c>
      <c r="S2085" s="17">
        <v>31.0</v>
      </c>
      <c r="T2085" s="17">
        <v>31.0</v>
      </c>
      <c r="U2085" s="17">
        <v>31.0</v>
      </c>
    </row>
    <row r="2086" ht="23.25" customHeight="1">
      <c r="A2086" s="20" t="str">
        <f>IF(COUNTIF('Icon Lookup'!C:C,B2086)&gt;0,LOOKUP(B2086,'Icon Lookup'!C:C,'Icon Lookup'!B:B),"")</f>
        <v/>
      </c>
      <c r="B2086" s="21" t="s">
        <v>582</v>
      </c>
      <c r="C2086" s="20"/>
      <c r="D2086" s="20">
        <v>72.0</v>
      </c>
      <c r="E2086" s="20" t="str">
        <f>IMAGE("https://www.serebii.net/itemdex/sprites/choiceband.png")</f>
        <v/>
      </c>
      <c r="F2086" s="20" t="s">
        <v>166</v>
      </c>
      <c r="G2086" s="20" t="s">
        <v>2463</v>
      </c>
      <c r="H2086" s="23" t="s">
        <v>2500</v>
      </c>
      <c r="I2086" s="20" t="s">
        <v>550</v>
      </c>
      <c r="J2086" s="20">
        <v>6.0</v>
      </c>
      <c r="K2086" s="20">
        <v>252.0</v>
      </c>
      <c r="L2086" s="20">
        <v>0.0</v>
      </c>
      <c r="M2086" s="20">
        <v>0.0</v>
      </c>
      <c r="N2086" s="20">
        <v>0.0</v>
      </c>
      <c r="O2086" s="20">
        <v>252.0</v>
      </c>
      <c r="P2086" s="20">
        <v>31.0</v>
      </c>
      <c r="Q2086" s="20">
        <v>31.0</v>
      </c>
      <c r="R2086" s="20">
        <v>31.0</v>
      </c>
      <c r="S2086" s="20">
        <v>31.0</v>
      </c>
      <c r="T2086" s="20">
        <v>31.0</v>
      </c>
      <c r="U2086" s="20">
        <v>31.0</v>
      </c>
    </row>
    <row r="2087" ht="23.25" customHeight="1">
      <c r="A2087" s="24" t="str">
        <f>IF(COUNTIF('Icon Lookup'!C:C,B2087)&gt;0,LOOKUP(B2087,'Icon Lookup'!C:C,'Icon Lookup'!B:B),"")</f>
        <v/>
      </c>
      <c r="B2087" s="25" t="s">
        <v>910</v>
      </c>
      <c r="C2087" s="24" t="s">
        <v>804</v>
      </c>
      <c r="D2087" s="24">
        <v>74.0</v>
      </c>
      <c r="E2087" s="24" t="str">
        <f>IMAGE("https://www.serebii.net/itemdex/sprites/focussash.png")</f>
        <v/>
      </c>
      <c r="F2087" s="24" t="s">
        <v>2501</v>
      </c>
      <c r="G2087" s="17" t="s">
        <v>881</v>
      </c>
      <c r="H2087" s="20" t="s">
        <v>2502</v>
      </c>
      <c r="I2087" s="24" t="s">
        <v>612</v>
      </c>
      <c r="J2087" s="24">
        <v>6.0</v>
      </c>
      <c r="K2087" s="24">
        <v>0.0</v>
      </c>
      <c r="L2087" s="24">
        <v>0.0</v>
      </c>
      <c r="M2087" s="24">
        <v>252.0</v>
      </c>
      <c r="N2087" s="24">
        <v>0.0</v>
      </c>
      <c r="O2087" s="24">
        <v>252.0</v>
      </c>
      <c r="P2087" s="24">
        <v>31.0</v>
      </c>
      <c r="Q2087" s="24">
        <v>31.0</v>
      </c>
      <c r="R2087" s="24">
        <v>31.0</v>
      </c>
      <c r="S2087" s="24">
        <v>31.0</v>
      </c>
      <c r="T2087" s="24">
        <v>31.0</v>
      </c>
      <c r="U2087" s="24">
        <v>31.0</v>
      </c>
    </row>
    <row r="2088" ht="23.25" customHeight="1">
      <c r="A2088" s="1"/>
      <c r="B2088" s="15" t="s">
        <v>2503</v>
      </c>
      <c r="C2088" s="1" t="s">
        <v>17</v>
      </c>
      <c r="D2088" s="1" t="s">
        <v>1125</v>
      </c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</row>
    <row r="2089" ht="23.25" customHeight="1">
      <c r="A2089" s="20" t="str">
        <f>IF(COUNTIF('Icon Lookup'!C:C,B2089)&gt;0,LOOKUP(B2089,'Icon Lookup'!C:C,'Icon Lookup'!B:B),"")</f>
        <v/>
      </c>
      <c r="B2089" s="21" t="s">
        <v>875</v>
      </c>
      <c r="C2089" s="20"/>
      <c r="D2089" s="20">
        <v>68.0</v>
      </c>
      <c r="E2089" s="20" t="str">
        <f>IMAGE("https://www.serebii.net/itemdex/sprites/flameorb.png")</f>
        <v/>
      </c>
      <c r="F2089" s="20" t="s">
        <v>991</v>
      </c>
      <c r="G2089" s="20" t="s">
        <v>852</v>
      </c>
      <c r="H2089" s="23" t="s">
        <v>2504</v>
      </c>
      <c r="I2089" s="20" t="s">
        <v>612</v>
      </c>
      <c r="J2089" s="20">
        <v>6.0</v>
      </c>
      <c r="K2089" s="20">
        <v>0.0</v>
      </c>
      <c r="L2089" s="20">
        <v>0.0</v>
      </c>
      <c r="M2089" s="20">
        <v>252.0</v>
      </c>
      <c r="N2089" s="20">
        <v>0.0</v>
      </c>
      <c r="O2089" s="20">
        <v>252.0</v>
      </c>
      <c r="P2089" s="20">
        <v>31.0</v>
      </c>
      <c r="Q2089" s="20">
        <v>31.0</v>
      </c>
      <c r="R2089" s="20">
        <v>31.0</v>
      </c>
      <c r="S2089" s="20">
        <v>31.0</v>
      </c>
      <c r="T2089" s="20">
        <v>31.0</v>
      </c>
      <c r="U2089" s="20">
        <v>31.0</v>
      </c>
    </row>
    <row r="2090" ht="23.25" customHeight="1">
      <c r="A2090" s="17" t="str">
        <f>IF(COUNTIF('Icon Lookup'!C:C,B2090)&gt;0,LOOKUP(B2090,'Icon Lookup'!C:C,'Icon Lookup'!B:B),"")</f>
        <v/>
      </c>
      <c r="B2090" s="18" t="s">
        <v>2170</v>
      </c>
      <c r="C2090" s="17"/>
      <c r="D2090" s="17">
        <v>65.0</v>
      </c>
      <c r="E2090" s="17" t="str">
        <f>IMAGE("https://www.serebii.net/itemdex/sprites/ironball.png")</f>
        <v/>
      </c>
      <c r="F2090" s="17" t="s">
        <v>768</v>
      </c>
      <c r="G2090" s="17" t="s">
        <v>2505</v>
      </c>
      <c r="H2090" s="20" t="s">
        <v>2506</v>
      </c>
      <c r="I2090" s="17" t="s">
        <v>550</v>
      </c>
      <c r="J2090" s="17">
        <v>244.0</v>
      </c>
      <c r="K2090" s="17">
        <v>252.0</v>
      </c>
      <c r="L2090" s="17">
        <v>0.0</v>
      </c>
      <c r="M2090" s="17">
        <v>0.0</v>
      </c>
      <c r="N2090" s="17">
        <v>0.0</v>
      </c>
      <c r="O2090" s="17">
        <v>12.0</v>
      </c>
      <c r="P2090" s="17">
        <v>31.0</v>
      </c>
      <c r="Q2090" s="17">
        <v>31.0</v>
      </c>
      <c r="R2090" s="17">
        <v>31.0</v>
      </c>
      <c r="S2090" s="17">
        <v>31.0</v>
      </c>
      <c r="T2090" s="17">
        <v>31.0</v>
      </c>
      <c r="U2090" s="17">
        <v>31.0</v>
      </c>
    </row>
    <row r="2091" ht="23.25" customHeight="1">
      <c r="A2091" s="20" t="str">
        <f>IF(COUNTIF('Icon Lookup'!C:C,B2091)&gt;0,LOOKUP(B2091,'Icon Lookup'!C:C,'Icon Lookup'!B:B),"")</f>
        <v/>
      </c>
      <c r="B2091" s="21" t="s">
        <v>2507</v>
      </c>
      <c r="C2091" s="20"/>
      <c r="D2091" s="20">
        <v>70.0</v>
      </c>
      <c r="E2091" s="20" t="str">
        <f>IMAGE("https://www.serebii.net/itemdex/sprites/sitrusberry.png")</f>
        <v/>
      </c>
      <c r="F2091" s="20" t="s">
        <v>903</v>
      </c>
      <c r="G2091" s="20" t="s">
        <v>824</v>
      </c>
      <c r="H2091" s="23" t="s">
        <v>2508</v>
      </c>
      <c r="I2091" s="20" t="s">
        <v>550</v>
      </c>
      <c r="J2091" s="20">
        <v>248.0</v>
      </c>
      <c r="K2091" s="20">
        <v>252.0</v>
      </c>
      <c r="L2091" s="20">
        <v>4.0</v>
      </c>
      <c r="M2091" s="20">
        <v>0.0</v>
      </c>
      <c r="N2091" s="20">
        <v>4.0</v>
      </c>
      <c r="O2091" s="20">
        <v>0.0</v>
      </c>
      <c r="P2091" s="20">
        <v>31.0</v>
      </c>
      <c r="Q2091" s="20">
        <v>31.0</v>
      </c>
      <c r="R2091" s="20">
        <v>31.0</v>
      </c>
      <c r="S2091" s="20">
        <v>31.0</v>
      </c>
      <c r="T2091" s="20">
        <v>31.0</v>
      </c>
      <c r="U2091" s="20">
        <v>31.0</v>
      </c>
    </row>
    <row r="2092" ht="23.25" customHeight="1">
      <c r="A2092" s="17" t="str">
        <f>IF(COUNTIF('Icon Lookup'!C:C,B2092)&gt;0,LOOKUP(B2092,'Icon Lookup'!C:C,'Icon Lookup'!B:B),"")</f>
        <v/>
      </c>
      <c r="B2092" s="18" t="s">
        <v>1131</v>
      </c>
      <c r="C2092" s="17"/>
      <c r="D2092" s="17">
        <v>70.0</v>
      </c>
      <c r="E2092" s="17" t="str">
        <f>IMAGE("https://www.serebii.net/itemdex/sprites/expertbelt.png")</f>
        <v/>
      </c>
      <c r="F2092" s="17" t="s">
        <v>161</v>
      </c>
      <c r="G2092" s="17" t="s">
        <v>907</v>
      </c>
      <c r="H2092" s="20" t="s">
        <v>2509</v>
      </c>
      <c r="I2092" s="17" t="s">
        <v>52</v>
      </c>
      <c r="J2092" s="17">
        <v>6.0</v>
      </c>
      <c r="K2092" s="17">
        <v>0.0</v>
      </c>
      <c r="L2092" s="17">
        <v>0.0</v>
      </c>
      <c r="M2092" s="17">
        <v>252.0</v>
      </c>
      <c r="N2092" s="17">
        <v>0.0</v>
      </c>
      <c r="O2092" s="17">
        <v>252.0</v>
      </c>
      <c r="P2092" s="17">
        <v>31.0</v>
      </c>
      <c r="Q2092" s="17">
        <v>31.0</v>
      </c>
      <c r="R2092" s="17">
        <v>31.0</v>
      </c>
      <c r="S2092" s="17">
        <v>31.0</v>
      </c>
      <c r="T2092" s="17">
        <v>31.0</v>
      </c>
      <c r="U2092" s="17">
        <v>31.0</v>
      </c>
    </row>
    <row r="2093" ht="23.25" customHeight="1">
      <c r="A2093" s="20" t="str">
        <f>IF(COUNTIF('Icon Lookup'!C:C,B2093)&gt;0,LOOKUP(B2093,'Icon Lookup'!C:C,'Icon Lookup'!B:B),"")</f>
        <v/>
      </c>
      <c r="B2093" s="21" t="s">
        <v>2510</v>
      </c>
      <c r="C2093" s="20"/>
      <c r="D2093" s="20">
        <v>72.0</v>
      </c>
      <c r="E2093" s="20" t="str">
        <f>IMAGE("https://www.serebii.net/itemdex/sprites/focussash.png")</f>
        <v/>
      </c>
      <c r="F2093" s="20" t="s">
        <v>768</v>
      </c>
      <c r="G2093" s="20" t="s">
        <v>881</v>
      </c>
      <c r="H2093" s="23" t="s">
        <v>2511</v>
      </c>
      <c r="I2093" s="20" t="s">
        <v>52</v>
      </c>
      <c r="J2093" s="20">
        <v>6.0</v>
      </c>
      <c r="K2093" s="20">
        <v>0.0</v>
      </c>
      <c r="L2093" s="20">
        <v>0.0</v>
      </c>
      <c r="M2093" s="20">
        <v>252.0</v>
      </c>
      <c r="N2093" s="20">
        <v>0.0</v>
      </c>
      <c r="O2093" s="20">
        <v>252.0</v>
      </c>
      <c r="P2093" s="20">
        <v>31.0</v>
      </c>
      <c r="Q2093" s="20">
        <v>31.0</v>
      </c>
      <c r="R2093" s="20">
        <v>31.0</v>
      </c>
      <c r="S2093" s="20">
        <v>31.0</v>
      </c>
      <c r="T2093" s="20">
        <v>31.0</v>
      </c>
      <c r="U2093" s="20">
        <v>31.0</v>
      </c>
    </row>
    <row r="2094" ht="23.25" customHeight="1">
      <c r="A2094" s="24" t="str">
        <f>IF(COUNTIF('Icon Lookup'!C:C,B2094)&gt;0,LOOKUP(B2094,'Icon Lookup'!C:C,'Icon Lookup'!B:B),"")</f>
        <v/>
      </c>
      <c r="B2094" s="25" t="s">
        <v>767</v>
      </c>
      <c r="C2094" s="24" t="s">
        <v>804</v>
      </c>
      <c r="D2094" s="24">
        <v>72.0</v>
      </c>
      <c r="E2094" s="24" t="str">
        <f>IMAGE("https://www.serebii.net/itemdex/sprites/lifeorb.png")</f>
        <v/>
      </c>
      <c r="F2094" s="24" t="s">
        <v>768</v>
      </c>
      <c r="G2094" s="17" t="s">
        <v>873</v>
      </c>
      <c r="H2094" s="20" t="s">
        <v>2512</v>
      </c>
      <c r="I2094" s="24" t="s">
        <v>52</v>
      </c>
      <c r="J2094" s="24">
        <v>6.0</v>
      </c>
      <c r="K2094" s="24">
        <v>0.0</v>
      </c>
      <c r="L2094" s="24">
        <v>0.0</v>
      </c>
      <c r="M2094" s="24">
        <v>252.0</v>
      </c>
      <c r="N2094" s="24">
        <v>0.0</v>
      </c>
      <c r="O2094" s="24">
        <v>252.0</v>
      </c>
      <c r="P2094" s="24">
        <v>31.0</v>
      </c>
      <c r="Q2094" s="24">
        <v>31.0</v>
      </c>
      <c r="R2094" s="24">
        <v>31.0</v>
      </c>
      <c r="S2094" s="24">
        <v>31.0</v>
      </c>
      <c r="T2094" s="24">
        <v>31.0</v>
      </c>
      <c r="U2094" s="24">
        <v>31.0</v>
      </c>
    </row>
    <row r="2095" ht="23.25" customHeight="1">
      <c r="A2095" s="1"/>
      <c r="B2095" s="15" t="s">
        <v>2513</v>
      </c>
      <c r="C2095" s="1" t="s">
        <v>17</v>
      </c>
      <c r="D2095" s="1" t="s">
        <v>1134</v>
      </c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</row>
    <row r="2096" ht="23.25" customHeight="1">
      <c r="A2096" s="20" t="str">
        <f>IF(COUNTIF('Icon Lookup'!C:C,B2096)&gt;0,LOOKUP(B2096,'Icon Lookup'!C:C,'Icon Lookup'!B:B),"")</f>
        <v/>
      </c>
      <c r="B2096" s="21" t="s">
        <v>1141</v>
      </c>
      <c r="C2096" s="20"/>
      <c r="D2096" s="20">
        <v>68.0</v>
      </c>
      <c r="E2096" s="20" t="str">
        <f>IMAGE("https://www.serebii.net/itemdex/sprites/icyrock.png")</f>
        <v/>
      </c>
      <c r="F2096" s="20" t="s">
        <v>495</v>
      </c>
      <c r="G2096" s="20" t="s">
        <v>1135</v>
      </c>
      <c r="H2096" s="23" t="s">
        <v>2514</v>
      </c>
      <c r="I2096" s="20" t="s">
        <v>822</v>
      </c>
      <c r="J2096" s="20">
        <v>240.0</v>
      </c>
      <c r="K2096" s="20">
        <v>252.0</v>
      </c>
      <c r="L2096" s="20">
        <v>12.0</v>
      </c>
      <c r="M2096" s="20">
        <v>0.0</v>
      </c>
      <c r="N2096" s="20">
        <v>4.0</v>
      </c>
      <c r="O2096" s="20">
        <v>0.0</v>
      </c>
      <c r="P2096" s="20">
        <v>31.0</v>
      </c>
      <c r="Q2096" s="20">
        <v>31.0</v>
      </c>
      <c r="R2096" s="20">
        <v>31.0</v>
      </c>
      <c r="S2096" s="20">
        <v>31.0</v>
      </c>
      <c r="T2096" s="20">
        <v>31.0</v>
      </c>
      <c r="U2096" s="20">
        <v>0.0</v>
      </c>
    </row>
    <row r="2097" ht="23.25" customHeight="1">
      <c r="A2097" s="17" t="str">
        <f>IF(COUNTIF('Icon Lookup'!C:C,B2097)&gt;0,LOOKUP(B2097,'Icon Lookup'!C:C,'Icon Lookup'!B:B),"")</f>
        <v/>
      </c>
      <c r="B2097" s="18" t="s">
        <v>2515</v>
      </c>
      <c r="C2097" s="17"/>
      <c r="D2097" s="17">
        <v>70.0</v>
      </c>
      <c r="E2097" s="17" t="str">
        <f>IMAGE("https://www.serebii.net/itemdex/sprites/focussash.png")</f>
        <v/>
      </c>
      <c r="F2097" s="17" t="s">
        <v>1096</v>
      </c>
      <c r="G2097" s="17" t="s">
        <v>881</v>
      </c>
      <c r="H2097" s="20" t="s">
        <v>2516</v>
      </c>
      <c r="I2097" s="17" t="s">
        <v>612</v>
      </c>
      <c r="J2097" s="17">
        <v>6.0</v>
      </c>
      <c r="K2097" s="17">
        <v>0.0</v>
      </c>
      <c r="L2097" s="17">
        <v>0.0</v>
      </c>
      <c r="M2097" s="17">
        <v>252.0</v>
      </c>
      <c r="N2097" s="17">
        <v>0.0</v>
      </c>
      <c r="O2097" s="17">
        <v>252.0</v>
      </c>
      <c r="P2097" s="17">
        <v>31.0</v>
      </c>
      <c r="Q2097" s="17">
        <v>31.0</v>
      </c>
      <c r="R2097" s="17">
        <v>31.0</v>
      </c>
      <c r="S2097" s="17">
        <v>31.0</v>
      </c>
      <c r="T2097" s="17">
        <v>31.0</v>
      </c>
      <c r="U2097" s="17">
        <v>31.0</v>
      </c>
    </row>
    <row r="2098" ht="23.25" customHeight="1">
      <c r="A2098" s="20" t="str">
        <f>IF(COUNTIF('Icon Lookup'!C:C,B2098)&gt;0,LOOKUP(B2098,'Icon Lookup'!C:C,'Icon Lookup'!B:B),"")</f>
        <v/>
      </c>
      <c r="B2098" s="21" t="s">
        <v>2517</v>
      </c>
      <c r="C2098" s="20"/>
      <c r="D2098" s="20">
        <v>68.0</v>
      </c>
      <c r="E2098" s="20" t="str">
        <f>IMAGE("https://www.serebii.net/itemdex/sprites/expertbelt.png")</f>
        <v/>
      </c>
      <c r="F2098" s="20" t="s">
        <v>2518</v>
      </c>
      <c r="G2098" s="20" t="s">
        <v>907</v>
      </c>
      <c r="H2098" s="23" t="s">
        <v>2519</v>
      </c>
      <c r="I2098" s="20" t="s">
        <v>550</v>
      </c>
      <c r="J2098" s="20">
        <v>6.0</v>
      </c>
      <c r="K2098" s="20">
        <v>252.0</v>
      </c>
      <c r="L2098" s="20">
        <v>0.0</v>
      </c>
      <c r="M2098" s="20">
        <v>0.0</v>
      </c>
      <c r="N2098" s="20">
        <v>0.0</v>
      </c>
      <c r="O2098" s="20">
        <v>252.0</v>
      </c>
      <c r="P2098" s="20">
        <v>31.0</v>
      </c>
      <c r="Q2098" s="20">
        <v>31.0</v>
      </c>
      <c r="R2098" s="20">
        <v>31.0</v>
      </c>
      <c r="S2098" s="20">
        <v>31.0</v>
      </c>
      <c r="T2098" s="20">
        <v>31.0</v>
      </c>
      <c r="U2098" s="20">
        <v>31.0</v>
      </c>
    </row>
    <row r="2099" ht="23.25" customHeight="1">
      <c r="A2099" s="17" t="str">
        <f>IF(COUNTIF('Icon Lookup'!C:C,B2099)&gt;0,LOOKUP(B2099,'Icon Lookup'!C:C,'Icon Lookup'!B:B),"")</f>
        <v/>
      </c>
      <c r="B2099" s="18" t="s">
        <v>2510</v>
      </c>
      <c r="C2099" s="17"/>
      <c r="D2099" s="17">
        <v>70.0</v>
      </c>
      <c r="E2099" s="17" t="str">
        <f>IMAGE("https://www.serebii.net/itemdex/sprites/sitrusberry.png")</f>
        <v/>
      </c>
      <c r="F2099" s="17" t="s">
        <v>2518</v>
      </c>
      <c r="G2099" s="17" t="s">
        <v>824</v>
      </c>
      <c r="H2099" s="20" t="s">
        <v>2520</v>
      </c>
      <c r="I2099" s="17" t="s">
        <v>612</v>
      </c>
      <c r="J2099" s="17">
        <v>6.0</v>
      </c>
      <c r="K2099" s="17">
        <v>0.0</v>
      </c>
      <c r="L2099" s="17">
        <v>0.0</v>
      </c>
      <c r="M2099" s="17">
        <v>252.0</v>
      </c>
      <c r="N2099" s="17">
        <v>0.0</v>
      </c>
      <c r="O2099" s="17">
        <v>252.0</v>
      </c>
      <c r="P2099" s="17">
        <v>31.0</v>
      </c>
      <c r="Q2099" s="17">
        <v>31.0</v>
      </c>
      <c r="R2099" s="17">
        <v>31.0</v>
      </c>
      <c r="S2099" s="17">
        <v>31.0</v>
      </c>
      <c r="T2099" s="17">
        <v>31.0</v>
      </c>
      <c r="U2099" s="17">
        <v>31.0</v>
      </c>
    </row>
    <row r="2100" ht="23.25" customHeight="1">
      <c r="A2100" s="20" t="str">
        <f>IF(COUNTIF('Icon Lookup'!C:C,B2100)&gt;0,LOOKUP(B2100,'Icon Lookup'!C:C,'Icon Lookup'!B:B),"")</f>
        <v/>
      </c>
      <c r="B2100" s="21" t="s">
        <v>2521</v>
      </c>
      <c r="C2100" s="20"/>
      <c r="D2100" s="20">
        <v>70.0</v>
      </c>
      <c r="E2100" s="20" t="str">
        <f>IMAGE("https://www.serebii.net/itemdex/sprites/leftovers.png")</f>
        <v/>
      </c>
      <c r="F2100" s="20" t="s">
        <v>2522</v>
      </c>
      <c r="G2100" s="20" t="s">
        <v>859</v>
      </c>
      <c r="H2100" s="23" t="s">
        <v>2523</v>
      </c>
      <c r="I2100" s="20" t="s">
        <v>612</v>
      </c>
      <c r="J2100" s="20">
        <v>252.0</v>
      </c>
      <c r="K2100" s="20">
        <v>0.0</v>
      </c>
      <c r="L2100" s="20">
        <v>0.0</v>
      </c>
      <c r="M2100" s="20">
        <v>252.0</v>
      </c>
      <c r="N2100" s="20">
        <v>0.0</v>
      </c>
      <c r="O2100" s="20">
        <v>6.0</v>
      </c>
      <c r="P2100" s="20">
        <v>31.0</v>
      </c>
      <c r="Q2100" s="20">
        <v>31.0</v>
      </c>
      <c r="R2100" s="20">
        <v>31.0</v>
      </c>
      <c r="S2100" s="20">
        <v>31.0</v>
      </c>
      <c r="T2100" s="20">
        <v>31.0</v>
      </c>
      <c r="U2100" s="20">
        <v>31.0</v>
      </c>
    </row>
    <row r="2101" ht="23.25" customHeight="1">
      <c r="A2101" s="24" t="str">
        <f>IF(COUNTIF('Icon Lookup'!C:C,B2101)&gt;0,LOOKUP(B2101,'Icon Lookup'!C:C,'Icon Lookup'!B:B),"")</f>
        <v/>
      </c>
      <c r="B2101" s="25" t="s">
        <v>1375</v>
      </c>
      <c r="C2101" s="24" t="s">
        <v>804</v>
      </c>
      <c r="D2101" s="24">
        <v>72.0</v>
      </c>
      <c r="E2101" s="24" t="str">
        <f>IMAGE("https://www.serebii.net/itemdex/sprites/lifeorb.png")</f>
        <v/>
      </c>
      <c r="F2101" s="24" t="s">
        <v>903</v>
      </c>
      <c r="G2101" s="17" t="s">
        <v>873</v>
      </c>
      <c r="H2101" s="20" t="s">
        <v>2524</v>
      </c>
      <c r="I2101" s="24" t="s">
        <v>550</v>
      </c>
      <c r="J2101" s="24">
        <v>6.0</v>
      </c>
      <c r="K2101" s="24">
        <v>252.0</v>
      </c>
      <c r="L2101" s="24">
        <v>0.0</v>
      </c>
      <c r="M2101" s="24">
        <v>0.0</v>
      </c>
      <c r="N2101" s="24">
        <v>0.0</v>
      </c>
      <c r="O2101" s="24">
        <v>252.0</v>
      </c>
      <c r="P2101" s="24">
        <v>31.0</v>
      </c>
      <c r="Q2101" s="24">
        <v>31.0</v>
      </c>
      <c r="R2101" s="24">
        <v>31.0</v>
      </c>
      <c r="S2101" s="24">
        <v>31.0</v>
      </c>
      <c r="T2101" s="24">
        <v>31.0</v>
      </c>
      <c r="U2101" s="24">
        <v>31.0</v>
      </c>
    </row>
    <row r="2102" ht="23.25" customHeight="1">
      <c r="A2102" s="1"/>
      <c r="B2102" s="15" t="s">
        <v>2525</v>
      </c>
      <c r="C2102" s="1" t="s">
        <v>17</v>
      </c>
      <c r="D2102" s="1" t="s">
        <v>818</v>
      </c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</row>
    <row r="2103" ht="23.25" customHeight="1">
      <c r="A2103" s="20" t="str">
        <f>IF(COUNTIF('Icon Lookup'!C:C,B2103)&gt;0,LOOKUP(B2103,'Icon Lookup'!C:C,'Icon Lookup'!B:B),"")</f>
        <v/>
      </c>
      <c r="B2103" s="21" t="s">
        <v>1797</v>
      </c>
      <c r="C2103" s="20"/>
      <c r="D2103" s="20">
        <v>69.0</v>
      </c>
      <c r="E2103" s="20" t="str">
        <f>IMAGE("https://www.serebii.net/itemdex/sprites/leftovers.png")</f>
        <v/>
      </c>
      <c r="F2103" s="20" t="s">
        <v>98</v>
      </c>
      <c r="G2103" s="20" t="s">
        <v>859</v>
      </c>
      <c r="H2103" s="23" t="s">
        <v>2526</v>
      </c>
      <c r="I2103" s="20" t="s">
        <v>211</v>
      </c>
      <c r="J2103" s="20">
        <v>252.0</v>
      </c>
      <c r="K2103" s="20">
        <v>0.0</v>
      </c>
      <c r="L2103" s="20">
        <v>252.0</v>
      </c>
      <c r="M2103" s="20">
        <v>0.0</v>
      </c>
      <c r="N2103" s="20">
        <v>0.0</v>
      </c>
      <c r="O2103" s="20">
        <v>6.0</v>
      </c>
      <c r="P2103" s="20">
        <v>31.0</v>
      </c>
      <c r="Q2103" s="20">
        <v>31.0</v>
      </c>
      <c r="R2103" s="20">
        <v>31.0</v>
      </c>
      <c r="S2103" s="20">
        <v>31.0</v>
      </c>
      <c r="T2103" s="20">
        <v>31.0</v>
      </c>
      <c r="U2103" s="20">
        <v>31.0</v>
      </c>
    </row>
    <row r="2104" ht="23.25" customHeight="1">
      <c r="A2104" s="17" t="str">
        <f>IF(COUNTIF('Icon Lookup'!C:C,B2104)&gt;0,LOOKUP(B2104,'Icon Lookup'!C:C,'Icon Lookup'!B:B),"")</f>
        <v/>
      </c>
      <c r="B2104" s="18" t="s">
        <v>756</v>
      </c>
      <c r="C2104" s="17"/>
      <c r="D2104" s="17">
        <v>69.0</v>
      </c>
      <c r="E2104" s="17" t="str">
        <f>IMAGE("https://www.serebii.net/itemdex/sprites/lifeorb.png")</f>
        <v/>
      </c>
      <c r="F2104" s="17" t="s">
        <v>872</v>
      </c>
      <c r="G2104" s="17" t="s">
        <v>873</v>
      </c>
      <c r="H2104" s="20" t="s">
        <v>2527</v>
      </c>
      <c r="I2104" s="17" t="s">
        <v>550</v>
      </c>
      <c r="J2104" s="17">
        <v>76.0</v>
      </c>
      <c r="K2104" s="17">
        <v>252.0</v>
      </c>
      <c r="L2104" s="17">
        <v>0.0</v>
      </c>
      <c r="M2104" s="17">
        <v>0.0</v>
      </c>
      <c r="N2104" s="17">
        <v>180.0</v>
      </c>
      <c r="O2104" s="17">
        <v>0.0</v>
      </c>
      <c r="P2104" s="17">
        <v>31.0</v>
      </c>
      <c r="Q2104" s="17">
        <v>31.0</v>
      </c>
      <c r="R2104" s="17">
        <v>31.0</v>
      </c>
      <c r="S2104" s="17">
        <v>31.0</v>
      </c>
      <c r="T2104" s="17">
        <v>31.0</v>
      </c>
      <c r="U2104" s="17">
        <v>31.0</v>
      </c>
    </row>
    <row r="2105" ht="23.25" customHeight="1">
      <c r="A2105" s="20" t="str">
        <f>IF(COUNTIF('Icon Lookup'!C:C,B2105)&gt;0,LOOKUP(B2105,'Icon Lookup'!C:C,'Icon Lookup'!B:B),"")</f>
        <v/>
      </c>
      <c r="B2105" s="21" t="s">
        <v>2528</v>
      </c>
      <c r="C2105" s="20"/>
      <c r="D2105" s="20">
        <v>70.0</v>
      </c>
      <c r="E2105" s="20" t="str">
        <f>IMAGE("https://www.serebii.net/itemdex/sprites/focussash.png")</f>
        <v/>
      </c>
      <c r="F2105" s="20" t="s">
        <v>2529</v>
      </c>
      <c r="G2105" s="20" t="s">
        <v>881</v>
      </c>
      <c r="H2105" s="23" t="s">
        <v>2530</v>
      </c>
      <c r="I2105" s="20" t="s">
        <v>905</v>
      </c>
      <c r="J2105" s="20">
        <v>248.0</v>
      </c>
      <c r="K2105" s="20">
        <v>0.0</v>
      </c>
      <c r="L2105" s="20">
        <v>0.0</v>
      </c>
      <c r="M2105" s="20">
        <v>252.0</v>
      </c>
      <c r="N2105" s="20">
        <v>8.0</v>
      </c>
      <c r="O2105" s="20">
        <v>0.0</v>
      </c>
      <c r="P2105" s="20">
        <v>31.0</v>
      </c>
      <c r="Q2105" s="20">
        <v>31.0</v>
      </c>
      <c r="R2105" s="20">
        <v>31.0</v>
      </c>
      <c r="S2105" s="20">
        <v>31.0</v>
      </c>
      <c r="T2105" s="20">
        <v>31.0</v>
      </c>
      <c r="U2105" s="20">
        <v>0.0</v>
      </c>
    </row>
    <row r="2106" ht="23.25" customHeight="1">
      <c r="A2106" s="17" t="str">
        <f>IF(COUNTIF('Icon Lookup'!C:C,B2106)&gt;0,LOOKUP(B2106,'Icon Lookup'!C:C,'Icon Lookup'!B:B),"")</f>
        <v/>
      </c>
      <c r="B2106" s="18" t="s">
        <v>737</v>
      </c>
      <c r="C2106" s="17"/>
      <c r="D2106" s="17">
        <v>70.0</v>
      </c>
      <c r="E2106" s="17" t="str">
        <f>IMAGE("https://www.serebii.net/itemdex/sprites/expertbelt.png")</f>
        <v/>
      </c>
      <c r="F2106" s="17" t="s">
        <v>374</v>
      </c>
      <c r="G2106" s="17" t="s">
        <v>907</v>
      </c>
      <c r="H2106" s="20" t="s">
        <v>2531</v>
      </c>
      <c r="I2106" s="17" t="s">
        <v>612</v>
      </c>
      <c r="J2106" s="17">
        <v>244.0</v>
      </c>
      <c r="K2106" s="17">
        <v>0.0</v>
      </c>
      <c r="L2106" s="17">
        <v>0.0</v>
      </c>
      <c r="M2106" s="17">
        <v>252.0</v>
      </c>
      <c r="N2106" s="17">
        <v>12.0</v>
      </c>
      <c r="O2106" s="17">
        <v>0.0</v>
      </c>
      <c r="P2106" s="17">
        <v>31.0</v>
      </c>
      <c r="Q2106" s="17">
        <v>31.0</v>
      </c>
      <c r="R2106" s="17">
        <v>31.0</v>
      </c>
      <c r="S2106" s="17">
        <v>31.0</v>
      </c>
      <c r="T2106" s="17">
        <v>31.0</v>
      </c>
      <c r="U2106" s="17">
        <v>31.0</v>
      </c>
    </row>
    <row r="2107" ht="23.25" customHeight="1">
      <c r="A2107" s="20" t="str">
        <f>IF(COUNTIF('Icon Lookup'!C:C,B2107)&gt;0,LOOKUP(B2107,'Icon Lookup'!C:C,'Icon Lookup'!B:B),"")</f>
        <v/>
      </c>
      <c r="B2107" s="21" t="s">
        <v>2532</v>
      </c>
      <c r="C2107" s="20"/>
      <c r="D2107" s="20">
        <v>71.0</v>
      </c>
      <c r="E2107" s="20" t="str">
        <f>IMAGE("https://www.serebii.net/itemdex/sprites/choicescarf.png")</f>
        <v/>
      </c>
      <c r="F2107" s="20" t="s">
        <v>87</v>
      </c>
      <c r="G2107" s="20" t="s">
        <v>2472</v>
      </c>
      <c r="H2107" s="23" t="s">
        <v>2464</v>
      </c>
      <c r="I2107" s="20" t="s">
        <v>22</v>
      </c>
      <c r="J2107" s="20">
        <v>6.0</v>
      </c>
      <c r="K2107" s="20">
        <v>252.0</v>
      </c>
      <c r="L2107" s="20">
        <v>0.0</v>
      </c>
      <c r="M2107" s="20">
        <v>0.0</v>
      </c>
      <c r="N2107" s="20">
        <v>0.0</v>
      </c>
      <c r="O2107" s="20">
        <v>252.0</v>
      </c>
      <c r="P2107" s="20">
        <v>31.0</v>
      </c>
      <c r="Q2107" s="20">
        <v>31.0</v>
      </c>
      <c r="R2107" s="20">
        <v>31.0</v>
      </c>
      <c r="S2107" s="20">
        <v>31.0</v>
      </c>
      <c r="T2107" s="20">
        <v>31.0</v>
      </c>
      <c r="U2107" s="20">
        <v>31.0</v>
      </c>
    </row>
    <row r="2108" ht="23.25" customHeight="1">
      <c r="A2108" s="24" t="str">
        <f>IF(COUNTIF('Icon Lookup'!C:C,B2108)&gt;0,LOOKUP(B2108,'Icon Lookup'!C:C,'Icon Lookup'!B:B),"")</f>
        <v/>
      </c>
      <c r="B2108" s="25" t="s">
        <v>823</v>
      </c>
      <c r="C2108" s="24" t="s">
        <v>804</v>
      </c>
      <c r="D2108" s="24">
        <v>72.0</v>
      </c>
      <c r="E2108" s="24" t="str">
        <f>IMAGE("https://www.serebii.net/itemdex/sprites/lumberry.png")</f>
        <v/>
      </c>
      <c r="F2108" s="24" t="s">
        <v>98</v>
      </c>
      <c r="G2108" s="17" t="s">
        <v>2533</v>
      </c>
      <c r="H2108" s="20" t="s">
        <v>2534</v>
      </c>
      <c r="I2108" s="24" t="s">
        <v>822</v>
      </c>
      <c r="J2108" s="24">
        <v>252.0</v>
      </c>
      <c r="K2108" s="24">
        <v>0.0</v>
      </c>
      <c r="L2108" s="24">
        <v>16.0</v>
      </c>
      <c r="M2108" s="24">
        <v>0.0</v>
      </c>
      <c r="N2108" s="24">
        <v>240.0</v>
      </c>
      <c r="O2108" s="24">
        <v>0.0</v>
      </c>
      <c r="P2108" s="24">
        <v>31.0</v>
      </c>
      <c r="Q2108" s="24">
        <v>31.0</v>
      </c>
      <c r="R2108" s="24">
        <v>31.0</v>
      </c>
      <c r="S2108" s="24">
        <v>31.0</v>
      </c>
      <c r="T2108" s="24">
        <v>31.0</v>
      </c>
      <c r="U2108" s="24">
        <v>31.0</v>
      </c>
    </row>
    <row r="2109" ht="23.25" customHeight="1">
      <c r="A2109" s="1"/>
      <c r="B2109" s="15" t="s">
        <v>2535</v>
      </c>
      <c r="C2109" s="1" t="s">
        <v>17</v>
      </c>
      <c r="D2109" s="1" t="s">
        <v>1144</v>
      </c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</row>
    <row r="2110" ht="23.25" customHeight="1">
      <c r="A2110" s="20" t="str">
        <f>IF(COUNTIF('Icon Lookup'!C:C,B2110)&gt;0,LOOKUP(B2110,'Icon Lookup'!C:C,'Icon Lookup'!B:B),"")</f>
        <v/>
      </c>
      <c r="B2110" s="21" t="s">
        <v>410</v>
      </c>
      <c r="C2110" s="20"/>
      <c r="D2110" s="20">
        <v>70.0</v>
      </c>
      <c r="E2110" s="20" t="str">
        <f>IMAGE("https://www.serebii.net/itemdex/sprites/damprock.png")</f>
        <v/>
      </c>
      <c r="F2110" s="20" t="s">
        <v>411</v>
      </c>
      <c r="G2110" s="20" t="s">
        <v>1114</v>
      </c>
      <c r="H2110" s="23" t="s">
        <v>2536</v>
      </c>
      <c r="I2110" s="20" t="s">
        <v>612</v>
      </c>
      <c r="J2110" s="20">
        <v>220.0</v>
      </c>
      <c r="K2110" s="20">
        <v>0.0</v>
      </c>
      <c r="L2110" s="20">
        <v>0.0</v>
      </c>
      <c r="M2110" s="20">
        <v>252.0</v>
      </c>
      <c r="N2110" s="20">
        <v>36.0</v>
      </c>
      <c r="O2110" s="20">
        <v>0.0</v>
      </c>
      <c r="P2110" s="20">
        <v>31.0</v>
      </c>
      <c r="Q2110" s="20">
        <v>31.0</v>
      </c>
      <c r="R2110" s="20">
        <v>31.0</v>
      </c>
      <c r="S2110" s="20">
        <v>31.0</v>
      </c>
      <c r="T2110" s="20">
        <v>31.0</v>
      </c>
      <c r="U2110" s="20">
        <v>31.0</v>
      </c>
    </row>
    <row r="2111" ht="23.25" customHeight="1">
      <c r="A2111" s="17" t="str">
        <f>IF(COUNTIF('Icon Lookup'!C:C,B2111)&gt;0,LOOKUP(B2111,'Icon Lookup'!C:C,'Icon Lookup'!B:B),"")</f>
        <v/>
      </c>
      <c r="B2111" s="18" t="s">
        <v>311</v>
      </c>
      <c r="C2111" s="17"/>
      <c r="D2111" s="17">
        <v>70.0</v>
      </c>
      <c r="E2111" s="17" t="str">
        <f>IMAGE("https://www.serebii.net/itemdex/sprites/choicescarf.png")</f>
        <v/>
      </c>
      <c r="F2111" s="17" t="s">
        <v>2537</v>
      </c>
      <c r="G2111" s="17" t="s">
        <v>2472</v>
      </c>
      <c r="H2111" s="20" t="s">
        <v>2538</v>
      </c>
      <c r="I2111" s="17" t="s">
        <v>52</v>
      </c>
      <c r="J2111" s="17">
        <v>6.0</v>
      </c>
      <c r="K2111" s="17">
        <v>0.0</v>
      </c>
      <c r="L2111" s="17">
        <v>0.0</v>
      </c>
      <c r="M2111" s="17">
        <v>252.0</v>
      </c>
      <c r="N2111" s="17">
        <v>0.0</v>
      </c>
      <c r="O2111" s="17">
        <v>252.0</v>
      </c>
      <c r="P2111" s="17">
        <v>31.0</v>
      </c>
      <c r="Q2111" s="17">
        <v>31.0</v>
      </c>
      <c r="R2111" s="17">
        <v>31.0</v>
      </c>
      <c r="S2111" s="17">
        <v>31.0</v>
      </c>
      <c r="T2111" s="17">
        <v>31.0</v>
      </c>
      <c r="U2111" s="17">
        <v>31.0</v>
      </c>
    </row>
    <row r="2112" ht="23.25" customHeight="1">
      <c r="A2112" s="20" t="str">
        <f>IF(COUNTIF('Icon Lookup'!C:C,B2112)&gt;0,LOOKUP(B2112,'Icon Lookup'!C:C,'Icon Lookup'!B:B),"")</f>
        <v/>
      </c>
      <c r="B2112" s="21" t="s">
        <v>1150</v>
      </c>
      <c r="C2112" s="20"/>
      <c r="D2112" s="20">
        <v>70.0</v>
      </c>
      <c r="E2112" s="20" t="str">
        <f>IMAGE("https://www.serebii.net/itemdex/sprites/focussash.png")</f>
        <v/>
      </c>
      <c r="F2112" s="20" t="s">
        <v>26</v>
      </c>
      <c r="G2112" s="20" t="s">
        <v>881</v>
      </c>
      <c r="H2112" s="23" t="s">
        <v>2539</v>
      </c>
      <c r="I2112" s="20" t="s">
        <v>550</v>
      </c>
      <c r="J2112" s="20">
        <v>6.0</v>
      </c>
      <c r="K2112" s="20">
        <v>252.0</v>
      </c>
      <c r="L2112" s="20">
        <v>0.0</v>
      </c>
      <c r="M2112" s="20">
        <v>0.0</v>
      </c>
      <c r="N2112" s="20">
        <v>0.0</v>
      </c>
      <c r="O2112" s="20">
        <v>252.0</v>
      </c>
      <c r="P2112" s="20">
        <v>31.0</v>
      </c>
      <c r="Q2112" s="20">
        <v>31.0</v>
      </c>
      <c r="R2112" s="20">
        <v>31.0</v>
      </c>
      <c r="S2112" s="20">
        <v>31.0</v>
      </c>
      <c r="T2112" s="20">
        <v>31.0</v>
      </c>
      <c r="U2112" s="20">
        <v>31.0</v>
      </c>
    </row>
    <row r="2113" ht="23.25" customHeight="1">
      <c r="A2113" s="17" t="str">
        <f>IF(COUNTIF('Icon Lookup'!C:C,B2113)&gt;0,LOOKUP(B2113,'Icon Lookup'!C:C,'Icon Lookup'!B:B),"")</f>
        <v/>
      </c>
      <c r="B2113" s="18" t="s">
        <v>1972</v>
      </c>
      <c r="C2113" s="17"/>
      <c r="D2113" s="17">
        <v>66.0</v>
      </c>
      <c r="E2113" s="17" t="str">
        <f>IMAGE("https://www.serebii.net/itemdex/sprites/expertbelt.png")</f>
        <v/>
      </c>
      <c r="F2113" s="17" t="s">
        <v>1970</v>
      </c>
      <c r="G2113" s="17" t="s">
        <v>907</v>
      </c>
      <c r="H2113" s="20" t="s">
        <v>2540</v>
      </c>
      <c r="I2113" s="17" t="s">
        <v>612</v>
      </c>
      <c r="J2113" s="17">
        <v>252.0</v>
      </c>
      <c r="K2113" s="17">
        <v>0.0</v>
      </c>
      <c r="L2113" s="17">
        <v>0.0</v>
      </c>
      <c r="M2113" s="17">
        <v>252.0</v>
      </c>
      <c r="N2113" s="17">
        <v>0.0</v>
      </c>
      <c r="O2113" s="17">
        <v>6.0</v>
      </c>
      <c r="P2113" s="17">
        <v>31.0</v>
      </c>
      <c r="Q2113" s="17">
        <v>31.0</v>
      </c>
      <c r="R2113" s="17">
        <v>31.0</v>
      </c>
      <c r="S2113" s="17">
        <v>31.0</v>
      </c>
      <c r="T2113" s="17">
        <v>31.0</v>
      </c>
      <c r="U2113" s="17">
        <v>31.0</v>
      </c>
    </row>
    <row r="2114" ht="23.25" customHeight="1">
      <c r="A2114" s="20" t="str">
        <f>IF(COUNTIF('Icon Lookup'!C:C,B2114)&gt;0,LOOKUP(B2114,'Icon Lookup'!C:C,'Icon Lookup'!B:B),"")</f>
        <v/>
      </c>
      <c r="B2114" s="21" t="s">
        <v>2541</v>
      </c>
      <c r="C2114" s="20"/>
      <c r="D2114" s="20">
        <v>68.0</v>
      </c>
      <c r="E2114" s="20" t="str">
        <f>IMAGE("https://www.serebii.net/itemdex/sprites/toxicorb.png")</f>
        <v/>
      </c>
      <c r="F2114" s="20" t="s">
        <v>1879</v>
      </c>
      <c r="G2114" s="20" t="s">
        <v>2476</v>
      </c>
      <c r="H2114" s="23" t="s">
        <v>2542</v>
      </c>
      <c r="I2114" s="20" t="s">
        <v>612</v>
      </c>
      <c r="J2114" s="20">
        <v>6.0</v>
      </c>
      <c r="K2114" s="20">
        <v>0.0</v>
      </c>
      <c r="L2114" s="20">
        <v>0.0</v>
      </c>
      <c r="M2114" s="20">
        <v>252.0</v>
      </c>
      <c r="N2114" s="20">
        <v>0.0</v>
      </c>
      <c r="O2114" s="20">
        <v>252.0</v>
      </c>
      <c r="P2114" s="20">
        <v>31.0</v>
      </c>
      <c r="Q2114" s="20">
        <v>31.0</v>
      </c>
      <c r="R2114" s="20">
        <v>31.0</v>
      </c>
      <c r="S2114" s="20">
        <v>31.0</v>
      </c>
      <c r="T2114" s="20">
        <v>31.0</v>
      </c>
      <c r="U2114" s="20">
        <v>31.0</v>
      </c>
    </row>
    <row r="2115" ht="23.25" customHeight="1">
      <c r="A2115" s="24" t="str">
        <f>IF(COUNTIF('Icon Lookup'!C:C,B2115)&gt;0,LOOKUP(B2115,'Icon Lookup'!C:C,'Icon Lookup'!B:B),"")</f>
        <v/>
      </c>
      <c r="B2115" s="25" t="s">
        <v>2543</v>
      </c>
      <c r="C2115" s="24" t="s">
        <v>804</v>
      </c>
      <c r="D2115" s="24">
        <v>75.0</v>
      </c>
      <c r="E2115" s="24" t="str">
        <f>IMAGE("https://www.serebii.net/itemdex/sprites/lifeorb.png")</f>
        <v/>
      </c>
      <c r="F2115" s="24" t="s">
        <v>2544</v>
      </c>
      <c r="G2115" s="17" t="s">
        <v>873</v>
      </c>
      <c r="H2115" s="20" t="s">
        <v>2545</v>
      </c>
      <c r="I2115" s="24" t="s">
        <v>2475</v>
      </c>
      <c r="J2115" s="24">
        <v>6.0</v>
      </c>
      <c r="K2115" s="24">
        <v>252.0</v>
      </c>
      <c r="L2115" s="24">
        <v>0.0</v>
      </c>
      <c r="M2115" s="24">
        <v>252.0</v>
      </c>
      <c r="N2115" s="24">
        <v>0.0</v>
      </c>
      <c r="O2115" s="24">
        <v>0.0</v>
      </c>
      <c r="P2115" s="24">
        <v>31.0</v>
      </c>
      <c r="Q2115" s="24">
        <v>31.0</v>
      </c>
      <c r="R2115" s="24">
        <v>31.0</v>
      </c>
      <c r="S2115" s="24">
        <v>31.0</v>
      </c>
      <c r="T2115" s="24">
        <v>31.0</v>
      </c>
      <c r="U2115" s="24">
        <v>31.0</v>
      </c>
    </row>
    <row r="2116" ht="23.25" customHeight="1">
      <c r="A2116" s="1"/>
      <c r="B2116" s="15" t="s">
        <v>2546</v>
      </c>
      <c r="C2116" s="1" t="s">
        <v>17</v>
      </c>
      <c r="D2116" s="1" t="s">
        <v>2029</v>
      </c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</row>
    <row r="2117" ht="23.25" customHeight="1">
      <c r="A2117" s="20" t="str">
        <f>IF(COUNTIF('Icon Lookup'!C:C,B2117)&gt;0,LOOKUP(B2117,'Icon Lookup'!C:C,'Icon Lookup'!B:B),"")</f>
        <v/>
      </c>
      <c r="B2117" s="21" t="s">
        <v>257</v>
      </c>
      <c r="C2117" s="20"/>
      <c r="D2117" s="20">
        <v>58.0</v>
      </c>
      <c r="E2117" s="20" t="str">
        <f>IMAGE("https://www.serebii.net/itemdex/sprites/focussash.png")</f>
        <v/>
      </c>
      <c r="F2117" s="20" t="s">
        <v>2547</v>
      </c>
      <c r="G2117" s="20" t="s">
        <v>881</v>
      </c>
      <c r="H2117" s="23" t="s">
        <v>2548</v>
      </c>
      <c r="I2117" s="20" t="s">
        <v>52</v>
      </c>
      <c r="J2117" s="20">
        <v>6.0</v>
      </c>
      <c r="K2117" s="20">
        <v>0.0</v>
      </c>
      <c r="L2117" s="20">
        <v>0.0</v>
      </c>
      <c r="M2117" s="20">
        <v>252.0</v>
      </c>
      <c r="N2117" s="20">
        <v>0.0</v>
      </c>
      <c r="O2117" s="20">
        <v>252.0</v>
      </c>
      <c r="P2117" s="20">
        <v>31.0</v>
      </c>
      <c r="Q2117" s="20">
        <v>31.0</v>
      </c>
      <c r="R2117" s="20">
        <v>31.0</v>
      </c>
      <c r="S2117" s="20">
        <v>31.0</v>
      </c>
      <c r="T2117" s="20">
        <v>31.0</v>
      </c>
      <c r="U2117" s="20">
        <v>31.0</v>
      </c>
    </row>
    <row r="2118" ht="23.25" customHeight="1">
      <c r="A2118" s="17" t="str">
        <f>IF(COUNTIF('Icon Lookup'!C:C,B2118)&gt;0,LOOKUP(B2118,'Icon Lookup'!C:C,'Icon Lookup'!B:B),"")</f>
        <v/>
      </c>
      <c r="B2118" s="18" t="s">
        <v>912</v>
      </c>
      <c r="C2118" s="17"/>
      <c r="D2118" s="17">
        <v>59.0</v>
      </c>
      <c r="E2118" s="17" t="str">
        <f>IMAGE("https://www.serebii.net/itemdex/sprites/flameorb.png")</f>
        <v/>
      </c>
      <c r="F2118" s="17" t="s">
        <v>913</v>
      </c>
      <c r="G2118" s="17" t="s">
        <v>852</v>
      </c>
      <c r="H2118" s="20" t="s">
        <v>2549</v>
      </c>
      <c r="I2118" s="17" t="s">
        <v>612</v>
      </c>
      <c r="J2118" s="17">
        <v>252.0</v>
      </c>
      <c r="K2118" s="17">
        <v>0.0</v>
      </c>
      <c r="L2118" s="17">
        <v>128.0</v>
      </c>
      <c r="M2118" s="17">
        <v>0.0</v>
      </c>
      <c r="N2118" s="17">
        <v>128.0</v>
      </c>
      <c r="O2118" s="17">
        <v>6.0</v>
      </c>
      <c r="P2118" s="17">
        <v>31.0</v>
      </c>
      <c r="Q2118" s="17">
        <v>31.0</v>
      </c>
      <c r="R2118" s="17">
        <v>31.0</v>
      </c>
      <c r="S2118" s="17">
        <v>31.0</v>
      </c>
      <c r="T2118" s="17">
        <v>31.0</v>
      </c>
      <c r="U2118" s="17">
        <v>31.0</v>
      </c>
    </row>
    <row r="2119" ht="23.25" customHeight="1">
      <c r="A2119" s="20" t="str">
        <f>IF(COUNTIF('Icon Lookup'!C:C,B2119)&gt;0,LOOKUP(B2119,'Icon Lookup'!C:C,'Icon Lookup'!B:B),"")</f>
        <v/>
      </c>
      <c r="B2119" s="21" t="s">
        <v>2550</v>
      </c>
      <c r="C2119" s="20"/>
      <c r="D2119" s="20">
        <v>63.0</v>
      </c>
      <c r="E2119" s="20" t="str">
        <f>IMAGE("https://www.serebii.net/itemdex/sprites/lifeorb.png")</f>
        <v/>
      </c>
      <c r="F2119" s="20" t="s">
        <v>2501</v>
      </c>
      <c r="G2119" s="20" t="s">
        <v>873</v>
      </c>
      <c r="H2119" s="23" t="s">
        <v>2551</v>
      </c>
      <c r="I2119" s="20" t="s">
        <v>550</v>
      </c>
      <c r="J2119" s="20">
        <v>6.0</v>
      </c>
      <c r="K2119" s="20">
        <v>252.0</v>
      </c>
      <c r="L2119" s="20">
        <v>0.0</v>
      </c>
      <c r="M2119" s="20">
        <v>0.0</v>
      </c>
      <c r="N2119" s="20">
        <v>0.0</v>
      </c>
      <c r="O2119" s="20">
        <v>252.0</v>
      </c>
      <c r="P2119" s="20">
        <v>31.0</v>
      </c>
      <c r="Q2119" s="20">
        <v>31.0</v>
      </c>
      <c r="R2119" s="20">
        <v>31.0</v>
      </c>
      <c r="S2119" s="20">
        <v>31.0</v>
      </c>
      <c r="T2119" s="20">
        <v>31.0</v>
      </c>
      <c r="U2119" s="20">
        <v>31.0</v>
      </c>
    </row>
    <row r="2120" ht="23.25" customHeight="1">
      <c r="A2120" s="17" t="str">
        <f>IF(COUNTIF('Icon Lookup'!C:C,B2120)&gt;0,LOOKUP(B2120,'Icon Lookup'!C:C,'Icon Lookup'!B:B),"")</f>
        <v/>
      </c>
      <c r="B2120" s="18" t="s">
        <v>2552</v>
      </c>
      <c r="C2120" s="17"/>
      <c r="D2120" s="17">
        <v>59.0</v>
      </c>
      <c r="E2120" s="17" t="str">
        <f>IMAGE("https://www.serebii.net/itemdex/sprites/expertbelt.png")</f>
        <v/>
      </c>
      <c r="F2120" s="17" t="s">
        <v>1802</v>
      </c>
      <c r="G2120" s="17" t="s">
        <v>907</v>
      </c>
      <c r="H2120" s="20" t="s">
        <v>2553</v>
      </c>
      <c r="I2120" s="17" t="s">
        <v>612</v>
      </c>
      <c r="J2120" s="17">
        <v>6.0</v>
      </c>
      <c r="K2120" s="17">
        <v>0.0</v>
      </c>
      <c r="L2120" s="17">
        <v>0.0</v>
      </c>
      <c r="M2120" s="17">
        <v>252.0</v>
      </c>
      <c r="N2120" s="17">
        <v>0.0</v>
      </c>
      <c r="O2120" s="17">
        <v>252.0</v>
      </c>
      <c r="P2120" s="17">
        <v>31.0</v>
      </c>
      <c r="Q2120" s="17">
        <v>31.0</v>
      </c>
      <c r="R2120" s="17">
        <v>31.0</v>
      </c>
      <c r="S2120" s="17">
        <v>31.0</v>
      </c>
      <c r="T2120" s="17">
        <v>31.0</v>
      </c>
      <c r="U2120" s="17">
        <v>31.0</v>
      </c>
    </row>
    <row r="2121" ht="23.25" customHeight="1">
      <c r="A2121" s="20" t="str">
        <f>IF(COUNTIF('Icon Lookup'!C:C,B2121)&gt;0,LOOKUP(B2121,'Icon Lookup'!C:C,'Icon Lookup'!B:B),"")</f>
        <v/>
      </c>
      <c r="B2121" s="21" t="s">
        <v>728</v>
      </c>
      <c r="C2121" s="20"/>
      <c r="D2121" s="20">
        <v>60.0</v>
      </c>
      <c r="E2121" s="20" t="str">
        <f>IMAGE("https://www.serebii.net/itemdex/sprites/sitrusberry.png")</f>
        <v/>
      </c>
      <c r="F2121" s="20" t="s">
        <v>31</v>
      </c>
      <c r="G2121" s="20" t="s">
        <v>824</v>
      </c>
      <c r="H2121" s="23" t="s">
        <v>2554</v>
      </c>
      <c r="I2121" s="20" t="s">
        <v>52</v>
      </c>
      <c r="J2121" s="20">
        <v>6.0</v>
      </c>
      <c r="K2121" s="20">
        <v>0.0</v>
      </c>
      <c r="L2121" s="20">
        <v>0.0</v>
      </c>
      <c r="M2121" s="20">
        <v>252.0</v>
      </c>
      <c r="N2121" s="20">
        <v>0.0</v>
      </c>
      <c r="O2121" s="20">
        <v>252.0</v>
      </c>
      <c r="P2121" s="20">
        <v>31.0</v>
      </c>
      <c r="Q2121" s="20">
        <v>31.0</v>
      </c>
      <c r="R2121" s="20">
        <v>31.0</v>
      </c>
      <c r="S2121" s="20">
        <v>31.0</v>
      </c>
      <c r="T2121" s="20">
        <v>31.0</v>
      </c>
      <c r="U2121" s="20">
        <v>31.0</v>
      </c>
    </row>
    <row r="2122" ht="23.25" customHeight="1">
      <c r="A2122" s="24" t="str">
        <f>IF(COUNTIF('Icon Lookup'!C:C,B2122)&gt;0,LOOKUP(B2122,'Icon Lookup'!C:C,'Icon Lookup'!B:B),"")</f>
        <v/>
      </c>
      <c r="B2122" s="25" t="s">
        <v>730</v>
      </c>
      <c r="C2122" s="24" t="s">
        <v>804</v>
      </c>
      <c r="D2122" s="24">
        <v>64.0</v>
      </c>
      <c r="E2122" s="24" t="str">
        <f>IMAGE("https://www.serebii.net/itemdex/sprites/leftovers.png")</f>
        <v/>
      </c>
      <c r="F2122" s="24" t="s">
        <v>267</v>
      </c>
      <c r="G2122" s="17" t="s">
        <v>859</v>
      </c>
      <c r="H2122" s="20" t="s">
        <v>2555</v>
      </c>
      <c r="I2122" s="24" t="s">
        <v>822</v>
      </c>
      <c r="J2122" s="24">
        <v>252.0</v>
      </c>
      <c r="K2122" s="24">
        <v>252.0</v>
      </c>
      <c r="L2122" s="24">
        <v>0.0</v>
      </c>
      <c r="M2122" s="24">
        <v>0.0</v>
      </c>
      <c r="N2122" s="24">
        <v>6.0</v>
      </c>
      <c r="O2122" s="24">
        <v>0.0</v>
      </c>
      <c r="P2122" s="24">
        <v>31.0</v>
      </c>
      <c r="Q2122" s="24">
        <v>31.0</v>
      </c>
      <c r="R2122" s="24">
        <v>31.0</v>
      </c>
      <c r="S2122" s="24">
        <v>31.0</v>
      </c>
      <c r="T2122" s="24">
        <v>31.0</v>
      </c>
      <c r="U2122" s="24">
        <v>0.0</v>
      </c>
    </row>
    <row r="2123" ht="23.25" customHeight="1">
      <c r="A2123" s="1"/>
      <c r="B2123" s="15" t="s">
        <v>2556</v>
      </c>
      <c r="C2123" s="1" t="s">
        <v>17</v>
      </c>
      <c r="D2123" s="1" t="s">
        <v>2029</v>
      </c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</row>
    <row r="2124" ht="23.25" customHeight="1">
      <c r="A2124" s="20" t="str">
        <f>IF(COUNTIF('Icon Lookup'!C:C,B2124)&gt;0,LOOKUP(B2124,'Icon Lookup'!C:C,'Icon Lookup'!B:B),"")</f>
        <v/>
      </c>
      <c r="B2124" s="21" t="s">
        <v>257</v>
      </c>
      <c r="C2124" s="20"/>
      <c r="D2124" s="20">
        <v>58.0</v>
      </c>
      <c r="E2124" s="20" t="str">
        <f>IMAGE("https://www.serebii.net/itemdex/sprites/focussash.png")</f>
        <v/>
      </c>
      <c r="F2124" s="20" t="s">
        <v>2547</v>
      </c>
      <c r="G2124" s="20" t="s">
        <v>881</v>
      </c>
      <c r="H2124" s="23" t="s">
        <v>2548</v>
      </c>
      <c r="I2124" s="20" t="s">
        <v>52</v>
      </c>
      <c r="J2124" s="20">
        <v>6.0</v>
      </c>
      <c r="K2124" s="20">
        <v>0.0</v>
      </c>
      <c r="L2124" s="20">
        <v>0.0</v>
      </c>
      <c r="M2124" s="20">
        <v>252.0</v>
      </c>
      <c r="N2124" s="20">
        <v>0.0</v>
      </c>
      <c r="O2124" s="20">
        <v>252.0</v>
      </c>
      <c r="P2124" s="20">
        <v>31.0</v>
      </c>
      <c r="Q2124" s="20">
        <v>31.0</v>
      </c>
      <c r="R2124" s="20">
        <v>31.0</v>
      </c>
      <c r="S2124" s="20">
        <v>31.0</v>
      </c>
      <c r="T2124" s="20">
        <v>31.0</v>
      </c>
      <c r="U2124" s="20">
        <v>31.0</v>
      </c>
    </row>
    <row r="2125" ht="23.25" customHeight="1">
      <c r="A2125" s="17" t="str">
        <f>IF(COUNTIF('Icon Lookup'!C:C,B2125)&gt;0,LOOKUP(B2125,'Icon Lookup'!C:C,'Icon Lookup'!B:B),"")</f>
        <v/>
      </c>
      <c r="B2125" s="18" t="s">
        <v>2557</v>
      </c>
      <c r="C2125" s="17"/>
      <c r="D2125" s="17">
        <v>59.0</v>
      </c>
      <c r="E2125" s="17" t="str">
        <f>IMAGE("https://www.serebii.net/itemdex/sprites/lumberry.png")</f>
        <v/>
      </c>
      <c r="F2125" s="17" t="s">
        <v>2558</v>
      </c>
      <c r="G2125" s="17" t="s">
        <v>2533</v>
      </c>
      <c r="H2125" s="20" t="s">
        <v>2559</v>
      </c>
      <c r="I2125" s="17" t="s">
        <v>550</v>
      </c>
      <c r="J2125" s="17">
        <v>252.0</v>
      </c>
      <c r="K2125" s="17">
        <v>252.0</v>
      </c>
      <c r="L2125" s="17">
        <v>0.0</v>
      </c>
      <c r="M2125" s="17">
        <v>0.0</v>
      </c>
      <c r="N2125" s="17">
        <v>0.0</v>
      </c>
      <c r="O2125" s="17">
        <v>6.0</v>
      </c>
      <c r="P2125" s="17">
        <v>31.0</v>
      </c>
      <c r="Q2125" s="17">
        <v>31.0</v>
      </c>
      <c r="R2125" s="17">
        <v>31.0</v>
      </c>
      <c r="S2125" s="17">
        <v>31.0</v>
      </c>
      <c r="T2125" s="17">
        <v>31.0</v>
      </c>
      <c r="U2125" s="17">
        <v>31.0</v>
      </c>
    </row>
    <row r="2126" ht="23.25" customHeight="1">
      <c r="A2126" s="20" t="str">
        <f>IF(COUNTIF('Icon Lookup'!C:C,B2126)&gt;0,LOOKUP(B2126,'Icon Lookup'!C:C,'Icon Lookup'!B:B),"")</f>
        <v/>
      </c>
      <c r="B2126" s="21" t="s">
        <v>2550</v>
      </c>
      <c r="C2126" s="20"/>
      <c r="D2126" s="20">
        <v>63.0</v>
      </c>
      <c r="E2126" s="20" t="str">
        <f>IMAGE("https://www.serebii.net/itemdex/sprites/lifeorb.png")</f>
        <v/>
      </c>
      <c r="F2126" s="20" t="s">
        <v>2501</v>
      </c>
      <c r="G2126" s="20" t="s">
        <v>873</v>
      </c>
      <c r="H2126" s="23" t="s">
        <v>2551</v>
      </c>
      <c r="I2126" s="20" t="s">
        <v>550</v>
      </c>
      <c r="J2126" s="20">
        <v>6.0</v>
      </c>
      <c r="K2126" s="20">
        <v>252.0</v>
      </c>
      <c r="L2126" s="20">
        <v>0.0</v>
      </c>
      <c r="M2126" s="20">
        <v>0.0</v>
      </c>
      <c r="N2126" s="20">
        <v>0.0</v>
      </c>
      <c r="O2126" s="20">
        <v>252.0</v>
      </c>
      <c r="P2126" s="20">
        <v>31.0</v>
      </c>
      <c r="Q2126" s="20">
        <v>31.0</v>
      </c>
      <c r="R2126" s="20">
        <v>31.0</v>
      </c>
      <c r="S2126" s="20">
        <v>31.0</v>
      </c>
      <c r="T2126" s="20">
        <v>31.0</v>
      </c>
      <c r="U2126" s="20">
        <v>31.0</v>
      </c>
    </row>
    <row r="2127" ht="23.25" customHeight="1">
      <c r="A2127" s="17" t="str">
        <f>IF(COUNTIF('Icon Lookup'!C:C,B2127)&gt;0,LOOKUP(B2127,'Icon Lookup'!C:C,'Icon Lookup'!B:B),"")</f>
        <v/>
      </c>
      <c r="B2127" s="18" t="s">
        <v>912</v>
      </c>
      <c r="C2127" s="17"/>
      <c r="D2127" s="17">
        <v>59.0</v>
      </c>
      <c r="E2127" s="17" t="str">
        <f>IMAGE("https://www.serebii.net/itemdex/sprites/flameorb.png")</f>
        <v/>
      </c>
      <c r="F2127" s="17" t="s">
        <v>913</v>
      </c>
      <c r="G2127" s="17" t="s">
        <v>852</v>
      </c>
      <c r="H2127" s="20" t="s">
        <v>2549</v>
      </c>
      <c r="I2127" s="17" t="s">
        <v>612</v>
      </c>
      <c r="J2127" s="17">
        <v>252.0</v>
      </c>
      <c r="K2127" s="17">
        <v>0.0</v>
      </c>
      <c r="L2127" s="17">
        <v>128.0</v>
      </c>
      <c r="M2127" s="17">
        <v>0.0</v>
      </c>
      <c r="N2127" s="17">
        <v>128.0</v>
      </c>
      <c r="O2127" s="17">
        <v>6.0</v>
      </c>
      <c r="P2127" s="17">
        <v>31.0</v>
      </c>
      <c r="Q2127" s="17">
        <v>31.0</v>
      </c>
      <c r="R2127" s="17">
        <v>31.0</v>
      </c>
      <c r="S2127" s="17">
        <v>31.0</v>
      </c>
      <c r="T2127" s="17">
        <v>31.0</v>
      </c>
      <c r="U2127" s="17">
        <v>31.0</v>
      </c>
    </row>
    <row r="2128" ht="23.25" customHeight="1">
      <c r="A2128" s="20" t="str">
        <f>IF(COUNTIF('Icon Lookup'!C:C,B2128)&gt;0,LOOKUP(B2128,'Icon Lookup'!C:C,'Icon Lookup'!B:B),"")</f>
        <v/>
      </c>
      <c r="B2128" s="21" t="s">
        <v>728</v>
      </c>
      <c r="C2128" s="20"/>
      <c r="D2128" s="20">
        <v>60.0</v>
      </c>
      <c r="E2128" s="20" t="str">
        <f>IMAGE("https://www.serebii.net/itemdex/sprites/sitrusberry.png")</f>
        <v/>
      </c>
      <c r="F2128" s="20" t="s">
        <v>31</v>
      </c>
      <c r="G2128" s="20" t="s">
        <v>824</v>
      </c>
      <c r="H2128" s="23" t="s">
        <v>2554</v>
      </c>
      <c r="I2128" s="20" t="s">
        <v>52</v>
      </c>
      <c r="J2128" s="20">
        <v>6.0</v>
      </c>
      <c r="K2128" s="20">
        <v>0.0</v>
      </c>
      <c r="L2128" s="20">
        <v>0.0</v>
      </c>
      <c r="M2128" s="20">
        <v>252.0</v>
      </c>
      <c r="N2128" s="20">
        <v>0.0</v>
      </c>
      <c r="O2128" s="20">
        <v>252.0</v>
      </c>
      <c r="P2128" s="20">
        <v>31.0</v>
      </c>
      <c r="Q2128" s="20">
        <v>31.0</v>
      </c>
      <c r="R2128" s="20">
        <v>31.0</v>
      </c>
      <c r="S2128" s="20">
        <v>31.0</v>
      </c>
      <c r="T2128" s="20">
        <v>31.0</v>
      </c>
      <c r="U2128" s="20">
        <v>31.0</v>
      </c>
    </row>
    <row r="2129" ht="23.25" customHeight="1">
      <c r="A2129" s="24" t="str">
        <f>IF(COUNTIF('Icon Lookup'!C:C,B2129)&gt;0,LOOKUP(B2129,'Icon Lookup'!C:C,'Icon Lookup'!B:B),"")</f>
        <v/>
      </c>
      <c r="B2129" s="25" t="s">
        <v>879</v>
      </c>
      <c r="C2129" s="24" t="s">
        <v>804</v>
      </c>
      <c r="D2129" s="24">
        <v>64.0</v>
      </c>
      <c r="E2129" s="24" t="str">
        <f>IMAGE("https://www.serebii.net/itemdex/sprites/whiteherb.png")</f>
        <v/>
      </c>
      <c r="F2129" s="24" t="s">
        <v>145</v>
      </c>
      <c r="G2129" s="17" t="s">
        <v>2497</v>
      </c>
      <c r="H2129" s="20" t="s">
        <v>2560</v>
      </c>
      <c r="I2129" s="24" t="s">
        <v>22</v>
      </c>
      <c r="J2129" s="24">
        <v>6.0</v>
      </c>
      <c r="K2129" s="24">
        <v>252.0</v>
      </c>
      <c r="L2129" s="24">
        <v>0.0</v>
      </c>
      <c r="M2129" s="24">
        <v>0.0</v>
      </c>
      <c r="N2129" s="24">
        <v>0.0</v>
      </c>
      <c r="O2129" s="24">
        <v>252.0</v>
      </c>
      <c r="P2129" s="24">
        <v>31.0</v>
      </c>
      <c r="Q2129" s="24">
        <v>31.0</v>
      </c>
      <c r="R2129" s="24">
        <v>31.0</v>
      </c>
      <c r="S2129" s="24">
        <v>31.0</v>
      </c>
      <c r="T2129" s="24">
        <v>31.0</v>
      </c>
      <c r="U2129" s="24">
        <v>31.0</v>
      </c>
    </row>
    <row r="2130" ht="23.25" customHeight="1">
      <c r="A2130" s="1"/>
      <c r="B2130" s="15" t="s">
        <v>2561</v>
      </c>
      <c r="C2130" s="1" t="s">
        <v>17</v>
      </c>
      <c r="D2130" s="1" t="s">
        <v>2029</v>
      </c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</row>
    <row r="2131" ht="23.25" customHeight="1">
      <c r="A2131" s="20" t="str">
        <f>IF(COUNTIF('Icon Lookup'!C:C,B2131)&gt;0,LOOKUP(B2131,'Icon Lookup'!C:C,'Icon Lookup'!B:B),"")</f>
        <v/>
      </c>
      <c r="B2131" s="21" t="s">
        <v>257</v>
      </c>
      <c r="C2131" s="20"/>
      <c r="D2131" s="20">
        <v>58.0</v>
      </c>
      <c r="E2131" s="20" t="str">
        <f>IMAGE("https://www.serebii.net/itemdex/sprites/focussash.png")</f>
        <v/>
      </c>
      <c r="F2131" s="20" t="s">
        <v>2547</v>
      </c>
      <c r="G2131" s="20" t="s">
        <v>881</v>
      </c>
      <c r="H2131" s="23" t="s">
        <v>2548</v>
      </c>
      <c r="I2131" s="20" t="s">
        <v>52</v>
      </c>
      <c r="J2131" s="20">
        <v>6.0</v>
      </c>
      <c r="K2131" s="20">
        <v>0.0</v>
      </c>
      <c r="L2131" s="20">
        <v>0.0</v>
      </c>
      <c r="M2131" s="20">
        <v>252.0</v>
      </c>
      <c r="N2131" s="20">
        <v>0.0</v>
      </c>
      <c r="O2131" s="20">
        <v>252.0</v>
      </c>
      <c r="P2131" s="20">
        <v>31.0</v>
      </c>
      <c r="Q2131" s="20">
        <v>31.0</v>
      </c>
      <c r="R2131" s="20">
        <v>31.0</v>
      </c>
      <c r="S2131" s="20">
        <v>31.0</v>
      </c>
      <c r="T2131" s="20">
        <v>31.0</v>
      </c>
      <c r="U2131" s="20">
        <v>31.0</v>
      </c>
    </row>
    <row r="2132" ht="23.25" customHeight="1">
      <c r="A2132" s="17" t="str">
        <f>IF(COUNTIF('Icon Lookup'!C:C,B2132)&gt;0,LOOKUP(B2132,'Icon Lookup'!C:C,'Icon Lookup'!B:B),"")</f>
        <v/>
      </c>
      <c r="B2132" s="18" t="s">
        <v>2552</v>
      </c>
      <c r="C2132" s="17"/>
      <c r="D2132" s="17">
        <v>59.0</v>
      </c>
      <c r="E2132" s="17" t="str">
        <f>IMAGE("https://www.serebii.net/itemdex/sprites/expertbelt.png")</f>
        <v/>
      </c>
      <c r="F2132" s="17" t="s">
        <v>1802</v>
      </c>
      <c r="G2132" s="17" t="s">
        <v>907</v>
      </c>
      <c r="H2132" s="20" t="s">
        <v>2553</v>
      </c>
      <c r="I2132" s="17" t="s">
        <v>612</v>
      </c>
      <c r="J2132" s="17">
        <v>6.0</v>
      </c>
      <c r="K2132" s="17">
        <v>0.0</v>
      </c>
      <c r="L2132" s="17">
        <v>0.0</v>
      </c>
      <c r="M2132" s="17">
        <v>252.0</v>
      </c>
      <c r="N2132" s="17">
        <v>0.0</v>
      </c>
      <c r="O2132" s="17">
        <v>252.0</v>
      </c>
      <c r="P2132" s="17">
        <v>31.0</v>
      </c>
      <c r="Q2132" s="17">
        <v>31.0</v>
      </c>
      <c r="R2132" s="17">
        <v>31.0</v>
      </c>
      <c r="S2132" s="17">
        <v>31.0</v>
      </c>
      <c r="T2132" s="17">
        <v>31.0</v>
      </c>
      <c r="U2132" s="17">
        <v>31.0</v>
      </c>
    </row>
    <row r="2133" ht="23.25" customHeight="1">
      <c r="A2133" s="20" t="str">
        <f>IF(COUNTIF('Icon Lookup'!C:C,B2133)&gt;0,LOOKUP(B2133,'Icon Lookup'!C:C,'Icon Lookup'!B:B),"")</f>
        <v/>
      </c>
      <c r="B2133" s="21" t="s">
        <v>2550</v>
      </c>
      <c r="C2133" s="20"/>
      <c r="D2133" s="20">
        <v>63.0</v>
      </c>
      <c r="E2133" s="20" t="str">
        <f>IMAGE("https://www.serebii.net/itemdex/sprites/lifeorb.png")</f>
        <v/>
      </c>
      <c r="F2133" s="20" t="s">
        <v>2501</v>
      </c>
      <c r="G2133" s="20" t="s">
        <v>873</v>
      </c>
      <c r="H2133" s="23" t="s">
        <v>2551</v>
      </c>
      <c r="I2133" s="20" t="s">
        <v>550</v>
      </c>
      <c r="J2133" s="20">
        <v>6.0</v>
      </c>
      <c r="K2133" s="20">
        <v>252.0</v>
      </c>
      <c r="L2133" s="20">
        <v>0.0</v>
      </c>
      <c r="M2133" s="20">
        <v>0.0</v>
      </c>
      <c r="N2133" s="20">
        <v>0.0</v>
      </c>
      <c r="O2133" s="20">
        <v>252.0</v>
      </c>
      <c r="P2133" s="20">
        <v>31.0</v>
      </c>
      <c r="Q2133" s="20">
        <v>31.0</v>
      </c>
      <c r="R2133" s="20">
        <v>31.0</v>
      </c>
      <c r="S2133" s="20">
        <v>31.0</v>
      </c>
      <c r="T2133" s="20">
        <v>31.0</v>
      </c>
      <c r="U2133" s="20">
        <v>31.0</v>
      </c>
    </row>
    <row r="2134" ht="23.25" customHeight="1">
      <c r="A2134" s="17" t="str">
        <f>IF(COUNTIF('Icon Lookup'!C:C,B2134)&gt;0,LOOKUP(B2134,'Icon Lookup'!C:C,'Icon Lookup'!B:B),"")</f>
        <v/>
      </c>
      <c r="B2134" s="18" t="s">
        <v>2557</v>
      </c>
      <c r="C2134" s="17"/>
      <c r="D2134" s="17">
        <v>59.0</v>
      </c>
      <c r="E2134" s="17" t="str">
        <f>IMAGE("https://www.serebii.net/itemdex/sprites/lumberry.png")</f>
        <v/>
      </c>
      <c r="F2134" s="17" t="s">
        <v>2558</v>
      </c>
      <c r="G2134" s="17" t="s">
        <v>2533</v>
      </c>
      <c r="H2134" s="20" t="s">
        <v>2559</v>
      </c>
      <c r="I2134" s="17" t="s">
        <v>550</v>
      </c>
      <c r="J2134" s="17">
        <v>252.0</v>
      </c>
      <c r="K2134" s="17">
        <v>252.0</v>
      </c>
      <c r="L2134" s="17">
        <v>0.0</v>
      </c>
      <c r="M2134" s="17">
        <v>0.0</v>
      </c>
      <c r="N2134" s="17">
        <v>0.0</v>
      </c>
      <c r="O2134" s="17">
        <v>6.0</v>
      </c>
      <c r="P2134" s="17">
        <v>31.0</v>
      </c>
      <c r="Q2134" s="17">
        <v>31.0</v>
      </c>
      <c r="R2134" s="17">
        <v>31.0</v>
      </c>
      <c r="S2134" s="17">
        <v>31.0</v>
      </c>
      <c r="T2134" s="17">
        <v>31.0</v>
      </c>
      <c r="U2134" s="17">
        <v>31.0</v>
      </c>
    </row>
    <row r="2135" ht="23.25" customHeight="1">
      <c r="A2135" s="20" t="str">
        <f>IF(COUNTIF('Icon Lookup'!C:C,B2135)&gt;0,LOOKUP(B2135,'Icon Lookup'!C:C,'Icon Lookup'!B:B),"")</f>
        <v/>
      </c>
      <c r="B2135" s="21" t="s">
        <v>728</v>
      </c>
      <c r="C2135" s="20"/>
      <c r="D2135" s="20">
        <v>60.0</v>
      </c>
      <c r="E2135" s="20" t="str">
        <f>IMAGE("https://www.serebii.net/itemdex/sprites/sitrusberry.png")</f>
        <v/>
      </c>
      <c r="F2135" s="20" t="s">
        <v>31</v>
      </c>
      <c r="G2135" s="20" t="s">
        <v>824</v>
      </c>
      <c r="H2135" s="23" t="s">
        <v>2554</v>
      </c>
      <c r="I2135" s="20" t="s">
        <v>52</v>
      </c>
      <c r="J2135" s="20">
        <v>6.0</v>
      </c>
      <c r="K2135" s="20">
        <v>0.0</v>
      </c>
      <c r="L2135" s="20">
        <v>0.0</v>
      </c>
      <c r="M2135" s="20">
        <v>252.0</v>
      </c>
      <c r="N2135" s="20">
        <v>0.0</v>
      </c>
      <c r="O2135" s="20">
        <v>252.0</v>
      </c>
      <c r="P2135" s="20">
        <v>31.0</v>
      </c>
      <c r="Q2135" s="20">
        <v>31.0</v>
      </c>
      <c r="R2135" s="20">
        <v>31.0</v>
      </c>
      <c r="S2135" s="20">
        <v>31.0</v>
      </c>
      <c r="T2135" s="20">
        <v>31.0</v>
      </c>
      <c r="U2135" s="20">
        <v>31.0</v>
      </c>
    </row>
    <row r="2136" ht="23.25" customHeight="1">
      <c r="A2136" s="24" t="str">
        <f>IF(COUNTIF('Icon Lookup'!C:C,B2136)&gt;0,LOOKUP(B2136,'Icon Lookup'!C:C,'Icon Lookup'!B:B),"")</f>
        <v/>
      </c>
      <c r="B2136" s="25" t="s">
        <v>737</v>
      </c>
      <c r="C2136" s="24" t="s">
        <v>804</v>
      </c>
      <c r="D2136" s="24">
        <v>64.0</v>
      </c>
      <c r="E2136" s="24" t="str">
        <f>IMAGE("https://www.serebii.net/itemdex/sprites/choiceband.png")</f>
        <v/>
      </c>
      <c r="F2136" s="24" t="s">
        <v>374</v>
      </c>
      <c r="G2136" s="17" t="s">
        <v>2463</v>
      </c>
      <c r="H2136" s="20" t="s">
        <v>2562</v>
      </c>
      <c r="I2136" s="24" t="s">
        <v>94</v>
      </c>
      <c r="J2136" s="24">
        <v>252.0</v>
      </c>
      <c r="K2136" s="24">
        <v>252.0</v>
      </c>
      <c r="L2136" s="24">
        <v>6.0</v>
      </c>
      <c r="M2136" s="24">
        <v>0.0</v>
      </c>
      <c r="N2136" s="24">
        <v>0.0</v>
      </c>
      <c r="O2136" s="24">
        <v>0.0</v>
      </c>
      <c r="P2136" s="24">
        <v>31.0</v>
      </c>
      <c r="Q2136" s="24">
        <v>31.0</v>
      </c>
      <c r="R2136" s="24">
        <v>31.0</v>
      </c>
      <c r="S2136" s="24">
        <v>31.0</v>
      </c>
      <c r="T2136" s="24">
        <v>31.0</v>
      </c>
      <c r="U2136" s="24">
        <v>31.0</v>
      </c>
    </row>
    <row r="2137" ht="23.25" customHeight="1">
      <c r="A2137" s="1"/>
      <c r="B2137" s="15" t="s">
        <v>2563</v>
      </c>
      <c r="C2137" s="1" t="s">
        <v>17</v>
      </c>
      <c r="D2137" s="1" t="s">
        <v>2029</v>
      </c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</row>
    <row r="2138" ht="23.25" customHeight="1">
      <c r="A2138" s="20" t="str">
        <f>IF(COUNTIF('Icon Lookup'!C:C,B2138)&gt;0,LOOKUP(B2138,'Icon Lookup'!C:C,'Icon Lookup'!B:B),"")</f>
        <v/>
      </c>
      <c r="B2138" s="21" t="s">
        <v>2507</v>
      </c>
      <c r="C2138" s="20"/>
      <c r="D2138" s="20">
        <v>68.0</v>
      </c>
      <c r="E2138" s="20" t="str">
        <f>IMAGE("https://www.serebii.net/itemdex/sprites/lumberry.png")</f>
        <v/>
      </c>
      <c r="F2138" s="20" t="s">
        <v>903</v>
      </c>
      <c r="G2138" s="20" t="s">
        <v>2533</v>
      </c>
      <c r="H2138" s="23" t="s">
        <v>2564</v>
      </c>
      <c r="I2138" s="20" t="s">
        <v>822</v>
      </c>
      <c r="J2138" s="20">
        <v>252.0</v>
      </c>
      <c r="K2138" s="20">
        <v>252.0</v>
      </c>
      <c r="L2138" s="20">
        <v>6.0</v>
      </c>
      <c r="M2138" s="20">
        <v>0.0</v>
      </c>
      <c r="N2138" s="20">
        <v>0.0</v>
      </c>
      <c r="O2138" s="20">
        <v>0.0</v>
      </c>
      <c r="P2138" s="20">
        <v>31.0</v>
      </c>
      <c r="Q2138" s="20">
        <v>31.0</v>
      </c>
      <c r="R2138" s="20">
        <v>31.0</v>
      </c>
      <c r="S2138" s="20">
        <v>31.0</v>
      </c>
      <c r="T2138" s="20">
        <v>31.0</v>
      </c>
      <c r="U2138" s="20">
        <v>0.0</v>
      </c>
    </row>
    <row r="2139" ht="23.25" customHeight="1">
      <c r="A2139" s="17" t="str">
        <f>IF(COUNTIF('Icon Lookup'!C:C,B2139)&gt;0,LOOKUP(B2139,'Icon Lookup'!C:C,'Icon Lookup'!B:B),"")</f>
        <v/>
      </c>
      <c r="B2139" s="18" t="s">
        <v>2565</v>
      </c>
      <c r="C2139" s="17"/>
      <c r="D2139" s="17">
        <v>69.0</v>
      </c>
      <c r="E2139" s="17" t="str">
        <f>IMAGE("https://www.serebii.net/itemdex/sprites/toxicorb.png")</f>
        <v/>
      </c>
      <c r="F2139" s="17" t="s">
        <v>276</v>
      </c>
      <c r="G2139" s="17" t="s">
        <v>2476</v>
      </c>
      <c r="H2139" s="20" t="s">
        <v>2566</v>
      </c>
      <c r="I2139" s="17" t="s">
        <v>550</v>
      </c>
      <c r="J2139" s="17">
        <v>252.0</v>
      </c>
      <c r="K2139" s="17">
        <v>252.0</v>
      </c>
      <c r="L2139" s="17">
        <v>6.0</v>
      </c>
      <c r="M2139" s="17">
        <v>0.0</v>
      </c>
      <c r="N2139" s="17">
        <v>0.0</v>
      </c>
      <c r="O2139" s="17">
        <v>0.0</v>
      </c>
      <c r="P2139" s="17">
        <v>31.0</v>
      </c>
      <c r="Q2139" s="17">
        <v>31.0</v>
      </c>
      <c r="R2139" s="17">
        <v>31.0</v>
      </c>
      <c r="S2139" s="17">
        <v>31.0</v>
      </c>
      <c r="T2139" s="17">
        <v>31.0</v>
      </c>
      <c r="U2139" s="17">
        <v>0.0</v>
      </c>
    </row>
    <row r="2140" ht="23.25" customHeight="1">
      <c r="A2140" s="20" t="str">
        <f>IF(COUNTIF('Icon Lookup'!C:C,B2140)&gt;0,LOOKUP(B2140,'Icon Lookup'!C:C,'Icon Lookup'!B:B),"")</f>
        <v/>
      </c>
      <c r="B2140" s="21" t="s">
        <v>714</v>
      </c>
      <c r="C2140" s="20"/>
      <c r="D2140" s="20">
        <v>70.0</v>
      </c>
      <c r="E2140" s="20" t="str">
        <f>IMAGE("https://www.serebii.net/itemdex/sprites/focussash.png")</f>
        <v/>
      </c>
      <c r="F2140" s="20" t="s">
        <v>434</v>
      </c>
      <c r="G2140" s="20" t="s">
        <v>881</v>
      </c>
      <c r="H2140" s="23" t="s">
        <v>2567</v>
      </c>
      <c r="I2140" s="20" t="s">
        <v>550</v>
      </c>
      <c r="J2140" s="20">
        <v>252.0</v>
      </c>
      <c r="K2140" s="20">
        <v>252.0</v>
      </c>
      <c r="L2140" s="20">
        <v>6.0</v>
      </c>
      <c r="M2140" s="20">
        <v>0.0</v>
      </c>
      <c r="N2140" s="20">
        <v>0.0</v>
      </c>
      <c r="O2140" s="20">
        <v>0.0</v>
      </c>
      <c r="P2140" s="20">
        <v>31.0</v>
      </c>
      <c r="Q2140" s="20">
        <v>31.0</v>
      </c>
      <c r="R2140" s="20">
        <v>31.0</v>
      </c>
      <c r="S2140" s="20">
        <v>31.0</v>
      </c>
      <c r="T2140" s="20">
        <v>31.0</v>
      </c>
      <c r="U2140" s="20">
        <v>0.0</v>
      </c>
    </row>
    <row r="2141" ht="23.25" customHeight="1">
      <c r="A2141" s="17" t="str">
        <f>IMAGE("https://www.smogon.com/forums//media/minisprites/rotom-wash.png",3)</f>
        <v/>
      </c>
      <c r="B2141" s="18" t="s">
        <v>2568</v>
      </c>
      <c r="C2141" s="17"/>
      <c r="D2141" s="17">
        <v>69.0</v>
      </c>
      <c r="E2141" s="17" t="str">
        <f>IMAGE("https://www.serebii.net/itemdex/sprites/choicespecs.png")</f>
        <v/>
      </c>
      <c r="F2141" s="17" t="s">
        <v>161</v>
      </c>
      <c r="G2141" s="17" t="s">
        <v>2569</v>
      </c>
      <c r="H2141" s="20" t="s">
        <v>2570</v>
      </c>
      <c r="I2141" s="17" t="s">
        <v>612</v>
      </c>
      <c r="J2141" s="17">
        <v>252.0</v>
      </c>
      <c r="K2141" s="17">
        <v>0.0</v>
      </c>
      <c r="L2141" s="17">
        <v>0.0</v>
      </c>
      <c r="M2141" s="17">
        <v>252.0</v>
      </c>
      <c r="N2141" s="17">
        <v>0.0</v>
      </c>
      <c r="O2141" s="17">
        <v>6.0</v>
      </c>
      <c r="P2141" s="17">
        <v>31.0</v>
      </c>
      <c r="Q2141" s="17">
        <v>31.0</v>
      </c>
      <c r="R2141" s="17">
        <v>31.0</v>
      </c>
      <c r="S2141" s="17">
        <v>31.0</v>
      </c>
      <c r="T2141" s="17">
        <v>31.0</v>
      </c>
      <c r="U2141" s="17">
        <v>31.0</v>
      </c>
    </row>
    <row r="2142" ht="23.25" customHeight="1">
      <c r="A2142" s="20" t="str">
        <f>IF(COUNTIF('Icon Lookup'!C:C,B2142)&gt;0,LOOKUP(B2142,'Icon Lookup'!C:C,'Icon Lookup'!B:B),"")</f>
        <v/>
      </c>
      <c r="B2142" s="21" t="s">
        <v>1868</v>
      </c>
      <c r="C2142" s="20"/>
      <c r="D2142" s="20">
        <v>70.0</v>
      </c>
      <c r="E2142" s="20" t="str">
        <f>IMAGE("https://www.serebii.net/itemdex/sprites/kingsrock.png")</f>
        <v/>
      </c>
      <c r="F2142" s="20" t="s">
        <v>240</v>
      </c>
      <c r="G2142" s="20" t="s">
        <v>2571</v>
      </c>
      <c r="H2142" s="23" t="s">
        <v>2572</v>
      </c>
      <c r="I2142" s="20" t="s">
        <v>22</v>
      </c>
      <c r="J2142" s="20">
        <v>252.0</v>
      </c>
      <c r="K2142" s="20">
        <v>0.0</v>
      </c>
      <c r="L2142" s="20">
        <v>252.0</v>
      </c>
      <c r="M2142" s="20">
        <v>0.0</v>
      </c>
      <c r="N2142" s="20">
        <v>6.0</v>
      </c>
      <c r="O2142" s="20">
        <v>0.0</v>
      </c>
      <c r="P2142" s="20">
        <v>31.0</v>
      </c>
      <c r="Q2142" s="20">
        <v>31.0</v>
      </c>
      <c r="R2142" s="20">
        <v>31.0</v>
      </c>
      <c r="S2142" s="20">
        <v>31.0</v>
      </c>
      <c r="T2142" s="20">
        <v>31.0</v>
      </c>
      <c r="U2142" s="20">
        <v>31.0</v>
      </c>
    </row>
    <row r="2143" ht="23.25" customHeight="1">
      <c r="A2143" s="24" t="str">
        <f>IF(COUNTIF('Icon Lookup'!C:C,B2143)&gt;0,LOOKUP(B2143,'Icon Lookup'!C:C,'Icon Lookup'!B:B),"")</f>
        <v/>
      </c>
      <c r="B2143" s="25" t="s">
        <v>730</v>
      </c>
      <c r="C2143" s="24" t="s">
        <v>804</v>
      </c>
      <c r="D2143" s="24">
        <v>74.0</v>
      </c>
      <c r="E2143" s="24" t="str">
        <f>IMAGE("https://www.serebii.net/itemdex/sprites/leftovers.png")</f>
        <v/>
      </c>
      <c r="F2143" s="24" t="s">
        <v>267</v>
      </c>
      <c r="G2143" s="17" t="s">
        <v>859</v>
      </c>
      <c r="H2143" s="20" t="s">
        <v>2555</v>
      </c>
      <c r="I2143" s="24" t="s">
        <v>822</v>
      </c>
      <c r="J2143" s="24">
        <v>252.0</v>
      </c>
      <c r="K2143" s="24">
        <v>252.0</v>
      </c>
      <c r="L2143" s="24">
        <v>0.0</v>
      </c>
      <c r="M2143" s="24">
        <v>0.0</v>
      </c>
      <c r="N2143" s="24">
        <v>6.0</v>
      </c>
      <c r="O2143" s="24">
        <v>0.0</v>
      </c>
      <c r="P2143" s="24">
        <v>31.0</v>
      </c>
      <c r="Q2143" s="24">
        <v>31.0</v>
      </c>
      <c r="R2143" s="24">
        <v>31.0</v>
      </c>
      <c r="S2143" s="24">
        <v>31.0</v>
      </c>
      <c r="T2143" s="24">
        <v>31.0</v>
      </c>
      <c r="U2143" s="24">
        <v>0.0</v>
      </c>
    </row>
    <row r="2144" ht="23.25" customHeight="1">
      <c r="A2144" s="1"/>
      <c r="B2144" s="15" t="s">
        <v>2573</v>
      </c>
      <c r="C2144" s="1" t="s">
        <v>17</v>
      </c>
      <c r="D2144" s="1" t="s">
        <v>2029</v>
      </c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</row>
    <row r="2145" ht="23.25" customHeight="1">
      <c r="A2145" s="20" t="str">
        <f>IF(COUNTIF('Icon Lookup'!C:C,B2145)&gt;0,LOOKUP(B2145,'Icon Lookup'!C:C,'Icon Lookup'!B:B),"")</f>
        <v/>
      </c>
      <c r="B2145" s="21" t="s">
        <v>2574</v>
      </c>
      <c r="C2145" s="20"/>
      <c r="D2145" s="20">
        <v>68.0</v>
      </c>
      <c r="E2145" s="20" t="str">
        <f>IMAGE("https://www.serebii.net/itemdex/sprites/razorclaw.png")</f>
        <v/>
      </c>
      <c r="F2145" s="20" t="s">
        <v>1367</v>
      </c>
      <c r="G2145" s="20" t="s">
        <v>2575</v>
      </c>
      <c r="H2145" s="23" t="s">
        <v>2576</v>
      </c>
      <c r="I2145" s="20" t="s">
        <v>22</v>
      </c>
      <c r="J2145" s="20">
        <v>6.0</v>
      </c>
      <c r="K2145" s="20">
        <v>252.0</v>
      </c>
      <c r="L2145" s="20">
        <v>0.0</v>
      </c>
      <c r="M2145" s="20">
        <v>0.0</v>
      </c>
      <c r="N2145" s="20">
        <v>0.0</v>
      </c>
      <c r="O2145" s="20">
        <v>252.0</v>
      </c>
      <c r="P2145" s="20">
        <v>31.0</v>
      </c>
      <c r="Q2145" s="20">
        <v>31.0</v>
      </c>
      <c r="R2145" s="20">
        <v>31.0</v>
      </c>
      <c r="S2145" s="20">
        <v>31.0</v>
      </c>
      <c r="T2145" s="20">
        <v>31.0</v>
      </c>
      <c r="U2145" s="20">
        <v>31.0</v>
      </c>
    </row>
    <row r="2146" ht="23.25" customHeight="1">
      <c r="A2146" s="17" t="str">
        <f>IF(COUNTIF('Icon Lookup'!C:C,B2146)&gt;0,LOOKUP(B2146,'Icon Lookup'!C:C,'Icon Lookup'!B:B),"")</f>
        <v/>
      </c>
      <c r="B2146" s="18" t="s">
        <v>2577</v>
      </c>
      <c r="C2146" s="17"/>
      <c r="D2146" s="17">
        <v>69.0</v>
      </c>
      <c r="E2146" s="17" t="str">
        <f>IMAGE("https://www.serebii.net/itemdex/sprites/focussash.png")</f>
        <v/>
      </c>
      <c r="F2146" s="17" t="s">
        <v>2578</v>
      </c>
      <c r="G2146" s="17" t="s">
        <v>881</v>
      </c>
      <c r="H2146" s="20" t="s">
        <v>2579</v>
      </c>
      <c r="I2146" s="17" t="s">
        <v>550</v>
      </c>
      <c r="J2146" s="17">
        <v>6.0</v>
      </c>
      <c r="K2146" s="17">
        <v>252.0</v>
      </c>
      <c r="L2146" s="17">
        <v>0.0</v>
      </c>
      <c r="M2146" s="17">
        <v>0.0</v>
      </c>
      <c r="N2146" s="17">
        <v>0.0</v>
      </c>
      <c r="O2146" s="17">
        <v>252.0</v>
      </c>
      <c r="P2146" s="17">
        <v>31.0</v>
      </c>
      <c r="Q2146" s="17">
        <v>31.0</v>
      </c>
      <c r="R2146" s="17">
        <v>31.0</v>
      </c>
      <c r="S2146" s="17">
        <v>31.0</v>
      </c>
      <c r="T2146" s="17">
        <v>31.0</v>
      </c>
      <c r="U2146" s="17">
        <v>31.0</v>
      </c>
    </row>
    <row r="2147" ht="23.25" customHeight="1">
      <c r="A2147" s="20" t="str">
        <f>IF(COUNTIF('Icon Lookup'!C:C,B2147)&gt;0,LOOKUP(B2147,'Icon Lookup'!C:C,'Icon Lookup'!B:B),"")</f>
        <v/>
      </c>
      <c r="B2147" s="21" t="s">
        <v>2580</v>
      </c>
      <c r="C2147" s="20"/>
      <c r="D2147" s="20">
        <v>70.0</v>
      </c>
      <c r="E2147" s="20" t="str">
        <f>IMAGE("https://www.serebii.net/itemdex/sprites/lifeorb.png")</f>
        <v/>
      </c>
      <c r="F2147" s="20" t="s">
        <v>2581</v>
      </c>
      <c r="G2147" s="20" t="s">
        <v>873</v>
      </c>
      <c r="H2147" s="23" t="s">
        <v>2582</v>
      </c>
      <c r="I2147" s="20" t="s">
        <v>612</v>
      </c>
      <c r="J2147" s="20">
        <v>6.0</v>
      </c>
      <c r="K2147" s="20">
        <v>0.0</v>
      </c>
      <c r="L2147" s="20">
        <v>0.0</v>
      </c>
      <c r="M2147" s="20">
        <v>252.0</v>
      </c>
      <c r="N2147" s="20">
        <v>0.0</v>
      </c>
      <c r="O2147" s="20">
        <v>252.0</v>
      </c>
      <c r="P2147" s="20">
        <v>31.0</v>
      </c>
      <c r="Q2147" s="20">
        <v>31.0</v>
      </c>
      <c r="R2147" s="20">
        <v>31.0</v>
      </c>
      <c r="S2147" s="20">
        <v>31.0</v>
      </c>
      <c r="T2147" s="20">
        <v>31.0</v>
      </c>
      <c r="U2147" s="20">
        <v>31.0</v>
      </c>
    </row>
    <row r="2148" ht="23.25" customHeight="1">
      <c r="A2148" s="17" t="str">
        <f>IMAGE("https://www.smogon.com/forums//media/minisprites/rotom-mow.png",3)</f>
        <v/>
      </c>
      <c r="B2148" s="18" t="s">
        <v>2583</v>
      </c>
      <c r="C2148" s="17"/>
      <c r="D2148" s="17">
        <v>69.0</v>
      </c>
      <c r="E2148" s="17" t="str">
        <f>IMAGE("https://www.serebii.net/itemdex/sprites/choicespecs.png")</f>
        <v/>
      </c>
      <c r="F2148" s="17" t="s">
        <v>161</v>
      </c>
      <c r="G2148" s="17" t="s">
        <v>2569</v>
      </c>
      <c r="H2148" s="20" t="s">
        <v>2584</v>
      </c>
      <c r="I2148" s="17" t="s">
        <v>612</v>
      </c>
      <c r="J2148" s="17">
        <v>6.0</v>
      </c>
      <c r="K2148" s="17">
        <v>0.0</v>
      </c>
      <c r="L2148" s="17">
        <v>0.0</v>
      </c>
      <c r="M2148" s="17">
        <v>252.0</v>
      </c>
      <c r="N2148" s="17">
        <v>0.0</v>
      </c>
      <c r="O2148" s="17">
        <v>252.0</v>
      </c>
      <c r="P2148" s="17">
        <v>31.0</v>
      </c>
      <c r="Q2148" s="17">
        <v>31.0</v>
      </c>
      <c r="R2148" s="17">
        <v>31.0</v>
      </c>
      <c r="S2148" s="17">
        <v>31.0</v>
      </c>
      <c r="T2148" s="17">
        <v>31.0</v>
      </c>
      <c r="U2148" s="17">
        <v>31.0</v>
      </c>
    </row>
    <row r="2149" ht="23.25" customHeight="1">
      <c r="A2149" s="20" t="str">
        <f>IF(COUNTIF('Icon Lookup'!C:C,B2149)&gt;0,LOOKUP(B2149,'Icon Lookup'!C:C,'Icon Lookup'!B:B),"")</f>
        <v/>
      </c>
      <c r="B2149" s="21" t="s">
        <v>2585</v>
      </c>
      <c r="C2149" s="20"/>
      <c r="D2149" s="20">
        <v>70.0</v>
      </c>
      <c r="E2149" s="20" t="str">
        <f>IMAGE("https://www.serebii.net/itemdex/sprites/silkscarf.png")</f>
        <v/>
      </c>
      <c r="F2149" s="20" t="s">
        <v>2586</v>
      </c>
      <c r="G2149" s="20" t="s">
        <v>2587</v>
      </c>
      <c r="H2149" s="23" t="s">
        <v>2588</v>
      </c>
      <c r="I2149" s="20" t="s">
        <v>612</v>
      </c>
      <c r="J2149" s="20">
        <v>6.0</v>
      </c>
      <c r="K2149" s="20">
        <v>252.0</v>
      </c>
      <c r="L2149" s="20">
        <v>0.0</v>
      </c>
      <c r="M2149" s="20">
        <v>0.0</v>
      </c>
      <c r="N2149" s="20">
        <v>0.0</v>
      </c>
      <c r="O2149" s="20">
        <v>252.0</v>
      </c>
      <c r="P2149" s="20">
        <v>31.0</v>
      </c>
      <c r="Q2149" s="20">
        <v>31.0</v>
      </c>
      <c r="R2149" s="20">
        <v>31.0</v>
      </c>
      <c r="S2149" s="20">
        <v>31.0</v>
      </c>
      <c r="T2149" s="20">
        <v>31.0</v>
      </c>
      <c r="U2149" s="20">
        <v>31.0</v>
      </c>
    </row>
    <row r="2150" ht="23.25" customHeight="1">
      <c r="A2150" s="24" t="str">
        <f>IF(COUNTIF('Icon Lookup'!C:C,B2150)&gt;0,LOOKUP(B2150,'Icon Lookup'!C:C,'Icon Lookup'!B:B),"")</f>
        <v/>
      </c>
      <c r="B2150" s="25" t="s">
        <v>879</v>
      </c>
      <c r="C2150" s="24" t="s">
        <v>804</v>
      </c>
      <c r="D2150" s="24">
        <v>74.0</v>
      </c>
      <c r="E2150" s="24" t="str">
        <f>IMAGE("https://www.serebii.net/itemdex/sprites/whiteherb.png")</f>
        <v/>
      </c>
      <c r="F2150" s="24" t="s">
        <v>145</v>
      </c>
      <c r="G2150" s="17" t="s">
        <v>2497</v>
      </c>
      <c r="H2150" s="20" t="s">
        <v>2560</v>
      </c>
      <c r="I2150" s="24" t="s">
        <v>22</v>
      </c>
      <c r="J2150" s="24">
        <v>6.0</v>
      </c>
      <c r="K2150" s="24">
        <v>252.0</v>
      </c>
      <c r="L2150" s="24">
        <v>0.0</v>
      </c>
      <c r="M2150" s="24">
        <v>0.0</v>
      </c>
      <c r="N2150" s="24">
        <v>0.0</v>
      </c>
      <c r="O2150" s="24">
        <v>252.0</v>
      </c>
      <c r="P2150" s="24">
        <v>31.0</v>
      </c>
      <c r="Q2150" s="24">
        <v>31.0</v>
      </c>
      <c r="R2150" s="24">
        <v>31.0</v>
      </c>
      <c r="S2150" s="24">
        <v>31.0</v>
      </c>
      <c r="T2150" s="24">
        <v>31.0</v>
      </c>
      <c r="U2150" s="24">
        <v>31.0</v>
      </c>
    </row>
    <row r="2151" ht="23.25" customHeight="1">
      <c r="A2151" s="1"/>
      <c r="B2151" s="15" t="s">
        <v>2589</v>
      </c>
      <c r="C2151" s="1" t="s">
        <v>17</v>
      </c>
      <c r="D2151" s="1" t="s">
        <v>2029</v>
      </c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</row>
    <row r="2152" ht="23.25" customHeight="1">
      <c r="A2152" s="20" t="str">
        <f>IF(COUNTIF('Icon Lookup'!C:C,B2152)&gt;0,LOOKUP(B2152,'Icon Lookup'!C:C,'Icon Lookup'!B:B),"")</f>
        <v/>
      </c>
      <c r="B2152" s="21" t="s">
        <v>2590</v>
      </c>
      <c r="C2152" s="20"/>
      <c r="D2152" s="20">
        <v>68.0</v>
      </c>
      <c r="E2152" s="20" t="str">
        <f>IMAGE("https://www.serebii.net/itemdex/sprites/toxicorb.png")</f>
        <v/>
      </c>
      <c r="F2152" s="20" t="s">
        <v>1921</v>
      </c>
      <c r="G2152" s="20" t="s">
        <v>2476</v>
      </c>
      <c r="H2152" s="23" t="s">
        <v>2591</v>
      </c>
      <c r="I2152" s="20" t="s">
        <v>211</v>
      </c>
      <c r="J2152" s="20">
        <v>252.0</v>
      </c>
      <c r="K2152" s="20">
        <v>0.0</v>
      </c>
      <c r="L2152" s="20">
        <v>6.0</v>
      </c>
      <c r="M2152" s="20">
        <v>0.0</v>
      </c>
      <c r="N2152" s="20">
        <v>252.0</v>
      </c>
      <c r="O2152" s="20">
        <v>0.0</v>
      </c>
      <c r="P2152" s="20">
        <v>31.0</v>
      </c>
      <c r="Q2152" s="20">
        <v>31.0</v>
      </c>
      <c r="R2152" s="20">
        <v>31.0</v>
      </c>
      <c r="S2152" s="20">
        <v>31.0</v>
      </c>
      <c r="T2152" s="20">
        <v>31.0</v>
      </c>
      <c r="U2152" s="20">
        <v>31.0</v>
      </c>
    </row>
    <row r="2153" ht="23.25" customHeight="1">
      <c r="A2153" s="17" t="str">
        <f>IF(COUNTIF('Icon Lookup'!C:C,B2153)&gt;0,LOOKUP(B2153,'Icon Lookup'!C:C,'Icon Lookup'!B:B),"")</f>
        <v/>
      </c>
      <c r="B2153" s="18" t="s">
        <v>2592</v>
      </c>
      <c r="C2153" s="17"/>
      <c r="D2153" s="17">
        <v>69.0</v>
      </c>
      <c r="E2153" s="17" t="str">
        <f>IMAGE("https://www.serebii.net/itemdex/sprites/bigroot.png")</f>
        <v/>
      </c>
      <c r="F2153" s="17" t="s">
        <v>366</v>
      </c>
      <c r="G2153" s="17" t="s">
        <v>1122</v>
      </c>
      <c r="H2153" s="20" t="s">
        <v>2593</v>
      </c>
      <c r="I2153" s="17" t="s">
        <v>205</v>
      </c>
      <c r="J2153" s="17">
        <v>252.0</v>
      </c>
      <c r="K2153" s="17">
        <v>0.0</v>
      </c>
      <c r="L2153" s="17">
        <v>128.0</v>
      </c>
      <c r="M2153" s="17">
        <v>0.0</v>
      </c>
      <c r="N2153" s="17">
        <v>128.0</v>
      </c>
      <c r="O2153" s="17">
        <v>0.0</v>
      </c>
      <c r="P2153" s="17">
        <v>31.0</v>
      </c>
      <c r="Q2153" s="17">
        <v>31.0</v>
      </c>
      <c r="R2153" s="17">
        <v>31.0</v>
      </c>
      <c r="S2153" s="17">
        <v>31.0</v>
      </c>
      <c r="T2153" s="17">
        <v>31.0</v>
      </c>
      <c r="U2153" s="17">
        <v>31.0</v>
      </c>
    </row>
    <row r="2154" ht="23.25" customHeight="1">
      <c r="A2154" s="20" t="str">
        <f>IF(COUNTIF('Icon Lookup'!C:C,B2154)&gt;0,LOOKUP(B2154,'Icon Lookup'!C:C,'Icon Lookup'!B:B),"")</f>
        <v/>
      </c>
      <c r="B2154" s="21" t="s">
        <v>2521</v>
      </c>
      <c r="C2154" s="20"/>
      <c r="D2154" s="20">
        <v>70.0</v>
      </c>
      <c r="E2154" s="20" t="str">
        <f>IMAGE("https://www.serebii.net/itemdex/sprites/leftovers.png")</f>
        <v/>
      </c>
      <c r="F2154" s="20" t="s">
        <v>2522</v>
      </c>
      <c r="G2154" s="20" t="s">
        <v>859</v>
      </c>
      <c r="H2154" s="23" t="s">
        <v>2594</v>
      </c>
      <c r="I2154" s="20" t="s">
        <v>612</v>
      </c>
      <c r="J2154" s="20">
        <v>252.0</v>
      </c>
      <c r="K2154" s="20">
        <v>0.0</v>
      </c>
      <c r="L2154" s="20">
        <v>0.0</v>
      </c>
      <c r="M2154" s="20">
        <v>252.0</v>
      </c>
      <c r="N2154" s="20">
        <v>0.0</v>
      </c>
      <c r="O2154" s="20">
        <v>6.0</v>
      </c>
      <c r="P2154" s="20">
        <v>31.0</v>
      </c>
      <c r="Q2154" s="20">
        <v>31.0</v>
      </c>
      <c r="R2154" s="20">
        <v>31.0</v>
      </c>
      <c r="S2154" s="20">
        <v>31.0</v>
      </c>
      <c r="T2154" s="20">
        <v>31.0</v>
      </c>
      <c r="U2154" s="20">
        <v>31.0</v>
      </c>
    </row>
    <row r="2155" ht="23.25" customHeight="1">
      <c r="A2155" s="17" t="str">
        <f>IMAGE("https://www.smogon.com/forums//media/minisprites/rotom-heat.png",3)</f>
        <v/>
      </c>
      <c r="B2155" s="18" t="s">
        <v>2595</v>
      </c>
      <c r="C2155" s="17"/>
      <c r="D2155" s="17">
        <v>69.0</v>
      </c>
      <c r="E2155" s="17" t="str">
        <f>IMAGE("https://www.serebii.net/itemdex/sprites/choicespecs.png")</f>
        <v/>
      </c>
      <c r="F2155" s="17" t="s">
        <v>161</v>
      </c>
      <c r="G2155" s="17" t="s">
        <v>2569</v>
      </c>
      <c r="H2155" s="20" t="s">
        <v>2596</v>
      </c>
      <c r="I2155" s="17" t="s">
        <v>612</v>
      </c>
      <c r="J2155" s="17">
        <v>252.0</v>
      </c>
      <c r="K2155" s="17">
        <v>0.0</v>
      </c>
      <c r="L2155" s="17">
        <v>0.0</v>
      </c>
      <c r="M2155" s="17">
        <v>252.0</v>
      </c>
      <c r="N2155" s="17">
        <v>0.0</v>
      </c>
      <c r="O2155" s="17">
        <v>6.0</v>
      </c>
      <c r="P2155" s="17">
        <v>31.0</v>
      </c>
      <c r="Q2155" s="17">
        <v>31.0</v>
      </c>
      <c r="R2155" s="17">
        <v>31.0</v>
      </c>
      <c r="S2155" s="17">
        <v>31.0</v>
      </c>
      <c r="T2155" s="17">
        <v>31.0</v>
      </c>
      <c r="U2155" s="17">
        <v>31.0</v>
      </c>
    </row>
    <row r="2156" ht="23.25" customHeight="1">
      <c r="A2156" s="20" t="str">
        <f>IF(COUNTIF('Icon Lookup'!C:C,B2156)&gt;0,LOOKUP(B2156,'Icon Lookup'!C:C,'Icon Lookup'!B:B),"")</f>
        <v/>
      </c>
      <c r="B2156" s="21" t="s">
        <v>1775</v>
      </c>
      <c r="C2156" s="20"/>
      <c r="D2156" s="20">
        <v>70.0</v>
      </c>
      <c r="E2156" s="20" t="str">
        <f>IMAGE("https://www.serebii.net/itemdex/sprites/lifeorb.png")</f>
        <v/>
      </c>
      <c r="F2156" s="20" t="s">
        <v>26</v>
      </c>
      <c r="G2156" s="20" t="s">
        <v>873</v>
      </c>
      <c r="H2156" s="23" t="s">
        <v>2597</v>
      </c>
      <c r="I2156" s="20" t="s">
        <v>612</v>
      </c>
      <c r="J2156" s="20">
        <v>6.0</v>
      </c>
      <c r="K2156" s="20">
        <v>0.0</v>
      </c>
      <c r="L2156" s="20">
        <v>0.0</v>
      </c>
      <c r="M2156" s="20">
        <v>252.0</v>
      </c>
      <c r="N2156" s="20">
        <v>0.0</v>
      </c>
      <c r="O2156" s="20">
        <v>252.0</v>
      </c>
      <c r="P2156" s="20">
        <v>31.0</v>
      </c>
      <c r="Q2156" s="20">
        <v>31.0</v>
      </c>
      <c r="R2156" s="20">
        <v>31.0</v>
      </c>
      <c r="S2156" s="20">
        <v>31.0</v>
      </c>
      <c r="T2156" s="20">
        <v>31.0</v>
      </c>
      <c r="U2156" s="20">
        <v>31.0</v>
      </c>
    </row>
    <row r="2157" ht="23.25" customHeight="1">
      <c r="A2157" s="24" t="str">
        <f>IF(COUNTIF('Icon Lookup'!C:C,B2157)&gt;0,LOOKUP(B2157,'Icon Lookup'!C:C,'Icon Lookup'!B:B),"")</f>
        <v/>
      </c>
      <c r="B2157" s="25" t="s">
        <v>737</v>
      </c>
      <c r="C2157" s="24" t="s">
        <v>804</v>
      </c>
      <c r="D2157" s="24">
        <v>74.0</v>
      </c>
      <c r="E2157" s="24" t="str">
        <f>IMAGE("https://www.serebii.net/itemdex/sprites/choiceband.png")</f>
        <v/>
      </c>
      <c r="F2157" s="24" t="s">
        <v>374</v>
      </c>
      <c r="G2157" s="17" t="s">
        <v>2463</v>
      </c>
      <c r="H2157" s="20" t="s">
        <v>2562</v>
      </c>
      <c r="I2157" s="24" t="s">
        <v>94</v>
      </c>
      <c r="J2157" s="24">
        <v>252.0</v>
      </c>
      <c r="K2157" s="24">
        <v>252.0</v>
      </c>
      <c r="L2157" s="24">
        <v>6.0</v>
      </c>
      <c r="M2157" s="24">
        <v>0.0</v>
      </c>
      <c r="N2157" s="24">
        <v>0.0</v>
      </c>
      <c r="O2157" s="24">
        <v>0.0</v>
      </c>
      <c r="P2157" s="24">
        <v>31.0</v>
      </c>
      <c r="Q2157" s="24">
        <v>31.0</v>
      </c>
      <c r="R2157" s="24">
        <v>31.0</v>
      </c>
      <c r="S2157" s="24">
        <v>31.0</v>
      </c>
      <c r="T2157" s="24">
        <v>31.0</v>
      </c>
      <c r="U2157" s="24">
        <v>31.0</v>
      </c>
    </row>
    <row r="2158" ht="23.25" customHeight="1">
      <c r="A2158" s="1"/>
      <c r="B2158" s="15" t="s">
        <v>2598</v>
      </c>
      <c r="C2158" s="1" t="s">
        <v>17</v>
      </c>
      <c r="D2158" s="1" t="s">
        <v>2036</v>
      </c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</row>
    <row r="2159" ht="23.25" customHeight="1">
      <c r="A2159" s="20" t="str">
        <f>IMAGE("https://www.smogon.com/forums//media/minisprites/wormadam-trash.png",3)</f>
        <v/>
      </c>
      <c r="B2159" s="21" t="s">
        <v>2599</v>
      </c>
      <c r="C2159" s="20"/>
      <c r="D2159" s="20">
        <v>58.0</v>
      </c>
      <c r="E2159" s="20" t="str">
        <f>IMAGE("https://www.serebii.net/itemdex/sprites/leftovers.png")</f>
        <v/>
      </c>
      <c r="F2159" s="20" t="s">
        <v>289</v>
      </c>
      <c r="G2159" s="20" t="s">
        <v>859</v>
      </c>
      <c r="H2159" s="23" t="s">
        <v>2600</v>
      </c>
      <c r="I2159" s="20" t="s">
        <v>89</v>
      </c>
      <c r="J2159" s="20">
        <v>252.0</v>
      </c>
      <c r="K2159" s="20">
        <v>0.0</v>
      </c>
      <c r="L2159" s="20">
        <v>128.0</v>
      </c>
      <c r="M2159" s="20">
        <v>0.0</v>
      </c>
      <c r="N2159" s="20">
        <v>128.0</v>
      </c>
      <c r="O2159" s="20">
        <v>0.0</v>
      </c>
      <c r="P2159" s="20">
        <v>31.0</v>
      </c>
      <c r="Q2159" s="20">
        <v>31.0</v>
      </c>
      <c r="R2159" s="20">
        <v>31.0</v>
      </c>
      <c r="S2159" s="20">
        <v>31.0</v>
      </c>
      <c r="T2159" s="20">
        <v>31.0</v>
      </c>
      <c r="U2159" s="20">
        <v>31.0</v>
      </c>
    </row>
    <row r="2160" ht="23.25" customHeight="1">
      <c r="A2160" s="17" t="str">
        <f>IF(COUNTIF('Icon Lookup'!C:C,B2160)&gt;0,LOOKUP(B2160,'Icon Lookup'!C:C,'Icon Lookup'!B:B),"")</f>
        <v/>
      </c>
      <c r="B2160" s="18" t="s">
        <v>2552</v>
      </c>
      <c r="C2160" s="17"/>
      <c r="D2160" s="17">
        <v>59.0</v>
      </c>
      <c r="E2160" s="17" t="str">
        <f>IMAGE("https://www.serebii.net/itemdex/sprites/expertbelt.png")</f>
        <v/>
      </c>
      <c r="F2160" s="17" t="s">
        <v>1802</v>
      </c>
      <c r="G2160" s="17" t="s">
        <v>907</v>
      </c>
      <c r="H2160" s="20" t="s">
        <v>2601</v>
      </c>
      <c r="I2160" s="17" t="s">
        <v>612</v>
      </c>
      <c r="J2160" s="17">
        <v>252.0</v>
      </c>
      <c r="K2160" s="17">
        <v>0.0</v>
      </c>
      <c r="L2160" s="17">
        <v>0.0</v>
      </c>
      <c r="M2160" s="17">
        <v>252.0</v>
      </c>
      <c r="N2160" s="17">
        <v>0.0</v>
      </c>
      <c r="O2160" s="17">
        <v>6.0</v>
      </c>
      <c r="P2160" s="17">
        <v>31.0</v>
      </c>
      <c r="Q2160" s="17">
        <v>31.0</v>
      </c>
      <c r="R2160" s="17">
        <v>31.0</v>
      </c>
      <c r="S2160" s="17">
        <v>31.0</v>
      </c>
      <c r="T2160" s="17">
        <v>31.0</v>
      </c>
      <c r="U2160" s="17">
        <v>31.0</v>
      </c>
    </row>
    <row r="2161" ht="23.25" customHeight="1">
      <c r="A2161" s="20" t="str">
        <f>IF(COUNTIF('Icon Lookup'!C:C,B2161)&gt;0,LOOKUP(B2161,'Icon Lookup'!C:C,'Icon Lookup'!B:B),"")</f>
        <v/>
      </c>
      <c r="B2161" s="21" t="s">
        <v>2510</v>
      </c>
      <c r="C2161" s="20"/>
      <c r="D2161" s="20">
        <v>60.0</v>
      </c>
      <c r="E2161" s="20" t="str">
        <f>IMAGE("https://www.serebii.net/itemdex/sprites/focussash.png")</f>
        <v/>
      </c>
      <c r="F2161" s="20" t="s">
        <v>768</v>
      </c>
      <c r="G2161" s="20" t="s">
        <v>881</v>
      </c>
      <c r="H2161" s="23" t="s">
        <v>2602</v>
      </c>
      <c r="I2161" s="20" t="s">
        <v>52</v>
      </c>
      <c r="J2161" s="20">
        <v>6.0</v>
      </c>
      <c r="K2161" s="20">
        <v>0.0</v>
      </c>
      <c r="L2161" s="20">
        <v>0.0</v>
      </c>
      <c r="M2161" s="20">
        <v>252.0</v>
      </c>
      <c r="N2161" s="20">
        <v>0.0</v>
      </c>
      <c r="O2161" s="20">
        <v>252.0</v>
      </c>
      <c r="P2161" s="20">
        <v>31.0</v>
      </c>
      <c r="Q2161" s="20">
        <v>31.0</v>
      </c>
      <c r="R2161" s="20">
        <v>31.0</v>
      </c>
      <c r="S2161" s="20">
        <v>31.0</v>
      </c>
      <c r="T2161" s="20">
        <v>31.0</v>
      </c>
      <c r="U2161" s="20">
        <v>31.0</v>
      </c>
    </row>
    <row r="2162" ht="23.25" customHeight="1">
      <c r="A2162" s="17" t="str">
        <f>IF(COUNTIF('Icon Lookup'!C:C,B2162)&gt;0,LOOKUP(B2162,'Icon Lookup'!C:C,'Icon Lookup'!B:B),"")</f>
        <v/>
      </c>
      <c r="B2162" s="18" t="s">
        <v>912</v>
      </c>
      <c r="C2162" s="17"/>
      <c r="D2162" s="17">
        <v>59.0</v>
      </c>
      <c r="E2162" s="17" t="str">
        <f>IMAGE("https://www.serebii.net/itemdex/sprites/lifeorb.png")</f>
        <v/>
      </c>
      <c r="F2162" s="17" t="s">
        <v>2603</v>
      </c>
      <c r="G2162" s="17" t="s">
        <v>873</v>
      </c>
      <c r="H2162" s="20" t="s">
        <v>2604</v>
      </c>
      <c r="I2162" s="17" t="s">
        <v>612</v>
      </c>
      <c r="J2162" s="17">
        <v>6.0</v>
      </c>
      <c r="K2162" s="17">
        <v>0.0</v>
      </c>
      <c r="L2162" s="17">
        <v>0.0</v>
      </c>
      <c r="M2162" s="17">
        <v>252.0</v>
      </c>
      <c r="N2162" s="17">
        <v>0.0</v>
      </c>
      <c r="O2162" s="17">
        <v>252.0</v>
      </c>
      <c r="P2162" s="17">
        <v>31.0</v>
      </c>
      <c r="Q2162" s="17">
        <v>31.0</v>
      </c>
      <c r="R2162" s="17">
        <v>31.0</v>
      </c>
      <c r="S2162" s="17">
        <v>31.0</v>
      </c>
      <c r="T2162" s="17">
        <v>31.0</v>
      </c>
      <c r="U2162" s="17">
        <v>31.0</v>
      </c>
    </row>
    <row r="2163" ht="23.25" customHeight="1">
      <c r="A2163" s="20" t="str">
        <f>IF(COUNTIF('Icon Lookup'!C:C,B2163)&gt;0,LOOKUP(B2163,'Icon Lookup'!C:C,'Icon Lookup'!B:B),"")</f>
        <v/>
      </c>
      <c r="B2163" s="21" t="s">
        <v>728</v>
      </c>
      <c r="C2163" s="20"/>
      <c r="D2163" s="20">
        <v>60.0</v>
      </c>
      <c r="E2163" s="20" t="str">
        <f>IMAGE("https://www.serebii.net/itemdex/sprites/sitrusberry.png")</f>
        <v/>
      </c>
      <c r="F2163" s="20" t="s">
        <v>31</v>
      </c>
      <c r="G2163" s="20" t="s">
        <v>824</v>
      </c>
      <c r="H2163" s="23" t="s">
        <v>2554</v>
      </c>
      <c r="I2163" s="20" t="s">
        <v>52</v>
      </c>
      <c r="J2163" s="20">
        <v>6.0</v>
      </c>
      <c r="K2163" s="20">
        <v>0.0</v>
      </c>
      <c r="L2163" s="20">
        <v>0.0</v>
      </c>
      <c r="M2163" s="20">
        <v>252.0</v>
      </c>
      <c r="N2163" s="20">
        <v>0.0</v>
      </c>
      <c r="O2163" s="20">
        <v>252.0</v>
      </c>
      <c r="P2163" s="20">
        <v>31.0</v>
      </c>
      <c r="Q2163" s="20">
        <v>31.0</v>
      </c>
      <c r="R2163" s="20">
        <v>31.0</v>
      </c>
      <c r="S2163" s="20">
        <v>31.0</v>
      </c>
      <c r="T2163" s="20">
        <v>31.0</v>
      </c>
      <c r="U2163" s="20">
        <v>31.0</v>
      </c>
    </row>
    <row r="2164" ht="23.25" customHeight="1">
      <c r="A2164" s="24" t="str">
        <f>IF(COUNTIF('Icon Lookup'!C:C,B2164)&gt;0,LOOKUP(B2164,'Icon Lookup'!C:C,'Icon Lookup'!B:B),"")</f>
        <v/>
      </c>
      <c r="B2164" s="25" t="s">
        <v>730</v>
      </c>
      <c r="C2164" s="24" t="s">
        <v>804</v>
      </c>
      <c r="D2164" s="24">
        <v>64.0</v>
      </c>
      <c r="E2164" s="24" t="str">
        <f>IMAGE("https://www.serebii.net/itemdex/sprites/yacheberry.png")</f>
        <v/>
      </c>
      <c r="F2164" s="24" t="s">
        <v>267</v>
      </c>
      <c r="G2164" s="17" t="s">
        <v>917</v>
      </c>
      <c r="H2164" s="20" t="s">
        <v>2605</v>
      </c>
      <c r="I2164" s="24" t="s">
        <v>822</v>
      </c>
      <c r="J2164" s="24">
        <v>128.0</v>
      </c>
      <c r="K2164" s="24">
        <v>252.0</v>
      </c>
      <c r="L2164" s="24">
        <v>128.0</v>
      </c>
      <c r="M2164" s="24">
        <v>0.0</v>
      </c>
      <c r="N2164" s="24">
        <v>0.0</v>
      </c>
      <c r="O2164" s="24">
        <v>0.0</v>
      </c>
      <c r="P2164" s="24">
        <v>31.0</v>
      </c>
      <c r="Q2164" s="24">
        <v>31.0</v>
      </c>
      <c r="R2164" s="24">
        <v>31.0</v>
      </c>
      <c r="S2164" s="24">
        <v>31.0</v>
      </c>
      <c r="T2164" s="24">
        <v>31.0</v>
      </c>
      <c r="U2164" s="24">
        <v>31.0</v>
      </c>
    </row>
    <row r="2165" ht="23.25" customHeight="1">
      <c r="A2165" s="1"/>
      <c r="B2165" s="15" t="s">
        <v>2606</v>
      </c>
      <c r="C2165" s="1" t="s">
        <v>17</v>
      </c>
      <c r="D2165" s="1" t="s">
        <v>2036</v>
      </c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</row>
    <row r="2166" ht="23.25" customHeight="1">
      <c r="A2166" s="20" t="str">
        <f>IMAGE("https://www.smogon.com/forums//media/minisprites/wormadam-sandy.png",3)</f>
        <v/>
      </c>
      <c r="B2166" s="21" t="s">
        <v>2607</v>
      </c>
      <c r="C2166" s="20"/>
      <c r="D2166" s="20">
        <v>58.0</v>
      </c>
      <c r="E2166" s="20" t="str">
        <f>IMAGE("https://www.serebii.net/itemdex/sprites/leftovers.png")</f>
        <v/>
      </c>
      <c r="F2166" s="20" t="s">
        <v>289</v>
      </c>
      <c r="G2166" s="20" t="s">
        <v>859</v>
      </c>
      <c r="H2166" s="23" t="s">
        <v>2608</v>
      </c>
      <c r="I2166" s="20" t="s">
        <v>550</v>
      </c>
      <c r="J2166" s="20">
        <v>252.0</v>
      </c>
      <c r="K2166" s="20">
        <v>252.0</v>
      </c>
      <c r="L2166" s="20">
        <v>0.0</v>
      </c>
      <c r="M2166" s="20">
        <v>0.0</v>
      </c>
      <c r="N2166" s="20">
        <v>0.0</v>
      </c>
      <c r="O2166" s="20">
        <v>6.0</v>
      </c>
      <c r="P2166" s="20">
        <v>31.0</v>
      </c>
      <c r="Q2166" s="20">
        <v>31.0</v>
      </c>
      <c r="R2166" s="20">
        <v>31.0</v>
      </c>
      <c r="S2166" s="20">
        <v>31.0</v>
      </c>
      <c r="T2166" s="20">
        <v>31.0</v>
      </c>
      <c r="U2166" s="20">
        <v>31.0</v>
      </c>
    </row>
    <row r="2167" ht="23.25" customHeight="1">
      <c r="A2167" s="17" t="str">
        <f>IF(COUNTIF('Icon Lookup'!C:C,B2167)&gt;0,LOOKUP(B2167,'Icon Lookup'!C:C,'Icon Lookup'!B:B),"")</f>
        <v/>
      </c>
      <c r="B2167" s="18" t="s">
        <v>912</v>
      </c>
      <c r="C2167" s="17"/>
      <c r="D2167" s="17">
        <v>59.0</v>
      </c>
      <c r="E2167" s="17" t="str">
        <f>IMAGE("https://www.serebii.net/itemdex/sprites/lifeorb.png")</f>
        <v/>
      </c>
      <c r="F2167" s="17" t="s">
        <v>2603</v>
      </c>
      <c r="G2167" s="17" t="s">
        <v>873</v>
      </c>
      <c r="H2167" s="20" t="s">
        <v>2604</v>
      </c>
      <c r="I2167" s="17" t="s">
        <v>612</v>
      </c>
      <c r="J2167" s="17">
        <v>6.0</v>
      </c>
      <c r="K2167" s="17">
        <v>0.0</v>
      </c>
      <c r="L2167" s="17">
        <v>0.0</v>
      </c>
      <c r="M2167" s="17">
        <v>252.0</v>
      </c>
      <c r="N2167" s="17">
        <v>0.0</v>
      </c>
      <c r="O2167" s="17">
        <v>252.0</v>
      </c>
      <c r="P2167" s="17">
        <v>31.0</v>
      </c>
      <c r="Q2167" s="17">
        <v>31.0</v>
      </c>
      <c r="R2167" s="17">
        <v>31.0</v>
      </c>
      <c r="S2167" s="17">
        <v>31.0</v>
      </c>
      <c r="T2167" s="17">
        <v>31.0</v>
      </c>
      <c r="U2167" s="17">
        <v>31.0</v>
      </c>
    </row>
    <row r="2168" ht="23.25" customHeight="1">
      <c r="A2168" s="20" t="str">
        <f>IF(COUNTIF('Icon Lookup'!C:C,B2168)&gt;0,LOOKUP(B2168,'Icon Lookup'!C:C,'Icon Lookup'!B:B),"")</f>
        <v/>
      </c>
      <c r="B2168" s="21" t="s">
        <v>2510</v>
      </c>
      <c r="C2168" s="20"/>
      <c r="D2168" s="20">
        <v>60.0</v>
      </c>
      <c r="E2168" s="20" t="str">
        <f>IMAGE("https://www.serebii.net/itemdex/sprites/focussash.png")</f>
        <v/>
      </c>
      <c r="F2168" s="20" t="s">
        <v>768</v>
      </c>
      <c r="G2168" s="20" t="s">
        <v>881</v>
      </c>
      <c r="H2168" s="23" t="s">
        <v>2602</v>
      </c>
      <c r="I2168" s="20" t="s">
        <v>52</v>
      </c>
      <c r="J2168" s="20">
        <v>6.0</v>
      </c>
      <c r="K2168" s="20">
        <v>0.0</v>
      </c>
      <c r="L2168" s="20">
        <v>0.0</v>
      </c>
      <c r="M2168" s="20">
        <v>252.0</v>
      </c>
      <c r="N2168" s="20">
        <v>0.0</v>
      </c>
      <c r="O2168" s="20">
        <v>252.0</v>
      </c>
      <c r="P2168" s="20">
        <v>31.0</v>
      </c>
      <c r="Q2168" s="20">
        <v>31.0</v>
      </c>
      <c r="R2168" s="20">
        <v>31.0</v>
      </c>
      <c r="S2168" s="20">
        <v>31.0</v>
      </c>
      <c r="T2168" s="20">
        <v>31.0</v>
      </c>
      <c r="U2168" s="20">
        <v>31.0</v>
      </c>
    </row>
    <row r="2169" ht="23.25" customHeight="1">
      <c r="A2169" s="17" t="str">
        <f>IF(COUNTIF('Icon Lookup'!C:C,B2169)&gt;0,LOOKUP(B2169,'Icon Lookup'!C:C,'Icon Lookup'!B:B),"")</f>
        <v/>
      </c>
      <c r="B2169" s="18" t="s">
        <v>2557</v>
      </c>
      <c r="C2169" s="17"/>
      <c r="D2169" s="17">
        <v>59.0</v>
      </c>
      <c r="E2169" s="17" t="str">
        <f>IMAGE("https://www.serebii.net/itemdex/sprites/choicespecs.png")</f>
        <v/>
      </c>
      <c r="F2169" s="17" t="s">
        <v>2558</v>
      </c>
      <c r="G2169" s="17" t="s">
        <v>2569</v>
      </c>
      <c r="H2169" s="20" t="s">
        <v>2609</v>
      </c>
      <c r="I2169" s="17" t="s">
        <v>612</v>
      </c>
      <c r="J2169" s="17">
        <v>252.0</v>
      </c>
      <c r="K2169" s="17">
        <v>0.0</v>
      </c>
      <c r="L2169" s="17">
        <v>0.0</v>
      </c>
      <c r="M2169" s="17">
        <v>252.0</v>
      </c>
      <c r="N2169" s="17">
        <v>0.0</v>
      </c>
      <c r="O2169" s="17">
        <v>6.0</v>
      </c>
      <c r="P2169" s="17">
        <v>31.0</v>
      </c>
      <c r="Q2169" s="17">
        <v>31.0</v>
      </c>
      <c r="R2169" s="17">
        <v>31.0</v>
      </c>
      <c r="S2169" s="17">
        <v>31.0</v>
      </c>
      <c r="T2169" s="17">
        <v>31.0</v>
      </c>
      <c r="U2169" s="17">
        <v>31.0</v>
      </c>
    </row>
    <row r="2170" ht="23.25" customHeight="1">
      <c r="A2170" s="20" t="str">
        <f>IF(COUNTIF('Icon Lookup'!C:C,B2170)&gt;0,LOOKUP(B2170,'Icon Lookup'!C:C,'Icon Lookup'!B:B),"")</f>
        <v/>
      </c>
      <c r="B2170" s="21" t="s">
        <v>728</v>
      </c>
      <c r="C2170" s="20"/>
      <c r="D2170" s="20">
        <v>60.0</v>
      </c>
      <c r="E2170" s="20" t="str">
        <f>IMAGE("https://www.serebii.net/itemdex/sprites/sitrusberry.png")</f>
        <v/>
      </c>
      <c r="F2170" s="20" t="s">
        <v>31</v>
      </c>
      <c r="G2170" s="20" t="s">
        <v>824</v>
      </c>
      <c r="H2170" s="23" t="s">
        <v>2554</v>
      </c>
      <c r="I2170" s="20" t="s">
        <v>52</v>
      </c>
      <c r="J2170" s="20">
        <v>6.0</v>
      </c>
      <c r="K2170" s="20">
        <v>0.0</v>
      </c>
      <c r="L2170" s="20">
        <v>0.0</v>
      </c>
      <c r="M2170" s="20">
        <v>252.0</v>
      </c>
      <c r="N2170" s="20">
        <v>0.0</v>
      </c>
      <c r="O2170" s="20">
        <v>252.0</v>
      </c>
      <c r="P2170" s="20">
        <v>31.0</v>
      </c>
      <c r="Q2170" s="20">
        <v>31.0</v>
      </c>
      <c r="R2170" s="20">
        <v>31.0</v>
      </c>
      <c r="S2170" s="20">
        <v>31.0</v>
      </c>
      <c r="T2170" s="20">
        <v>31.0</v>
      </c>
      <c r="U2170" s="20">
        <v>31.0</v>
      </c>
    </row>
    <row r="2171" ht="23.25" customHeight="1">
      <c r="A2171" s="24" t="str">
        <f>IF(COUNTIF('Icon Lookup'!C:C,B2171)&gt;0,LOOKUP(B2171,'Icon Lookup'!C:C,'Icon Lookup'!B:B),"")</f>
        <v/>
      </c>
      <c r="B2171" s="25" t="s">
        <v>879</v>
      </c>
      <c r="C2171" s="24" t="s">
        <v>804</v>
      </c>
      <c r="D2171" s="24">
        <v>64.0</v>
      </c>
      <c r="E2171" s="24" t="str">
        <f>IMAGE("https://www.serebii.net/itemdex/sprites/expertbelt.png")</f>
        <v/>
      </c>
      <c r="F2171" s="24" t="s">
        <v>145</v>
      </c>
      <c r="G2171" s="17" t="s">
        <v>907</v>
      </c>
      <c r="H2171" s="20" t="s">
        <v>2610</v>
      </c>
      <c r="I2171" s="24" t="s">
        <v>22</v>
      </c>
      <c r="J2171" s="24">
        <v>6.0</v>
      </c>
      <c r="K2171" s="24">
        <v>252.0</v>
      </c>
      <c r="L2171" s="24">
        <v>0.0</v>
      </c>
      <c r="M2171" s="24">
        <v>0.0</v>
      </c>
      <c r="N2171" s="24">
        <v>0.0</v>
      </c>
      <c r="O2171" s="24">
        <v>252.0</v>
      </c>
      <c r="P2171" s="24">
        <v>31.0</v>
      </c>
      <c r="Q2171" s="24">
        <v>31.0</v>
      </c>
      <c r="R2171" s="24">
        <v>31.0</v>
      </c>
      <c r="S2171" s="24">
        <v>31.0</v>
      </c>
      <c r="T2171" s="24">
        <v>31.0</v>
      </c>
      <c r="U2171" s="24">
        <v>31.0</v>
      </c>
    </row>
    <row r="2172" ht="23.25" customHeight="1">
      <c r="A2172" s="1"/>
      <c r="B2172" s="15" t="s">
        <v>2611</v>
      </c>
      <c r="C2172" s="1" t="s">
        <v>17</v>
      </c>
      <c r="D2172" s="1" t="s">
        <v>2036</v>
      </c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</row>
    <row r="2173" ht="23.25" customHeight="1">
      <c r="A2173" s="20" t="str">
        <f>IF(COUNTIF('Icon Lookup'!C:C,B2173)&gt;0,LOOKUP(B2173,'Icon Lookup'!C:C,'Icon Lookup'!B:B),"")</f>
        <v/>
      </c>
      <c r="B2173" s="21" t="s">
        <v>1557</v>
      </c>
      <c r="C2173" s="20"/>
      <c r="D2173" s="20">
        <v>58.0</v>
      </c>
      <c r="E2173" s="20" t="str">
        <f>IMAGE("https://www.serebii.net/itemdex/sprites/whiteherb.png")</f>
        <v/>
      </c>
      <c r="F2173" s="20" t="s">
        <v>2612</v>
      </c>
      <c r="G2173" s="20" t="s">
        <v>2497</v>
      </c>
      <c r="H2173" s="23" t="s">
        <v>2613</v>
      </c>
      <c r="I2173" s="20" t="s">
        <v>612</v>
      </c>
      <c r="J2173" s="20">
        <v>252.0</v>
      </c>
      <c r="K2173" s="20">
        <v>0.0</v>
      </c>
      <c r="L2173" s="20">
        <v>0.0</v>
      </c>
      <c r="M2173" s="20">
        <v>252.0</v>
      </c>
      <c r="N2173" s="20">
        <v>0.0</v>
      </c>
      <c r="O2173" s="20">
        <v>6.0</v>
      </c>
      <c r="P2173" s="20">
        <v>31.0</v>
      </c>
      <c r="Q2173" s="20">
        <v>31.0</v>
      </c>
      <c r="R2173" s="20">
        <v>31.0</v>
      </c>
      <c r="S2173" s="20">
        <v>31.0</v>
      </c>
      <c r="T2173" s="20">
        <v>31.0</v>
      </c>
      <c r="U2173" s="20">
        <v>31.0</v>
      </c>
    </row>
    <row r="2174" ht="23.25" customHeight="1">
      <c r="A2174" s="17" t="str">
        <f>IF(COUNTIF('Icon Lookup'!C:C,B2174)&gt;0,LOOKUP(B2174,'Icon Lookup'!C:C,'Icon Lookup'!B:B),"")</f>
        <v/>
      </c>
      <c r="B2174" s="18" t="s">
        <v>2557</v>
      </c>
      <c r="C2174" s="17"/>
      <c r="D2174" s="17">
        <v>59.0</v>
      </c>
      <c r="E2174" s="17" t="str">
        <f>IMAGE("https://www.serebii.net/itemdex/sprites/choicespecs.png")</f>
        <v/>
      </c>
      <c r="F2174" s="17" t="s">
        <v>2558</v>
      </c>
      <c r="G2174" s="17" t="s">
        <v>2569</v>
      </c>
      <c r="H2174" s="20" t="s">
        <v>2609</v>
      </c>
      <c r="I2174" s="17" t="s">
        <v>612</v>
      </c>
      <c r="J2174" s="17">
        <v>252.0</v>
      </c>
      <c r="K2174" s="17">
        <v>0.0</v>
      </c>
      <c r="L2174" s="17">
        <v>0.0</v>
      </c>
      <c r="M2174" s="17">
        <v>252.0</v>
      </c>
      <c r="N2174" s="17">
        <v>0.0</v>
      </c>
      <c r="O2174" s="17">
        <v>6.0</v>
      </c>
      <c r="P2174" s="17">
        <v>31.0</v>
      </c>
      <c r="Q2174" s="17">
        <v>31.0</v>
      </c>
      <c r="R2174" s="17">
        <v>31.0</v>
      </c>
      <c r="S2174" s="17">
        <v>31.0</v>
      </c>
      <c r="T2174" s="17">
        <v>31.0</v>
      </c>
      <c r="U2174" s="17">
        <v>31.0</v>
      </c>
    </row>
    <row r="2175" ht="23.25" customHeight="1">
      <c r="A2175" s="20" t="str">
        <f>IF(COUNTIF('Icon Lookup'!C:C,B2175)&gt;0,LOOKUP(B2175,'Icon Lookup'!C:C,'Icon Lookup'!B:B),"")</f>
        <v/>
      </c>
      <c r="B2175" s="21" t="s">
        <v>2510</v>
      </c>
      <c r="C2175" s="20"/>
      <c r="D2175" s="20">
        <v>60.0</v>
      </c>
      <c r="E2175" s="20" t="str">
        <f>IMAGE("https://www.serebii.net/itemdex/sprites/focussash.png")</f>
        <v/>
      </c>
      <c r="F2175" s="20" t="s">
        <v>768</v>
      </c>
      <c r="G2175" s="20" t="s">
        <v>881</v>
      </c>
      <c r="H2175" s="23" t="s">
        <v>2602</v>
      </c>
      <c r="I2175" s="20" t="s">
        <v>52</v>
      </c>
      <c r="J2175" s="20">
        <v>6.0</v>
      </c>
      <c r="K2175" s="20">
        <v>0.0</v>
      </c>
      <c r="L2175" s="20">
        <v>0.0</v>
      </c>
      <c r="M2175" s="20">
        <v>252.0</v>
      </c>
      <c r="N2175" s="20">
        <v>0.0</v>
      </c>
      <c r="O2175" s="20">
        <v>252.0</v>
      </c>
      <c r="P2175" s="20">
        <v>31.0</v>
      </c>
      <c r="Q2175" s="20">
        <v>31.0</v>
      </c>
      <c r="R2175" s="20">
        <v>31.0</v>
      </c>
      <c r="S2175" s="20">
        <v>31.0</v>
      </c>
      <c r="T2175" s="20">
        <v>31.0</v>
      </c>
      <c r="U2175" s="20">
        <v>31.0</v>
      </c>
    </row>
    <row r="2176" ht="23.25" customHeight="1">
      <c r="A2176" s="17" t="str">
        <f>IF(COUNTIF('Icon Lookup'!C:C,B2176)&gt;0,LOOKUP(B2176,'Icon Lookup'!C:C,'Icon Lookup'!B:B),"")</f>
        <v/>
      </c>
      <c r="B2176" s="18" t="s">
        <v>2552</v>
      </c>
      <c r="C2176" s="17"/>
      <c r="D2176" s="17">
        <v>59.0</v>
      </c>
      <c r="E2176" s="17" t="str">
        <f>IMAGE("https://www.serebii.net/itemdex/sprites/expertbelt.png")</f>
        <v/>
      </c>
      <c r="F2176" s="17" t="s">
        <v>1802</v>
      </c>
      <c r="G2176" s="17" t="s">
        <v>907</v>
      </c>
      <c r="H2176" s="20" t="s">
        <v>2601</v>
      </c>
      <c r="I2176" s="17" t="s">
        <v>612</v>
      </c>
      <c r="J2176" s="17">
        <v>252.0</v>
      </c>
      <c r="K2176" s="17">
        <v>0.0</v>
      </c>
      <c r="L2176" s="17">
        <v>0.0</v>
      </c>
      <c r="M2176" s="17">
        <v>252.0</v>
      </c>
      <c r="N2176" s="17">
        <v>0.0</v>
      </c>
      <c r="O2176" s="17">
        <v>6.0</v>
      </c>
      <c r="P2176" s="17">
        <v>31.0</v>
      </c>
      <c r="Q2176" s="17">
        <v>31.0</v>
      </c>
      <c r="R2176" s="17">
        <v>31.0</v>
      </c>
      <c r="S2176" s="17">
        <v>31.0</v>
      </c>
      <c r="T2176" s="17">
        <v>31.0</v>
      </c>
      <c r="U2176" s="17">
        <v>31.0</v>
      </c>
    </row>
    <row r="2177" ht="23.25" customHeight="1">
      <c r="A2177" s="20" t="str">
        <f>IF(COUNTIF('Icon Lookup'!C:C,B2177)&gt;0,LOOKUP(B2177,'Icon Lookup'!C:C,'Icon Lookup'!B:B),"")</f>
        <v/>
      </c>
      <c r="B2177" s="21" t="s">
        <v>728</v>
      </c>
      <c r="C2177" s="20"/>
      <c r="D2177" s="20">
        <v>60.0</v>
      </c>
      <c r="E2177" s="20" t="str">
        <f>IMAGE("https://www.serebii.net/itemdex/sprites/sitrusberry.png")</f>
        <v/>
      </c>
      <c r="F2177" s="20" t="s">
        <v>31</v>
      </c>
      <c r="G2177" s="20" t="s">
        <v>824</v>
      </c>
      <c r="H2177" s="23" t="s">
        <v>2554</v>
      </c>
      <c r="I2177" s="20" t="s">
        <v>52</v>
      </c>
      <c r="J2177" s="20">
        <v>6.0</v>
      </c>
      <c r="K2177" s="20">
        <v>0.0</v>
      </c>
      <c r="L2177" s="20">
        <v>0.0</v>
      </c>
      <c r="M2177" s="20">
        <v>252.0</v>
      </c>
      <c r="N2177" s="20">
        <v>0.0</v>
      </c>
      <c r="O2177" s="20">
        <v>252.0</v>
      </c>
      <c r="P2177" s="20">
        <v>31.0</v>
      </c>
      <c r="Q2177" s="20">
        <v>31.0</v>
      </c>
      <c r="R2177" s="20">
        <v>31.0</v>
      </c>
      <c r="S2177" s="20">
        <v>31.0</v>
      </c>
      <c r="T2177" s="20">
        <v>31.0</v>
      </c>
      <c r="U2177" s="20">
        <v>31.0</v>
      </c>
    </row>
    <row r="2178" ht="23.25" customHeight="1">
      <c r="A2178" s="24" t="str">
        <f>IF(COUNTIF('Icon Lookup'!C:C,B2178)&gt;0,LOOKUP(B2178,'Icon Lookup'!C:C,'Icon Lookup'!B:B),"")</f>
        <v/>
      </c>
      <c r="B2178" s="25" t="s">
        <v>737</v>
      </c>
      <c r="C2178" s="24" t="s">
        <v>804</v>
      </c>
      <c r="D2178" s="24">
        <v>64.0</v>
      </c>
      <c r="E2178" s="24" t="str">
        <f>IMAGE("https://www.serebii.net/itemdex/sprites/leftovers.png")</f>
        <v/>
      </c>
      <c r="F2178" s="24" t="s">
        <v>374</v>
      </c>
      <c r="G2178" s="17" t="s">
        <v>859</v>
      </c>
      <c r="H2178" s="20" t="s">
        <v>2614</v>
      </c>
      <c r="I2178" s="24" t="s">
        <v>94</v>
      </c>
      <c r="J2178" s="24">
        <v>252.0</v>
      </c>
      <c r="K2178" s="24">
        <v>0.0</v>
      </c>
      <c r="L2178" s="24">
        <v>0.0</v>
      </c>
      <c r="M2178" s="24">
        <v>252.0</v>
      </c>
      <c r="N2178" s="24">
        <v>0.0</v>
      </c>
      <c r="O2178" s="24">
        <v>6.0</v>
      </c>
      <c r="P2178" s="24">
        <v>31.0</v>
      </c>
      <c r="Q2178" s="24">
        <v>31.0</v>
      </c>
      <c r="R2178" s="24">
        <v>31.0</v>
      </c>
      <c r="S2178" s="24">
        <v>31.0</v>
      </c>
      <c r="T2178" s="24">
        <v>31.0</v>
      </c>
      <c r="U2178" s="24">
        <v>31.0</v>
      </c>
    </row>
    <row r="2179" ht="23.25" customHeight="1">
      <c r="A2179" s="1"/>
      <c r="B2179" s="15" t="s">
        <v>2615</v>
      </c>
      <c r="C2179" s="1" t="s">
        <v>17</v>
      </c>
      <c r="D2179" s="1" t="s">
        <v>2036</v>
      </c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</row>
    <row r="2180" ht="23.25" customHeight="1">
      <c r="A2180" s="20" t="str">
        <f>IF(COUNTIF('Icon Lookup'!C:C,B2180)&gt;0,LOOKUP(B2180,'Icon Lookup'!C:C,'Icon Lookup'!B:B),"")</f>
        <v/>
      </c>
      <c r="B2180" s="21" t="s">
        <v>1369</v>
      </c>
      <c r="C2180" s="20"/>
      <c r="D2180" s="20">
        <v>68.0</v>
      </c>
      <c r="E2180" s="20" t="str">
        <f>IMAGE("https://www.serebii.net/itemdex/sprites/sitrusberry.png")</f>
        <v/>
      </c>
      <c r="F2180" s="20" t="s">
        <v>38</v>
      </c>
      <c r="G2180" s="20" t="s">
        <v>824</v>
      </c>
      <c r="H2180" s="23" t="s">
        <v>2616</v>
      </c>
      <c r="I2180" s="20" t="s">
        <v>22</v>
      </c>
      <c r="J2180" s="20">
        <v>128.0</v>
      </c>
      <c r="K2180" s="20">
        <v>0.0</v>
      </c>
      <c r="L2180" s="20">
        <v>128.0</v>
      </c>
      <c r="M2180" s="20">
        <v>0.0</v>
      </c>
      <c r="N2180" s="20">
        <v>0.0</v>
      </c>
      <c r="O2180" s="20">
        <v>252.0</v>
      </c>
      <c r="P2180" s="20">
        <v>31.0</v>
      </c>
      <c r="Q2180" s="20">
        <v>31.0</v>
      </c>
      <c r="R2180" s="20">
        <v>31.0</v>
      </c>
      <c r="S2180" s="20">
        <v>31.0</v>
      </c>
      <c r="T2180" s="20">
        <v>31.0</v>
      </c>
      <c r="U2180" s="20">
        <v>31.0</v>
      </c>
    </row>
    <row r="2181" ht="23.25" customHeight="1">
      <c r="A2181" s="17" t="str">
        <f>IF(COUNTIF('Icon Lookup'!C:C,B2181)&gt;0,LOOKUP(B2181,'Icon Lookup'!C:C,'Icon Lookup'!B:B),"")</f>
        <v/>
      </c>
      <c r="B2181" s="18" t="s">
        <v>2020</v>
      </c>
      <c r="C2181" s="17"/>
      <c r="D2181" s="17">
        <v>69.0</v>
      </c>
      <c r="E2181" s="17" t="str">
        <f>IMAGE("https://www.serebii.net/itemdex/sprites/lifeorb.png")</f>
        <v/>
      </c>
      <c r="F2181" s="17" t="s">
        <v>26</v>
      </c>
      <c r="G2181" s="17" t="s">
        <v>873</v>
      </c>
      <c r="H2181" s="20" t="s">
        <v>2617</v>
      </c>
      <c r="I2181" s="17" t="s">
        <v>550</v>
      </c>
      <c r="J2181" s="17">
        <v>6.0</v>
      </c>
      <c r="K2181" s="17">
        <v>252.0</v>
      </c>
      <c r="L2181" s="17">
        <v>0.0</v>
      </c>
      <c r="M2181" s="17">
        <v>0.0</v>
      </c>
      <c r="N2181" s="17">
        <v>0.0</v>
      </c>
      <c r="O2181" s="17">
        <v>252.0</v>
      </c>
      <c r="P2181" s="17">
        <v>31.0</v>
      </c>
      <c r="Q2181" s="17">
        <v>31.0</v>
      </c>
      <c r="R2181" s="17">
        <v>31.0</v>
      </c>
      <c r="S2181" s="17">
        <v>31.0</v>
      </c>
      <c r="T2181" s="17">
        <v>31.0</v>
      </c>
      <c r="U2181" s="17">
        <v>31.0</v>
      </c>
    </row>
    <row r="2182" ht="23.25" customHeight="1">
      <c r="A2182" s="20" t="str">
        <f>IF(COUNTIF('Icon Lookup'!C:C,B2182)&gt;0,LOOKUP(B2182,'Icon Lookup'!C:C,'Icon Lookup'!B:B),"")</f>
        <v/>
      </c>
      <c r="B2182" s="21" t="s">
        <v>476</v>
      </c>
      <c r="C2182" s="20"/>
      <c r="D2182" s="20">
        <v>70.0</v>
      </c>
      <c r="E2182" s="20" t="str">
        <f>IMAGE("https://www.serebii.net/itemdex/sprites/leftovers.png")</f>
        <v/>
      </c>
      <c r="F2182" s="20" t="s">
        <v>203</v>
      </c>
      <c r="G2182" s="20" t="s">
        <v>859</v>
      </c>
      <c r="H2182" s="23" t="s">
        <v>2618</v>
      </c>
      <c r="I2182" s="20" t="s">
        <v>52</v>
      </c>
      <c r="J2182" s="20">
        <v>252.0</v>
      </c>
      <c r="K2182" s="20">
        <v>0.0</v>
      </c>
      <c r="L2182" s="20">
        <v>6.0</v>
      </c>
      <c r="M2182" s="20">
        <v>0.0</v>
      </c>
      <c r="N2182" s="20">
        <v>0.0</v>
      </c>
      <c r="O2182" s="20">
        <v>252.0</v>
      </c>
      <c r="P2182" s="20">
        <v>31.0</v>
      </c>
      <c r="Q2182" s="20">
        <v>0.0</v>
      </c>
      <c r="R2182" s="20">
        <v>31.0</v>
      </c>
      <c r="S2182" s="20">
        <v>31.0</v>
      </c>
      <c r="T2182" s="20">
        <v>31.0</v>
      </c>
      <c r="U2182" s="20">
        <v>31.0</v>
      </c>
    </row>
    <row r="2183" ht="23.25" customHeight="1">
      <c r="A2183" s="17" t="str">
        <f>IF(COUNTIF('Icon Lookup'!C:C,B2183)&gt;0,LOOKUP(B2183,'Icon Lookup'!C:C,'Icon Lookup'!B:B),"")</f>
        <v/>
      </c>
      <c r="B2183" s="18" t="s">
        <v>2619</v>
      </c>
      <c r="C2183" s="17"/>
      <c r="D2183" s="17">
        <v>69.0</v>
      </c>
      <c r="E2183" s="17" t="str">
        <f>IMAGE("https://www.serebii.net/itemdex/sprites/focussash.png")</f>
        <v/>
      </c>
      <c r="F2183" s="17" t="s">
        <v>374</v>
      </c>
      <c r="G2183" s="17" t="s">
        <v>881</v>
      </c>
      <c r="H2183" s="20" t="s">
        <v>2620</v>
      </c>
      <c r="I2183" s="17" t="s">
        <v>612</v>
      </c>
      <c r="J2183" s="17">
        <v>6.0</v>
      </c>
      <c r="K2183" s="17">
        <v>0.0</v>
      </c>
      <c r="L2183" s="17">
        <v>0.0</v>
      </c>
      <c r="M2183" s="17">
        <v>252.0</v>
      </c>
      <c r="N2183" s="17">
        <v>0.0</v>
      </c>
      <c r="O2183" s="17">
        <v>252.0</v>
      </c>
      <c r="P2183" s="17">
        <v>31.0</v>
      </c>
      <c r="Q2183" s="17">
        <v>31.0</v>
      </c>
      <c r="R2183" s="17">
        <v>31.0</v>
      </c>
      <c r="S2183" s="17">
        <v>31.0</v>
      </c>
      <c r="T2183" s="17">
        <v>31.0</v>
      </c>
      <c r="U2183" s="17">
        <v>31.0</v>
      </c>
    </row>
    <row r="2184" ht="23.25" customHeight="1">
      <c r="A2184" s="20" t="str">
        <f>IF(COUNTIF('Icon Lookup'!C:C,B2184)&gt;0,LOOKUP(B2184,'Icon Lookup'!C:C,'Icon Lookup'!B:B),"")</f>
        <v/>
      </c>
      <c r="B2184" s="21" t="s">
        <v>2621</v>
      </c>
      <c r="C2184" s="20"/>
      <c r="D2184" s="20">
        <v>70.0</v>
      </c>
      <c r="E2184" s="20" t="str">
        <f>IMAGE("https://www.serebii.net/itemdex/sprites/expertbelt.png")</f>
        <v/>
      </c>
      <c r="F2184" s="20" t="s">
        <v>1004</v>
      </c>
      <c r="G2184" s="20" t="s">
        <v>907</v>
      </c>
      <c r="H2184" s="23" t="s">
        <v>2622</v>
      </c>
      <c r="I2184" s="20" t="s">
        <v>612</v>
      </c>
      <c r="J2184" s="20">
        <v>252.0</v>
      </c>
      <c r="K2184" s="20">
        <v>0.0</v>
      </c>
      <c r="L2184" s="20">
        <v>0.0</v>
      </c>
      <c r="M2184" s="20">
        <v>252.0</v>
      </c>
      <c r="N2184" s="20">
        <v>0.0</v>
      </c>
      <c r="O2184" s="20">
        <v>6.0</v>
      </c>
      <c r="P2184" s="20">
        <v>31.0</v>
      </c>
      <c r="Q2184" s="20">
        <v>31.0</v>
      </c>
      <c r="R2184" s="20">
        <v>31.0</v>
      </c>
      <c r="S2184" s="20">
        <v>31.0</v>
      </c>
      <c r="T2184" s="20">
        <v>31.0</v>
      </c>
      <c r="U2184" s="20">
        <v>31.0</v>
      </c>
    </row>
    <row r="2185" ht="23.25" customHeight="1">
      <c r="A2185" s="24" t="str">
        <f>IF(COUNTIF('Icon Lookup'!C:C,B2185)&gt;0,LOOKUP(B2185,'Icon Lookup'!C:C,'Icon Lookup'!B:B),"")</f>
        <v/>
      </c>
      <c r="B2185" s="25" t="s">
        <v>730</v>
      </c>
      <c r="C2185" s="24" t="s">
        <v>804</v>
      </c>
      <c r="D2185" s="24">
        <v>74.0</v>
      </c>
      <c r="E2185" s="24" t="str">
        <f>IMAGE("https://www.serebii.net/itemdex/sprites/yacheberry.png")</f>
        <v/>
      </c>
      <c r="F2185" s="24" t="s">
        <v>267</v>
      </c>
      <c r="G2185" s="17" t="s">
        <v>917</v>
      </c>
      <c r="H2185" s="20" t="s">
        <v>2605</v>
      </c>
      <c r="I2185" s="24" t="s">
        <v>822</v>
      </c>
      <c r="J2185" s="24">
        <v>128.0</v>
      </c>
      <c r="K2185" s="24">
        <v>252.0</v>
      </c>
      <c r="L2185" s="24">
        <v>128.0</v>
      </c>
      <c r="M2185" s="24">
        <v>0.0</v>
      </c>
      <c r="N2185" s="24">
        <v>0.0</v>
      </c>
      <c r="O2185" s="24">
        <v>0.0</v>
      </c>
      <c r="P2185" s="24">
        <v>31.0</v>
      </c>
      <c r="Q2185" s="24">
        <v>31.0</v>
      </c>
      <c r="R2185" s="24">
        <v>31.0</v>
      </c>
      <c r="S2185" s="24">
        <v>31.0</v>
      </c>
      <c r="T2185" s="24">
        <v>31.0</v>
      </c>
      <c r="U2185" s="24">
        <v>31.0</v>
      </c>
    </row>
    <row r="2186" ht="23.25" customHeight="1">
      <c r="A2186" s="1"/>
      <c r="B2186" s="15" t="s">
        <v>2623</v>
      </c>
      <c r="C2186" s="1" t="s">
        <v>17</v>
      </c>
      <c r="D2186" s="1" t="s">
        <v>2036</v>
      </c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</row>
    <row r="2187" ht="23.25" customHeight="1">
      <c r="A2187" s="20" t="str">
        <f>IF(COUNTIF('Icon Lookup'!C:C,B2187)&gt;0,LOOKUP(B2187,'Icon Lookup'!C:C,'Icon Lookup'!B:B),"")</f>
        <v/>
      </c>
      <c r="B2187" s="21" t="s">
        <v>718</v>
      </c>
      <c r="C2187" s="20"/>
      <c r="D2187" s="20">
        <v>68.0</v>
      </c>
      <c r="E2187" s="20" t="str">
        <f>IMAGE("https://www.serebii.net/itemdex/sprites/scopelens.png")</f>
        <v/>
      </c>
      <c r="F2187" s="20" t="s">
        <v>1367</v>
      </c>
      <c r="G2187" s="20" t="s">
        <v>855</v>
      </c>
      <c r="H2187" s="23" t="s">
        <v>2624</v>
      </c>
      <c r="I2187" s="20" t="s">
        <v>22</v>
      </c>
      <c r="J2187" s="20">
        <v>6.0</v>
      </c>
      <c r="K2187" s="20">
        <v>252.0</v>
      </c>
      <c r="L2187" s="20">
        <v>0.0</v>
      </c>
      <c r="M2187" s="20">
        <v>0.0</v>
      </c>
      <c r="N2187" s="20">
        <v>0.0</v>
      </c>
      <c r="O2187" s="20">
        <v>252.0</v>
      </c>
      <c r="P2187" s="20">
        <v>31.0</v>
      </c>
      <c r="Q2187" s="20">
        <v>31.0</v>
      </c>
      <c r="R2187" s="20">
        <v>31.0</v>
      </c>
      <c r="S2187" s="20">
        <v>31.0</v>
      </c>
      <c r="T2187" s="20">
        <v>31.0</v>
      </c>
      <c r="U2187" s="20">
        <v>31.0</v>
      </c>
    </row>
    <row r="2188" ht="23.25" customHeight="1">
      <c r="A2188" s="17" t="str">
        <f>IF(COUNTIF('Icon Lookup'!C:C,B2188)&gt;0,LOOKUP(B2188,'Icon Lookup'!C:C,'Icon Lookup'!B:B),"")</f>
        <v/>
      </c>
      <c r="B2188" s="18" t="s">
        <v>2625</v>
      </c>
      <c r="C2188" s="17"/>
      <c r="D2188" s="17">
        <v>69.0</v>
      </c>
      <c r="E2188" s="17" t="str">
        <f>IMAGE("https://www.serebii.net/itemdex/sprites/wikiberry.png")</f>
        <v/>
      </c>
      <c r="F2188" s="17" t="s">
        <v>44</v>
      </c>
      <c r="G2188" s="17" t="s">
        <v>2626</v>
      </c>
      <c r="H2188" s="20" t="s">
        <v>2627</v>
      </c>
      <c r="I2188" s="17" t="s">
        <v>612</v>
      </c>
      <c r="J2188" s="17">
        <v>252.0</v>
      </c>
      <c r="K2188" s="17">
        <v>0.0</v>
      </c>
      <c r="L2188" s="17">
        <v>0.0</v>
      </c>
      <c r="M2188" s="17">
        <v>252.0</v>
      </c>
      <c r="N2188" s="17">
        <v>0.0</v>
      </c>
      <c r="O2188" s="17">
        <v>6.0</v>
      </c>
      <c r="P2188" s="17">
        <v>31.0</v>
      </c>
      <c r="Q2188" s="17">
        <v>31.0</v>
      </c>
      <c r="R2188" s="17">
        <v>31.0</v>
      </c>
      <c r="S2188" s="17">
        <v>31.0</v>
      </c>
      <c r="T2188" s="17">
        <v>31.0</v>
      </c>
      <c r="U2188" s="17">
        <v>31.0</v>
      </c>
    </row>
    <row r="2189" ht="23.25" customHeight="1">
      <c r="A2189" s="20" t="str">
        <f>IF(COUNTIF('Icon Lookup'!C:C,B2189)&gt;0,LOOKUP(B2189,'Icon Lookup'!C:C,'Icon Lookup'!B:B),"")</f>
        <v/>
      </c>
      <c r="B2189" s="21" t="s">
        <v>2510</v>
      </c>
      <c r="C2189" s="20"/>
      <c r="D2189" s="20">
        <v>70.0</v>
      </c>
      <c r="E2189" s="20" t="str">
        <f>IMAGE("https://www.serebii.net/itemdex/sprites/focussash.png")</f>
        <v/>
      </c>
      <c r="F2189" s="20" t="s">
        <v>768</v>
      </c>
      <c r="G2189" s="20" t="s">
        <v>881</v>
      </c>
      <c r="H2189" s="23" t="s">
        <v>2602</v>
      </c>
      <c r="I2189" s="20" t="s">
        <v>52</v>
      </c>
      <c r="J2189" s="20">
        <v>6.0</v>
      </c>
      <c r="K2189" s="20">
        <v>0.0</v>
      </c>
      <c r="L2189" s="20">
        <v>0.0</v>
      </c>
      <c r="M2189" s="20">
        <v>252.0</v>
      </c>
      <c r="N2189" s="20">
        <v>0.0</v>
      </c>
      <c r="O2189" s="20">
        <v>252.0</v>
      </c>
      <c r="P2189" s="20">
        <v>31.0</v>
      </c>
      <c r="Q2189" s="20">
        <v>31.0</v>
      </c>
      <c r="R2189" s="20">
        <v>31.0</v>
      </c>
      <c r="S2189" s="20">
        <v>31.0</v>
      </c>
      <c r="T2189" s="20">
        <v>31.0</v>
      </c>
      <c r="U2189" s="20">
        <v>31.0</v>
      </c>
    </row>
    <row r="2190" ht="23.25" customHeight="1">
      <c r="A2190" s="17" t="str">
        <f>IF(COUNTIF('Icon Lookup'!C:C,B2190)&gt;0,LOOKUP(B2190,'Icon Lookup'!C:C,'Icon Lookup'!B:B),"")</f>
        <v/>
      </c>
      <c r="B2190" s="18" t="s">
        <v>2628</v>
      </c>
      <c r="C2190" s="17"/>
      <c r="D2190" s="17">
        <v>69.0</v>
      </c>
      <c r="E2190" s="17" t="str">
        <f>IMAGE("https://www.serebii.net/itemdex/sprites/whiteherb.png")</f>
        <v/>
      </c>
      <c r="F2190" s="17" t="s">
        <v>876</v>
      </c>
      <c r="G2190" s="17" t="s">
        <v>2497</v>
      </c>
      <c r="H2190" s="20" t="s">
        <v>2629</v>
      </c>
      <c r="I2190" s="17" t="s">
        <v>2499</v>
      </c>
      <c r="J2190" s="17">
        <v>252.0</v>
      </c>
      <c r="K2190" s="17">
        <v>252.0</v>
      </c>
      <c r="L2190" s="17">
        <v>0.0</v>
      </c>
      <c r="M2190" s="17">
        <v>0.0</v>
      </c>
      <c r="N2190" s="17">
        <v>0.0</v>
      </c>
      <c r="O2190" s="17">
        <v>6.0</v>
      </c>
      <c r="P2190" s="17">
        <v>31.0</v>
      </c>
      <c r="Q2190" s="17">
        <v>31.0</v>
      </c>
      <c r="R2190" s="17">
        <v>31.0</v>
      </c>
      <c r="S2190" s="17">
        <v>31.0</v>
      </c>
      <c r="T2190" s="17">
        <v>31.0</v>
      </c>
      <c r="U2190" s="17">
        <v>31.0</v>
      </c>
    </row>
    <row r="2191" ht="23.25" customHeight="1">
      <c r="A2191" s="20" t="str">
        <f>IF(COUNTIF('Icon Lookup'!C:C,B2191)&gt;0,LOOKUP(B2191,'Icon Lookup'!C:C,'Icon Lookup'!B:B),"")</f>
        <v/>
      </c>
      <c r="B2191" s="21" t="s">
        <v>471</v>
      </c>
      <c r="C2191" s="20"/>
      <c r="D2191" s="20">
        <v>70.0</v>
      </c>
      <c r="E2191" s="20" t="str">
        <f>IMAGE("https://www.serebii.net/itemdex/sprites/lifeorb.png")</f>
        <v/>
      </c>
      <c r="F2191" s="20" t="s">
        <v>1109</v>
      </c>
      <c r="G2191" s="20" t="s">
        <v>873</v>
      </c>
      <c r="H2191" s="23" t="s">
        <v>2630</v>
      </c>
      <c r="I2191" s="20" t="s">
        <v>22</v>
      </c>
      <c r="J2191" s="20">
        <v>6.0</v>
      </c>
      <c r="K2191" s="20">
        <v>252.0</v>
      </c>
      <c r="L2191" s="20">
        <v>0.0</v>
      </c>
      <c r="M2191" s="20">
        <v>0.0</v>
      </c>
      <c r="N2191" s="20">
        <v>0.0</v>
      </c>
      <c r="O2191" s="20">
        <v>252.0</v>
      </c>
      <c r="P2191" s="20">
        <v>31.0</v>
      </c>
      <c r="Q2191" s="20">
        <v>31.0</v>
      </c>
      <c r="R2191" s="20">
        <v>31.0</v>
      </c>
      <c r="S2191" s="20">
        <v>31.0</v>
      </c>
      <c r="T2191" s="20">
        <v>31.0</v>
      </c>
      <c r="U2191" s="20">
        <v>31.0</v>
      </c>
    </row>
    <row r="2192" ht="23.25" customHeight="1">
      <c r="A2192" s="24" t="str">
        <f>IF(COUNTIF('Icon Lookup'!C:C,B2192)&gt;0,LOOKUP(B2192,'Icon Lookup'!C:C,'Icon Lookup'!B:B),"")</f>
        <v/>
      </c>
      <c r="B2192" s="25" t="s">
        <v>879</v>
      </c>
      <c r="C2192" s="24" t="s">
        <v>804</v>
      </c>
      <c r="D2192" s="24">
        <v>74.0</v>
      </c>
      <c r="E2192" s="24" t="str">
        <f>IMAGE("https://www.serebii.net/itemdex/sprites/expertbelt.png")</f>
        <v/>
      </c>
      <c r="F2192" s="24" t="s">
        <v>145</v>
      </c>
      <c r="G2192" s="17" t="s">
        <v>907</v>
      </c>
      <c r="H2192" s="20" t="s">
        <v>2610</v>
      </c>
      <c r="I2192" s="24" t="s">
        <v>22</v>
      </c>
      <c r="J2192" s="24">
        <v>6.0</v>
      </c>
      <c r="K2192" s="24">
        <v>252.0</v>
      </c>
      <c r="L2192" s="24">
        <v>0.0</v>
      </c>
      <c r="M2192" s="24">
        <v>0.0</v>
      </c>
      <c r="N2192" s="24">
        <v>0.0</v>
      </c>
      <c r="O2192" s="24">
        <v>252.0</v>
      </c>
      <c r="P2192" s="24">
        <v>31.0</v>
      </c>
      <c r="Q2192" s="24">
        <v>31.0</v>
      </c>
      <c r="R2192" s="24">
        <v>31.0</v>
      </c>
      <c r="S2192" s="24">
        <v>31.0</v>
      </c>
      <c r="T2192" s="24">
        <v>31.0</v>
      </c>
      <c r="U2192" s="24">
        <v>31.0</v>
      </c>
    </row>
    <row r="2193" ht="23.25" customHeight="1">
      <c r="A2193" s="1"/>
      <c r="B2193" s="15" t="s">
        <v>2631</v>
      </c>
      <c r="C2193" s="1" t="s">
        <v>17</v>
      </c>
      <c r="D2193" s="1" t="s">
        <v>2036</v>
      </c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</row>
    <row r="2194" ht="23.25" customHeight="1">
      <c r="A2194" s="20" t="str">
        <f>IF(COUNTIF('Icon Lookup'!C:C,B2194)&gt;0,LOOKUP(B2194,'Icon Lookup'!C:C,'Icon Lookup'!B:B),"")</f>
        <v/>
      </c>
      <c r="B2194" s="21" t="s">
        <v>2632</v>
      </c>
      <c r="C2194" s="20"/>
      <c r="D2194" s="20">
        <v>68.0</v>
      </c>
      <c r="E2194" s="20" t="str">
        <f>IMAGE("https://www.serebii.net/itemdex/sprites/lumberry.png")</f>
        <v/>
      </c>
      <c r="F2194" s="20" t="s">
        <v>240</v>
      </c>
      <c r="G2194" s="20" t="s">
        <v>2533</v>
      </c>
      <c r="H2194" s="23" t="s">
        <v>2633</v>
      </c>
      <c r="I2194" s="20" t="s">
        <v>52</v>
      </c>
      <c r="J2194" s="20">
        <v>6.0</v>
      </c>
      <c r="K2194" s="20">
        <v>0.0</v>
      </c>
      <c r="L2194" s="20">
        <v>0.0</v>
      </c>
      <c r="M2194" s="20">
        <v>252.0</v>
      </c>
      <c r="N2194" s="20">
        <v>0.0</v>
      </c>
      <c r="O2194" s="20">
        <v>252.0</v>
      </c>
      <c r="P2194" s="20">
        <v>31.0</v>
      </c>
      <c r="Q2194" s="20">
        <v>31.0</v>
      </c>
      <c r="R2194" s="20">
        <v>31.0</v>
      </c>
      <c r="S2194" s="20">
        <v>31.0</v>
      </c>
      <c r="T2194" s="20">
        <v>31.0</v>
      </c>
      <c r="U2194" s="20">
        <v>31.0</v>
      </c>
    </row>
    <row r="2195" ht="23.25" customHeight="1">
      <c r="A2195" s="17" t="str">
        <f>IF(COUNTIF('Icon Lookup'!C:C,B2195)&gt;0,LOOKUP(B2195,'Icon Lookup'!C:C,'Icon Lookup'!B:B),"")</f>
        <v/>
      </c>
      <c r="B2195" s="18" t="s">
        <v>2634</v>
      </c>
      <c r="C2195" s="17"/>
      <c r="D2195" s="17">
        <v>69.0</v>
      </c>
      <c r="E2195" s="17" t="str">
        <f>IMAGE("https://www.serebii.net/itemdex/sprites/persimberry.png")</f>
        <v/>
      </c>
      <c r="F2195" s="17" t="s">
        <v>66</v>
      </c>
      <c r="G2195" s="17" t="s">
        <v>2635</v>
      </c>
      <c r="H2195" s="20" t="s">
        <v>2636</v>
      </c>
      <c r="I2195" s="17" t="s">
        <v>612</v>
      </c>
      <c r="J2195" s="17">
        <v>6.0</v>
      </c>
      <c r="K2195" s="17">
        <v>0.0</v>
      </c>
      <c r="L2195" s="17">
        <v>0.0</v>
      </c>
      <c r="M2195" s="17">
        <v>252.0</v>
      </c>
      <c r="N2195" s="17">
        <v>0.0</v>
      </c>
      <c r="O2195" s="17">
        <v>252.0</v>
      </c>
      <c r="P2195" s="17">
        <v>31.0</v>
      </c>
      <c r="Q2195" s="17">
        <v>31.0</v>
      </c>
      <c r="R2195" s="17">
        <v>31.0</v>
      </c>
      <c r="S2195" s="17">
        <v>31.0</v>
      </c>
      <c r="T2195" s="17">
        <v>31.0</v>
      </c>
      <c r="U2195" s="17">
        <v>31.0</v>
      </c>
    </row>
    <row r="2196" ht="23.25" customHeight="1">
      <c r="A2196" s="20" t="str">
        <f>IF(COUNTIF('Icon Lookup'!C:C,B2196)&gt;0,LOOKUP(B2196,'Icon Lookup'!C:C,'Icon Lookup'!B:B),"")</f>
        <v/>
      </c>
      <c r="B2196" s="21" t="s">
        <v>2517</v>
      </c>
      <c r="C2196" s="20"/>
      <c r="D2196" s="20">
        <v>70.0</v>
      </c>
      <c r="E2196" s="20" t="str">
        <f>IMAGE("https://www.serebii.net/itemdex/sprites/lifeorb.png")</f>
        <v/>
      </c>
      <c r="F2196" s="20" t="s">
        <v>382</v>
      </c>
      <c r="G2196" s="20" t="s">
        <v>873</v>
      </c>
      <c r="H2196" s="23" t="s">
        <v>2637</v>
      </c>
      <c r="I2196" s="20" t="s">
        <v>550</v>
      </c>
      <c r="J2196" s="20">
        <v>128.0</v>
      </c>
      <c r="K2196" s="20">
        <v>252.0</v>
      </c>
      <c r="L2196" s="20">
        <v>128.0</v>
      </c>
      <c r="M2196" s="20">
        <v>0.0</v>
      </c>
      <c r="N2196" s="20">
        <v>0.0</v>
      </c>
      <c r="O2196" s="20">
        <v>0.0</v>
      </c>
      <c r="P2196" s="20">
        <v>31.0</v>
      </c>
      <c r="Q2196" s="20">
        <v>31.0</v>
      </c>
      <c r="R2196" s="20">
        <v>31.0</v>
      </c>
      <c r="S2196" s="20">
        <v>31.0</v>
      </c>
      <c r="T2196" s="20">
        <v>31.0</v>
      </c>
      <c r="U2196" s="20">
        <v>31.0</v>
      </c>
    </row>
    <row r="2197" ht="23.25" customHeight="1">
      <c r="A2197" s="17" t="str">
        <f>IF(COUNTIF('Icon Lookup'!C:C,B2197)&gt;0,LOOKUP(B2197,'Icon Lookup'!C:C,'Icon Lookup'!B:B),"")</f>
        <v/>
      </c>
      <c r="B2197" s="18" t="s">
        <v>2638</v>
      </c>
      <c r="C2197" s="17"/>
      <c r="D2197" s="17">
        <v>69.0</v>
      </c>
      <c r="E2197" s="17" t="str">
        <f>IMAGE("https://www.serebii.net/itemdex/sprites/choicescarf.png")</f>
        <v/>
      </c>
      <c r="F2197" s="17" t="s">
        <v>79</v>
      </c>
      <c r="G2197" s="17" t="s">
        <v>2472</v>
      </c>
      <c r="H2197" s="20" t="s">
        <v>2639</v>
      </c>
      <c r="I2197" s="17" t="s">
        <v>52</v>
      </c>
      <c r="J2197" s="17">
        <v>6.0</v>
      </c>
      <c r="K2197" s="17">
        <v>0.0</v>
      </c>
      <c r="L2197" s="17">
        <v>0.0</v>
      </c>
      <c r="M2197" s="17">
        <v>252.0</v>
      </c>
      <c r="N2197" s="17">
        <v>0.0</v>
      </c>
      <c r="O2197" s="17">
        <v>252.0</v>
      </c>
      <c r="P2197" s="17">
        <v>31.0</v>
      </c>
      <c r="Q2197" s="17">
        <v>31.0</v>
      </c>
      <c r="R2197" s="17">
        <v>31.0</v>
      </c>
      <c r="S2197" s="17">
        <v>31.0</v>
      </c>
      <c r="T2197" s="17">
        <v>31.0</v>
      </c>
      <c r="U2197" s="17">
        <v>31.0</v>
      </c>
    </row>
    <row r="2198" ht="23.25" customHeight="1">
      <c r="A2198" s="20" t="str">
        <f>IF(COUNTIF('Icon Lookup'!C:C,B2198)&gt;0,LOOKUP(B2198,'Icon Lookup'!C:C,'Icon Lookup'!B:B),"")</f>
        <v/>
      </c>
      <c r="B2198" s="21" t="s">
        <v>482</v>
      </c>
      <c r="C2198" s="20"/>
      <c r="D2198" s="20">
        <v>70.0</v>
      </c>
      <c r="E2198" s="20" t="str">
        <f>IMAGE("https://www.serebii.net/itemdex/sprites/laggingtail.png")</f>
        <v/>
      </c>
      <c r="F2198" s="20" t="s">
        <v>337</v>
      </c>
      <c r="G2198" s="20" t="s">
        <v>2640</v>
      </c>
      <c r="H2198" s="23" t="s">
        <v>2641</v>
      </c>
      <c r="I2198" s="20" t="s">
        <v>265</v>
      </c>
      <c r="J2198" s="20">
        <v>252.0</v>
      </c>
      <c r="K2198" s="20">
        <v>252.0</v>
      </c>
      <c r="L2198" s="20">
        <v>6.0</v>
      </c>
      <c r="M2198" s="20">
        <v>0.0</v>
      </c>
      <c r="N2198" s="20">
        <v>0.0</v>
      </c>
      <c r="O2198" s="20">
        <v>0.0</v>
      </c>
      <c r="P2198" s="20">
        <v>31.0</v>
      </c>
      <c r="Q2198" s="20">
        <v>31.0</v>
      </c>
      <c r="R2198" s="20">
        <v>31.0</v>
      </c>
      <c r="S2198" s="20">
        <v>31.0</v>
      </c>
      <c r="T2198" s="20">
        <v>31.0</v>
      </c>
      <c r="U2198" s="20">
        <v>31.0</v>
      </c>
    </row>
    <row r="2199" ht="23.25" customHeight="1">
      <c r="A2199" s="24" t="str">
        <f>IF(COUNTIF('Icon Lookup'!C:C,B2199)&gt;0,LOOKUP(B2199,'Icon Lookup'!C:C,'Icon Lookup'!B:B),"")</f>
        <v/>
      </c>
      <c r="B2199" s="25" t="s">
        <v>737</v>
      </c>
      <c r="C2199" s="24" t="s">
        <v>804</v>
      </c>
      <c r="D2199" s="24">
        <v>74.0</v>
      </c>
      <c r="E2199" s="24" t="str">
        <f>IMAGE("https://www.serebii.net/itemdex/sprites/leftovers.png")</f>
        <v/>
      </c>
      <c r="F2199" s="24" t="s">
        <v>374</v>
      </c>
      <c r="G2199" s="17" t="s">
        <v>859</v>
      </c>
      <c r="H2199" s="20" t="s">
        <v>2614</v>
      </c>
      <c r="I2199" s="24" t="s">
        <v>94</v>
      </c>
      <c r="J2199" s="24">
        <v>252.0</v>
      </c>
      <c r="K2199" s="24">
        <v>0.0</v>
      </c>
      <c r="L2199" s="24">
        <v>0.0</v>
      </c>
      <c r="M2199" s="24">
        <v>252.0</v>
      </c>
      <c r="N2199" s="24">
        <v>0.0</v>
      </c>
      <c r="O2199" s="24">
        <v>6.0</v>
      </c>
      <c r="P2199" s="24">
        <v>31.0</v>
      </c>
      <c r="Q2199" s="24">
        <v>31.0</v>
      </c>
      <c r="R2199" s="24">
        <v>31.0</v>
      </c>
      <c r="S2199" s="24">
        <v>31.0</v>
      </c>
      <c r="T2199" s="24">
        <v>31.0</v>
      </c>
      <c r="U2199" s="24">
        <v>31.0</v>
      </c>
    </row>
    <row r="2200" ht="23.25" customHeight="1">
      <c r="A2200" s="1"/>
      <c r="B2200" s="15" t="s">
        <v>2642</v>
      </c>
      <c r="C2200" s="1" t="s">
        <v>17</v>
      </c>
      <c r="D2200" s="1" t="s">
        <v>843</v>
      </c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</row>
    <row r="2201" ht="23.25" customHeight="1">
      <c r="A2201" s="20" t="str">
        <f>IF(COUNTIF('Icon Lookup'!C:C,B2201)&gt;0,LOOKUP(B2201,'Icon Lookup'!C:C,'Icon Lookup'!B:B),"")</f>
        <v/>
      </c>
      <c r="B2201" s="21" t="s">
        <v>2643</v>
      </c>
      <c r="C2201" s="20"/>
      <c r="D2201" s="20">
        <v>65.0</v>
      </c>
      <c r="E2201" s="20" t="str">
        <f>IMAGE("https://www.serebii.net/itemdex/sprites/wiseglasses.png")</f>
        <v/>
      </c>
      <c r="F2201" s="20" t="s">
        <v>2644</v>
      </c>
      <c r="G2201" s="20" t="s">
        <v>846</v>
      </c>
      <c r="H2201" s="23" t="s">
        <v>2645</v>
      </c>
      <c r="I2201" s="20" t="s">
        <v>52</v>
      </c>
      <c r="J2201" s="20">
        <v>52.0</v>
      </c>
      <c r="K2201" s="20">
        <v>0.0</v>
      </c>
      <c r="L2201" s="20">
        <v>0.0</v>
      </c>
      <c r="M2201" s="20">
        <v>252.0</v>
      </c>
      <c r="N2201" s="20">
        <v>0.0</v>
      </c>
      <c r="O2201" s="20">
        <v>204.0</v>
      </c>
      <c r="P2201" s="20">
        <v>31.0</v>
      </c>
      <c r="Q2201" s="20">
        <v>0.0</v>
      </c>
      <c r="R2201" s="20">
        <v>31.0</v>
      </c>
      <c r="S2201" s="20">
        <v>31.0</v>
      </c>
      <c r="T2201" s="20">
        <v>31.0</v>
      </c>
      <c r="U2201" s="20">
        <v>31.0</v>
      </c>
    </row>
    <row r="2202" ht="23.25" customHeight="1">
      <c r="A2202" s="17" t="str">
        <f>IF(COUNTIF('Icon Lookup'!C:C,B2202)&gt;0,LOOKUP(B2202,'Icon Lookup'!C:C,'Icon Lookup'!B:B),"")</f>
        <v/>
      </c>
      <c r="B2202" s="18" t="s">
        <v>2646</v>
      </c>
      <c r="C2202" s="17"/>
      <c r="D2202" s="17">
        <v>65.0</v>
      </c>
      <c r="E2202" s="17" t="str">
        <f>IMAGE("https://www.serebii.net/itemdex/sprites/occaberry.png")</f>
        <v/>
      </c>
      <c r="F2202" s="17" t="s">
        <v>1109</v>
      </c>
      <c r="G2202" s="17" t="s">
        <v>2647</v>
      </c>
      <c r="H2202" s="20" t="s">
        <v>2648</v>
      </c>
      <c r="I2202" s="17" t="s">
        <v>550</v>
      </c>
      <c r="J2202" s="17">
        <v>252.0</v>
      </c>
      <c r="K2202" s="17">
        <v>252.0</v>
      </c>
      <c r="L2202" s="17">
        <v>0.0</v>
      </c>
      <c r="M2202" s="17">
        <v>0.0</v>
      </c>
      <c r="N2202" s="17">
        <v>0.0</v>
      </c>
      <c r="O2202" s="17">
        <v>0.0</v>
      </c>
      <c r="P2202" s="17">
        <v>31.0</v>
      </c>
      <c r="Q2202" s="17">
        <v>31.0</v>
      </c>
      <c r="R2202" s="17">
        <v>31.0</v>
      </c>
      <c r="S2202" s="17">
        <v>0.0</v>
      </c>
      <c r="T2202" s="17">
        <v>31.0</v>
      </c>
      <c r="U2202" s="17">
        <v>31.0</v>
      </c>
    </row>
    <row r="2203" ht="23.25" customHeight="1">
      <c r="A2203" s="20" t="str">
        <f>IF(COUNTIF('Icon Lookup'!C:C,B2203)&gt;0,LOOKUP(B2203,'Icon Lookup'!C:C,'Icon Lookup'!B:B),"")</f>
        <v/>
      </c>
      <c r="B2203" s="21" t="s">
        <v>848</v>
      </c>
      <c r="C2203" s="20"/>
      <c r="D2203" s="20">
        <v>66.0</v>
      </c>
      <c r="E2203" s="20" t="str">
        <f>IMAGE("https://www.serebii.net/itemdex/sprites/sitrusberry.png")</f>
        <v/>
      </c>
      <c r="F2203" s="20" t="s">
        <v>849</v>
      </c>
      <c r="G2203" s="20" t="s">
        <v>824</v>
      </c>
      <c r="H2203" s="23" t="s">
        <v>2649</v>
      </c>
      <c r="I2203" s="20" t="s">
        <v>550</v>
      </c>
      <c r="J2203" s="20">
        <v>252.0</v>
      </c>
      <c r="K2203" s="20">
        <v>252.0</v>
      </c>
      <c r="L2203" s="20">
        <v>0.0</v>
      </c>
      <c r="M2203" s="20">
        <v>0.0</v>
      </c>
      <c r="N2203" s="20">
        <v>0.0</v>
      </c>
      <c r="O2203" s="20">
        <v>0.0</v>
      </c>
      <c r="P2203" s="20">
        <v>31.0</v>
      </c>
      <c r="Q2203" s="20">
        <v>31.0</v>
      </c>
      <c r="R2203" s="20">
        <v>31.0</v>
      </c>
      <c r="S2203" s="20">
        <v>0.0</v>
      </c>
      <c r="T2203" s="20">
        <v>31.0</v>
      </c>
      <c r="U2203" s="20">
        <v>31.0</v>
      </c>
    </row>
    <row r="2204" ht="23.25" customHeight="1">
      <c r="A2204" s="17" t="str">
        <f>IF(COUNTIF('Icon Lookup'!C:C,B2204)&gt;0,LOOKUP(B2204,'Icon Lookup'!C:C,'Icon Lookup'!B:B),"")</f>
        <v/>
      </c>
      <c r="B2204" s="18" t="s">
        <v>851</v>
      </c>
      <c r="C2204" s="17"/>
      <c r="D2204" s="17">
        <v>67.0</v>
      </c>
      <c r="E2204" s="17" t="str">
        <f>IMAGE("https://www.serebii.net/itemdex/sprites/flameorb.png")</f>
        <v/>
      </c>
      <c r="F2204" s="17" t="s">
        <v>276</v>
      </c>
      <c r="G2204" s="17" t="s">
        <v>852</v>
      </c>
      <c r="H2204" s="20" t="s">
        <v>2650</v>
      </c>
      <c r="I2204" s="17" t="s">
        <v>22</v>
      </c>
      <c r="J2204" s="17">
        <v>52.0</v>
      </c>
      <c r="K2204" s="17">
        <v>252.0</v>
      </c>
      <c r="L2204" s="17">
        <v>0.0</v>
      </c>
      <c r="M2204" s="17">
        <v>0.0</v>
      </c>
      <c r="N2204" s="17">
        <v>0.0</v>
      </c>
      <c r="O2204" s="17">
        <v>204.0</v>
      </c>
      <c r="P2204" s="17">
        <v>31.0</v>
      </c>
      <c r="Q2204" s="17">
        <v>31.0</v>
      </c>
      <c r="R2204" s="17">
        <v>31.0</v>
      </c>
      <c r="S2204" s="17">
        <v>0.0</v>
      </c>
      <c r="T2204" s="17">
        <v>31.0</v>
      </c>
      <c r="U2204" s="17">
        <v>31.0</v>
      </c>
    </row>
    <row r="2205" ht="23.25" customHeight="1">
      <c r="A2205" s="24" t="str">
        <f>IF(COUNTIF('Icon Lookup'!C:C,B2205)&gt;0,LOOKUP(B2205,'Icon Lookup'!C:C,'Icon Lookup'!B:B),"")</f>
        <v/>
      </c>
      <c r="B2205" s="25" t="s">
        <v>854</v>
      </c>
      <c r="C2205" s="24" t="s">
        <v>804</v>
      </c>
      <c r="D2205" s="24">
        <v>69.0</v>
      </c>
      <c r="E2205" s="24" t="str">
        <f>IMAGE("https://www.serebii.net/itemdex/sprites/scopelens.png")</f>
        <v/>
      </c>
      <c r="F2205" s="24" t="s">
        <v>557</v>
      </c>
      <c r="G2205" s="20" t="s">
        <v>855</v>
      </c>
      <c r="H2205" s="23" t="s">
        <v>856</v>
      </c>
      <c r="I2205" s="24" t="s">
        <v>22</v>
      </c>
      <c r="J2205" s="24">
        <v>52.0</v>
      </c>
      <c r="K2205" s="24">
        <v>252.0</v>
      </c>
      <c r="L2205" s="24">
        <v>0.0</v>
      </c>
      <c r="M2205" s="24">
        <v>0.0</v>
      </c>
      <c r="N2205" s="24">
        <v>0.0</v>
      </c>
      <c r="O2205" s="24">
        <v>204.0</v>
      </c>
      <c r="P2205" s="24">
        <v>31.0</v>
      </c>
      <c r="Q2205" s="24">
        <v>31.0</v>
      </c>
      <c r="R2205" s="24">
        <v>31.0</v>
      </c>
      <c r="S2205" s="24">
        <v>0.0</v>
      </c>
      <c r="T2205" s="24">
        <v>31.0</v>
      </c>
      <c r="U2205" s="24">
        <v>31.0</v>
      </c>
    </row>
    <row r="2206" ht="23.25" customHeight="1">
      <c r="A2206" s="1"/>
      <c r="B2206" s="15" t="s">
        <v>2651</v>
      </c>
      <c r="C2206" s="1" t="s">
        <v>17</v>
      </c>
      <c r="D2206" s="1" t="s">
        <v>858</v>
      </c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</row>
    <row r="2207" ht="23.25" customHeight="1">
      <c r="A2207" s="17" t="str">
        <f>IF(COUNTIF('Icon Lookup'!C:C,B2207)&gt;0,LOOKUP(B2207,'Icon Lookup'!C:C,'Icon Lookup'!B:B),"")</f>
        <v/>
      </c>
      <c r="B2207" s="18" t="s">
        <v>568</v>
      </c>
      <c r="C2207" s="17"/>
      <c r="D2207" s="17">
        <v>66.0</v>
      </c>
      <c r="E2207" s="17" t="str">
        <f>IMAGE("https://www.serebii.net/itemdex/sprites/rindoberry.png")</f>
        <v/>
      </c>
      <c r="F2207" s="17" t="s">
        <v>641</v>
      </c>
      <c r="G2207" s="17" t="s">
        <v>863</v>
      </c>
      <c r="H2207" s="20" t="s">
        <v>2652</v>
      </c>
      <c r="I2207" s="17" t="s">
        <v>822</v>
      </c>
      <c r="J2207" s="17">
        <v>0.0</v>
      </c>
      <c r="K2207" s="17">
        <v>252.0</v>
      </c>
      <c r="L2207" s="17">
        <v>0.0</v>
      </c>
      <c r="M2207" s="17">
        <v>252.0</v>
      </c>
      <c r="N2207" s="17">
        <v>0.0</v>
      </c>
      <c r="O2207" s="17">
        <v>0.0</v>
      </c>
      <c r="P2207" s="17">
        <v>31.0</v>
      </c>
      <c r="Q2207" s="17">
        <v>31.0</v>
      </c>
      <c r="R2207" s="17">
        <v>31.0</v>
      </c>
      <c r="S2207" s="17">
        <v>31.0</v>
      </c>
      <c r="T2207" s="17">
        <v>31.0</v>
      </c>
      <c r="U2207" s="17">
        <v>0.0</v>
      </c>
    </row>
    <row r="2208" ht="23.25" customHeight="1">
      <c r="A2208" s="20" t="str">
        <f>IF(COUNTIF('Icon Lookup'!C:C,B2208)&gt;0,LOOKUP(B2208,'Icon Lookup'!C:C,'Icon Lookup'!B:B),"")</f>
        <v/>
      </c>
      <c r="B2208" s="21" t="s">
        <v>2590</v>
      </c>
      <c r="C2208" s="20"/>
      <c r="D2208" s="20">
        <v>69.0</v>
      </c>
      <c r="E2208" s="20" t="str">
        <f>IMAGE("https://www.serebii.net/itemdex/sprites/sitrusberry.png")</f>
        <v/>
      </c>
      <c r="F2208" s="20" t="s">
        <v>1791</v>
      </c>
      <c r="G2208" s="20" t="s">
        <v>824</v>
      </c>
      <c r="H2208" s="23" t="s">
        <v>2653</v>
      </c>
      <c r="I2208" s="20" t="s">
        <v>550</v>
      </c>
      <c r="J2208" s="20">
        <v>252.0</v>
      </c>
      <c r="K2208" s="20">
        <v>252.0</v>
      </c>
      <c r="L2208" s="20">
        <v>0.0</v>
      </c>
      <c r="M2208" s="20">
        <v>0.0</v>
      </c>
      <c r="N2208" s="20">
        <v>0.0</v>
      </c>
      <c r="O2208" s="20">
        <v>0.0</v>
      </c>
      <c r="P2208" s="20">
        <v>31.0</v>
      </c>
      <c r="Q2208" s="20">
        <v>31.0</v>
      </c>
      <c r="R2208" s="20">
        <v>31.0</v>
      </c>
      <c r="S2208" s="20">
        <v>0.0</v>
      </c>
      <c r="T2208" s="20">
        <v>31.0</v>
      </c>
      <c r="U2208" s="20">
        <v>31.0</v>
      </c>
    </row>
    <row r="2209" ht="23.25" customHeight="1">
      <c r="A2209" s="17" t="str">
        <f>IF(COUNTIF('Icon Lookup'!C:C,B2209)&gt;0,LOOKUP(B2209,'Icon Lookup'!C:C,'Icon Lookup'!B:B),"")</f>
        <v/>
      </c>
      <c r="B2209" s="18" t="s">
        <v>735</v>
      </c>
      <c r="C2209" s="17"/>
      <c r="D2209" s="17">
        <v>68.0</v>
      </c>
      <c r="E2209" s="17" t="str">
        <f>IMAGE("https://www.serebii.net/itemdex/sprites/softsand.png")</f>
        <v/>
      </c>
      <c r="F2209" s="17" t="s">
        <v>98</v>
      </c>
      <c r="G2209" s="17" t="s">
        <v>820</v>
      </c>
      <c r="H2209" s="20" t="s">
        <v>862</v>
      </c>
      <c r="I2209" s="17" t="s">
        <v>22</v>
      </c>
      <c r="J2209" s="17">
        <v>52.0</v>
      </c>
      <c r="K2209" s="17">
        <v>252.0</v>
      </c>
      <c r="L2209" s="17">
        <v>0.0</v>
      </c>
      <c r="M2209" s="17">
        <v>0.0</v>
      </c>
      <c r="N2209" s="17">
        <v>0.0</v>
      </c>
      <c r="O2209" s="17">
        <v>204.0</v>
      </c>
      <c r="P2209" s="17">
        <v>31.0</v>
      </c>
      <c r="Q2209" s="17">
        <v>31.0</v>
      </c>
      <c r="R2209" s="17">
        <v>31.0</v>
      </c>
      <c r="S2209" s="17">
        <v>0.0</v>
      </c>
      <c r="T2209" s="17">
        <v>31.0</v>
      </c>
      <c r="U2209" s="17">
        <v>31.0</v>
      </c>
    </row>
    <row r="2210" ht="23.25" customHeight="1">
      <c r="A2210" s="20" t="str">
        <f>IF(COUNTIF('Icon Lookup'!C:C,B2210)&gt;0,LOOKUP(B2210,'Icon Lookup'!C:C,'Icon Lookup'!B:B),"")</f>
        <v/>
      </c>
      <c r="B2210" s="21" t="s">
        <v>743</v>
      </c>
      <c r="C2210" s="20"/>
      <c r="D2210" s="20">
        <v>68.0</v>
      </c>
      <c r="E2210" s="20" t="str">
        <f>IMAGE("https://www.serebii.net/itemdex/sprites/chestoberry.png")</f>
        <v/>
      </c>
      <c r="F2210" s="20" t="s">
        <v>511</v>
      </c>
      <c r="G2210" s="20" t="s">
        <v>865</v>
      </c>
      <c r="H2210" s="23" t="s">
        <v>866</v>
      </c>
      <c r="I2210" s="20" t="s">
        <v>550</v>
      </c>
      <c r="J2210" s="20">
        <v>252.0</v>
      </c>
      <c r="K2210" s="20">
        <v>252.0</v>
      </c>
      <c r="L2210" s="20">
        <v>0.0</v>
      </c>
      <c r="M2210" s="20">
        <v>0.0</v>
      </c>
      <c r="N2210" s="20">
        <v>0.0</v>
      </c>
      <c r="O2210" s="20">
        <v>0.0</v>
      </c>
      <c r="P2210" s="20">
        <v>31.0</v>
      </c>
      <c r="Q2210" s="20">
        <v>31.0</v>
      </c>
      <c r="R2210" s="20">
        <v>31.0</v>
      </c>
      <c r="S2210" s="20">
        <v>0.0</v>
      </c>
      <c r="T2210" s="20">
        <v>31.0</v>
      </c>
      <c r="U2210" s="20">
        <v>31.0</v>
      </c>
    </row>
    <row r="2211" ht="23.25" customHeight="1">
      <c r="A2211" s="24" t="str">
        <f>IF(COUNTIF('Icon Lookup'!C:C,B2211)&gt;0,LOOKUP(B2211,'Icon Lookup'!C:C,'Icon Lookup'!B:B),"")</f>
        <v/>
      </c>
      <c r="B2211" s="25" t="s">
        <v>2654</v>
      </c>
      <c r="C2211" s="24" t="s">
        <v>804</v>
      </c>
      <c r="D2211" s="24">
        <v>71.0</v>
      </c>
      <c r="E2211" s="24" t="str">
        <f>IMAGE("https://www.serebii.net/itemdex/sprites/muscleband.png")</f>
        <v/>
      </c>
      <c r="F2211" s="24" t="s">
        <v>2655</v>
      </c>
      <c r="G2211" s="17" t="s">
        <v>890</v>
      </c>
      <c r="H2211" s="20" t="s">
        <v>2656</v>
      </c>
      <c r="I2211" s="24" t="s">
        <v>550</v>
      </c>
      <c r="J2211" s="24">
        <v>252.0</v>
      </c>
      <c r="K2211" s="24">
        <v>252.0</v>
      </c>
      <c r="L2211" s="24">
        <v>0.0</v>
      </c>
      <c r="M2211" s="24">
        <v>0.0</v>
      </c>
      <c r="N2211" s="24">
        <v>0.0</v>
      </c>
      <c r="O2211" s="24">
        <v>0.0</v>
      </c>
      <c r="P2211" s="24">
        <v>31.0</v>
      </c>
      <c r="Q2211" s="24">
        <v>31.0</v>
      </c>
      <c r="R2211" s="24">
        <v>31.0</v>
      </c>
      <c r="S2211" s="24">
        <v>0.0</v>
      </c>
      <c r="T2211" s="24">
        <v>31.0</v>
      </c>
      <c r="U2211" s="24">
        <v>31.0</v>
      </c>
    </row>
    <row r="2212" ht="23.25" customHeight="1">
      <c r="A2212" s="1"/>
      <c r="B2212" s="15" t="s">
        <v>2657</v>
      </c>
      <c r="C2212" s="1" t="s">
        <v>17</v>
      </c>
      <c r="D2212" s="1" t="s">
        <v>868</v>
      </c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</row>
    <row r="2213" ht="23.25" customHeight="1">
      <c r="A2213" s="20" t="str">
        <f>IF(COUNTIF('Icon Lookup'!C:C,B2213)&gt;0,LOOKUP(B2213,'Icon Lookup'!C:C,'Icon Lookup'!B:B),"")</f>
        <v/>
      </c>
      <c r="B2213" s="21" t="s">
        <v>2658</v>
      </c>
      <c r="C2213" s="20"/>
      <c r="D2213" s="20">
        <v>68.0</v>
      </c>
      <c r="E2213" s="20" t="str">
        <f>IMAGE("https://www.serebii.net/itemdex/sprites/wiseglasses.png")</f>
        <v/>
      </c>
      <c r="F2213" s="20" t="s">
        <v>849</v>
      </c>
      <c r="G2213" s="20" t="s">
        <v>846</v>
      </c>
      <c r="H2213" s="23" t="s">
        <v>2659</v>
      </c>
      <c r="I2213" s="20" t="s">
        <v>612</v>
      </c>
      <c r="J2213" s="20">
        <v>52.0</v>
      </c>
      <c r="K2213" s="20">
        <v>0.0</v>
      </c>
      <c r="L2213" s="20">
        <v>0.0</v>
      </c>
      <c r="M2213" s="20">
        <v>252.0</v>
      </c>
      <c r="N2213" s="20">
        <v>0.0</v>
      </c>
      <c r="O2213" s="20">
        <v>204.0</v>
      </c>
      <c r="P2213" s="20">
        <v>31.0</v>
      </c>
      <c r="Q2213" s="20">
        <v>0.0</v>
      </c>
      <c r="R2213" s="20">
        <v>31.0</v>
      </c>
      <c r="S2213" s="20">
        <v>31.0</v>
      </c>
      <c r="T2213" s="20">
        <v>31.0</v>
      </c>
      <c r="U2213" s="20">
        <v>31.0</v>
      </c>
    </row>
    <row r="2214" ht="23.25" customHeight="1">
      <c r="A2214" s="17" t="str">
        <f>IF(COUNTIF('Icon Lookup'!C:C,B2214)&gt;0,LOOKUP(B2214,'Icon Lookup'!C:C,'Icon Lookup'!B:B),"")</f>
        <v/>
      </c>
      <c r="B2214" s="18" t="s">
        <v>2565</v>
      </c>
      <c r="C2214" s="17"/>
      <c r="D2214" s="17">
        <v>71.0</v>
      </c>
      <c r="E2214" s="17" t="str">
        <f>IMAGE("https://www.serebii.net/itemdex/sprites/sitrusberry.png")</f>
        <v/>
      </c>
      <c r="F2214" s="17" t="s">
        <v>79</v>
      </c>
      <c r="G2214" s="17" t="s">
        <v>824</v>
      </c>
      <c r="H2214" s="20" t="s">
        <v>2660</v>
      </c>
      <c r="I2214" s="17" t="s">
        <v>550</v>
      </c>
      <c r="J2214" s="17">
        <v>252.0</v>
      </c>
      <c r="K2214" s="17">
        <v>252.0</v>
      </c>
      <c r="L2214" s="17">
        <v>0.0</v>
      </c>
      <c r="M2214" s="17">
        <v>0.0</v>
      </c>
      <c r="N2214" s="17">
        <v>0.0</v>
      </c>
      <c r="O2214" s="17">
        <v>0.0</v>
      </c>
      <c r="P2214" s="17">
        <v>31.0</v>
      </c>
      <c r="Q2214" s="17">
        <v>31.0</v>
      </c>
      <c r="R2214" s="17">
        <v>31.0</v>
      </c>
      <c r="S2214" s="17">
        <v>0.0</v>
      </c>
      <c r="T2214" s="17">
        <v>31.0</v>
      </c>
      <c r="U2214" s="17">
        <v>31.0</v>
      </c>
    </row>
    <row r="2215" ht="23.25" customHeight="1">
      <c r="A2215" s="20" t="str">
        <f>IF(COUNTIF('Icon Lookup'!C:C,B2215)&gt;0,LOOKUP(B2215,'Icon Lookup'!C:C,'Icon Lookup'!B:B),"")</f>
        <v/>
      </c>
      <c r="B2215" s="21" t="s">
        <v>710</v>
      </c>
      <c r="C2215" s="20"/>
      <c r="D2215" s="20">
        <v>69.0</v>
      </c>
      <c r="E2215" s="20" t="str">
        <f>IMAGE("https://www.serebii.net/itemdex/sprites/widelens.png")</f>
        <v/>
      </c>
      <c r="F2215" s="20" t="s">
        <v>869</v>
      </c>
      <c r="G2215" s="20" t="s">
        <v>870</v>
      </c>
      <c r="H2215" s="23" t="s">
        <v>2661</v>
      </c>
      <c r="I2215" s="20" t="s">
        <v>22</v>
      </c>
      <c r="J2215" s="20">
        <v>52.0</v>
      </c>
      <c r="K2215" s="20">
        <v>252.0</v>
      </c>
      <c r="L2215" s="20">
        <v>0.0</v>
      </c>
      <c r="M2215" s="20">
        <v>0.0</v>
      </c>
      <c r="N2215" s="20">
        <v>0.0</v>
      </c>
      <c r="O2215" s="20">
        <v>204.0</v>
      </c>
      <c r="P2215" s="20">
        <v>31.0</v>
      </c>
      <c r="Q2215" s="20">
        <v>31.0</v>
      </c>
      <c r="R2215" s="20">
        <v>31.0</v>
      </c>
      <c r="S2215" s="20">
        <v>0.0</v>
      </c>
      <c r="T2215" s="20">
        <v>31.0</v>
      </c>
      <c r="U2215" s="20">
        <v>31.0</v>
      </c>
    </row>
    <row r="2216" ht="23.25" customHeight="1">
      <c r="A2216" s="17" t="str">
        <f>IF(COUNTIF('Icon Lookup'!C:C,B2216)&gt;0,LOOKUP(B2216,'Icon Lookup'!C:C,'Icon Lookup'!B:B),"")</f>
        <v/>
      </c>
      <c r="B2216" s="18" t="s">
        <v>879</v>
      </c>
      <c r="C2216" s="17"/>
      <c r="D2216" s="17">
        <v>71.0</v>
      </c>
      <c r="E2216" s="17" t="str">
        <f>IMAGE("https://www.serebii.net/itemdex/sprites/focussash.png")</f>
        <v/>
      </c>
      <c r="F2216" s="17" t="s">
        <v>880</v>
      </c>
      <c r="G2216" s="17" t="s">
        <v>881</v>
      </c>
      <c r="H2216" s="20" t="s">
        <v>882</v>
      </c>
      <c r="I2216" s="17" t="s">
        <v>22</v>
      </c>
      <c r="J2216" s="17">
        <v>52.0</v>
      </c>
      <c r="K2216" s="17">
        <v>252.0</v>
      </c>
      <c r="L2216" s="17">
        <v>0.0</v>
      </c>
      <c r="M2216" s="17">
        <v>0.0</v>
      </c>
      <c r="N2216" s="17">
        <v>0.0</v>
      </c>
      <c r="O2216" s="17">
        <v>204.0</v>
      </c>
      <c r="P2216" s="17">
        <v>31.0</v>
      </c>
      <c r="Q2216" s="17">
        <v>31.0</v>
      </c>
      <c r="R2216" s="17">
        <v>31.0</v>
      </c>
      <c r="S2216" s="17">
        <v>0.0</v>
      </c>
      <c r="T2216" s="17">
        <v>31.0</v>
      </c>
      <c r="U2216" s="17">
        <v>31.0</v>
      </c>
    </row>
    <row r="2217" ht="23.25" customHeight="1">
      <c r="A2217" s="24" t="str">
        <f>IF(COUNTIF('Icon Lookup'!C:C,B2217)&gt;0,LOOKUP(B2217,'Icon Lookup'!C:C,'Icon Lookup'!B:B),"")</f>
        <v/>
      </c>
      <c r="B2217" s="25" t="s">
        <v>2552</v>
      </c>
      <c r="C2217" s="24" t="s">
        <v>804</v>
      </c>
      <c r="D2217" s="24">
        <v>73.0</v>
      </c>
      <c r="E2217" s="24" t="str">
        <f>IMAGE("https://www.serebii.net/itemdex/sprites/lumberry.png")</f>
        <v/>
      </c>
      <c r="F2217" s="24" t="s">
        <v>869</v>
      </c>
      <c r="G2217" s="20" t="s">
        <v>2533</v>
      </c>
      <c r="H2217" s="23" t="s">
        <v>2662</v>
      </c>
      <c r="I2217" s="24" t="s">
        <v>612</v>
      </c>
      <c r="J2217" s="24">
        <v>52.0</v>
      </c>
      <c r="K2217" s="24">
        <v>0.0</v>
      </c>
      <c r="L2217" s="24">
        <v>0.0</v>
      </c>
      <c r="M2217" s="24">
        <v>252.0</v>
      </c>
      <c r="N2217" s="24">
        <v>0.0</v>
      </c>
      <c r="O2217" s="24">
        <v>204.0</v>
      </c>
      <c r="P2217" s="24">
        <v>31.0</v>
      </c>
      <c r="Q2217" s="24">
        <v>0.0</v>
      </c>
      <c r="R2217" s="24">
        <v>31.0</v>
      </c>
      <c r="S2217" s="24">
        <v>31.0</v>
      </c>
      <c r="T2217" s="24">
        <v>31.0</v>
      </c>
      <c r="U2217" s="24">
        <v>31.0</v>
      </c>
    </row>
    <row r="2218" ht="23.25" customHeight="1">
      <c r="A2218" s="1"/>
      <c r="B2218" s="15" t="s">
        <v>2663</v>
      </c>
      <c r="C2218" s="1" t="s">
        <v>17</v>
      </c>
      <c r="D2218" s="1" t="s">
        <v>884</v>
      </c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</row>
    <row r="2219" ht="23.25" customHeight="1">
      <c r="A2219" s="17" t="str">
        <f>IF(COUNTIF('Icon Lookup'!C:C,B2219)&gt;0,LOOKUP(B2219,'Icon Lookup'!C:C,'Icon Lookup'!B:B),"")</f>
        <v/>
      </c>
      <c r="B2219" s="18" t="s">
        <v>476</v>
      </c>
      <c r="C2219" s="17"/>
      <c r="D2219" s="17">
        <v>69.0</v>
      </c>
      <c r="E2219" s="17" t="str">
        <f>IMAGE("https://www.serebii.net/itemdex/sprites/lightclay.png")</f>
        <v/>
      </c>
      <c r="F2219" s="17" t="s">
        <v>203</v>
      </c>
      <c r="G2219" s="17" t="s">
        <v>885</v>
      </c>
      <c r="H2219" s="20" t="s">
        <v>886</v>
      </c>
      <c r="I2219" s="17" t="s">
        <v>205</v>
      </c>
      <c r="J2219" s="17">
        <v>252.0</v>
      </c>
      <c r="K2219" s="17">
        <v>0.0</v>
      </c>
      <c r="L2219" s="17">
        <v>0.0</v>
      </c>
      <c r="M2219" s="17">
        <v>52.0</v>
      </c>
      <c r="N2219" s="17">
        <v>0.0</v>
      </c>
      <c r="O2219" s="17">
        <v>204.0</v>
      </c>
      <c r="P2219" s="17">
        <v>31.0</v>
      </c>
      <c r="Q2219" s="17">
        <v>0.0</v>
      </c>
      <c r="R2219" s="17">
        <v>31.0</v>
      </c>
      <c r="S2219" s="17">
        <v>31.0</v>
      </c>
      <c r="T2219" s="17">
        <v>31.0</v>
      </c>
      <c r="U2219" s="17">
        <v>31.0</v>
      </c>
    </row>
    <row r="2220" ht="23.25" customHeight="1">
      <c r="A2220" s="20" t="str">
        <f>IF(COUNTIF('Icon Lookup'!C:C,B2220)&gt;0,LOOKUP(B2220,'Icon Lookup'!C:C,'Icon Lookup'!B:B),"")</f>
        <v/>
      </c>
      <c r="B2220" s="21" t="s">
        <v>2580</v>
      </c>
      <c r="C2220" s="20"/>
      <c r="D2220" s="20">
        <v>71.0</v>
      </c>
      <c r="E2220" s="20" t="str">
        <f>IMAGE("https://www.serebii.net/itemdex/sprites/mentalherb.png")</f>
        <v/>
      </c>
      <c r="F2220" s="20" t="s">
        <v>2581</v>
      </c>
      <c r="G2220" s="20" t="s">
        <v>888</v>
      </c>
      <c r="H2220" s="23" t="s">
        <v>2664</v>
      </c>
      <c r="I2220" s="20" t="s">
        <v>52</v>
      </c>
      <c r="J2220" s="20">
        <v>52.0</v>
      </c>
      <c r="K2220" s="20">
        <v>0.0</v>
      </c>
      <c r="L2220" s="20">
        <v>0.0</v>
      </c>
      <c r="M2220" s="20">
        <v>252.0</v>
      </c>
      <c r="N2220" s="20">
        <v>0.0</v>
      </c>
      <c r="O2220" s="20">
        <v>204.0</v>
      </c>
      <c r="P2220" s="20">
        <v>31.0</v>
      </c>
      <c r="Q2220" s="20">
        <v>0.0</v>
      </c>
      <c r="R2220" s="20">
        <v>31.0</v>
      </c>
      <c r="S2220" s="20">
        <v>31.0</v>
      </c>
      <c r="T2220" s="20">
        <v>31.0</v>
      </c>
      <c r="U2220" s="20">
        <v>31.0</v>
      </c>
    </row>
    <row r="2221" ht="23.25" customHeight="1">
      <c r="A2221" s="17" t="str">
        <f>IF(COUNTIF('Icon Lookup'!C:C,B2221)&gt;0,LOOKUP(B2221,'Icon Lookup'!C:C,'Icon Lookup'!B:B),"")</f>
        <v/>
      </c>
      <c r="B2221" s="18" t="s">
        <v>893</v>
      </c>
      <c r="C2221" s="17"/>
      <c r="D2221" s="17">
        <v>70.0</v>
      </c>
      <c r="E2221" s="17" t="str">
        <f>IMAGE("https://www.serebii.net/itemdex/sprites/muscleband.png")</f>
        <v/>
      </c>
      <c r="F2221" s="17" t="s">
        <v>161</v>
      </c>
      <c r="G2221" s="17" t="s">
        <v>890</v>
      </c>
      <c r="H2221" s="20" t="s">
        <v>2665</v>
      </c>
      <c r="I2221" s="17" t="s">
        <v>822</v>
      </c>
      <c r="J2221" s="17">
        <v>252.0</v>
      </c>
      <c r="K2221" s="17">
        <v>252.0</v>
      </c>
      <c r="L2221" s="17">
        <v>0.0</v>
      </c>
      <c r="M2221" s="17">
        <v>0.0</v>
      </c>
      <c r="N2221" s="17">
        <v>0.0</v>
      </c>
      <c r="O2221" s="17">
        <v>0.0</v>
      </c>
      <c r="P2221" s="17">
        <v>31.0</v>
      </c>
      <c r="Q2221" s="17">
        <v>31.0</v>
      </c>
      <c r="R2221" s="17">
        <v>31.0</v>
      </c>
      <c r="S2221" s="17">
        <v>0.0</v>
      </c>
      <c r="T2221" s="17">
        <v>31.0</v>
      </c>
      <c r="U2221" s="17">
        <v>0.0</v>
      </c>
    </row>
    <row r="2222" ht="23.25" customHeight="1">
      <c r="A2222" s="20" t="str">
        <f>IF(COUNTIF('Icon Lookup'!C:C,B2222)&gt;0,LOOKUP(B2222,'Icon Lookup'!C:C,'Icon Lookup'!B:B),"")</f>
        <v/>
      </c>
      <c r="B2222" s="21" t="s">
        <v>765</v>
      </c>
      <c r="C2222" s="20"/>
      <c r="D2222" s="20">
        <v>72.0</v>
      </c>
      <c r="E2222" s="20" t="str">
        <f>IMAGE("https://www.serebii.net/itemdex/sprites/lifeorb.png")</f>
        <v/>
      </c>
      <c r="F2222" s="20" t="s">
        <v>253</v>
      </c>
      <c r="G2222" s="20" t="s">
        <v>873</v>
      </c>
      <c r="H2222" s="23" t="s">
        <v>2666</v>
      </c>
      <c r="I2222" s="20" t="s">
        <v>52</v>
      </c>
      <c r="J2222" s="20">
        <v>52.0</v>
      </c>
      <c r="K2222" s="20">
        <v>0.0</v>
      </c>
      <c r="L2222" s="20">
        <v>0.0</v>
      </c>
      <c r="M2222" s="20">
        <v>252.0</v>
      </c>
      <c r="N2222" s="20">
        <v>0.0</v>
      </c>
      <c r="O2222" s="20">
        <v>204.0</v>
      </c>
      <c r="P2222" s="20">
        <v>31.0</v>
      </c>
      <c r="Q2222" s="20">
        <v>0.0</v>
      </c>
      <c r="R2222" s="20">
        <v>31.0</v>
      </c>
      <c r="S2222" s="20">
        <v>31.0</v>
      </c>
      <c r="T2222" s="20">
        <v>31.0</v>
      </c>
      <c r="U2222" s="20">
        <v>31.0</v>
      </c>
    </row>
    <row r="2223" ht="23.25" customHeight="1">
      <c r="A2223" s="24" t="str">
        <f>IF(COUNTIF('Icon Lookup'!C:C,B2223)&gt;0,LOOKUP(B2223,'Icon Lookup'!C:C,'Icon Lookup'!B:B),"")</f>
        <v/>
      </c>
      <c r="B2223" s="25" t="s">
        <v>2550</v>
      </c>
      <c r="C2223" s="24" t="s">
        <v>804</v>
      </c>
      <c r="D2223" s="24">
        <v>75.0</v>
      </c>
      <c r="E2223" s="24" t="str">
        <f>IMAGE("https://www.serebii.net/itemdex/sprites/sitrusberry.png")</f>
        <v/>
      </c>
      <c r="F2223" s="24" t="s">
        <v>2501</v>
      </c>
      <c r="G2223" s="17" t="s">
        <v>824</v>
      </c>
      <c r="H2223" s="20" t="s">
        <v>2667</v>
      </c>
      <c r="I2223" s="24" t="s">
        <v>22</v>
      </c>
      <c r="J2223" s="24">
        <v>52.0</v>
      </c>
      <c r="K2223" s="24">
        <v>252.0</v>
      </c>
      <c r="L2223" s="24">
        <v>0.0</v>
      </c>
      <c r="M2223" s="24">
        <v>0.0</v>
      </c>
      <c r="N2223" s="24">
        <v>0.0</v>
      </c>
      <c r="O2223" s="24">
        <v>204.0</v>
      </c>
      <c r="P2223" s="24">
        <v>31.0</v>
      </c>
      <c r="Q2223" s="24">
        <v>31.0</v>
      </c>
      <c r="R2223" s="24">
        <v>31.0</v>
      </c>
      <c r="S2223" s="24">
        <v>0.0</v>
      </c>
      <c r="T2223" s="24">
        <v>31.0</v>
      </c>
      <c r="U2223" s="24">
        <v>31.0</v>
      </c>
    </row>
    <row r="2224" ht="23.25" customHeight="1">
      <c r="A2224" s="1"/>
      <c r="B2224" s="15" t="s">
        <v>2668</v>
      </c>
      <c r="C2224" s="1" t="s">
        <v>17</v>
      </c>
      <c r="D2224" s="1" t="s">
        <v>901</v>
      </c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</row>
    <row r="2225" ht="23.25" customHeight="1">
      <c r="A2225" s="20" t="str">
        <f>IF(COUNTIF('Icon Lookup'!C:C,B2225)&gt;0,LOOKUP(B2225,'Icon Lookup'!C:C,'Icon Lookup'!B:B),"")</f>
        <v/>
      </c>
      <c r="B2225" s="21" t="s">
        <v>902</v>
      </c>
      <c r="C2225" s="20"/>
      <c r="D2225" s="20">
        <v>74.0</v>
      </c>
      <c r="E2225" s="20" t="str">
        <f>IMAGE("https://www.serebii.net/itemdex/sprites/sitrusberry.png")</f>
        <v/>
      </c>
      <c r="F2225" s="20" t="s">
        <v>903</v>
      </c>
      <c r="G2225" s="20" t="s">
        <v>824</v>
      </c>
      <c r="H2225" s="23" t="s">
        <v>2669</v>
      </c>
      <c r="I2225" s="20" t="s">
        <v>905</v>
      </c>
      <c r="J2225" s="20">
        <v>252.0</v>
      </c>
      <c r="K2225" s="20">
        <v>6.0</v>
      </c>
      <c r="L2225" s="20">
        <v>0.0</v>
      </c>
      <c r="M2225" s="20">
        <v>252.0</v>
      </c>
      <c r="N2225" s="20">
        <v>0.0</v>
      </c>
      <c r="O2225" s="20">
        <v>0.0</v>
      </c>
      <c r="P2225" s="20">
        <v>31.0</v>
      </c>
      <c r="Q2225" s="20">
        <v>31.0</v>
      </c>
      <c r="R2225" s="20">
        <v>31.0</v>
      </c>
      <c r="S2225" s="20">
        <v>31.0</v>
      </c>
      <c r="T2225" s="20">
        <v>31.0</v>
      </c>
      <c r="U2225" s="20">
        <v>31.0</v>
      </c>
    </row>
    <row r="2226" ht="23.25" customHeight="1">
      <c r="A2226" s="17" t="str">
        <f>IF(COUNTIF('Icon Lookup'!C:C,B2226)&gt;0,LOOKUP(B2226,'Icon Lookup'!C:C,'Icon Lookup'!B:B),"")</f>
        <v/>
      </c>
      <c r="B2226" s="18" t="s">
        <v>906</v>
      </c>
      <c r="C2226" s="17"/>
      <c r="D2226" s="17">
        <v>74.0</v>
      </c>
      <c r="E2226" s="17" t="str">
        <f>IMAGE("https://www.serebii.net/itemdex/sprites/expertbelt.png")</f>
        <v/>
      </c>
      <c r="F2226" s="17" t="s">
        <v>50</v>
      </c>
      <c r="G2226" s="17" t="s">
        <v>907</v>
      </c>
      <c r="H2226" s="20" t="s">
        <v>908</v>
      </c>
      <c r="I2226" s="17" t="s">
        <v>52</v>
      </c>
      <c r="J2226" s="17">
        <v>52.0</v>
      </c>
      <c r="K2226" s="17">
        <v>0.0</v>
      </c>
      <c r="L2226" s="17">
        <v>0.0</v>
      </c>
      <c r="M2226" s="17">
        <v>252.0</v>
      </c>
      <c r="N2226" s="17">
        <v>0.0</v>
      </c>
      <c r="O2226" s="17">
        <v>204.0</v>
      </c>
      <c r="P2226" s="17">
        <v>31.0</v>
      </c>
      <c r="Q2226" s="17">
        <v>0.0</v>
      </c>
      <c r="R2226" s="17">
        <v>31.0</v>
      </c>
      <c r="S2226" s="17">
        <v>31.0</v>
      </c>
      <c r="T2226" s="17">
        <v>31.0</v>
      </c>
      <c r="U2226" s="17">
        <v>31.0</v>
      </c>
    </row>
    <row r="2227" ht="23.25" customHeight="1">
      <c r="A2227" s="20" t="str">
        <f>IF(COUNTIF('Icon Lookup'!C:C,B2227)&gt;0,LOOKUP(B2227,'Icon Lookup'!C:C,'Icon Lookup'!B:B),"")</f>
        <v/>
      </c>
      <c r="B2227" s="21" t="s">
        <v>2632</v>
      </c>
      <c r="C2227" s="20"/>
      <c r="D2227" s="20">
        <v>76.0</v>
      </c>
      <c r="E2227" s="20" t="str">
        <f>IMAGE("https://www.serebii.net/itemdex/sprites/leftovers.png")</f>
        <v/>
      </c>
      <c r="F2227" s="20" t="s">
        <v>240</v>
      </c>
      <c r="G2227" s="20" t="s">
        <v>859</v>
      </c>
      <c r="H2227" s="23" t="s">
        <v>2670</v>
      </c>
      <c r="I2227" s="20" t="s">
        <v>52</v>
      </c>
      <c r="J2227" s="20">
        <v>52.0</v>
      </c>
      <c r="K2227" s="20">
        <v>0.0</v>
      </c>
      <c r="L2227" s="20">
        <v>0.0</v>
      </c>
      <c r="M2227" s="20">
        <v>252.0</v>
      </c>
      <c r="N2227" s="20">
        <v>0.0</v>
      </c>
      <c r="O2227" s="20">
        <v>204.0</v>
      </c>
      <c r="P2227" s="20">
        <v>31.0</v>
      </c>
      <c r="Q2227" s="20">
        <v>0.0</v>
      </c>
      <c r="R2227" s="20">
        <v>31.0</v>
      </c>
      <c r="S2227" s="20">
        <v>31.0</v>
      </c>
      <c r="T2227" s="20">
        <v>31.0</v>
      </c>
      <c r="U2227" s="20">
        <v>31.0</v>
      </c>
    </row>
    <row r="2228" ht="23.25" customHeight="1">
      <c r="A2228" s="17" t="str">
        <f>IF(COUNTIF('Icon Lookup'!C:C,B2228)&gt;0,LOOKUP(B2228,'Icon Lookup'!C:C,'Icon Lookup'!B:B),"")</f>
        <v/>
      </c>
      <c r="B2228" s="18" t="s">
        <v>910</v>
      </c>
      <c r="C2228" s="17"/>
      <c r="D2228" s="17">
        <v>76.0</v>
      </c>
      <c r="E2228" s="17" t="str">
        <f>IMAGE("https://www.serebii.net/itemdex/sprites/wiseglasses.png")</f>
        <v/>
      </c>
      <c r="F2228" s="17" t="s">
        <v>38</v>
      </c>
      <c r="G2228" s="17" t="s">
        <v>846</v>
      </c>
      <c r="H2228" s="20" t="s">
        <v>2671</v>
      </c>
      <c r="I2228" s="17" t="s">
        <v>52</v>
      </c>
      <c r="J2228" s="17">
        <v>52.0</v>
      </c>
      <c r="K2228" s="17">
        <v>0.0</v>
      </c>
      <c r="L2228" s="17">
        <v>0.0</v>
      </c>
      <c r="M2228" s="17">
        <v>252.0</v>
      </c>
      <c r="N2228" s="17">
        <v>0.0</v>
      </c>
      <c r="O2228" s="17">
        <v>204.0</v>
      </c>
      <c r="P2228" s="17">
        <v>31.0</v>
      </c>
      <c r="Q2228" s="17">
        <v>0.0</v>
      </c>
      <c r="R2228" s="17">
        <v>31.0</v>
      </c>
      <c r="S2228" s="17">
        <v>31.0</v>
      </c>
      <c r="T2228" s="17">
        <v>31.0</v>
      </c>
      <c r="U2228" s="17">
        <v>31.0</v>
      </c>
    </row>
    <row r="2229" ht="23.25" customHeight="1">
      <c r="A2229" s="20" t="str">
        <f>IF(COUNTIF('Icon Lookup'!C:C,B2229)&gt;0,LOOKUP(B2229,'Icon Lookup'!C:C,'Icon Lookup'!B:B),"")</f>
        <v/>
      </c>
      <c r="B2229" s="21" t="s">
        <v>912</v>
      </c>
      <c r="C2229" s="20"/>
      <c r="D2229" s="20">
        <v>74.0</v>
      </c>
      <c r="E2229" s="20" t="str">
        <f>IMAGE("https://www.serebii.net/itemdex/sprites/flameorb.png")</f>
        <v/>
      </c>
      <c r="F2229" s="20" t="s">
        <v>913</v>
      </c>
      <c r="G2229" s="20" t="s">
        <v>852</v>
      </c>
      <c r="H2229" s="23" t="s">
        <v>914</v>
      </c>
      <c r="I2229" s="20" t="s">
        <v>205</v>
      </c>
      <c r="J2229" s="20">
        <v>252.0</v>
      </c>
      <c r="K2229" s="20">
        <v>0.0</v>
      </c>
      <c r="L2229" s="20">
        <v>252.0</v>
      </c>
      <c r="M2229" s="20">
        <v>6.0</v>
      </c>
      <c r="N2229" s="20">
        <v>0.0</v>
      </c>
      <c r="O2229" s="20">
        <v>0.0</v>
      </c>
      <c r="P2229" s="20">
        <v>31.0</v>
      </c>
      <c r="Q2229" s="20">
        <v>0.0</v>
      </c>
      <c r="R2229" s="20">
        <v>31.0</v>
      </c>
      <c r="S2229" s="20">
        <v>31.0</v>
      </c>
      <c r="T2229" s="20">
        <v>31.0</v>
      </c>
      <c r="U2229" s="20">
        <v>31.0</v>
      </c>
    </row>
    <row r="2230" ht="23.25" customHeight="1">
      <c r="A2230" s="24" t="str">
        <f>IF(COUNTIF('Icon Lookup'!C:C,B2230)&gt;0,LOOKUP(B2230,'Icon Lookup'!C:C,'Icon Lookup'!B:B),"")</f>
        <v/>
      </c>
      <c r="B2230" s="25" t="s">
        <v>915</v>
      </c>
      <c r="C2230" s="24" t="s">
        <v>804</v>
      </c>
      <c r="D2230" s="24">
        <v>78.0</v>
      </c>
      <c r="E2230" s="24" t="str">
        <f>IMAGE("https://www.serebii.net/itemdex/sprites/yacheberry.png")</f>
        <v/>
      </c>
      <c r="F2230" s="24" t="s">
        <v>916</v>
      </c>
      <c r="G2230" s="17" t="s">
        <v>917</v>
      </c>
      <c r="H2230" s="20" t="s">
        <v>918</v>
      </c>
      <c r="I2230" s="24" t="s">
        <v>22</v>
      </c>
      <c r="J2230" s="24">
        <v>52.0</v>
      </c>
      <c r="K2230" s="24">
        <v>252.0</v>
      </c>
      <c r="L2230" s="24">
        <v>0.0</v>
      </c>
      <c r="M2230" s="24">
        <v>0.0</v>
      </c>
      <c r="N2230" s="24">
        <v>0.0</v>
      </c>
      <c r="O2230" s="24">
        <v>204.0</v>
      </c>
      <c r="P2230" s="24">
        <v>31.0</v>
      </c>
      <c r="Q2230" s="24">
        <v>31.0</v>
      </c>
      <c r="R2230" s="24">
        <v>31.0</v>
      </c>
      <c r="S2230" s="24">
        <v>0.0</v>
      </c>
      <c r="T2230" s="24">
        <v>31.0</v>
      </c>
      <c r="U2230" s="24">
        <v>31.0</v>
      </c>
    </row>
    <row r="2231" ht="23.25" customHeight="1">
      <c r="A2231" s="1"/>
      <c r="B2231" s="15" t="s">
        <v>2672</v>
      </c>
      <c r="C2231" s="1" t="s">
        <v>17</v>
      </c>
      <c r="D2231" s="1" t="s">
        <v>843</v>
      </c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</row>
    <row r="2232" ht="23.25" customHeight="1">
      <c r="A2232" s="20" t="str">
        <f>IF(COUNTIF('Icon Lookup'!C:C,B2232)&gt;0,LOOKUP(B2232,'Icon Lookup'!C:C,'Icon Lookup'!B:B),"")</f>
        <v/>
      </c>
      <c r="B2232" s="21" t="s">
        <v>2643</v>
      </c>
      <c r="C2232" s="20"/>
      <c r="D2232" s="20">
        <v>75.0</v>
      </c>
      <c r="E2232" s="20" t="str">
        <f>IMAGE("https://www.serebii.net/itemdex/sprites/wiseglasses.png")</f>
        <v/>
      </c>
      <c r="F2232" s="20" t="s">
        <v>2644</v>
      </c>
      <c r="G2232" s="20" t="s">
        <v>846</v>
      </c>
      <c r="H2232" s="23" t="s">
        <v>2645</v>
      </c>
      <c r="I2232" s="20" t="s">
        <v>52</v>
      </c>
      <c r="J2232" s="20">
        <v>0.0</v>
      </c>
      <c r="K2232" s="20">
        <v>0.0</v>
      </c>
      <c r="L2232" s="20">
        <v>0.0</v>
      </c>
      <c r="M2232" s="20">
        <v>252.0</v>
      </c>
      <c r="N2232" s="20">
        <v>0.0</v>
      </c>
      <c r="O2232" s="20">
        <v>252.0</v>
      </c>
      <c r="P2232" s="20">
        <v>31.0</v>
      </c>
      <c r="Q2232" s="20">
        <v>0.0</v>
      </c>
      <c r="R2232" s="20">
        <v>31.0</v>
      </c>
      <c r="S2232" s="20">
        <v>31.0</v>
      </c>
      <c r="T2232" s="20">
        <v>31.0</v>
      </c>
      <c r="U2232" s="20">
        <v>31.0</v>
      </c>
    </row>
    <row r="2233" ht="23.25" customHeight="1">
      <c r="A2233" s="17" t="str">
        <f>IF(COUNTIF('Icon Lookup'!C:C,B2233)&gt;0,LOOKUP(B2233,'Icon Lookup'!C:C,'Icon Lookup'!B:B),"")</f>
        <v/>
      </c>
      <c r="B2233" s="18" t="s">
        <v>2646</v>
      </c>
      <c r="C2233" s="17"/>
      <c r="D2233" s="17">
        <v>75.0</v>
      </c>
      <c r="E2233" s="17" t="str">
        <f>IMAGE("https://www.serebii.net/itemdex/sprites/occaberry.png")</f>
        <v/>
      </c>
      <c r="F2233" s="17" t="s">
        <v>1109</v>
      </c>
      <c r="G2233" s="17" t="s">
        <v>2647</v>
      </c>
      <c r="H2233" s="20" t="s">
        <v>2648</v>
      </c>
      <c r="I2233" s="17" t="s">
        <v>550</v>
      </c>
      <c r="J2233" s="17">
        <v>252.0</v>
      </c>
      <c r="K2233" s="17">
        <v>252.0</v>
      </c>
      <c r="L2233" s="17">
        <v>0.0</v>
      </c>
      <c r="M2233" s="17">
        <v>0.0</v>
      </c>
      <c r="N2233" s="17">
        <v>0.0</v>
      </c>
      <c r="O2233" s="17">
        <v>0.0</v>
      </c>
      <c r="P2233" s="17">
        <v>31.0</v>
      </c>
      <c r="Q2233" s="17">
        <v>31.0</v>
      </c>
      <c r="R2233" s="17">
        <v>31.0</v>
      </c>
      <c r="S2233" s="17">
        <v>0.0</v>
      </c>
      <c r="T2233" s="17">
        <v>31.0</v>
      </c>
      <c r="U2233" s="17">
        <v>31.0</v>
      </c>
    </row>
    <row r="2234" ht="23.25" customHeight="1">
      <c r="A2234" s="20" t="str">
        <f>IF(COUNTIF('Icon Lookup'!C:C,B2234)&gt;0,LOOKUP(B2234,'Icon Lookup'!C:C,'Icon Lookup'!B:B),"")</f>
        <v/>
      </c>
      <c r="B2234" s="21" t="s">
        <v>848</v>
      </c>
      <c r="C2234" s="20"/>
      <c r="D2234" s="20">
        <v>77.0</v>
      </c>
      <c r="E2234" s="20" t="str">
        <f>IMAGE("https://www.serebii.net/itemdex/sprites/sitrusberry.png")</f>
        <v/>
      </c>
      <c r="F2234" s="20" t="s">
        <v>849</v>
      </c>
      <c r="G2234" s="20" t="s">
        <v>824</v>
      </c>
      <c r="H2234" s="23" t="s">
        <v>2649</v>
      </c>
      <c r="I2234" s="20" t="s">
        <v>550</v>
      </c>
      <c r="J2234" s="20">
        <v>252.0</v>
      </c>
      <c r="K2234" s="20">
        <v>252.0</v>
      </c>
      <c r="L2234" s="20">
        <v>0.0</v>
      </c>
      <c r="M2234" s="20">
        <v>0.0</v>
      </c>
      <c r="N2234" s="20">
        <v>0.0</v>
      </c>
      <c r="O2234" s="20">
        <v>0.0</v>
      </c>
      <c r="P2234" s="20">
        <v>31.0</v>
      </c>
      <c r="Q2234" s="20">
        <v>31.0</v>
      </c>
      <c r="R2234" s="20">
        <v>31.0</v>
      </c>
      <c r="S2234" s="20">
        <v>0.0</v>
      </c>
      <c r="T2234" s="20">
        <v>31.0</v>
      </c>
      <c r="U2234" s="20">
        <v>31.0</v>
      </c>
    </row>
    <row r="2235" ht="23.25" customHeight="1">
      <c r="A2235" s="17" t="str">
        <f>IF(COUNTIF('Icon Lookup'!C:C,B2235)&gt;0,LOOKUP(B2235,'Icon Lookup'!C:C,'Icon Lookup'!B:B),"")</f>
        <v/>
      </c>
      <c r="B2235" s="18" t="s">
        <v>851</v>
      </c>
      <c r="C2235" s="17"/>
      <c r="D2235" s="17">
        <v>77.0</v>
      </c>
      <c r="E2235" s="17" t="str">
        <f>IMAGE("https://www.serebii.net/itemdex/sprites/flameorb.png")</f>
        <v/>
      </c>
      <c r="F2235" s="17" t="s">
        <v>276</v>
      </c>
      <c r="G2235" s="17" t="s">
        <v>852</v>
      </c>
      <c r="H2235" s="20" t="s">
        <v>2650</v>
      </c>
      <c r="I2235" s="17" t="s">
        <v>22</v>
      </c>
      <c r="J2235" s="17">
        <v>0.0</v>
      </c>
      <c r="K2235" s="17">
        <v>252.0</v>
      </c>
      <c r="L2235" s="17">
        <v>0.0</v>
      </c>
      <c r="M2235" s="17">
        <v>0.0</v>
      </c>
      <c r="N2235" s="17">
        <v>0.0</v>
      </c>
      <c r="O2235" s="17">
        <v>252.0</v>
      </c>
      <c r="P2235" s="17">
        <v>31.0</v>
      </c>
      <c r="Q2235" s="17">
        <v>31.0</v>
      </c>
      <c r="R2235" s="17">
        <v>31.0</v>
      </c>
      <c r="S2235" s="17">
        <v>0.0</v>
      </c>
      <c r="T2235" s="17">
        <v>31.0</v>
      </c>
      <c r="U2235" s="17">
        <v>31.0</v>
      </c>
    </row>
    <row r="2236" ht="23.25" customHeight="1">
      <c r="A2236" s="20" t="str">
        <f>IF(COUNTIF('Icon Lookup'!C:C,B2236)&gt;0,LOOKUP(B2236,'Icon Lookup'!C:C,'Icon Lookup'!B:B),"")</f>
        <v/>
      </c>
      <c r="B2236" s="21" t="s">
        <v>2673</v>
      </c>
      <c r="C2236" s="20"/>
      <c r="D2236" s="20">
        <v>75.0</v>
      </c>
      <c r="E2236" s="20" t="str">
        <f>IMAGE("https://www.serebii.net/itemdex/sprites/wiseglasses.png")</f>
        <v/>
      </c>
      <c r="F2236" s="20" t="s">
        <v>161</v>
      </c>
      <c r="G2236" s="20" t="s">
        <v>846</v>
      </c>
      <c r="H2236" s="23" t="s">
        <v>2674</v>
      </c>
      <c r="I2236" s="20" t="s">
        <v>612</v>
      </c>
      <c r="J2236" s="20">
        <v>6.0</v>
      </c>
      <c r="K2236" s="20">
        <v>0.0</v>
      </c>
      <c r="L2236" s="20">
        <v>0.0</v>
      </c>
      <c r="M2236" s="20">
        <v>252.0</v>
      </c>
      <c r="N2236" s="20">
        <v>0.0</v>
      </c>
      <c r="O2236" s="20">
        <v>252.0</v>
      </c>
      <c r="P2236" s="20">
        <v>31.0</v>
      </c>
      <c r="Q2236" s="20">
        <v>0.0</v>
      </c>
      <c r="R2236" s="20">
        <v>31.0</v>
      </c>
      <c r="S2236" s="20">
        <v>31.0</v>
      </c>
      <c r="T2236" s="20">
        <v>31.0</v>
      </c>
      <c r="U2236" s="20">
        <v>31.0</v>
      </c>
    </row>
    <row r="2237" ht="23.25" customHeight="1">
      <c r="A2237" s="24" t="str">
        <f>IF(COUNTIF('Icon Lookup'!C:C,B2237)&gt;0,LOOKUP(B2237,'Icon Lookup'!C:C,'Icon Lookup'!B:B),"")</f>
        <v/>
      </c>
      <c r="B2237" s="25" t="s">
        <v>854</v>
      </c>
      <c r="C2237" s="24" t="s">
        <v>804</v>
      </c>
      <c r="D2237" s="24">
        <v>79.0</v>
      </c>
      <c r="E2237" s="24" t="str">
        <f>IMAGE("https://www.serebii.net/itemdex/sprites/scopelens.png")</f>
        <v/>
      </c>
      <c r="F2237" s="24" t="s">
        <v>557</v>
      </c>
      <c r="G2237" s="17" t="s">
        <v>855</v>
      </c>
      <c r="H2237" s="20" t="s">
        <v>856</v>
      </c>
      <c r="I2237" s="24" t="s">
        <v>22</v>
      </c>
      <c r="J2237" s="24">
        <v>6.0</v>
      </c>
      <c r="K2237" s="24">
        <v>252.0</v>
      </c>
      <c r="L2237" s="24">
        <v>0.0</v>
      </c>
      <c r="M2237" s="24">
        <v>0.0</v>
      </c>
      <c r="N2237" s="24">
        <v>0.0</v>
      </c>
      <c r="O2237" s="24">
        <v>252.0</v>
      </c>
      <c r="P2237" s="24">
        <v>31.0</v>
      </c>
      <c r="Q2237" s="24">
        <v>31.0</v>
      </c>
      <c r="R2237" s="24">
        <v>31.0</v>
      </c>
      <c r="S2237" s="24">
        <v>0.0</v>
      </c>
      <c r="T2237" s="24">
        <v>31.0</v>
      </c>
      <c r="U2237" s="24">
        <v>31.0</v>
      </c>
    </row>
    <row r="2238" ht="23.25" customHeight="1">
      <c r="A2238" s="1"/>
      <c r="B2238" s="15" t="s">
        <v>2675</v>
      </c>
      <c r="C2238" s="1" t="s">
        <v>17</v>
      </c>
      <c r="D2238" s="1" t="s">
        <v>858</v>
      </c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</row>
    <row r="2239" ht="23.25" customHeight="1">
      <c r="A2239" s="20" t="str">
        <f>IF(COUNTIF('Icon Lookup'!C:C,B2239)&gt;0,LOOKUP(B2239,'Icon Lookup'!C:C,'Icon Lookup'!B:B),"")</f>
        <v/>
      </c>
      <c r="B2239" s="21" t="s">
        <v>568</v>
      </c>
      <c r="C2239" s="20"/>
      <c r="D2239" s="20">
        <v>76.0</v>
      </c>
      <c r="E2239" s="20" t="str">
        <f>IMAGE("https://www.serebii.net/itemdex/sprites/rindoberry.png")</f>
        <v/>
      </c>
      <c r="F2239" s="20" t="s">
        <v>641</v>
      </c>
      <c r="G2239" s="20" t="s">
        <v>863</v>
      </c>
      <c r="H2239" s="23" t="s">
        <v>2652</v>
      </c>
      <c r="I2239" s="20" t="s">
        <v>822</v>
      </c>
      <c r="J2239" s="20">
        <v>0.0</v>
      </c>
      <c r="K2239" s="20">
        <v>252.0</v>
      </c>
      <c r="L2239" s="20">
        <v>0.0</v>
      </c>
      <c r="M2239" s="20">
        <v>252.0</v>
      </c>
      <c r="N2239" s="20">
        <v>0.0</v>
      </c>
      <c r="O2239" s="20">
        <v>0.0</v>
      </c>
      <c r="P2239" s="20">
        <v>31.0</v>
      </c>
      <c r="Q2239" s="20">
        <v>31.0</v>
      </c>
      <c r="R2239" s="20">
        <v>31.0</v>
      </c>
      <c r="S2239" s="20">
        <v>31.0</v>
      </c>
      <c r="T2239" s="20">
        <v>31.0</v>
      </c>
      <c r="U2239" s="20">
        <v>0.0</v>
      </c>
    </row>
    <row r="2240" ht="23.25" customHeight="1">
      <c r="A2240" s="17" t="str">
        <f>IF(COUNTIF('Icon Lookup'!C:C,B2240)&gt;0,LOOKUP(B2240,'Icon Lookup'!C:C,'Icon Lookup'!B:B),"")</f>
        <v/>
      </c>
      <c r="B2240" s="18" t="s">
        <v>2590</v>
      </c>
      <c r="C2240" s="17"/>
      <c r="D2240" s="17">
        <v>79.0</v>
      </c>
      <c r="E2240" s="17" t="str">
        <f>IMAGE("https://www.serebii.net/itemdex/sprites/sitrusberry.png")</f>
        <v/>
      </c>
      <c r="F2240" s="17" t="s">
        <v>1791</v>
      </c>
      <c r="G2240" s="17" t="s">
        <v>824</v>
      </c>
      <c r="H2240" s="20" t="s">
        <v>2653</v>
      </c>
      <c r="I2240" s="17" t="s">
        <v>550</v>
      </c>
      <c r="J2240" s="17">
        <v>252.0</v>
      </c>
      <c r="K2240" s="17">
        <v>252.0</v>
      </c>
      <c r="L2240" s="17">
        <v>0.0</v>
      </c>
      <c r="M2240" s="17">
        <v>0.0</v>
      </c>
      <c r="N2240" s="17">
        <v>0.0</v>
      </c>
      <c r="O2240" s="17">
        <v>0.0</v>
      </c>
      <c r="P2240" s="17">
        <v>31.0</v>
      </c>
      <c r="Q2240" s="17">
        <v>31.0</v>
      </c>
      <c r="R2240" s="17">
        <v>31.0</v>
      </c>
      <c r="S2240" s="17">
        <v>0.0</v>
      </c>
      <c r="T2240" s="17">
        <v>31.0</v>
      </c>
      <c r="U2240" s="17">
        <v>31.0</v>
      </c>
    </row>
    <row r="2241" ht="23.25" customHeight="1">
      <c r="A2241" s="20" t="str">
        <f>IF(COUNTIF('Icon Lookup'!C:C,B2241)&gt;0,LOOKUP(B2241,'Icon Lookup'!C:C,'Icon Lookup'!B:B),"")</f>
        <v/>
      </c>
      <c r="B2241" s="21" t="s">
        <v>2676</v>
      </c>
      <c r="C2241" s="20"/>
      <c r="D2241" s="20">
        <v>78.0</v>
      </c>
      <c r="E2241" s="20" t="str">
        <f>IMAGE("https://www.serebii.net/itemdex/sprites/lifeorb.png")</f>
        <v/>
      </c>
      <c r="F2241" s="20" t="s">
        <v>872</v>
      </c>
      <c r="G2241" s="20" t="s">
        <v>873</v>
      </c>
      <c r="H2241" s="23" t="s">
        <v>2677</v>
      </c>
      <c r="I2241" s="20" t="s">
        <v>612</v>
      </c>
      <c r="J2241" s="20">
        <v>252.0</v>
      </c>
      <c r="K2241" s="20">
        <v>0.0</v>
      </c>
      <c r="L2241" s="20">
        <v>0.0</v>
      </c>
      <c r="M2241" s="20">
        <v>252.0</v>
      </c>
      <c r="N2241" s="20">
        <v>4.0</v>
      </c>
      <c r="O2241" s="20">
        <v>0.0</v>
      </c>
      <c r="P2241" s="20">
        <v>31.0</v>
      </c>
      <c r="Q2241" s="20">
        <v>0.0</v>
      </c>
      <c r="R2241" s="20">
        <v>31.0</v>
      </c>
      <c r="S2241" s="20">
        <v>31.0</v>
      </c>
      <c r="T2241" s="20">
        <v>31.0</v>
      </c>
      <c r="U2241" s="20">
        <v>31.0</v>
      </c>
    </row>
    <row r="2242" ht="23.25" customHeight="1">
      <c r="A2242" s="17" t="str">
        <f>IF(COUNTIF('Icon Lookup'!C:C,B2242)&gt;0,LOOKUP(B2242,'Icon Lookup'!C:C,'Icon Lookup'!B:B),"")</f>
        <v/>
      </c>
      <c r="B2242" s="18" t="s">
        <v>743</v>
      </c>
      <c r="C2242" s="17"/>
      <c r="D2242" s="17">
        <v>78.0</v>
      </c>
      <c r="E2242" s="17" t="str">
        <f>IMAGE("https://www.serebii.net/itemdex/sprites/chestoberry.png")</f>
        <v/>
      </c>
      <c r="F2242" s="17" t="s">
        <v>511</v>
      </c>
      <c r="G2242" s="17" t="s">
        <v>865</v>
      </c>
      <c r="H2242" s="20" t="s">
        <v>866</v>
      </c>
      <c r="I2242" s="17" t="s">
        <v>550</v>
      </c>
      <c r="J2242" s="17">
        <v>252.0</v>
      </c>
      <c r="K2242" s="17">
        <v>252.0</v>
      </c>
      <c r="L2242" s="17">
        <v>0.0</v>
      </c>
      <c r="M2242" s="17">
        <v>0.0</v>
      </c>
      <c r="N2242" s="17">
        <v>0.0</v>
      </c>
      <c r="O2242" s="17">
        <v>0.0</v>
      </c>
      <c r="P2242" s="17">
        <v>31.0</v>
      </c>
      <c r="Q2242" s="17">
        <v>31.0</v>
      </c>
      <c r="R2242" s="17">
        <v>31.0</v>
      </c>
      <c r="S2242" s="17">
        <v>0.0</v>
      </c>
      <c r="T2242" s="17">
        <v>31.0</v>
      </c>
      <c r="U2242" s="17">
        <v>31.0</v>
      </c>
    </row>
    <row r="2243" ht="23.25" customHeight="1">
      <c r="A2243" s="20" t="str">
        <f>IF(COUNTIF('Icon Lookup'!C:C,B2243)&gt;0,LOOKUP(B2243,'Icon Lookup'!C:C,'Icon Lookup'!B:B),"")</f>
        <v/>
      </c>
      <c r="B2243" s="21" t="s">
        <v>2517</v>
      </c>
      <c r="C2243" s="20"/>
      <c r="D2243" s="20">
        <v>78.0</v>
      </c>
      <c r="E2243" s="20" t="str">
        <f>IMAGE("https://www.serebii.net/itemdex/sprites/nevermeltice.png")</f>
        <v/>
      </c>
      <c r="F2243" s="20" t="s">
        <v>382</v>
      </c>
      <c r="G2243" s="20" t="s">
        <v>2678</v>
      </c>
      <c r="H2243" s="23" t="s">
        <v>2679</v>
      </c>
      <c r="I2243" s="20" t="s">
        <v>550</v>
      </c>
      <c r="J2243" s="20">
        <v>6.0</v>
      </c>
      <c r="K2243" s="20">
        <v>252.0</v>
      </c>
      <c r="L2243" s="20">
        <v>0.0</v>
      </c>
      <c r="M2243" s="20">
        <v>0.0</v>
      </c>
      <c r="N2243" s="20">
        <v>0.0</v>
      </c>
      <c r="O2243" s="20">
        <v>252.0</v>
      </c>
      <c r="P2243" s="20">
        <v>31.0</v>
      </c>
      <c r="Q2243" s="20">
        <v>31.0</v>
      </c>
      <c r="R2243" s="20">
        <v>31.0</v>
      </c>
      <c r="S2243" s="20">
        <v>0.0</v>
      </c>
      <c r="T2243" s="20">
        <v>31.0</v>
      </c>
      <c r="U2243" s="20">
        <v>31.0</v>
      </c>
    </row>
    <row r="2244" ht="23.25" customHeight="1">
      <c r="A2244" s="24" t="str">
        <f>IF(COUNTIF('Icon Lookup'!C:C,B2244)&gt;0,LOOKUP(B2244,'Icon Lookup'!C:C,'Icon Lookup'!B:B),"")</f>
        <v/>
      </c>
      <c r="B2244" s="25" t="s">
        <v>2654</v>
      </c>
      <c r="C2244" s="24" t="s">
        <v>804</v>
      </c>
      <c r="D2244" s="24">
        <v>81.0</v>
      </c>
      <c r="E2244" s="24" t="str">
        <f>IMAGE("https://www.serebii.net/itemdex/sprites/muscleband.png")</f>
        <v/>
      </c>
      <c r="F2244" s="24" t="s">
        <v>2655</v>
      </c>
      <c r="G2244" s="17" t="s">
        <v>890</v>
      </c>
      <c r="H2244" s="20" t="s">
        <v>2656</v>
      </c>
      <c r="I2244" s="24" t="s">
        <v>550</v>
      </c>
      <c r="J2244" s="24">
        <v>252.0</v>
      </c>
      <c r="K2244" s="24">
        <v>252.0</v>
      </c>
      <c r="L2244" s="24">
        <v>6.0</v>
      </c>
      <c r="M2244" s="24">
        <v>0.0</v>
      </c>
      <c r="N2244" s="24">
        <v>0.0</v>
      </c>
      <c r="O2244" s="24">
        <v>0.0</v>
      </c>
      <c r="P2244" s="24">
        <v>31.0</v>
      </c>
      <c r="Q2244" s="24">
        <v>31.0</v>
      </c>
      <c r="R2244" s="24">
        <v>31.0</v>
      </c>
      <c r="S2244" s="24">
        <v>0.0</v>
      </c>
      <c r="T2244" s="24">
        <v>31.0</v>
      </c>
      <c r="U2244" s="24">
        <v>31.0</v>
      </c>
    </row>
    <row r="2245" ht="23.25" customHeight="1">
      <c r="A2245" s="1"/>
      <c r="B2245" s="15" t="s">
        <v>2680</v>
      </c>
      <c r="C2245" s="1" t="s">
        <v>17</v>
      </c>
      <c r="D2245" s="1" t="s">
        <v>868</v>
      </c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</row>
    <row r="2246" ht="23.25" customHeight="1">
      <c r="A2246" s="20" t="str">
        <f>IF(COUNTIF('Icon Lookup'!C:C,B2246)&gt;0,LOOKUP(B2246,'Icon Lookup'!C:C,'Icon Lookup'!B:B),"")</f>
        <v/>
      </c>
      <c r="B2246" s="21" t="s">
        <v>2681</v>
      </c>
      <c r="C2246" s="20"/>
      <c r="D2246" s="20">
        <v>78.0</v>
      </c>
      <c r="E2246" s="20" t="str">
        <f>IMAGE("https://www.serebii.net/itemdex/sprites/heatrock.png")</f>
        <v/>
      </c>
      <c r="F2246" s="20" t="s">
        <v>1805</v>
      </c>
      <c r="G2246" s="20" t="s">
        <v>2468</v>
      </c>
      <c r="H2246" s="23" t="s">
        <v>2682</v>
      </c>
      <c r="I2246" s="20" t="s">
        <v>52</v>
      </c>
      <c r="J2246" s="20">
        <v>0.0</v>
      </c>
      <c r="K2246" s="20">
        <v>0.0</v>
      </c>
      <c r="L2246" s="20">
        <v>0.0</v>
      </c>
      <c r="M2246" s="20">
        <v>252.0</v>
      </c>
      <c r="N2246" s="20">
        <v>0.0</v>
      </c>
      <c r="O2246" s="20">
        <v>252.0</v>
      </c>
      <c r="P2246" s="20">
        <v>31.0</v>
      </c>
      <c r="Q2246" s="20">
        <v>0.0</v>
      </c>
      <c r="R2246" s="20">
        <v>31.0</v>
      </c>
      <c r="S2246" s="20">
        <v>31.0</v>
      </c>
      <c r="T2246" s="20">
        <v>31.0</v>
      </c>
      <c r="U2246" s="20">
        <v>31.0</v>
      </c>
    </row>
    <row r="2247" ht="23.25" customHeight="1">
      <c r="A2247" s="17" t="str">
        <f>IF(COUNTIF('Icon Lookup'!C:C,B2247)&gt;0,LOOKUP(B2247,'Icon Lookup'!C:C,'Icon Lookup'!B:B),"")</f>
        <v/>
      </c>
      <c r="B2247" s="18" t="s">
        <v>2658</v>
      </c>
      <c r="C2247" s="17"/>
      <c r="D2247" s="17">
        <v>78.0</v>
      </c>
      <c r="E2247" s="17" t="str">
        <f>IMAGE("https://www.serebii.net/itemdex/sprites/wiseglasses.png")</f>
        <v/>
      </c>
      <c r="F2247" s="17" t="s">
        <v>849</v>
      </c>
      <c r="G2247" s="17" t="s">
        <v>846</v>
      </c>
      <c r="H2247" s="20" t="s">
        <v>2659</v>
      </c>
      <c r="I2247" s="17" t="s">
        <v>612</v>
      </c>
      <c r="J2247" s="17">
        <v>0.0</v>
      </c>
      <c r="K2247" s="17">
        <v>0.0</v>
      </c>
      <c r="L2247" s="17">
        <v>0.0</v>
      </c>
      <c r="M2247" s="17">
        <v>252.0</v>
      </c>
      <c r="N2247" s="17">
        <v>0.0</v>
      </c>
      <c r="O2247" s="17">
        <v>252.0</v>
      </c>
      <c r="P2247" s="17">
        <v>31.0</v>
      </c>
      <c r="Q2247" s="17">
        <v>0.0</v>
      </c>
      <c r="R2247" s="17">
        <v>31.0</v>
      </c>
      <c r="S2247" s="17">
        <v>31.0</v>
      </c>
      <c r="T2247" s="17">
        <v>31.0</v>
      </c>
      <c r="U2247" s="17">
        <v>31.0</v>
      </c>
    </row>
    <row r="2248" ht="23.25" customHeight="1">
      <c r="A2248" s="20" t="str">
        <f>IF(COUNTIF('Icon Lookup'!C:C,B2248)&gt;0,LOOKUP(B2248,'Icon Lookup'!C:C,'Icon Lookup'!B:B),"")</f>
        <v/>
      </c>
      <c r="B2248" s="21" t="s">
        <v>710</v>
      </c>
      <c r="C2248" s="20"/>
      <c r="D2248" s="20">
        <v>79.0</v>
      </c>
      <c r="E2248" s="20" t="str">
        <f>IMAGE("https://www.serebii.net/itemdex/sprites/widelens.png")</f>
        <v/>
      </c>
      <c r="F2248" s="20" t="s">
        <v>869</v>
      </c>
      <c r="G2248" s="20" t="s">
        <v>870</v>
      </c>
      <c r="H2248" s="23" t="s">
        <v>2661</v>
      </c>
      <c r="I2248" s="20" t="s">
        <v>22</v>
      </c>
      <c r="J2248" s="20">
        <v>0.0</v>
      </c>
      <c r="K2248" s="20">
        <v>252.0</v>
      </c>
      <c r="L2248" s="20">
        <v>0.0</v>
      </c>
      <c r="M2248" s="20">
        <v>0.0</v>
      </c>
      <c r="N2248" s="20">
        <v>0.0</v>
      </c>
      <c r="O2248" s="20">
        <v>252.0</v>
      </c>
      <c r="P2248" s="20">
        <v>31.0</v>
      </c>
      <c r="Q2248" s="20">
        <v>31.0</v>
      </c>
      <c r="R2248" s="20">
        <v>31.0</v>
      </c>
      <c r="S2248" s="20">
        <v>0.0</v>
      </c>
      <c r="T2248" s="20">
        <v>31.0</v>
      </c>
      <c r="U2248" s="20">
        <v>31.0</v>
      </c>
    </row>
    <row r="2249" ht="23.25" customHeight="1">
      <c r="A2249" s="17" t="str">
        <f>IF(COUNTIF('Icon Lookup'!C:C,B2249)&gt;0,LOOKUP(B2249,'Icon Lookup'!C:C,'Icon Lookup'!B:B),"")</f>
        <v/>
      </c>
      <c r="B2249" s="18" t="s">
        <v>879</v>
      </c>
      <c r="C2249" s="17"/>
      <c r="D2249" s="17">
        <v>81.0</v>
      </c>
      <c r="E2249" s="17" t="str">
        <f>IMAGE("https://www.serebii.net/itemdex/sprites/focussash.png")</f>
        <v/>
      </c>
      <c r="F2249" s="17" t="s">
        <v>880</v>
      </c>
      <c r="G2249" s="17" t="s">
        <v>881</v>
      </c>
      <c r="H2249" s="20" t="s">
        <v>882</v>
      </c>
      <c r="I2249" s="17" t="s">
        <v>22</v>
      </c>
      <c r="J2249" s="17">
        <v>0.0</v>
      </c>
      <c r="K2249" s="17">
        <v>252.0</v>
      </c>
      <c r="L2249" s="17">
        <v>0.0</v>
      </c>
      <c r="M2249" s="17">
        <v>0.0</v>
      </c>
      <c r="N2249" s="17">
        <v>0.0</v>
      </c>
      <c r="O2249" s="17">
        <v>252.0</v>
      </c>
      <c r="P2249" s="17">
        <v>31.0</v>
      </c>
      <c r="Q2249" s="17">
        <v>31.0</v>
      </c>
      <c r="R2249" s="17">
        <v>31.0</v>
      </c>
      <c r="S2249" s="17">
        <v>0.0</v>
      </c>
      <c r="T2249" s="17">
        <v>31.0</v>
      </c>
      <c r="U2249" s="17">
        <v>31.0</v>
      </c>
    </row>
    <row r="2250" ht="23.25" customHeight="1">
      <c r="A2250" s="20" t="str">
        <f>IF(COUNTIF('Icon Lookup'!C:C,B2250)&gt;0,LOOKUP(B2250,'Icon Lookup'!C:C,'Icon Lookup'!B:B),"")</f>
        <v/>
      </c>
      <c r="B2250" s="21" t="s">
        <v>2020</v>
      </c>
      <c r="C2250" s="20"/>
      <c r="D2250" s="20">
        <v>81.0</v>
      </c>
      <c r="E2250" s="20" t="str">
        <f>IMAGE("https://www.serebii.net/itemdex/sprites/shucaberry.png")</f>
        <v/>
      </c>
      <c r="F2250" s="20" t="s">
        <v>26</v>
      </c>
      <c r="G2250" s="20" t="s">
        <v>1145</v>
      </c>
      <c r="H2250" s="23" t="s">
        <v>2683</v>
      </c>
      <c r="I2250" s="20" t="s">
        <v>22</v>
      </c>
      <c r="J2250" s="20">
        <v>6.0</v>
      </c>
      <c r="K2250" s="20">
        <v>252.0</v>
      </c>
      <c r="L2250" s="20">
        <v>0.0</v>
      </c>
      <c r="M2250" s="20">
        <v>0.0</v>
      </c>
      <c r="N2250" s="20">
        <v>0.0</v>
      </c>
      <c r="O2250" s="20">
        <v>252.0</v>
      </c>
      <c r="P2250" s="20">
        <v>31.0</v>
      </c>
      <c r="Q2250" s="20">
        <v>31.0</v>
      </c>
      <c r="R2250" s="20">
        <v>31.0</v>
      </c>
      <c r="S2250" s="20">
        <v>0.0</v>
      </c>
      <c r="T2250" s="20">
        <v>31.0</v>
      </c>
      <c r="U2250" s="20">
        <v>31.0</v>
      </c>
    </row>
    <row r="2251" ht="23.25" customHeight="1">
      <c r="A2251" s="24" t="str">
        <f>IF(COUNTIF('Icon Lookup'!C:C,B2251)&gt;0,LOOKUP(B2251,'Icon Lookup'!C:C,'Icon Lookup'!B:B),"")</f>
        <v/>
      </c>
      <c r="B2251" s="25" t="s">
        <v>2552</v>
      </c>
      <c r="C2251" s="24" t="s">
        <v>804</v>
      </c>
      <c r="D2251" s="24">
        <v>83.0</v>
      </c>
      <c r="E2251" s="24" t="str">
        <f>IMAGE("https://www.serebii.net/itemdex/sprites/sitrusberry.png")</f>
        <v/>
      </c>
      <c r="F2251" s="24" t="s">
        <v>869</v>
      </c>
      <c r="G2251" s="17" t="s">
        <v>824</v>
      </c>
      <c r="H2251" s="20" t="s">
        <v>2662</v>
      </c>
      <c r="I2251" s="24" t="s">
        <v>612</v>
      </c>
      <c r="J2251" s="24">
        <v>0.0</v>
      </c>
      <c r="K2251" s="24">
        <v>0.0</v>
      </c>
      <c r="L2251" s="24">
        <v>0.0</v>
      </c>
      <c r="M2251" s="24">
        <v>252.0</v>
      </c>
      <c r="N2251" s="24">
        <v>0.0</v>
      </c>
      <c r="O2251" s="24">
        <v>252.0</v>
      </c>
      <c r="P2251" s="24">
        <v>31.0</v>
      </c>
      <c r="Q2251" s="24">
        <v>0.0</v>
      </c>
      <c r="R2251" s="24">
        <v>31.0</v>
      </c>
      <c r="S2251" s="24">
        <v>31.0</v>
      </c>
      <c r="T2251" s="24">
        <v>31.0</v>
      </c>
      <c r="U2251" s="24">
        <v>31.0</v>
      </c>
    </row>
    <row r="2252" ht="23.25" customHeight="1">
      <c r="A2252" s="1"/>
      <c r="B2252" s="15" t="s">
        <v>2684</v>
      </c>
      <c r="C2252" s="1" t="s">
        <v>17</v>
      </c>
      <c r="D2252" s="1" t="s">
        <v>884</v>
      </c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</row>
    <row r="2253" ht="23.25" customHeight="1">
      <c r="A2253" s="20" t="str">
        <f>IF(COUNTIF('Icon Lookup'!C:C,B2253)&gt;0,LOOKUP(B2253,'Icon Lookup'!C:C,'Icon Lookup'!B:B),"")</f>
        <v/>
      </c>
      <c r="B2253" s="21" t="s">
        <v>476</v>
      </c>
      <c r="C2253" s="20"/>
      <c r="D2253" s="20">
        <v>79.0</v>
      </c>
      <c r="E2253" s="20" t="str">
        <f>IMAGE("https://www.serebii.net/itemdex/sprites/lightclay.png")</f>
        <v/>
      </c>
      <c r="F2253" s="20" t="s">
        <v>203</v>
      </c>
      <c r="G2253" s="20" t="s">
        <v>885</v>
      </c>
      <c r="H2253" s="23" t="s">
        <v>886</v>
      </c>
      <c r="I2253" s="20" t="s">
        <v>205</v>
      </c>
      <c r="J2253" s="20">
        <v>252.0</v>
      </c>
      <c r="K2253" s="20">
        <v>0.0</v>
      </c>
      <c r="L2253" s="20">
        <v>0.0</v>
      </c>
      <c r="M2253" s="20">
        <v>0.0</v>
      </c>
      <c r="N2253" s="20">
        <v>0.0</v>
      </c>
      <c r="O2253" s="20">
        <v>252.0</v>
      </c>
      <c r="P2253" s="20">
        <v>31.0</v>
      </c>
      <c r="Q2253" s="20">
        <v>0.0</v>
      </c>
      <c r="R2253" s="20">
        <v>31.0</v>
      </c>
      <c r="S2253" s="20">
        <v>31.0</v>
      </c>
      <c r="T2253" s="20">
        <v>31.0</v>
      </c>
      <c r="U2253" s="20">
        <v>31.0</v>
      </c>
    </row>
    <row r="2254" ht="23.25" customHeight="1">
      <c r="A2254" s="17" t="str">
        <f>IF(COUNTIF('Icon Lookup'!C:C,B2254)&gt;0,LOOKUP(B2254,'Icon Lookup'!C:C,'Icon Lookup'!B:B),"")</f>
        <v/>
      </c>
      <c r="B2254" s="18" t="s">
        <v>2580</v>
      </c>
      <c r="C2254" s="17"/>
      <c r="D2254" s="17">
        <v>81.0</v>
      </c>
      <c r="E2254" s="17" t="str">
        <f>IMAGE("https://www.serebii.net/itemdex/sprites/mentalherb.png")</f>
        <v/>
      </c>
      <c r="F2254" s="17" t="s">
        <v>2581</v>
      </c>
      <c r="G2254" s="17" t="s">
        <v>888</v>
      </c>
      <c r="H2254" s="20" t="s">
        <v>2664</v>
      </c>
      <c r="I2254" s="17" t="s">
        <v>52</v>
      </c>
      <c r="J2254" s="17">
        <v>0.0</v>
      </c>
      <c r="K2254" s="17">
        <v>0.0</v>
      </c>
      <c r="L2254" s="17">
        <v>0.0</v>
      </c>
      <c r="M2254" s="17">
        <v>252.0</v>
      </c>
      <c r="N2254" s="17">
        <v>0.0</v>
      </c>
      <c r="O2254" s="17">
        <v>252.0</v>
      </c>
      <c r="P2254" s="17">
        <v>31.0</v>
      </c>
      <c r="Q2254" s="17">
        <v>0.0</v>
      </c>
      <c r="R2254" s="17">
        <v>31.0</v>
      </c>
      <c r="S2254" s="17">
        <v>31.0</v>
      </c>
      <c r="T2254" s="17">
        <v>31.0</v>
      </c>
      <c r="U2254" s="17">
        <v>31.0</v>
      </c>
    </row>
    <row r="2255" ht="23.25" customHeight="1">
      <c r="A2255" s="20" t="str">
        <f>IF(COUNTIF('Icon Lookup'!C:C,B2255)&gt;0,LOOKUP(B2255,'Icon Lookup'!C:C,'Icon Lookup'!B:B),"")</f>
        <v/>
      </c>
      <c r="B2255" s="21" t="s">
        <v>893</v>
      </c>
      <c r="C2255" s="20"/>
      <c r="D2255" s="20">
        <v>80.0</v>
      </c>
      <c r="E2255" s="20" t="str">
        <f>IMAGE("https://www.serebii.net/itemdex/sprites/muscleband.png")</f>
        <v/>
      </c>
      <c r="F2255" s="20" t="s">
        <v>161</v>
      </c>
      <c r="G2255" s="20" t="s">
        <v>890</v>
      </c>
      <c r="H2255" s="23" t="s">
        <v>2665</v>
      </c>
      <c r="I2255" s="20" t="s">
        <v>822</v>
      </c>
      <c r="J2255" s="20">
        <v>252.0</v>
      </c>
      <c r="K2255" s="20">
        <v>252.0</v>
      </c>
      <c r="L2255" s="20">
        <v>0.0</v>
      </c>
      <c r="M2255" s="20">
        <v>0.0</v>
      </c>
      <c r="N2255" s="20">
        <v>0.0</v>
      </c>
      <c r="O2255" s="20">
        <v>0.0</v>
      </c>
      <c r="P2255" s="20">
        <v>31.0</v>
      </c>
      <c r="Q2255" s="20">
        <v>31.0</v>
      </c>
      <c r="R2255" s="20">
        <v>31.0</v>
      </c>
      <c r="S2255" s="20">
        <v>0.0</v>
      </c>
      <c r="T2255" s="20">
        <v>31.0</v>
      </c>
      <c r="U2255" s="20">
        <v>0.0</v>
      </c>
    </row>
    <row r="2256" ht="23.25" customHeight="1">
      <c r="A2256" s="17" t="str">
        <f>IF(COUNTIF('Icon Lookup'!C:C,B2256)&gt;0,LOOKUP(B2256,'Icon Lookup'!C:C,'Icon Lookup'!B:B),"")</f>
        <v/>
      </c>
      <c r="B2256" s="18" t="s">
        <v>765</v>
      </c>
      <c r="C2256" s="17"/>
      <c r="D2256" s="17">
        <v>82.0</v>
      </c>
      <c r="E2256" s="17" t="str">
        <f>IMAGE("https://www.serebii.net/itemdex/sprites/lifeorb.png")</f>
        <v/>
      </c>
      <c r="F2256" s="17" t="s">
        <v>253</v>
      </c>
      <c r="G2256" s="17" t="s">
        <v>873</v>
      </c>
      <c r="H2256" s="20" t="s">
        <v>2666</v>
      </c>
      <c r="I2256" s="17" t="s">
        <v>52</v>
      </c>
      <c r="J2256" s="17">
        <v>0.0</v>
      </c>
      <c r="K2256" s="17">
        <v>0.0</v>
      </c>
      <c r="L2256" s="17">
        <v>0.0</v>
      </c>
      <c r="M2256" s="17">
        <v>252.0</v>
      </c>
      <c r="N2256" s="17">
        <v>0.0</v>
      </c>
      <c r="O2256" s="17">
        <v>252.0</v>
      </c>
      <c r="P2256" s="17">
        <v>31.0</v>
      </c>
      <c r="Q2256" s="17">
        <v>0.0</v>
      </c>
      <c r="R2256" s="17">
        <v>31.0</v>
      </c>
      <c r="S2256" s="17">
        <v>31.0</v>
      </c>
      <c r="T2256" s="17">
        <v>31.0</v>
      </c>
      <c r="U2256" s="17">
        <v>31.0</v>
      </c>
    </row>
    <row r="2257" ht="23.25" customHeight="1">
      <c r="A2257" s="20" t="str">
        <f>IF(COUNTIF('Icon Lookup'!C:C,B2257)&gt;0,LOOKUP(B2257,'Icon Lookup'!C:C,'Icon Lookup'!B:B),"")</f>
        <v/>
      </c>
      <c r="B2257" s="21" t="s">
        <v>1897</v>
      </c>
      <c r="C2257" s="20"/>
      <c r="D2257" s="20">
        <v>82.0</v>
      </c>
      <c r="E2257" s="20" t="str">
        <f>IMAGE("https://www.serebii.net/itemdex/sprites/leftovers.png")</f>
        <v/>
      </c>
      <c r="F2257" s="20" t="s">
        <v>2558</v>
      </c>
      <c r="G2257" s="20" t="s">
        <v>859</v>
      </c>
      <c r="H2257" s="23" t="s">
        <v>2685</v>
      </c>
      <c r="I2257" s="20" t="s">
        <v>205</v>
      </c>
      <c r="J2257" s="20">
        <v>252.0</v>
      </c>
      <c r="K2257" s="20">
        <v>0.0</v>
      </c>
      <c r="L2257" s="20">
        <v>252.0</v>
      </c>
      <c r="M2257" s="20">
        <v>6.0</v>
      </c>
      <c r="N2257" s="20">
        <v>0.0</v>
      </c>
      <c r="O2257" s="20">
        <v>0.0</v>
      </c>
      <c r="P2257" s="20">
        <v>31.0</v>
      </c>
      <c r="Q2257" s="20">
        <v>0.0</v>
      </c>
      <c r="R2257" s="20">
        <v>31.0</v>
      </c>
      <c r="S2257" s="20">
        <v>31.0</v>
      </c>
      <c r="T2257" s="20">
        <v>31.0</v>
      </c>
      <c r="U2257" s="20">
        <v>0.0</v>
      </c>
    </row>
    <row r="2258" ht="23.25" customHeight="1">
      <c r="A2258" s="24" t="str">
        <f>IF(COUNTIF('Icon Lookup'!C:C,B2258)&gt;0,LOOKUP(B2258,'Icon Lookup'!C:C,'Icon Lookup'!B:B),"")</f>
        <v/>
      </c>
      <c r="B2258" s="25" t="s">
        <v>2550</v>
      </c>
      <c r="C2258" s="24" t="s">
        <v>804</v>
      </c>
      <c r="D2258" s="24">
        <v>85.0</v>
      </c>
      <c r="E2258" s="24" t="str">
        <f>IMAGE("https://www.serebii.net/itemdex/sprites/sitrusberry.png")</f>
        <v/>
      </c>
      <c r="F2258" s="24" t="s">
        <v>2501</v>
      </c>
      <c r="G2258" s="17" t="s">
        <v>824</v>
      </c>
      <c r="H2258" s="20" t="s">
        <v>2667</v>
      </c>
      <c r="I2258" s="24" t="s">
        <v>22</v>
      </c>
      <c r="J2258" s="24">
        <v>6.0</v>
      </c>
      <c r="K2258" s="24">
        <v>252.0</v>
      </c>
      <c r="L2258" s="24">
        <v>0.0</v>
      </c>
      <c r="M2258" s="24">
        <v>0.0</v>
      </c>
      <c r="N2258" s="24">
        <v>0.0</v>
      </c>
      <c r="O2258" s="24">
        <v>252.0</v>
      </c>
      <c r="P2258" s="24">
        <v>31.0</v>
      </c>
      <c r="Q2258" s="24">
        <v>31.0</v>
      </c>
      <c r="R2258" s="24">
        <v>31.0</v>
      </c>
      <c r="S2258" s="24">
        <v>0.0</v>
      </c>
      <c r="T2258" s="24">
        <v>31.0</v>
      </c>
      <c r="U2258" s="24">
        <v>31.0</v>
      </c>
    </row>
    <row r="2259" ht="23.25" customHeight="1">
      <c r="A2259" s="1"/>
      <c r="B2259" s="15" t="s">
        <v>2686</v>
      </c>
      <c r="C2259" s="1" t="s">
        <v>17</v>
      </c>
      <c r="D2259" s="1" t="s">
        <v>901</v>
      </c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</row>
    <row r="2260" ht="23.25" customHeight="1">
      <c r="A2260" s="20" t="str">
        <f>IF(COUNTIF('Icon Lookup'!C:C,B2260)&gt;0,LOOKUP(B2260,'Icon Lookup'!C:C,'Icon Lookup'!B:B),"")</f>
        <v/>
      </c>
      <c r="B2260" s="21" t="s">
        <v>902</v>
      </c>
      <c r="C2260" s="20"/>
      <c r="D2260" s="20">
        <v>84.0</v>
      </c>
      <c r="E2260" s="20" t="str">
        <f>IMAGE("https://www.serebii.net/itemdex/sprites/sitrusberry.png")</f>
        <v/>
      </c>
      <c r="F2260" s="20" t="s">
        <v>903</v>
      </c>
      <c r="G2260" s="20" t="s">
        <v>824</v>
      </c>
      <c r="H2260" s="23" t="s">
        <v>2669</v>
      </c>
      <c r="I2260" s="20" t="s">
        <v>905</v>
      </c>
      <c r="J2260" s="20">
        <v>252.0</v>
      </c>
      <c r="K2260" s="20">
        <v>6.0</v>
      </c>
      <c r="L2260" s="20">
        <v>0.0</v>
      </c>
      <c r="M2260" s="20">
        <v>252.0</v>
      </c>
      <c r="N2260" s="20">
        <v>0.0</v>
      </c>
      <c r="O2260" s="20">
        <v>0.0</v>
      </c>
      <c r="P2260" s="20">
        <v>31.0</v>
      </c>
      <c r="Q2260" s="20">
        <v>31.0</v>
      </c>
      <c r="R2260" s="20">
        <v>31.0</v>
      </c>
      <c r="S2260" s="20">
        <v>31.0</v>
      </c>
      <c r="T2260" s="20">
        <v>31.0</v>
      </c>
      <c r="U2260" s="20">
        <v>31.0</v>
      </c>
    </row>
    <row r="2261" ht="23.25" customHeight="1">
      <c r="A2261" s="17" t="str">
        <f>IF(COUNTIF('Icon Lookup'!C:C,B2261)&gt;0,LOOKUP(B2261,'Icon Lookup'!C:C,'Icon Lookup'!B:B),"")</f>
        <v/>
      </c>
      <c r="B2261" s="18" t="s">
        <v>2585</v>
      </c>
      <c r="C2261" s="17"/>
      <c r="D2261" s="17">
        <v>85.0</v>
      </c>
      <c r="E2261" s="17" t="str">
        <f>IMAGE("https://www.serebii.net/itemdex/sprites/expertbelt.png")</f>
        <v/>
      </c>
      <c r="F2261" s="17" t="s">
        <v>2586</v>
      </c>
      <c r="G2261" s="17" t="s">
        <v>907</v>
      </c>
      <c r="H2261" s="20" t="s">
        <v>2687</v>
      </c>
      <c r="I2261" s="17" t="s">
        <v>52</v>
      </c>
      <c r="J2261" s="17">
        <v>6.0</v>
      </c>
      <c r="K2261" s="17">
        <v>0.0</v>
      </c>
      <c r="L2261" s="17">
        <v>0.0</v>
      </c>
      <c r="M2261" s="17">
        <v>252.0</v>
      </c>
      <c r="N2261" s="17">
        <v>0.0</v>
      </c>
      <c r="O2261" s="17">
        <v>252.0</v>
      </c>
      <c r="P2261" s="17">
        <v>31.0</v>
      </c>
      <c r="Q2261" s="17">
        <v>0.0</v>
      </c>
      <c r="R2261" s="17">
        <v>31.0</v>
      </c>
      <c r="S2261" s="17">
        <v>31.0</v>
      </c>
      <c r="T2261" s="17">
        <v>31.0</v>
      </c>
      <c r="U2261" s="17">
        <v>31.0</v>
      </c>
    </row>
    <row r="2262" ht="23.25" customHeight="1">
      <c r="A2262" s="20" t="str">
        <f>IF(COUNTIF('Icon Lookup'!C:C,B2262)&gt;0,LOOKUP(B2262,'Icon Lookup'!C:C,'Icon Lookup'!B:B),"")</f>
        <v/>
      </c>
      <c r="B2262" s="21" t="s">
        <v>2632</v>
      </c>
      <c r="C2262" s="20"/>
      <c r="D2262" s="20">
        <v>86.0</v>
      </c>
      <c r="E2262" s="20" t="str">
        <f>IMAGE("https://www.serebii.net/itemdex/sprites/leftovers.png")</f>
        <v/>
      </c>
      <c r="F2262" s="20" t="s">
        <v>240</v>
      </c>
      <c r="G2262" s="20" t="s">
        <v>859</v>
      </c>
      <c r="H2262" s="23" t="s">
        <v>2670</v>
      </c>
      <c r="I2262" s="20" t="s">
        <v>52</v>
      </c>
      <c r="J2262" s="20">
        <v>6.0</v>
      </c>
      <c r="K2262" s="20">
        <v>0.0</v>
      </c>
      <c r="L2262" s="20">
        <v>0.0</v>
      </c>
      <c r="M2262" s="20">
        <v>252.0</v>
      </c>
      <c r="N2262" s="20">
        <v>0.0</v>
      </c>
      <c r="O2262" s="20">
        <v>252.0</v>
      </c>
      <c r="P2262" s="20">
        <v>31.0</v>
      </c>
      <c r="Q2262" s="20">
        <v>0.0</v>
      </c>
      <c r="R2262" s="20">
        <v>31.0</v>
      </c>
      <c r="S2262" s="20">
        <v>31.0</v>
      </c>
      <c r="T2262" s="20">
        <v>31.0</v>
      </c>
      <c r="U2262" s="20">
        <v>31.0</v>
      </c>
    </row>
    <row r="2263" ht="23.25" customHeight="1">
      <c r="A2263" s="17" t="str">
        <f>IF(COUNTIF('Icon Lookup'!C:C,B2263)&gt;0,LOOKUP(B2263,'Icon Lookup'!C:C,'Icon Lookup'!B:B),"")</f>
        <v/>
      </c>
      <c r="B2263" s="18" t="s">
        <v>910</v>
      </c>
      <c r="C2263" s="17"/>
      <c r="D2263" s="17">
        <v>86.0</v>
      </c>
      <c r="E2263" s="17" t="str">
        <f>IMAGE("https://www.serebii.net/itemdex/sprites/focussash.png")</f>
        <v/>
      </c>
      <c r="F2263" s="17" t="s">
        <v>38</v>
      </c>
      <c r="G2263" s="17" t="s">
        <v>881</v>
      </c>
      <c r="H2263" s="20" t="s">
        <v>2688</v>
      </c>
      <c r="I2263" s="17" t="s">
        <v>22</v>
      </c>
      <c r="J2263" s="17">
        <v>6.0</v>
      </c>
      <c r="K2263" s="17">
        <v>252.0</v>
      </c>
      <c r="L2263" s="17">
        <v>0.0</v>
      </c>
      <c r="M2263" s="17">
        <v>0.0</v>
      </c>
      <c r="N2263" s="17">
        <v>0.0</v>
      </c>
      <c r="O2263" s="17">
        <v>252.0</v>
      </c>
      <c r="P2263" s="17">
        <v>31.0</v>
      </c>
      <c r="Q2263" s="17">
        <v>31.0</v>
      </c>
      <c r="R2263" s="17">
        <v>31.0</v>
      </c>
      <c r="S2263" s="17">
        <v>0.0</v>
      </c>
      <c r="T2263" s="17">
        <v>31.0</v>
      </c>
      <c r="U2263" s="17">
        <v>31.0</v>
      </c>
    </row>
    <row r="2264" ht="23.25" customHeight="1">
      <c r="A2264" s="20" t="str">
        <f>IF(COUNTIF('Icon Lookup'!C:C,B2264)&gt;0,LOOKUP(B2264,'Icon Lookup'!C:C,'Icon Lookup'!B:B),"")</f>
        <v/>
      </c>
      <c r="B2264" s="21" t="s">
        <v>912</v>
      </c>
      <c r="C2264" s="20"/>
      <c r="D2264" s="20">
        <v>84.0</v>
      </c>
      <c r="E2264" s="20" t="str">
        <f>IMAGE("https://www.serebii.net/itemdex/sprites/flameorb.png")</f>
        <v/>
      </c>
      <c r="F2264" s="20" t="s">
        <v>913</v>
      </c>
      <c r="G2264" s="20" t="s">
        <v>852</v>
      </c>
      <c r="H2264" s="23" t="s">
        <v>914</v>
      </c>
      <c r="I2264" s="20" t="s">
        <v>205</v>
      </c>
      <c r="J2264" s="20">
        <v>252.0</v>
      </c>
      <c r="K2264" s="20">
        <v>0.0</v>
      </c>
      <c r="L2264" s="20">
        <v>252.0</v>
      </c>
      <c r="M2264" s="20">
        <v>6.0</v>
      </c>
      <c r="N2264" s="20">
        <v>0.0</v>
      </c>
      <c r="O2264" s="20">
        <v>0.0</v>
      </c>
      <c r="P2264" s="20">
        <v>31.0</v>
      </c>
      <c r="Q2264" s="20">
        <v>0.0</v>
      </c>
      <c r="R2264" s="20">
        <v>31.0</v>
      </c>
      <c r="S2264" s="20">
        <v>31.0</v>
      </c>
      <c r="T2264" s="20">
        <v>31.0</v>
      </c>
      <c r="U2264" s="20">
        <v>31.0</v>
      </c>
    </row>
    <row r="2265" ht="23.25" customHeight="1">
      <c r="A2265" s="24" t="str">
        <f>IF(COUNTIF('Icon Lookup'!C:C,B2265)&gt;0,LOOKUP(B2265,'Icon Lookup'!C:C,'Icon Lookup'!B:B),"")</f>
        <v/>
      </c>
      <c r="B2265" s="25" t="s">
        <v>915</v>
      </c>
      <c r="C2265" s="24" t="s">
        <v>804</v>
      </c>
      <c r="D2265" s="24">
        <v>88.0</v>
      </c>
      <c r="E2265" s="24" t="str">
        <f>IMAGE("https://www.serebii.net/itemdex/sprites/yacheberry.png")</f>
        <v/>
      </c>
      <c r="F2265" s="24" t="s">
        <v>916</v>
      </c>
      <c r="G2265" s="17" t="s">
        <v>917</v>
      </c>
      <c r="H2265" s="20" t="s">
        <v>918</v>
      </c>
      <c r="I2265" s="24" t="s">
        <v>22</v>
      </c>
      <c r="J2265" s="24">
        <v>6.0</v>
      </c>
      <c r="K2265" s="24">
        <v>252.0</v>
      </c>
      <c r="L2265" s="24">
        <v>0.0</v>
      </c>
      <c r="M2265" s="24">
        <v>0.0</v>
      </c>
      <c r="N2265" s="24">
        <v>0.0</v>
      </c>
      <c r="O2265" s="24">
        <v>252.0</v>
      </c>
      <c r="P2265" s="24">
        <v>31.0</v>
      </c>
      <c r="Q2265" s="24">
        <v>31.0</v>
      </c>
      <c r="R2265" s="24">
        <v>31.0</v>
      </c>
      <c r="S2265" s="24">
        <v>0.0</v>
      </c>
      <c r="T2265" s="24">
        <v>31.0</v>
      </c>
      <c r="U2265" s="24">
        <v>31.0</v>
      </c>
    </row>
    <row r="2266" ht="23.25" customHeight="1">
      <c r="A2266" s="1"/>
      <c r="B2266" s="15" t="s">
        <v>2689</v>
      </c>
      <c r="C2266" s="1" t="s">
        <v>17</v>
      </c>
      <c r="D2266" s="1" t="s">
        <v>2690</v>
      </c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</row>
    <row r="2267" ht="23.25" customHeight="1">
      <c r="A2267" s="20" t="str">
        <f>IF(COUNTIF('Icon Lookup'!C:C,B2267)&gt;0,LOOKUP(B2267,'Icon Lookup'!C:C,'Icon Lookup'!B:B),"")</f>
        <v/>
      </c>
      <c r="B2267" s="21" t="s">
        <v>902</v>
      </c>
      <c r="C2267" s="20"/>
      <c r="D2267" s="20">
        <v>63.0</v>
      </c>
      <c r="E2267" s="20" t="str">
        <f>IMAGE("https://www.serebii.net/itemdex/sprites/sitrusberry.png")</f>
        <v/>
      </c>
      <c r="F2267" s="20" t="s">
        <v>1370</v>
      </c>
      <c r="G2267" s="20" t="s">
        <v>824</v>
      </c>
      <c r="H2267" s="23" t="s">
        <v>2691</v>
      </c>
      <c r="I2267" s="20" t="s">
        <v>905</v>
      </c>
      <c r="J2267" s="20">
        <v>252.0</v>
      </c>
      <c r="K2267" s="20">
        <v>0.0</v>
      </c>
      <c r="L2267" s="20">
        <v>0.0</v>
      </c>
      <c r="M2267" s="20">
        <v>252.0</v>
      </c>
      <c r="N2267" s="20">
        <v>0.0</v>
      </c>
      <c r="O2267" s="20">
        <v>6.0</v>
      </c>
      <c r="P2267" s="20">
        <v>30.0</v>
      </c>
      <c r="Q2267" s="20">
        <v>30.0</v>
      </c>
      <c r="R2267" s="20">
        <v>30.0</v>
      </c>
      <c r="S2267" s="20">
        <v>30.0</v>
      </c>
      <c r="T2267" s="20">
        <v>30.0</v>
      </c>
      <c r="U2267" s="20">
        <v>30.0</v>
      </c>
    </row>
    <row r="2268" ht="23.25" customHeight="1">
      <c r="A2268" s="17" t="str">
        <f>IF(COUNTIF('Icon Lookup'!C:C,B2268)&gt;0,LOOKUP(B2268,'Icon Lookup'!C:C,'Icon Lookup'!B:B),"")</f>
        <v/>
      </c>
      <c r="B2268" s="18" t="s">
        <v>471</v>
      </c>
      <c r="C2268" s="17"/>
      <c r="D2268" s="17">
        <v>64.0</v>
      </c>
      <c r="E2268" s="17" t="str">
        <f>IMAGE("https://www.serebii.net/itemdex/sprites/kingsrock.png")</f>
        <v/>
      </c>
      <c r="F2268" s="17" t="s">
        <v>1109</v>
      </c>
      <c r="G2268" s="17" t="s">
        <v>2571</v>
      </c>
      <c r="H2268" s="20" t="s">
        <v>2692</v>
      </c>
      <c r="I2268" s="17" t="s">
        <v>22</v>
      </c>
      <c r="J2268" s="17">
        <v>6.0</v>
      </c>
      <c r="K2268" s="17">
        <v>252.0</v>
      </c>
      <c r="L2268" s="17">
        <v>0.0</v>
      </c>
      <c r="M2268" s="17">
        <v>0.0</v>
      </c>
      <c r="N2268" s="17">
        <v>0.0</v>
      </c>
      <c r="O2268" s="17">
        <v>252.0</v>
      </c>
      <c r="P2268" s="17">
        <v>30.0</v>
      </c>
      <c r="Q2268" s="17">
        <v>30.0</v>
      </c>
      <c r="R2268" s="17">
        <v>30.0</v>
      </c>
      <c r="S2268" s="17">
        <v>30.0</v>
      </c>
      <c r="T2268" s="17">
        <v>30.0</v>
      </c>
      <c r="U2268" s="17">
        <v>30.0</v>
      </c>
    </row>
    <row r="2269" ht="23.25" customHeight="1">
      <c r="A2269" s="20" t="str">
        <f>IF(COUNTIF('Icon Lookup'!C:C,B2269)&gt;0,LOOKUP(B2269,'Icon Lookup'!C:C,'Icon Lookup'!B:B),"")</f>
        <v/>
      </c>
      <c r="B2269" s="21" t="s">
        <v>743</v>
      </c>
      <c r="C2269" s="20"/>
      <c r="D2269" s="20">
        <v>64.0</v>
      </c>
      <c r="E2269" s="20" t="str">
        <f>IMAGE("https://www.serebii.net/itemdex/sprites/leftovers.png")</f>
        <v/>
      </c>
      <c r="F2269" s="20" t="s">
        <v>511</v>
      </c>
      <c r="G2269" s="20" t="s">
        <v>859</v>
      </c>
      <c r="H2269" s="23" t="s">
        <v>2693</v>
      </c>
      <c r="I2269" s="20" t="s">
        <v>211</v>
      </c>
      <c r="J2269" s="20">
        <v>252.0</v>
      </c>
      <c r="K2269" s="20">
        <v>6.0</v>
      </c>
      <c r="L2269" s="20">
        <v>252.0</v>
      </c>
      <c r="M2269" s="20">
        <v>0.0</v>
      </c>
      <c r="N2269" s="20">
        <v>0.0</v>
      </c>
      <c r="O2269" s="20">
        <v>0.0</v>
      </c>
      <c r="P2269" s="20">
        <v>30.0</v>
      </c>
      <c r="Q2269" s="20">
        <v>30.0</v>
      </c>
      <c r="R2269" s="20">
        <v>30.0</v>
      </c>
      <c r="S2269" s="20">
        <v>30.0</v>
      </c>
      <c r="T2269" s="20">
        <v>30.0</v>
      </c>
      <c r="U2269" s="20">
        <v>30.0</v>
      </c>
    </row>
    <row r="2270" ht="23.25" customHeight="1">
      <c r="A2270" s="24" t="str">
        <f>IF(COUNTIF('Icon Lookup'!C:C,B2270)&gt;0,LOOKUP(B2270,'Icon Lookup'!C:C,'Icon Lookup'!B:B),"")</f>
        <v/>
      </c>
      <c r="B2270" s="25" t="s">
        <v>2694</v>
      </c>
      <c r="C2270" s="24" t="s">
        <v>804</v>
      </c>
      <c r="D2270" s="24">
        <v>65.0</v>
      </c>
      <c r="E2270" s="24" t="str">
        <f>IMAGE("https://www.serebii.net/itemdex/sprites/wikiberry.png")</f>
        <v/>
      </c>
      <c r="F2270" s="24" t="s">
        <v>525</v>
      </c>
      <c r="G2270" s="17" t="s">
        <v>2626</v>
      </c>
      <c r="H2270" s="20" t="s">
        <v>2695</v>
      </c>
      <c r="I2270" s="24" t="s">
        <v>105</v>
      </c>
      <c r="J2270" s="24">
        <v>6.0</v>
      </c>
      <c r="K2270" s="24">
        <v>0.0</v>
      </c>
      <c r="L2270" s="24">
        <v>0.0</v>
      </c>
      <c r="M2270" s="24">
        <v>252.0</v>
      </c>
      <c r="N2270" s="24">
        <v>252.0</v>
      </c>
      <c r="O2270" s="24">
        <v>0.0</v>
      </c>
      <c r="P2270" s="24">
        <v>30.0</v>
      </c>
      <c r="Q2270" s="24">
        <v>30.0</v>
      </c>
      <c r="R2270" s="24">
        <v>30.0</v>
      </c>
      <c r="S2270" s="24">
        <v>30.0</v>
      </c>
      <c r="T2270" s="24">
        <v>30.0</v>
      </c>
      <c r="U2270" s="24">
        <v>30.0</v>
      </c>
    </row>
    <row r="2271" ht="23.25" customHeight="1">
      <c r="A2271" s="24" t="str">
        <f>IF(COUNTIF('Icon Lookup'!C:C,B2271)&gt;0,LOOKUP(B2271,'Icon Lookup'!C:C,'Icon Lookup'!B:B),"")</f>
        <v/>
      </c>
      <c r="B2271" s="25" t="s">
        <v>2541</v>
      </c>
      <c r="C2271" s="24" t="s">
        <v>804</v>
      </c>
      <c r="D2271" s="24">
        <v>65.0</v>
      </c>
      <c r="E2271" s="24" t="str">
        <f>IMAGE("https://www.serebii.net/itemdex/sprites/lumberry.png")</f>
        <v/>
      </c>
      <c r="F2271" s="24" t="s">
        <v>1970</v>
      </c>
      <c r="G2271" s="20" t="s">
        <v>2533</v>
      </c>
      <c r="H2271" s="23" t="s">
        <v>2696</v>
      </c>
      <c r="I2271" s="24" t="s">
        <v>52</v>
      </c>
      <c r="J2271" s="24">
        <v>6.0</v>
      </c>
      <c r="K2271" s="24">
        <v>0.0</v>
      </c>
      <c r="L2271" s="24">
        <v>0.0</v>
      </c>
      <c r="M2271" s="24">
        <v>252.0</v>
      </c>
      <c r="N2271" s="24">
        <v>0.0</v>
      </c>
      <c r="O2271" s="24">
        <v>252.0</v>
      </c>
      <c r="P2271" s="24">
        <v>30.0</v>
      </c>
      <c r="Q2271" s="24">
        <v>30.0</v>
      </c>
      <c r="R2271" s="24">
        <v>30.0</v>
      </c>
      <c r="S2271" s="24">
        <v>30.0</v>
      </c>
      <c r="T2271" s="24">
        <v>30.0</v>
      </c>
      <c r="U2271" s="24">
        <v>30.0</v>
      </c>
    </row>
    <row r="2272" ht="23.25" customHeight="1">
      <c r="A2272" s="24" t="str">
        <f>IF(COUNTIF('Icon Lookup'!C:C,B2272)&gt;0,LOOKUP(B2272,'Icon Lookup'!C:C,'Icon Lookup'!B:B),"")</f>
        <v/>
      </c>
      <c r="B2272" s="25" t="s">
        <v>2565</v>
      </c>
      <c r="C2272" s="24" t="s">
        <v>804</v>
      </c>
      <c r="D2272" s="24">
        <v>65.0</v>
      </c>
      <c r="E2272" s="24" t="str">
        <f>IMAGE("https://www.serebii.net/itemdex/sprites/iapapaberry.png")</f>
        <v/>
      </c>
      <c r="F2272" s="24" t="s">
        <v>79</v>
      </c>
      <c r="G2272" s="17" t="s">
        <v>2697</v>
      </c>
      <c r="H2272" s="20" t="s">
        <v>2698</v>
      </c>
      <c r="I2272" s="24" t="s">
        <v>550</v>
      </c>
      <c r="J2272" s="24">
        <v>6.0</v>
      </c>
      <c r="K2272" s="24">
        <v>252.0</v>
      </c>
      <c r="L2272" s="24">
        <v>0.0</v>
      </c>
      <c r="M2272" s="24">
        <v>0.0</v>
      </c>
      <c r="N2272" s="24">
        <v>0.0</v>
      </c>
      <c r="O2272" s="24">
        <v>252.0</v>
      </c>
      <c r="P2272" s="24">
        <v>30.0</v>
      </c>
      <c r="Q2272" s="24">
        <v>30.0</v>
      </c>
      <c r="R2272" s="24">
        <v>30.0</v>
      </c>
      <c r="S2272" s="24">
        <v>30.0</v>
      </c>
      <c r="T2272" s="24">
        <v>30.0</v>
      </c>
      <c r="U2272" s="24">
        <v>30.0</v>
      </c>
    </row>
  </sheetData>
  <mergeCells count="1966">
    <mergeCell ref="I2:I3"/>
    <mergeCell ref="J2:O2"/>
    <mergeCell ref="A1:U1"/>
    <mergeCell ref="A2:B3"/>
    <mergeCell ref="C2:C3"/>
    <mergeCell ref="D2:D3"/>
    <mergeCell ref="G2:G3"/>
    <mergeCell ref="H2:H3"/>
    <mergeCell ref="P2:U2"/>
    <mergeCell ref="E2:F3"/>
    <mergeCell ref="D4:F4"/>
    <mergeCell ref="E5:F5"/>
    <mergeCell ref="D6:F6"/>
    <mergeCell ref="E7:F7"/>
    <mergeCell ref="D8:F8"/>
    <mergeCell ref="E9:F9"/>
    <mergeCell ref="E10:F10"/>
    <mergeCell ref="D11:F11"/>
    <mergeCell ref="E12:F12"/>
    <mergeCell ref="E13:F13"/>
    <mergeCell ref="D14:F14"/>
    <mergeCell ref="E15:F15"/>
    <mergeCell ref="E16:F16"/>
    <mergeCell ref="D17:F17"/>
    <mergeCell ref="E18:F18"/>
    <mergeCell ref="D19:F19"/>
    <mergeCell ref="E20:F20"/>
    <mergeCell ref="D21:F21"/>
    <mergeCell ref="E22:F22"/>
    <mergeCell ref="E23:F23"/>
    <mergeCell ref="D24:F24"/>
    <mergeCell ref="E25:F25"/>
    <mergeCell ref="E26:F26"/>
    <mergeCell ref="D27:F27"/>
    <mergeCell ref="E28:F28"/>
    <mergeCell ref="D29:F29"/>
    <mergeCell ref="E30:F30"/>
    <mergeCell ref="D31:F31"/>
    <mergeCell ref="E32:F32"/>
    <mergeCell ref="D33:F33"/>
    <mergeCell ref="E34:F34"/>
    <mergeCell ref="E35:F35"/>
    <mergeCell ref="D36:F36"/>
    <mergeCell ref="E37:F37"/>
    <mergeCell ref="E38:F38"/>
    <mergeCell ref="E39:F39"/>
    <mergeCell ref="E40:F40"/>
    <mergeCell ref="D41:F41"/>
    <mergeCell ref="E42:F42"/>
    <mergeCell ref="D43:F43"/>
    <mergeCell ref="E44:F44"/>
    <mergeCell ref="D45:F45"/>
    <mergeCell ref="E46:F46"/>
    <mergeCell ref="D47:F47"/>
    <mergeCell ref="E48:F48"/>
    <mergeCell ref="E49:F49"/>
    <mergeCell ref="E50:F50"/>
    <mergeCell ref="E51:F51"/>
    <mergeCell ref="E52:F52"/>
    <mergeCell ref="E53:F53"/>
    <mergeCell ref="D54:F54"/>
    <mergeCell ref="E55:F55"/>
    <mergeCell ref="D56:F56"/>
    <mergeCell ref="E57:F57"/>
    <mergeCell ref="E58:F58"/>
    <mergeCell ref="E59:F59"/>
    <mergeCell ref="D60:F60"/>
    <mergeCell ref="E61:F61"/>
    <mergeCell ref="D62:F62"/>
    <mergeCell ref="E63:F63"/>
    <mergeCell ref="D64:F64"/>
    <mergeCell ref="E65:F65"/>
    <mergeCell ref="E66:F66"/>
    <mergeCell ref="D67:F67"/>
    <mergeCell ref="E68:F68"/>
    <mergeCell ref="D69:F69"/>
    <mergeCell ref="E70:F70"/>
    <mergeCell ref="D71:F71"/>
    <mergeCell ref="E72:F72"/>
    <mergeCell ref="E73:F73"/>
    <mergeCell ref="D74:F74"/>
    <mergeCell ref="E75:F75"/>
    <mergeCell ref="D76:F76"/>
    <mergeCell ref="E77:F77"/>
    <mergeCell ref="E78:F78"/>
    <mergeCell ref="D79:F79"/>
    <mergeCell ref="E80:F80"/>
    <mergeCell ref="E81:F81"/>
    <mergeCell ref="E82:F82"/>
    <mergeCell ref="D83:F83"/>
    <mergeCell ref="E84:F84"/>
    <mergeCell ref="D85:F85"/>
    <mergeCell ref="E86:F86"/>
    <mergeCell ref="D87:F87"/>
    <mergeCell ref="E88:F88"/>
    <mergeCell ref="E89:F89"/>
    <mergeCell ref="E90:F90"/>
    <mergeCell ref="E91:F91"/>
    <mergeCell ref="D92:F92"/>
    <mergeCell ref="E93:F93"/>
    <mergeCell ref="E94:F94"/>
    <mergeCell ref="D95:F95"/>
    <mergeCell ref="E96:F96"/>
    <mergeCell ref="E97:F97"/>
    <mergeCell ref="D98:F98"/>
    <mergeCell ref="E99:F99"/>
    <mergeCell ref="E100:F100"/>
    <mergeCell ref="D101:F101"/>
    <mergeCell ref="E102:F102"/>
    <mergeCell ref="E103:F103"/>
    <mergeCell ref="E104:F104"/>
    <mergeCell ref="D105:F105"/>
    <mergeCell ref="E106:F106"/>
    <mergeCell ref="D107:F107"/>
    <mergeCell ref="E108:F108"/>
    <mergeCell ref="D109:F109"/>
    <mergeCell ref="E110:F110"/>
    <mergeCell ref="E111:F111"/>
    <mergeCell ref="D112:F112"/>
    <mergeCell ref="E113:F113"/>
    <mergeCell ref="E114:F114"/>
    <mergeCell ref="D115:F115"/>
    <mergeCell ref="E116:F116"/>
    <mergeCell ref="E117:F117"/>
    <mergeCell ref="D118:F118"/>
    <mergeCell ref="E119:F119"/>
    <mergeCell ref="E120:F120"/>
    <mergeCell ref="E121:F121"/>
    <mergeCell ref="D122:F122"/>
    <mergeCell ref="E123:F123"/>
    <mergeCell ref="E124:F124"/>
    <mergeCell ref="E125:F125"/>
    <mergeCell ref="D126:F126"/>
    <mergeCell ref="E127:F127"/>
    <mergeCell ref="E128:F128"/>
    <mergeCell ref="E129:F129"/>
    <mergeCell ref="E130:F130"/>
    <mergeCell ref="E131:F131"/>
    <mergeCell ref="D132:F132"/>
    <mergeCell ref="E133:F133"/>
    <mergeCell ref="D134:F134"/>
    <mergeCell ref="E135:F135"/>
    <mergeCell ref="E178:F178"/>
    <mergeCell ref="E179:F179"/>
    <mergeCell ref="D180:F180"/>
    <mergeCell ref="E181:F181"/>
    <mergeCell ref="D182:F182"/>
    <mergeCell ref="E183:F183"/>
    <mergeCell ref="D184:F184"/>
    <mergeCell ref="E185:F185"/>
    <mergeCell ref="D186:F186"/>
    <mergeCell ref="E187:F187"/>
    <mergeCell ref="E188:F188"/>
    <mergeCell ref="E189:F189"/>
    <mergeCell ref="D190:F190"/>
    <mergeCell ref="E191:F191"/>
    <mergeCell ref="D136:F136"/>
    <mergeCell ref="E137:F137"/>
    <mergeCell ref="D138:F138"/>
    <mergeCell ref="E139:F139"/>
    <mergeCell ref="D140:F140"/>
    <mergeCell ref="E141:F141"/>
    <mergeCell ref="E142:F142"/>
    <mergeCell ref="E143:F143"/>
    <mergeCell ref="D144:F144"/>
    <mergeCell ref="E145:F145"/>
    <mergeCell ref="E146:F146"/>
    <mergeCell ref="E147:F147"/>
    <mergeCell ref="D148:F148"/>
    <mergeCell ref="E149:F149"/>
    <mergeCell ref="D150:F150"/>
    <mergeCell ref="E151:F151"/>
    <mergeCell ref="D152:F152"/>
    <mergeCell ref="E153:F153"/>
    <mergeCell ref="E154:F154"/>
    <mergeCell ref="E155:F155"/>
    <mergeCell ref="D156:F156"/>
    <mergeCell ref="E157:F157"/>
    <mergeCell ref="E158:F158"/>
    <mergeCell ref="D159:F159"/>
    <mergeCell ref="E160:F160"/>
    <mergeCell ref="E161:F161"/>
    <mergeCell ref="E162:F162"/>
    <mergeCell ref="D163:F163"/>
    <mergeCell ref="E164:F164"/>
    <mergeCell ref="D165:F165"/>
    <mergeCell ref="E166:F166"/>
    <mergeCell ref="E167:F167"/>
    <mergeCell ref="E168:F168"/>
    <mergeCell ref="E169:F169"/>
    <mergeCell ref="D170:F170"/>
    <mergeCell ref="E171:F171"/>
    <mergeCell ref="E172:F172"/>
    <mergeCell ref="D173:F173"/>
    <mergeCell ref="E174:F174"/>
    <mergeCell ref="D175:F175"/>
    <mergeCell ref="E176:F176"/>
    <mergeCell ref="D177:F177"/>
    <mergeCell ref="E192:F192"/>
    <mergeCell ref="E193:F193"/>
    <mergeCell ref="D194:F194"/>
    <mergeCell ref="E195:F195"/>
    <mergeCell ref="E196:F196"/>
    <mergeCell ref="D197:F197"/>
    <mergeCell ref="E198:F198"/>
    <mergeCell ref="E241:F241"/>
    <mergeCell ref="E242:F242"/>
    <mergeCell ref="E243:F243"/>
    <mergeCell ref="D244:F244"/>
    <mergeCell ref="E245:F245"/>
    <mergeCell ref="E246:F246"/>
    <mergeCell ref="D247:F247"/>
    <mergeCell ref="E248:F248"/>
    <mergeCell ref="E249:F249"/>
    <mergeCell ref="D250:F250"/>
    <mergeCell ref="E251:F251"/>
    <mergeCell ref="E252:F252"/>
    <mergeCell ref="D253:F253"/>
    <mergeCell ref="E254:F254"/>
    <mergeCell ref="D199:F199"/>
    <mergeCell ref="E200:F200"/>
    <mergeCell ref="D201:F201"/>
    <mergeCell ref="E202:F202"/>
    <mergeCell ref="D203:F203"/>
    <mergeCell ref="E204:F204"/>
    <mergeCell ref="D205:F205"/>
    <mergeCell ref="E206:F206"/>
    <mergeCell ref="D207:F207"/>
    <mergeCell ref="E208:F208"/>
    <mergeCell ref="E209:F209"/>
    <mergeCell ref="D210:F210"/>
    <mergeCell ref="E211:F211"/>
    <mergeCell ref="E212:F212"/>
    <mergeCell ref="D213:F213"/>
    <mergeCell ref="E214:F214"/>
    <mergeCell ref="E215:F215"/>
    <mergeCell ref="D216:F216"/>
    <mergeCell ref="E217:F217"/>
    <mergeCell ref="D218:F218"/>
    <mergeCell ref="E219:F219"/>
    <mergeCell ref="E220:F220"/>
    <mergeCell ref="D221:F221"/>
    <mergeCell ref="E222:F222"/>
    <mergeCell ref="E223:F223"/>
    <mergeCell ref="E224:F224"/>
    <mergeCell ref="E225:F225"/>
    <mergeCell ref="D226:F226"/>
    <mergeCell ref="E227:F227"/>
    <mergeCell ref="E228:F228"/>
    <mergeCell ref="D229:F229"/>
    <mergeCell ref="E230:F230"/>
    <mergeCell ref="E231:F231"/>
    <mergeCell ref="D232:F232"/>
    <mergeCell ref="E233:F233"/>
    <mergeCell ref="E234:F234"/>
    <mergeCell ref="D235:F235"/>
    <mergeCell ref="E236:F236"/>
    <mergeCell ref="D237:F237"/>
    <mergeCell ref="E238:F238"/>
    <mergeCell ref="E239:F239"/>
    <mergeCell ref="D240:F240"/>
    <mergeCell ref="E255:F255"/>
    <mergeCell ref="E256:F256"/>
    <mergeCell ref="D257:F257"/>
    <mergeCell ref="E258:F258"/>
    <mergeCell ref="D259:F259"/>
    <mergeCell ref="E260:F260"/>
    <mergeCell ref="E261:F261"/>
    <mergeCell ref="D262:F262"/>
    <mergeCell ref="E263:F263"/>
    <mergeCell ref="E264:F264"/>
    <mergeCell ref="E265:F265"/>
    <mergeCell ref="D266:F266"/>
    <mergeCell ref="E267:F267"/>
    <mergeCell ref="E268:F268"/>
    <mergeCell ref="E269:F269"/>
    <mergeCell ref="D270:F270"/>
    <mergeCell ref="E271:F271"/>
    <mergeCell ref="D272:F272"/>
    <mergeCell ref="E273:F273"/>
    <mergeCell ref="E274:F274"/>
    <mergeCell ref="D275:F275"/>
    <mergeCell ref="E276:F276"/>
    <mergeCell ref="E277:F277"/>
    <mergeCell ref="E278:F278"/>
    <mergeCell ref="D279:F279"/>
    <mergeCell ref="E280:F280"/>
    <mergeCell ref="E281:F281"/>
    <mergeCell ref="E282:F282"/>
    <mergeCell ref="D283:F283"/>
    <mergeCell ref="E284:F284"/>
    <mergeCell ref="E285:F285"/>
    <mergeCell ref="E286:F286"/>
    <mergeCell ref="D287:F287"/>
    <mergeCell ref="E288:F288"/>
    <mergeCell ref="D289:F289"/>
    <mergeCell ref="E290:F290"/>
    <mergeCell ref="E291:F291"/>
    <mergeCell ref="E292:F292"/>
    <mergeCell ref="D293:F293"/>
    <mergeCell ref="E294:F294"/>
    <mergeCell ref="D295:F295"/>
    <mergeCell ref="E296:F296"/>
    <mergeCell ref="E297:F297"/>
    <mergeCell ref="D298:F298"/>
    <mergeCell ref="E299:F299"/>
    <mergeCell ref="E300:F300"/>
    <mergeCell ref="E301:F301"/>
    <mergeCell ref="D302:F302"/>
    <mergeCell ref="E303:F303"/>
    <mergeCell ref="D304:F304"/>
    <mergeCell ref="E305:F305"/>
    <mergeCell ref="E306:F306"/>
    <mergeCell ref="E307:F307"/>
    <mergeCell ref="D308:F308"/>
    <mergeCell ref="E309:F309"/>
    <mergeCell ref="E310:F310"/>
    <mergeCell ref="E353:F353"/>
    <mergeCell ref="D354:F354"/>
    <mergeCell ref="E355:F355"/>
    <mergeCell ref="E356:F356"/>
    <mergeCell ref="E357:F357"/>
    <mergeCell ref="E358:F358"/>
    <mergeCell ref="E359:F359"/>
    <mergeCell ref="D360:F360"/>
    <mergeCell ref="E361:F361"/>
    <mergeCell ref="E362:F362"/>
    <mergeCell ref="E363:F363"/>
    <mergeCell ref="D364:F364"/>
    <mergeCell ref="E365:F365"/>
    <mergeCell ref="D366:F366"/>
    <mergeCell ref="E311:F311"/>
    <mergeCell ref="D312:F312"/>
    <mergeCell ref="E313:F313"/>
    <mergeCell ref="D314:F314"/>
    <mergeCell ref="E315:F315"/>
    <mergeCell ref="E316:F316"/>
    <mergeCell ref="D317:F317"/>
    <mergeCell ref="E318:F318"/>
    <mergeCell ref="D319:F319"/>
    <mergeCell ref="E320:F320"/>
    <mergeCell ref="E321:F321"/>
    <mergeCell ref="E322:F322"/>
    <mergeCell ref="D323:F323"/>
    <mergeCell ref="E324:F324"/>
    <mergeCell ref="E325:F325"/>
    <mergeCell ref="D326:F326"/>
    <mergeCell ref="E327:F327"/>
    <mergeCell ref="E328:F328"/>
    <mergeCell ref="E329:F329"/>
    <mergeCell ref="E330:F330"/>
    <mergeCell ref="D331:F331"/>
    <mergeCell ref="E332:F332"/>
    <mergeCell ref="E333:F333"/>
    <mergeCell ref="D334:F334"/>
    <mergeCell ref="E335:F335"/>
    <mergeCell ref="E336:F336"/>
    <mergeCell ref="D337:F337"/>
    <mergeCell ref="E338:F338"/>
    <mergeCell ref="D339:F339"/>
    <mergeCell ref="E340:F340"/>
    <mergeCell ref="E341:F341"/>
    <mergeCell ref="E342:F342"/>
    <mergeCell ref="E343:F343"/>
    <mergeCell ref="D344:F344"/>
    <mergeCell ref="E345:F345"/>
    <mergeCell ref="E346:F346"/>
    <mergeCell ref="D347:F347"/>
    <mergeCell ref="E348:F348"/>
    <mergeCell ref="E349:F349"/>
    <mergeCell ref="E350:F350"/>
    <mergeCell ref="D351:F351"/>
    <mergeCell ref="E352:F352"/>
    <mergeCell ref="E367:F367"/>
    <mergeCell ref="E368:F368"/>
    <mergeCell ref="D369:F369"/>
    <mergeCell ref="E370:F370"/>
    <mergeCell ref="E371:F371"/>
    <mergeCell ref="E372:F372"/>
    <mergeCell ref="E373:F373"/>
    <mergeCell ref="D374:F374"/>
    <mergeCell ref="E375:F375"/>
    <mergeCell ref="E376:F376"/>
    <mergeCell ref="D377:F377"/>
    <mergeCell ref="E378:F378"/>
    <mergeCell ref="E379:F379"/>
    <mergeCell ref="E380:F380"/>
    <mergeCell ref="D381:F381"/>
    <mergeCell ref="E382:F382"/>
    <mergeCell ref="E383:F383"/>
    <mergeCell ref="D384:F384"/>
    <mergeCell ref="E385:F385"/>
    <mergeCell ref="D386:F386"/>
    <mergeCell ref="E387:F387"/>
    <mergeCell ref="E388:F388"/>
    <mergeCell ref="E389:F389"/>
    <mergeCell ref="D390:F390"/>
    <mergeCell ref="E391:F391"/>
    <mergeCell ref="E392:F392"/>
    <mergeCell ref="D393:F393"/>
    <mergeCell ref="E394:F394"/>
    <mergeCell ref="E395:F395"/>
    <mergeCell ref="E396:F396"/>
    <mergeCell ref="D397:F397"/>
    <mergeCell ref="E398:F398"/>
    <mergeCell ref="E399:F399"/>
    <mergeCell ref="E400:F400"/>
    <mergeCell ref="D401:F401"/>
    <mergeCell ref="E402:F402"/>
    <mergeCell ref="E403:F403"/>
    <mergeCell ref="D404:F404"/>
    <mergeCell ref="E405:F405"/>
    <mergeCell ref="E406:F406"/>
    <mergeCell ref="E407:F407"/>
    <mergeCell ref="E408:F408"/>
    <mergeCell ref="D409:F409"/>
    <mergeCell ref="E410:F410"/>
    <mergeCell ref="E411:F411"/>
    <mergeCell ref="E412:F412"/>
    <mergeCell ref="D413:F413"/>
    <mergeCell ref="E414:F414"/>
    <mergeCell ref="E415:F415"/>
    <mergeCell ref="E416:F416"/>
    <mergeCell ref="D417:F417"/>
    <mergeCell ref="E418:F418"/>
    <mergeCell ref="E419:F419"/>
    <mergeCell ref="D420:F420"/>
    <mergeCell ref="E421:F421"/>
    <mergeCell ref="D422:F422"/>
    <mergeCell ref="E423:F423"/>
    <mergeCell ref="E424:F424"/>
    <mergeCell ref="D425:F425"/>
    <mergeCell ref="E426:F426"/>
    <mergeCell ref="E427:F427"/>
    <mergeCell ref="E428:F428"/>
    <mergeCell ref="D429:F429"/>
    <mergeCell ref="E430:F430"/>
    <mergeCell ref="D431:F431"/>
    <mergeCell ref="E432:F432"/>
    <mergeCell ref="E433:F433"/>
    <mergeCell ref="E434:F434"/>
    <mergeCell ref="D435:F435"/>
    <mergeCell ref="E436:F436"/>
    <mergeCell ref="D437:F437"/>
    <mergeCell ref="E438:F438"/>
    <mergeCell ref="E439:F439"/>
    <mergeCell ref="D440:F440"/>
    <mergeCell ref="E441:F441"/>
    <mergeCell ref="E442:F442"/>
    <mergeCell ref="E443:F443"/>
    <mergeCell ref="D444:F444"/>
    <mergeCell ref="E445:F445"/>
    <mergeCell ref="E446:F446"/>
    <mergeCell ref="D447:F447"/>
    <mergeCell ref="E448:F448"/>
    <mergeCell ref="E449:F449"/>
    <mergeCell ref="D450:F450"/>
    <mergeCell ref="E451:F451"/>
    <mergeCell ref="D452:F452"/>
    <mergeCell ref="E453:F453"/>
    <mergeCell ref="E454:F454"/>
    <mergeCell ref="D455:F455"/>
    <mergeCell ref="E456:F456"/>
    <mergeCell ref="D457:F457"/>
    <mergeCell ref="E458:F458"/>
    <mergeCell ref="E459:F459"/>
    <mergeCell ref="E460:F460"/>
    <mergeCell ref="D461:F461"/>
    <mergeCell ref="E462:F462"/>
    <mergeCell ref="E463:F463"/>
    <mergeCell ref="E464:F464"/>
    <mergeCell ref="D465:F465"/>
    <mergeCell ref="E466:F466"/>
    <mergeCell ref="E467:F467"/>
    <mergeCell ref="D468:F468"/>
    <mergeCell ref="E469:F469"/>
    <mergeCell ref="D470:F470"/>
    <mergeCell ref="E471:F471"/>
    <mergeCell ref="D472:F472"/>
    <mergeCell ref="E473:F473"/>
    <mergeCell ref="D474:F474"/>
    <mergeCell ref="E475:F475"/>
    <mergeCell ref="E476:F476"/>
    <mergeCell ref="E477:F477"/>
    <mergeCell ref="D478:F478"/>
    <mergeCell ref="E479:F479"/>
    <mergeCell ref="D480:F480"/>
    <mergeCell ref="E481:F481"/>
    <mergeCell ref="E482:F482"/>
    <mergeCell ref="D483:F483"/>
    <mergeCell ref="E484:F484"/>
    <mergeCell ref="E485:F485"/>
    <mergeCell ref="D486:F486"/>
    <mergeCell ref="E487:F487"/>
    <mergeCell ref="E488:F488"/>
    <mergeCell ref="E489:F489"/>
    <mergeCell ref="D490:F490"/>
    <mergeCell ref="E491:F491"/>
    <mergeCell ref="E492:F492"/>
    <mergeCell ref="D493:F493"/>
    <mergeCell ref="E494:F494"/>
    <mergeCell ref="D495:F495"/>
    <mergeCell ref="E496:F496"/>
    <mergeCell ref="E497:F497"/>
    <mergeCell ref="E498:F498"/>
    <mergeCell ref="D499:F499"/>
    <mergeCell ref="E500:F500"/>
    <mergeCell ref="E501:F501"/>
    <mergeCell ref="D502:F502"/>
    <mergeCell ref="E503:F503"/>
    <mergeCell ref="E504:F504"/>
    <mergeCell ref="D505:F505"/>
    <mergeCell ref="E506:F506"/>
    <mergeCell ref="E507:F507"/>
    <mergeCell ref="E508:F508"/>
    <mergeCell ref="D509:F509"/>
    <mergeCell ref="E510:F510"/>
    <mergeCell ref="E511:F511"/>
    <mergeCell ref="D512:F512"/>
    <mergeCell ref="E513:F513"/>
    <mergeCell ref="D514:F514"/>
    <mergeCell ref="E515:F515"/>
    <mergeCell ref="D516:F516"/>
    <mergeCell ref="E517:F517"/>
    <mergeCell ref="D518:F518"/>
    <mergeCell ref="E519:F519"/>
    <mergeCell ref="D520:F520"/>
    <mergeCell ref="E521:F521"/>
    <mergeCell ref="E522:F522"/>
    <mergeCell ref="E523:F523"/>
    <mergeCell ref="D524:F524"/>
    <mergeCell ref="E525:F525"/>
    <mergeCell ref="D526:F526"/>
    <mergeCell ref="E527:F527"/>
    <mergeCell ref="E528:F528"/>
    <mergeCell ref="D529:F529"/>
    <mergeCell ref="E530:F530"/>
    <mergeCell ref="E531:F531"/>
    <mergeCell ref="E532:F532"/>
    <mergeCell ref="D533:F533"/>
    <mergeCell ref="E534:F534"/>
    <mergeCell ref="E535:F535"/>
    <mergeCell ref="D536:F536"/>
    <mergeCell ref="E537:F537"/>
    <mergeCell ref="E538:F538"/>
    <mergeCell ref="D539:F539"/>
    <mergeCell ref="E540:F540"/>
    <mergeCell ref="E541:F541"/>
    <mergeCell ref="D542:F542"/>
    <mergeCell ref="E543:F543"/>
    <mergeCell ref="D546:F546"/>
    <mergeCell ref="E547:F547"/>
    <mergeCell ref="E548:F548"/>
    <mergeCell ref="E549:F549"/>
    <mergeCell ref="D550:F550"/>
    <mergeCell ref="E551:F551"/>
    <mergeCell ref="D552:F552"/>
    <mergeCell ref="E553:F553"/>
    <mergeCell ref="D554:F554"/>
    <mergeCell ref="E555:F555"/>
    <mergeCell ref="E556:F556"/>
    <mergeCell ref="E557:F557"/>
    <mergeCell ref="D558:F558"/>
    <mergeCell ref="E559:F559"/>
    <mergeCell ref="D560:F560"/>
    <mergeCell ref="D566:F566"/>
    <mergeCell ref="D572:F572"/>
    <mergeCell ref="D578:F578"/>
    <mergeCell ref="D584:F584"/>
    <mergeCell ref="E585:F585"/>
    <mergeCell ref="D586:F586"/>
    <mergeCell ref="E587:F587"/>
    <mergeCell ref="E588:F588"/>
    <mergeCell ref="E589:F589"/>
    <mergeCell ref="D590:F590"/>
    <mergeCell ref="D597:F597"/>
    <mergeCell ref="E640:F640"/>
    <mergeCell ref="E641:F641"/>
    <mergeCell ref="D642:F642"/>
    <mergeCell ref="E643:F643"/>
    <mergeCell ref="E644:F644"/>
    <mergeCell ref="D645:F645"/>
    <mergeCell ref="E646:F646"/>
    <mergeCell ref="E647:F647"/>
    <mergeCell ref="D648:F648"/>
    <mergeCell ref="E649:F649"/>
    <mergeCell ref="D650:F650"/>
    <mergeCell ref="E651:F651"/>
    <mergeCell ref="E652:F652"/>
    <mergeCell ref="D653:F653"/>
    <mergeCell ref="E598:F598"/>
    <mergeCell ref="E599:F599"/>
    <mergeCell ref="D600:F600"/>
    <mergeCell ref="E601:F601"/>
    <mergeCell ref="D602:F602"/>
    <mergeCell ref="E603:F603"/>
    <mergeCell ref="E604:F604"/>
    <mergeCell ref="E605:F605"/>
    <mergeCell ref="D606:F606"/>
    <mergeCell ref="E607:F607"/>
    <mergeCell ref="E608:F608"/>
    <mergeCell ref="D609:F609"/>
    <mergeCell ref="E610:F610"/>
    <mergeCell ref="E611:F611"/>
    <mergeCell ref="E612:F612"/>
    <mergeCell ref="D613:F613"/>
    <mergeCell ref="E614:F614"/>
    <mergeCell ref="E615:F615"/>
    <mergeCell ref="E616:F616"/>
    <mergeCell ref="D617:F617"/>
    <mergeCell ref="E618:F618"/>
    <mergeCell ref="E619:F619"/>
    <mergeCell ref="E620:F620"/>
    <mergeCell ref="D621:F621"/>
    <mergeCell ref="E622:F622"/>
    <mergeCell ref="E623:F623"/>
    <mergeCell ref="E624:F624"/>
    <mergeCell ref="D625:F625"/>
    <mergeCell ref="E626:F626"/>
    <mergeCell ref="E627:F627"/>
    <mergeCell ref="E628:F628"/>
    <mergeCell ref="D629:F629"/>
    <mergeCell ref="E630:F630"/>
    <mergeCell ref="E631:F631"/>
    <mergeCell ref="D632:F632"/>
    <mergeCell ref="E633:F633"/>
    <mergeCell ref="E634:F634"/>
    <mergeCell ref="D635:F635"/>
    <mergeCell ref="E636:F636"/>
    <mergeCell ref="E637:F637"/>
    <mergeCell ref="D638:F638"/>
    <mergeCell ref="E639:F639"/>
    <mergeCell ref="E654:F654"/>
    <mergeCell ref="E655:F655"/>
    <mergeCell ref="D656:F656"/>
    <mergeCell ref="E657:F657"/>
    <mergeCell ref="D658:F658"/>
    <mergeCell ref="E659:F659"/>
    <mergeCell ref="E660:F660"/>
    <mergeCell ref="D661:F661"/>
    <mergeCell ref="E662:F662"/>
    <mergeCell ref="E663:F663"/>
    <mergeCell ref="D664:F664"/>
    <mergeCell ref="E665:F665"/>
    <mergeCell ref="E666:F666"/>
    <mergeCell ref="D667:F667"/>
    <mergeCell ref="E668:F668"/>
    <mergeCell ref="D669:F669"/>
    <mergeCell ref="E670:F670"/>
    <mergeCell ref="D671:F671"/>
    <mergeCell ref="E672:F672"/>
    <mergeCell ref="E673:F673"/>
    <mergeCell ref="E674:F674"/>
    <mergeCell ref="D675:F675"/>
    <mergeCell ref="E676:F676"/>
    <mergeCell ref="E677:F677"/>
    <mergeCell ref="E678:F678"/>
    <mergeCell ref="D679:F679"/>
    <mergeCell ref="E680:F680"/>
    <mergeCell ref="D681:F681"/>
    <mergeCell ref="E682:F682"/>
    <mergeCell ref="D683:F683"/>
    <mergeCell ref="E684:F684"/>
    <mergeCell ref="D686:F686"/>
    <mergeCell ref="E687:F687"/>
    <mergeCell ref="E688:F688"/>
    <mergeCell ref="D689:F689"/>
    <mergeCell ref="E690:F690"/>
    <mergeCell ref="D691:F691"/>
    <mergeCell ref="E692:F692"/>
    <mergeCell ref="D693:F693"/>
    <mergeCell ref="E694:F694"/>
    <mergeCell ref="E695:F695"/>
    <mergeCell ref="D696:F696"/>
    <mergeCell ref="E697:F697"/>
    <mergeCell ref="D698:F698"/>
    <mergeCell ref="E699:F699"/>
    <mergeCell ref="D700:F700"/>
    <mergeCell ref="E701:F701"/>
    <mergeCell ref="E702:F702"/>
    <mergeCell ref="D703:F703"/>
    <mergeCell ref="E704:F704"/>
    <mergeCell ref="D705:F705"/>
    <mergeCell ref="E706:F706"/>
    <mergeCell ref="E707:F707"/>
    <mergeCell ref="D708:F708"/>
    <mergeCell ref="E709:F709"/>
    <mergeCell ref="D710:F710"/>
    <mergeCell ref="D772:F772"/>
    <mergeCell ref="E773:F773"/>
    <mergeCell ref="D774:F774"/>
    <mergeCell ref="E775:F775"/>
    <mergeCell ref="E776:F776"/>
    <mergeCell ref="D777:F777"/>
    <mergeCell ref="E778:F778"/>
    <mergeCell ref="E779:F779"/>
    <mergeCell ref="D780:F780"/>
    <mergeCell ref="E781:F781"/>
    <mergeCell ref="D782:F782"/>
    <mergeCell ref="E783:F783"/>
    <mergeCell ref="E784:F784"/>
    <mergeCell ref="D785:F785"/>
    <mergeCell ref="E711:F711"/>
    <mergeCell ref="D712:F712"/>
    <mergeCell ref="E713:F713"/>
    <mergeCell ref="E714:F714"/>
    <mergeCell ref="E715:F715"/>
    <mergeCell ref="D716:F716"/>
    <mergeCell ref="E717:F717"/>
    <mergeCell ref="D718:F718"/>
    <mergeCell ref="E719:F719"/>
    <mergeCell ref="E720:F720"/>
    <mergeCell ref="E721:F721"/>
    <mergeCell ref="D722:F722"/>
    <mergeCell ref="E723:F723"/>
    <mergeCell ref="E724:F724"/>
    <mergeCell ref="E725:F725"/>
    <mergeCell ref="D726:F726"/>
    <mergeCell ref="E727:F727"/>
    <mergeCell ref="D728:F728"/>
    <mergeCell ref="E729:F729"/>
    <mergeCell ref="E730:F730"/>
    <mergeCell ref="D731:F731"/>
    <mergeCell ref="E732:F732"/>
    <mergeCell ref="E733:F733"/>
    <mergeCell ref="D734:F734"/>
    <mergeCell ref="E735:F735"/>
    <mergeCell ref="D736:F736"/>
    <mergeCell ref="E737:F737"/>
    <mergeCell ref="D740:F740"/>
    <mergeCell ref="D744:F744"/>
    <mergeCell ref="D748:F748"/>
    <mergeCell ref="D752:F752"/>
    <mergeCell ref="D757:F757"/>
    <mergeCell ref="D762:F762"/>
    <mergeCell ref="E763:F763"/>
    <mergeCell ref="E764:F764"/>
    <mergeCell ref="D765:F765"/>
    <mergeCell ref="E766:F766"/>
    <mergeCell ref="E767:F767"/>
    <mergeCell ref="E768:F768"/>
    <mergeCell ref="D769:F769"/>
    <mergeCell ref="E770:F770"/>
    <mergeCell ref="E771:F771"/>
    <mergeCell ref="E786:F786"/>
    <mergeCell ref="E787:F787"/>
    <mergeCell ref="D788:F788"/>
    <mergeCell ref="E789:F789"/>
    <mergeCell ref="E790:F790"/>
    <mergeCell ref="E791:F791"/>
    <mergeCell ref="E792:F792"/>
    <mergeCell ref="D793:F793"/>
    <mergeCell ref="E794:F794"/>
    <mergeCell ref="E795:F795"/>
    <mergeCell ref="D796:F796"/>
    <mergeCell ref="E797:F797"/>
    <mergeCell ref="E798:F798"/>
    <mergeCell ref="D799:F799"/>
    <mergeCell ref="E800:F800"/>
    <mergeCell ref="D801:F801"/>
    <mergeCell ref="E802:F802"/>
    <mergeCell ref="D803:F803"/>
    <mergeCell ref="E804:F804"/>
    <mergeCell ref="E805:F805"/>
    <mergeCell ref="D806:F806"/>
    <mergeCell ref="E807:F807"/>
    <mergeCell ref="E808:F808"/>
    <mergeCell ref="D809:F809"/>
    <mergeCell ref="E810:F810"/>
    <mergeCell ref="D811:F811"/>
    <mergeCell ref="E812:F812"/>
    <mergeCell ref="D813:F813"/>
    <mergeCell ref="E814:F814"/>
    <mergeCell ref="D815:F815"/>
    <mergeCell ref="E816:F816"/>
    <mergeCell ref="E817:F817"/>
    <mergeCell ref="D818:F818"/>
    <mergeCell ref="E819:F819"/>
    <mergeCell ref="D820:F820"/>
    <mergeCell ref="E821:F821"/>
    <mergeCell ref="D822:F822"/>
    <mergeCell ref="E823:F823"/>
    <mergeCell ref="D824:F824"/>
    <mergeCell ref="E825:F825"/>
    <mergeCell ref="D826:F826"/>
    <mergeCell ref="E827:F827"/>
    <mergeCell ref="D828:F828"/>
    <mergeCell ref="E829:F829"/>
    <mergeCell ref="D830:F830"/>
    <mergeCell ref="E831:F831"/>
    <mergeCell ref="E832:F832"/>
    <mergeCell ref="D833:F833"/>
    <mergeCell ref="E834:F834"/>
    <mergeCell ref="E835:F835"/>
    <mergeCell ref="D836:F836"/>
    <mergeCell ref="E837:F837"/>
    <mergeCell ref="D838:F838"/>
    <mergeCell ref="E839:F839"/>
    <mergeCell ref="E840:F840"/>
    <mergeCell ref="D841:F841"/>
    <mergeCell ref="E842:F842"/>
    <mergeCell ref="D843:F843"/>
    <mergeCell ref="E844:F844"/>
    <mergeCell ref="E845:F845"/>
    <mergeCell ref="E846:F846"/>
    <mergeCell ref="D847:F847"/>
    <mergeCell ref="E848:F848"/>
    <mergeCell ref="D849:F849"/>
    <mergeCell ref="E850:F850"/>
    <mergeCell ref="E851:F851"/>
    <mergeCell ref="D852:F852"/>
    <mergeCell ref="E853:F853"/>
    <mergeCell ref="D854:F854"/>
    <mergeCell ref="E855:F855"/>
    <mergeCell ref="D856:F856"/>
    <mergeCell ref="E857:F857"/>
    <mergeCell ref="D858:F858"/>
    <mergeCell ref="E859:F859"/>
    <mergeCell ref="D860:F860"/>
    <mergeCell ref="E861:F861"/>
    <mergeCell ref="E862:F862"/>
    <mergeCell ref="D863:F863"/>
    <mergeCell ref="E864:F864"/>
    <mergeCell ref="D865:F865"/>
    <mergeCell ref="E866:F866"/>
    <mergeCell ref="E867:F867"/>
    <mergeCell ref="D868:F868"/>
    <mergeCell ref="E869:F869"/>
    <mergeCell ref="D870:F870"/>
    <mergeCell ref="E871:F871"/>
    <mergeCell ref="E872:F872"/>
    <mergeCell ref="D873:F873"/>
    <mergeCell ref="E874:F874"/>
    <mergeCell ref="E875:F875"/>
    <mergeCell ref="D876:F876"/>
    <mergeCell ref="E877:F877"/>
    <mergeCell ref="E878:F878"/>
    <mergeCell ref="D879:F879"/>
    <mergeCell ref="E880:F880"/>
    <mergeCell ref="E881:F881"/>
    <mergeCell ref="E882:F882"/>
    <mergeCell ref="D883:F883"/>
    <mergeCell ref="E884:F884"/>
    <mergeCell ref="E885:F885"/>
    <mergeCell ref="E886:F886"/>
    <mergeCell ref="D887:F887"/>
    <mergeCell ref="E888:F888"/>
    <mergeCell ref="E889:F889"/>
    <mergeCell ref="E890:F890"/>
    <mergeCell ref="D891:F891"/>
    <mergeCell ref="E892:F892"/>
    <mergeCell ref="E893:F893"/>
    <mergeCell ref="D894:F894"/>
    <mergeCell ref="E895:F895"/>
    <mergeCell ref="E896:F896"/>
    <mergeCell ref="E897:F897"/>
    <mergeCell ref="D898:F898"/>
    <mergeCell ref="E899:F899"/>
    <mergeCell ref="E900:F900"/>
    <mergeCell ref="E901:F901"/>
    <mergeCell ref="D902:F902"/>
    <mergeCell ref="E903:F903"/>
    <mergeCell ref="E904:F904"/>
    <mergeCell ref="D905:F905"/>
    <mergeCell ref="E906:F906"/>
    <mergeCell ref="E907:F907"/>
    <mergeCell ref="D908:F908"/>
    <mergeCell ref="E909:F909"/>
    <mergeCell ref="E910:F910"/>
    <mergeCell ref="E911:F911"/>
    <mergeCell ref="D912:F912"/>
    <mergeCell ref="E913:F913"/>
    <mergeCell ref="E914:F914"/>
    <mergeCell ref="E915:F915"/>
    <mergeCell ref="D916:F916"/>
    <mergeCell ref="E917:F917"/>
    <mergeCell ref="D918:F918"/>
    <mergeCell ref="E919:F919"/>
    <mergeCell ref="D920:F920"/>
    <mergeCell ref="E921:F921"/>
    <mergeCell ref="D922:F922"/>
    <mergeCell ref="E923:F923"/>
    <mergeCell ref="D924:F924"/>
    <mergeCell ref="E925:F925"/>
    <mergeCell ref="E926:F926"/>
    <mergeCell ref="D927:F927"/>
    <mergeCell ref="E928:F928"/>
    <mergeCell ref="E929:F929"/>
    <mergeCell ref="D930:F930"/>
    <mergeCell ref="E931:F931"/>
    <mergeCell ref="D932:F932"/>
    <mergeCell ref="E933:F933"/>
    <mergeCell ref="E934:F934"/>
    <mergeCell ref="D936:F936"/>
    <mergeCell ref="D941:F941"/>
    <mergeCell ref="E942:F942"/>
    <mergeCell ref="E943:F943"/>
    <mergeCell ref="D945:F945"/>
    <mergeCell ref="E946:F946"/>
    <mergeCell ref="D948:F948"/>
    <mergeCell ref="E949:F949"/>
    <mergeCell ref="E950:F950"/>
    <mergeCell ref="D952:F952"/>
    <mergeCell ref="E954:F954"/>
    <mergeCell ref="E955:F955"/>
    <mergeCell ref="D956:F956"/>
    <mergeCell ref="E958:F958"/>
    <mergeCell ref="E959:F959"/>
    <mergeCell ref="D960:F960"/>
    <mergeCell ref="E961:F961"/>
    <mergeCell ref="E962:F962"/>
    <mergeCell ref="D963:F963"/>
    <mergeCell ref="E964:F964"/>
    <mergeCell ref="E965:F965"/>
    <mergeCell ref="D966:F966"/>
    <mergeCell ref="E967:F967"/>
    <mergeCell ref="D968:F968"/>
    <mergeCell ref="E969:F969"/>
    <mergeCell ref="D970:F970"/>
    <mergeCell ref="E971:F971"/>
    <mergeCell ref="E972:F972"/>
    <mergeCell ref="D973:F973"/>
    <mergeCell ref="E974:F974"/>
    <mergeCell ref="E975:F975"/>
    <mergeCell ref="D976:F976"/>
    <mergeCell ref="E977:F977"/>
    <mergeCell ref="E978:F978"/>
    <mergeCell ref="E979:F979"/>
    <mergeCell ref="D980:F980"/>
    <mergeCell ref="E981:F981"/>
    <mergeCell ref="E982:F982"/>
    <mergeCell ref="E983:F983"/>
    <mergeCell ref="D984:F984"/>
    <mergeCell ref="E985:F985"/>
    <mergeCell ref="E986:F986"/>
    <mergeCell ref="D987:F987"/>
    <mergeCell ref="E988:F988"/>
    <mergeCell ref="E989:F989"/>
    <mergeCell ref="D990:F990"/>
    <mergeCell ref="E991:F991"/>
    <mergeCell ref="D992:F992"/>
    <mergeCell ref="E993:F993"/>
    <mergeCell ref="E994:F994"/>
    <mergeCell ref="E995:F995"/>
    <mergeCell ref="D996:F996"/>
    <mergeCell ref="E997:F997"/>
    <mergeCell ref="E998:F998"/>
    <mergeCell ref="D999:F999"/>
    <mergeCell ref="E1000:F1000"/>
    <mergeCell ref="E1001:F1001"/>
    <mergeCell ref="E1002:F1002"/>
    <mergeCell ref="D1003:F1003"/>
    <mergeCell ref="E1004:F1004"/>
    <mergeCell ref="E1005:F1005"/>
    <mergeCell ref="D1006:F1006"/>
    <mergeCell ref="E1007:F1007"/>
    <mergeCell ref="D1008:F1008"/>
    <mergeCell ref="E1009:F1009"/>
    <mergeCell ref="E1010:F1010"/>
    <mergeCell ref="D1011:F1011"/>
    <mergeCell ref="E1012:F1012"/>
    <mergeCell ref="E1013:F1013"/>
    <mergeCell ref="D1014:F1014"/>
    <mergeCell ref="E1015:F1015"/>
    <mergeCell ref="D1016:F1016"/>
    <mergeCell ref="E1017:F1017"/>
    <mergeCell ref="E1018:F1018"/>
    <mergeCell ref="D1019:F1019"/>
    <mergeCell ref="E1020:F1020"/>
    <mergeCell ref="D1021:F1021"/>
    <mergeCell ref="E1022:F1022"/>
    <mergeCell ref="D1023:F1023"/>
    <mergeCell ref="E1024:F1024"/>
    <mergeCell ref="E1025:F1025"/>
    <mergeCell ref="D1026:F1026"/>
    <mergeCell ref="E1027:F1027"/>
    <mergeCell ref="E1028:F1028"/>
    <mergeCell ref="D1029:F1029"/>
    <mergeCell ref="E1030:F1030"/>
    <mergeCell ref="D1031:F1031"/>
    <mergeCell ref="E1032:F1032"/>
    <mergeCell ref="E1033:F1033"/>
    <mergeCell ref="D1034:F1034"/>
    <mergeCell ref="E1035:F1035"/>
    <mergeCell ref="E1036:F1036"/>
    <mergeCell ref="E1037:F1037"/>
    <mergeCell ref="D1038:F1038"/>
    <mergeCell ref="E1039:F1039"/>
    <mergeCell ref="E1040:F1040"/>
    <mergeCell ref="D1041:F1041"/>
    <mergeCell ref="E1042:F1042"/>
    <mergeCell ref="E1043:F1043"/>
    <mergeCell ref="D1044:F1044"/>
    <mergeCell ref="E1045:F1045"/>
    <mergeCell ref="D1046:F1046"/>
    <mergeCell ref="E1047:F1047"/>
    <mergeCell ref="D1048:F1048"/>
    <mergeCell ref="E1049:F1049"/>
    <mergeCell ref="E1050:F1050"/>
    <mergeCell ref="D1051:F1051"/>
    <mergeCell ref="E1052:F1052"/>
    <mergeCell ref="E1053:F1053"/>
    <mergeCell ref="D1054:F1054"/>
    <mergeCell ref="E1055:F1055"/>
    <mergeCell ref="D1056:F1056"/>
    <mergeCell ref="E1057:F1057"/>
    <mergeCell ref="D1058:F1058"/>
    <mergeCell ref="E1059:F1059"/>
    <mergeCell ref="E1060:F1060"/>
    <mergeCell ref="D1061:F1061"/>
    <mergeCell ref="E1062:F1062"/>
    <mergeCell ref="E1063:F1063"/>
    <mergeCell ref="E1064:F1064"/>
    <mergeCell ref="E1065:F1065"/>
    <mergeCell ref="D1066:F1066"/>
    <mergeCell ref="E1067:F1067"/>
    <mergeCell ref="E1068:F1068"/>
    <mergeCell ref="E1069:F1069"/>
    <mergeCell ref="E1070:F1070"/>
    <mergeCell ref="D1071:F1071"/>
    <mergeCell ref="E1072:F1072"/>
    <mergeCell ref="E1073:F1073"/>
    <mergeCell ref="E1074:F1074"/>
    <mergeCell ref="E1075:F1075"/>
    <mergeCell ref="D1076:F1076"/>
    <mergeCell ref="D1081:F1081"/>
    <mergeCell ref="D1086:F1086"/>
    <mergeCell ref="D1091:F1091"/>
    <mergeCell ref="E1094:F1094"/>
    <mergeCell ref="D1097:F1097"/>
    <mergeCell ref="E1100:F1100"/>
    <mergeCell ref="D1103:F1103"/>
    <mergeCell ref="E1106:F1106"/>
    <mergeCell ref="D1109:F1109"/>
    <mergeCell ref="E1112:F1112"/>
    <mergeCell ref="E1114:F1114"/>
    <mergeCell ref="D1116:F1116"/>
    <mergeCell ref="E1119:F1119"/>
    <mergeCell ref="E1121:F1121"/>
    <mergeCell ref="D1123:F1123"/>
    <mergeCell ref="E1126:F1126"/>
    <mergeCell ref="E1128:F1128"/>
    <mergeCell ref="D1130:F1130"/>
    <mergeCell ref="E1131:F1131"/>
    <mergeCell ref="E1132:F1132"/>
    <mergeCell ref="E1133:F1133"/>
    <mergeCell ref="D1134:F1134"/>
    <mergeCell ref="E1135:F1135"/>
    <mergeCell ref="E1136:F1136"/>
    <mergeCell ref="E1137:F1137"/>
    <mergeCell ref="D1138:F1138"/>
    <mergeCell ref="E1139:F1139"/>
    <mergeCell ref="E1140:F1140"/>
    <mergeCell ref="D1141:F1141"/>
    <mergeCell ref="E1142:F1142"/>
    <mergeCell ref="E1143:F1143"/>
    <mergeCell ref="E1144:F1144"/>
    <mergeCell ref="D1145:F1145"/>
    <mergeCell ref="E1146:F1146"/>
    <mergeCell ref="E1147:F1147"/>
    <mergeCell ref="D1148:F1148"/>
    <mergeCell ref="E1149:F1149"/>
    <mergeCell ref="D1150:F1150"/>
    <mergeCell ref="E1151:F1151"/>
    <mergeCell ref="D1152:F1152"/>
    <mergeCell ref="E1153:F1153"/>
    <mergeCell ref="D1154:F1154"/>
    <mergeCell ref="E1155:F1155"/>
    <mergeCell ref="D1156:F1156"/>
    <mergeCell ref="E1157:F1157"/>
    <mergeCell ref="E1158:F1158"/>
    <mergeCell ref="E1159:F1159"/>
    <mergeCell ref="D1160:F1160"/>
    <mergeCell ref="E1161:F1161"/>
    <mergeCell ref="D1162:F1162"/>
    <mergeCell ref="E1163:F1163"/>
    <mergeCell ref="E1164:F1164"/>
    <mergeCell ref="D1165:F1165"/>
    <mergeCell ref="E1166:F1166"/>
    <mergeCell ref="E1167:F1167"/>
    <mergeCell ref="E1168:F1168"/>
    <mergeCell ref="D1169:F1169"/>
    <mergeCell ref="E1170:F1170"/>
    <mergeCell ref="E1171:F1171"/>
    <mergeCell ref="E1172:F1172"/>
    <mergeCell ref="D1173:F1173"/>
    <mergeCell ref="E1174:F1174"/>
    <mergeCell ref="E1175:F1175"/>
    <mergeCell ref="D1176:F1176"/>
    <mergeCell ref="E1177:F1177"/>
    <mergeCell ref="D1178:F1178"/>
    <mergeCell ref="E1179:F1179"/>
    <mergeCell ref="E1180:F1180"/>
    <mergeCell ref="D1181:F1181"/>
    <mergeCell ref="E1182:F1182"/>
    <mergeCell ref="E1183:F1183"/>
    <mergeCell ref="E1184:F1184"/>
    <mergeCell ref="D1185:F1185"/>
    <mergeCell ref="E1186:F1186"/>
    <mergeCell ref="D1187:F1187"/>
    <mergeCell ref="E1188:F1188"/>
    <mergeCell ref="E1189:F1189"/>
    <mergeCell ref="D1190:F1190"/>
    <mergeCell ref="E1191:F1191"/>
    <mergeCell ref="D1192:F1192"/>
    <mergeCell ref="E1193:F1193"/>
    <mergeCell ref="E1194:F1194"/>
    <mergeCell ref="E1195:F1195"/>
    <mergeCell ref="D1196:F1196"/>
    <mergeCell ref="E1197:F1197"/>
    <mergeCell ref="E1198:F1198"/>
    <mergeCell ref="D1199:F1199"/>
    <mergeCell ref="E1200:F1200"/>
    <mergeCell ref="E1201:F1201"/>
    <mergeCell ref="D1202:F1202"/>
    <mergeCell ref="E1203:F1203"/>
    <mergeCell ref="E1204:F1204"/>
    <mergeCell ref="D1205:F1205"/>
    <mergeCell ref="E1206:F1206"/>
    <mergeCell ref="D1207:F1207"/>
    <mergeCell ref="E1208:F1208"/>
    <mergeCell ref="E1209:F1209"/>
    <mergeCell ref="E1210:F1210"/>
    <mergeCell ref="D1211:F1211"/>
    <mergeCell ref="E1212:F1212"/>
    <mergeCell ref="E1213:F1213"/>
    <mergeCell ref="D1214:F1214"/>
    <mergeCell ref="E1215:F1215"/>
    <mergeCell ref="E1216:F1216"/>
    <mergeCell ref="E1217:F1217"/>
    <mergeCell ref="D1218:F1218"/>
    <mergeCell ref="E1219:F1219"/>
    <mergeCell ref="D1220:F1220"/>
    <mergeCell ref="E1221:F1221"/>
    <mergeCell ref="E1222:F1222"/>
    <mergeCell ref="D1223:F1223"/>
    <mergeCell ref="E1224:F1224"/>
    <mergeCell ref="E1225:F1225"/>
    <mergeCell ref="D1226:F1226"/>
    <mergeCell ref="E1227:F1227"/>
    <mergeCell ref="E1228:F1228"/>
    <mergeCell ref="E1229:F1229"/>
    <mergeCell ref="D1230:F1230"/>
    <mergeCell ref="D1274:F1274"/>
    <mergeCell ref="E1275:F1275"/>
    <mergeCell ref="E1276:F1276"/>
    <mergeCell ref="D1277:F1277"/>
    <mergeCell ref="E1278:F1278"/>
    <mergeCell ref="E1279:F1279"/>
    <mergeCell ref="D1280:F1280"/>
    <mergeCell ref="E1281:F1281"/>
    <mergeCell ref="E1282:F1282"/>
    <mergeCell ref="E1283:F1283"/>
    <mergeCell ref="D1284:F1284"/>
    <mergeCell ref="E1285:F1285"/>
    <mergeCell ref="E1286:F1286"/>
    <mergeCell ref="D1287:F1287"/>
    <mergeCell ref="E1288:F1288"/>
    <mergeCell ref="E1289:F1289"/>
    <mergeCell ref="D1290:F1290"/>
    <mergeCell ref="E1291:F1291"/>
    <mergeCell ref="E1292:F1292"/>
    <mergeCell ref="D1293:F1293"/>
    <mergeCell ref="E1294:F1294"/>
    <mergeCell ref="E1295:F1295"/>
    <mergeCell ref="D1296:F1296"/>
    <mergeCell ref="E1297:F1297"/>
    <mergeCell ref="E1298:F1298"/>
    <mergeCell ref="D1299:F1299"/>
    <mergeCell ref="E1300:F1300"/>
    <mergeCell ref="D1301:F1301"/>
    <mergeCell ref="E1231:F1231"/>
    <mergeCell ref="D1232:F1232"/>
    <mergeCell ref="E1233:F1233"/>
    <mergeCell ref="E1234:F1234"/>
    <mergeCell ref="E1235:F1235"/>
    <mergeCell ref="D1236:F1236"/>
    <mergeCell ref="E1237:F1237"/>
    <mergeCell ref="E1238:F1238"/>
    <mergeCell ref="D1239:F1239"/>
    <mergeCell ref="E1240:F1240"/>
    <mergeCell ref="E1241:F1241"/>
    <mergeCell ref="E1242:F1242"/>
    <mergeCell ref="D1243:F1243"/>
    <mergeCell ref="E1244:F1244"/>
    <mergeCell ref="E1245:F1245"/>
    <mergeCell ref="D1246:F1246"/>
    <mergeCell ref="E1247:F1247"/>
    <mergeCell ref="E1248:F1248"/>
    <mergeCell ref="D1250:F1250"/>
    <mergeCell ref="E1251:F1251"/>
    <mergeCell ref="D1252:F1252"/>
    <mergeCell ref="E1253:F1253"/>
    <mergeCell ref="E1254:F1254"/>
    <mergeCell ref="E1255:F1255"/>
    <mergeCell ref="D1256:F1256"/>
    <mergeCell ref="E1257:F1257"/>
    <mergeCell ref="D1258:F1258"/>
    <mergeCell ref="E1259:F1259"/>
    <mergeCell ref="E1260:F1260"/>
    <mergeCell ref="E1261:F1261"/>
    <mergeCell ref="D1262:F1262"/>
    <mergeCell ref="E1263:F1263"/>
    <mergeCell ref="D1264:F1264"/>
    <mergeCell ref="E1265:F1265"/>
    <mergeCell ref="D1266:F1266"/>
    <mergeCell ref="E1267:F1267"/>
    <mergeCell ref="D1268:F1268"/>
    <mergeCell ref="E1269:F1269"/>
    <mergeCell ref="D1270:F1270"/>
    <mergeCell ref="E1271:F1271"/>
    <mergeCell ref="D1272:F1272"/>
    <mergeCell ref="E1273:F1273"/>
    <mergeCell ref="E1302:F1302"/>
    <mergeCell ref="E1303:F1303"/>
    <mergeCell ref="D1304:F1304"/>
    <mergeCell ref="E1305:F1305"/>
    <mergeCell ref="D1306:F1306"/>
    <mergeCell ref="E1307:F1307"/>
    <mergeCell ref="D1308:F1308"/>
    <mergeCell ref="D1351:F1351"/>
    <mergeCell ref="E1352:F1352"/>
    <mergeCell ref="D1353:F1353"/>
    <mergeCell ref="E1354:F1354"/>
    <mergeCell ref="E1355:F1355"/>
    <mergeCell ref="D1356:F1356"/>
    <mergeCell ref="E1357:F1357"/>
    <mergeCell ref="E1358:F1358"/>
    <mergeCell ref="D1359:F1359"/>
    <mergeCell ref="E1360:F1360"/>
    <mergeCell ref="E1361:F1361"/>
    <mergeCell ref="D1362:F1362"/>
    <mergeCell ref="E1363:F1363"/>
    <mergeCell ref="D1364:F1364"/>
    <mergeCell ref="E1365:F1365"/>
    <mergeCell ref="E1366:F1366"/>
    <mergeCell ref="D1367:F1367"/>
    <mergeCell ref="E1368:F1368"/>
    <mergeCell ref="E1369:F1369"/>
    <mergeCell ref="D1370:F1370"/>
    <mergeCell ref="E1371:F1371"/>
    <mergeCell ref="E1372:F1372"/>
    <mergeCell ref="D1373:F1373"/>
    <mergeCell ref="E1374:F1374"/>
    <mergeCell ref="D1375:F1375"/>
    <mergeCell ref="E1376:F1376"/>
    <mergeCell ref="E1377:F1377"/>
    <mergeCell ref="D1378:F1378"/>
    <mergeCell ref="E1309:F1309"/>
    <mergeCell ref="D1310:F1310"/>
    <mergeCell ref="E1311:F1311"/>
    <mergeCell ref="D1312:F1312"/>
    <mergeCell ref="E1313:F1313"/>
    <mergeCell ref="D1314:F1314"/>
    <mergeCell ref="E1315:F1315"/>
    <mergeCell ref="E1316:F1316"/>
    <mergeCell ref="D1317:F1317"/>
    <mergeCell ref="E1318:F1318"/>
    <mergeCell ref="E1319:F1319"/>
    <mergeCell ref="E1320:F1320"/>
    <mergeCell ref="D1321:F1321"/>
    <mergeCell ref="E1322:F1322"/>
    <mergeCell ref="E1323:F1323"/>
    <mergeCell ref="D1324:F1324"/>
    <mergeCell ref="E1325:F1325"/>
    <mergeCell ref="E1326:F1326"/>
    <mergeCell ref="D1327:F1327"/>
    <mergeCell ref="E1328:F1328"/>
    <mergeCell ref="E1329:F1329"/>
    <mergeCell ref="E1330:F1330"/>
    <mergeCell ref="D1331:F1331"/>
    <mergeCell ref="E1332:F1332"/>
    <mergeCell ref="E1333:F1333"/>
    <mergeCell ref="D1334:F1334"/>
    <mergeCell ref="E1335:F1335"/>
    <mergeCell ref="D1336:F1336"/>
    <mergeCell ref="E1337:F1337"/>
    <mergeCell ref="D1338:F1338"/>
    <mergeCell ref="E1339:F1339"/>
    <mergeCell ref="E1340:F1340"/>
    <mergeCell ref="D1341:F1341"/>
    <mergeCell ref="E1342:F1342"/>
    <mergeCell ref="E1343:F1343"/>
    <mergeCell ref="E1344:F1344"/>
    <mergeCell ref="D1345:F1345"/>
    <mergeCell ref="E1346:F1346"/>
    <mergeCell ref="E1347:F1347"/>
    <mergeCell ref="D1348:F1348"/>
    <mergeCell ref="E1349:F1349"/>
    <mergeCell ref="E1350:F1350"/>
    <mergeCell ref="E1379:F1379"/>
    <mergeCell ref="E1380:F1380"/>
    <mergeCell ref="E1381:F1381"/>
    <mergeCell ref="D1382:F1382"/>
    <mergeCell ref="E1383:F1383"/>
    <mergeCell ref="E1384:F1384"/>
    <mergeCell ref="D1385:F1385"/>
    <mergeCell ref="E1386:F1386"/>
    <mergeCell ref="E1387:F1387"/>
    <mergeCell ref="E1388:F1388"/>
    <mergeCell ref="D1389:F1389"/>
    <mergeCell ref="E1390:F1390"/>
    <mergeCell ref="E1391:F1391"/>
    <mergeCell ref="D1392:F1392"/>
    <mergeCell ref="E1393:F1393"/>
    <mergeCell ref="D1394:F1394"/>
    <mergeCell ref="E1395:F1395"/>
    <mergeCell ref="E1396:F1396"/>
    <mergeCell ref="D1397:F1397"/>
    <mergeCell ref="E1398:F1398"/>
    <mergeCell ref="D1399:F1399"/>
    <mergeCell ref="E1400:F1400"/>
    <mergeCell ref="E1401:F1401"/>
    <mergeCell ref="E1402:F1402"/>
    <mergeCell ref="D1403:F1403"/>
    <mergeCell ref="E1404:F1404"/>
    <mergeCell ref="E1405:F1405"/>
    <mergeCell ref="D1406:F1406"/>
    <mergeCell ref="E1407:F1407"/>
    <mergeCell ref="E1408:F1408"/>
    <mergeCell ref="D1409:F1409"/>
    <mergeCell ref="E1410:F1410"/>
    <mergeCell ref="E1411:F1411"/>
    <mergeCell ref="D1412:F1412"/>
    <mergeCell ref="E1413:F1413"/>
    <mergeCell ref="E1414:F1414"/>
    <mergeCell ref="D1415:F1415"/>
    <mergeCell ref="E1416:F1416"/>
    <mergeCell ref="E1417:F1417"/>
    <mergeCell ref="D1418:F1418"/>
    <mergeCell ref="E1419:F1419"/>
    <mergeCell ref="E1420:F1420"/>
    <mergeCell ref="E1421:F1421"/>
    <mergeCell ref="D1422:F1422"/>
    <mergeCell ref="E1423:F1423"/>
    <mergeCell ref="E1424:F1424"/>
    <mergeCell ref="D1425:F1425"/>
    <mergeCell ref="E1426:F1426"/>
    <mergeCell ref="E1427:F1427"/>
    <mergeCell ref="E1428:F1428"/>
    <mergeCell ref="D1429:F1429"/>
    <mergeCell ref="E1430:F1430"/>
    <mergeCell ref="D1431:F1431"/>
    <mergeCell ref="E1432:F1432"/>
    <mergeCell ref="E1433:F1433"/>
    <mergeCell ref="D1434:F1434"/>
    <mergeCell ref="E1435:F1435"/>
    <mergeCell ref="E1436:F1436"/>
    <mergeCell ref="D1437:F1437"/>
    <mergeCell ref="E1438:F1438"/>
    <mergeCell ref="D1439:F1439"/>
    <mergeCell ref="E1440:F1440"/>
    <mergeCell ref="E1441:F1441"/>
    <mergeCell ref="D1442:F1442"/>
    <mergeCell ref="E1443:F1443"/>
    <mergeCell ref="E1444:F1444"/>
    <mergeCell ref="D1445:F1445"/>
    <mergeCell ref="E1446:F1446"/>
    <mergeCell ref="E1447:F1447"/>
    <mergeCell ref="D1448:F1448"/>
    <mergeCell ref="E1449:F1449"/>
    <mergeCell ref="E1450:F1450"/>
    <mergeCell ref="D1451:F1451"/>
    <mergeCell ref="E1452:F1452"/>
    <mergeCell ref="D1453:F1453"/>
    <mergeCell ref="E1454:F1454"/>
    <mergeCell ref="E1455:F1455"/>
    <mergeCell ref="D1456:F1456"/>
    <mergeCell ref="E1457:F1457"/>
    <mergeCell ref="E1458:F1458"/>
    <mergeCell ref="E1459:F1459"/>
    <mergeCell ref="D1460:F1460"/>
    <mergeCell ref="E1461:F1461"/>
    <mergeCell ref="E1462:F1462"/>
    <mergeCell ref="D1463:F1463"/>
    <mergeCell ref="E1464:F1464"/>
    <mergeCell ref="E1465:F1465"/>
    <mergeCell ref="D1466:F1466"/>
    <mergeCell ref="E1467:F1467"/>
    <mergeCell ref="E1468:F1468"/>
    <mergeCell ref="D1469:F1469"/>
    <mergeCell ref="E1470:F1470"/>
    <mergeCell ref="E1471:F1471"/>
    <mergeCell ref="E1472:F1472"/>
    <mergeCell ref="D1473:F1473"/>
    <mergeCell ref="E1474:F1474"/>
    <mergeCell ref="E1475:F1475"/>
    <mergeCell ref="E1476:F1476"/>
    <mergeCell ref="D1477:F1477"/>
    <mergeCell ref="E1478:F1478"/>
    <mergeCell ref="E1481:F1481"/>
    <mergeCell ref="D1484:F1484"/>
    <mergeCell ref="E1485:F1485"/>
    <mergeCell ref="D1486:F1486"/>
    <mergeCell ref="E1487:F1487"/>
    <mergeCell ref="E1804:F1804"/>
    <mergeCell ref="D1805:F1805"/>
    <mergeCell ref="E1806:F1806"/>
    <mergeCell ref="E1807:F1807"/>
    <mergeCell ref="D1808:F1808"/>
    <mergeCell ref="E1809:F1809"/>
    <mergeCell ref="D1810:F1810"/>
    <mergeCell ref="E1811:F1811"/>
    <mergeCell ref="D1812:F1812"/>
    <mergeCell ref="E1813:F1813"/>
    <mergeCell ref="D1814:F1814"/>
    <mergeCell ref="E1815:F1815"/>
    <mergeCell ref="D1816:F1816"/>
    <mergeCell ref="E1817:F1817"/>
    <mergeCell ref="D1818:F1818"/>
    <mergeCell ref="E1819:F1819"/>
    <mergeCell ref="D1820:F1820"/>
    <mergeCell ref="E1821:F1821"/>
    <mergeCell ref="E1822:F1822"/>
    <mergeCell ref="D1823:F1823"/>
    <mergeCell ref="E1824:F1824"/>
    <mergeCell ref="E1825:F1825"/>
    <mergeCell ref="D1826:F1826"/>
    <mergeCell ref="E1827:F1827"/>
    <mergeCell ref="E1828:F1828"/>
    <mergeCell ref="D1829:F1829"/>
    <mergeCell ref="E1830:F1830"/>
    <mergeCell ref="D1831:F1831"/>
    <mergeCell ref="E1832:F1832"/>
    <mergeCell ref="D1833:F1833"/>
    <mergeCell ref="E1834:F1834"/>
    <mergeCell ref="D1835:F1835"/>
    <mergeCell ref="E1836:F1836"/>
    <mergeCell ref="D1837:F1837"/>
    <mergeCell ref="E1838:F1838"/>
    <mergeCell ref="D1839:F1839"/>
    <mergeCell ref="E1840:F1840"/>
    <mergeCell ref="E1841:F1841"/>
    <mergeCell ref="D1842:F1842"/>
    <mergeCell ref="E1843:F1843"/>
    <mergeCell ref="E1844:F1844"/>
    <mergeCell ref="D1845:F1845"/>
    <mergeCell ref="E1846:F1846"/>
    <mergeCell ref="E1847:F1847"/>
    <mergeCell ref="D1848:F1848"/>
    <mergeCell ref="E1849:F1849"/>
    <mergeCell ref="E1850:F1850"/>
    <mergeCell ref="D1851:F1851"/>
    <mergeCell ref="E1852:F1852"/>
    <mergeCell ref="E1853:F1853"/>
    <mergeCell ref="D1854:F1854"/>
    <mergeCell ref="E1855:F1855"/>
    <mergeCell ref="E1856:F1856"/>
    <mergeCell ref="D1857:F1857"/>
    <mergeCell ref="E1858:F1858"/>
    <mergeCell ref="E1859:F1859"/>
    <mergeCell ref="D1860:F1860"/>
    <mergeCell ref="E1861:F1861"/>
    <mergeCell ref="E1862:F1862"/>
    <mergeCell ref="D1863:F1863"/>
    <mergeCell ref="E1864:F1864"/>
    <mergeCell ref="E1865:F1865"/>
    <mergeCell ref="D1866:F1866"/>
    <mergeCell ref="E1867:F1867"/>
    <mergeCell ref="E1868:F1868"/>
    <mergeCell ref="D1869:F1869"/>
    <mergeCell ref="E1870:F1870"/>
    <mergeCell ref="E1871:F1871"/>
    <mergeCell ref="E1872:F1872"/>
    <mergeCell ref="D1873:F1873"/>
    <mergeCell ref="E1874:F1874"/>
    <mergeCell ref="E1875:F1875"/>
    <mergeCell ref="D1876:F1876"/>
    <mergeCell ref="E1877:F1877"/>
    <mergeCell ref="E1878:F1878"/>
    <mergeCell ref="D1879:F1879"/>
    <mergeCell ref="E1880:F1880"/>
    <mergeCell ref="E1881:F1881"/>
    <mergeCell ref="D1882:F1882"/>
    <mergeCell ref="E1883:F1883"/>
    <mergeCell ref="E1884:F1884"/>
    <mergeCell ref="E1885:F1885"/>
    <mergeCell ref="D1886:F1886"/>
    <mergeCell ref="E1887:F1887"/>
    <mergeCell ref="E1888:F1888"/>
    <mergeCell ref="E1889:F1889"/>
    <mergeCell ref="D1890:F1890"/>
    <mergeCell ref="E1891:F1891"/>
    <mergeCell ref="E1892:F1892"/>
    <mergeCell ref="E1893:F1893"/>
    <mergeCell ref="D1894:F1894"/>
    <mergeCell ref="E1895:F1895"/>
    <mergeCell ref="D1896:F1896"/>
    <mergeCell ref="E1897:F1897"/>
    <mergeCell ref="D1898:F1898"/>
    <mergeCell ref="E1899:F1899"/>
    <mergeCell ref="D1900:F1900"/>
    <mergeCell ref="E1901:F1901"/>
    <mergeCell ref="D1902:F1902"/>
    <mergeCell ref="E1903:F1903"/>
    <mergeCell ref="E1904:F1904"/>
    <mergeCell ref="D1905:F1905"/>
    <mergeCell ref="E1906:F1906"/>
    <mergeCell ref="E1907:F1907"/>
    <mergeCell ref="D1908:F1908"/>
    <mergeCell ref="E1909:F1909"/>
    <mergeCell ref="D1910:F1910"/>
    <mergeCell ref="E1911:F1911"/>
    <mergeCell ref="D1912:F1912"/>
    <mergeCell ref="E1913:F1913"/>
    <mergeCell ref="D1914:F1914"/>
    <mergeCell ref="E1915:F1915"/>
    <mergeCell ref="D1916:F1916"/>
    <mergeCell ref="E1917:F1917"/>
    <mergeCell ref="E1918:F1918"/>
    <mergeCell ref="D1919:F1919"/>
    <mergeCell ref="E1920:F1920"/>
    <mergeCell ref="E1921:F1921"/>
    <mergeCell ref="D1922:F1922"/>
    <mergeCell ref="E1923:F1923"/>
    <mergeCell ref="E1924:F1924"/>
    <mergeCell ref="D1925:F1925"/>
    <mergeCell ref="E1926:F1926"/>
    <mergeCell ref="D1927:F1927"/>
    <mergeCell ref="E1928:F1928"/>
    <mergeCell ref="E1929:F1929"/>
    <mergeCell ref="D1930:F1930"/>
    <mergeCell ref="E1931:F1931"/>
    <mergeCell ref="E1932:F1932"/>
    <mergeCell ref="D1933:F1933"/>
    <mergeCell ref="E1934:F1934"/>
    <mergeCell ref="D1935:F1935"/>
    <mergeCell ref="E1936:F1936"/>
    <mergeCell ref="D1937:F1937"/>
    <mergeCell ref="E1938:F1938"/>
    <mergeCell ref="D1939:F1939"/>
    <mergeCell ref="E1940:F1940"/>
    <mergeCell ref="D1941:F1941"/>
    <mergeCell ref="E1942:F1942"/>
    <mergeCell ref="D1943:F1943"/>
    <mergeCell ref="E1944:F1944"/>
    <mergeCell ref="D1945:F1945"/>
    <mergeCell ref="E1946:F1946"/>
    <mergeCell ref="E1947:F1947"/>
    <mergeCell ref="E1948:F1948"/>
    <mergeCell ref="D1949:F1949"/>
    <mergeCell ref="E1950:F1950"/>
    <mergeCell ref="D1993:F1993"/>
    <mergeCell ref="E1994:F1994"/>
    <mergeCell ref="E1995:F1995"/>
    <mergeCell ref="E1996:F1996"/>
    <mergeCell ref="D1997:F1997"/>
    <mergeCell ref="E1998:F1998"/>
    <mergeCell ref="E1999:F1999"/>
    <mergeCell ref="E2000:F2000"/>
    <mergeCell ref="D2001:F2001"/>
    <mergeCell ref="E2004:F2004"/>
    <mergeCell ref="E2006:F2006"/>
    <mergeCell ref="D2008:F2008"/>
    <mergeCell ref="E2011:F2011"/>
    <mergeCell ref="E2013:F2013"/>
    <mergeCell ref="E2032:F2032"/>
    <mergeCell ref="E2034:F2034"/>
    <mergeCell ref="D2036:F2036"/>
    <mergeCell ref="E2039:F2039"/>
    <mergeCell ref="E2041:F2041"/>
    <mergeCell ref="D2043:F2043"/>
    <mergeCell ref="E2044:F2044"/>
    <mergeCell ref="D2045:F2045"/>
    <mergeCell ref="E2046:F2046"/>
    <mergeCell ref="E2047:F2047"/>
    <mergeCell ref="D2048:F2048"/>
    <mergeCell ref="E2049:F2049"/>
    <mergeCell ref="D2050:F2050"/>
    <mergeCell ref="E2051:F2051"/>
    <mergeCell ref="D2052:F2052"/>
    <mergeCell ref="E2053:F2053"/>
    <mergeCell ref="D2054:F2054"/>
    <mergeCell ref="E2055:F2055"/>
    <mergeCell ref="E2056:F2056"/>
    <mergeCell ref="D2057:F2057"/>
    <mergeCell ref="E2058:F2058"/>
    <mergeCell ref="E2059:F2059"/>
    <mergeCell ref="D2060:F2060"/>
    <mergeCell ref="D2067:F2067"/>
    <mergeCell ref="D2074:F2074"/>
    <mergeCell ref="D2081:F2081"/>
    <mergeCell ref="D2088:F2088"/>
    <mergeCell ref="D2095:F2095"/>
    <mergeCell ref="D2102:F2102"/>
    <mergeCell ref="D2109:F2109"/>
    <mergeCell ref="D2116:F2116"/>
    <mergeCell ref="D2123:F2123"/>
    <mergeCell ref="D2130:F2130"/>
    <mergeCell ref="D2137:F2137"/>
    <mergeCell ref="D2144:F2144"/>
    <mergeCell ref="D2151:F2151"/>
    <mergeCell ref="D2158:F2158"/>
    <mergeCell ref="D2165:F2165"/>
    <mergeCell ref="D2172:F2172"/>
    <mergeCell ref="D2179:F2179"/>
    <mergeCell ref="D2186:F2186"/>
    <mergeCell ref="D2193:F2193"/>
    <mergeCell ref="D2245:F2245"/>
    <mergeCell ref="D2252:F2252"/>
    <mergeCell ref="D2259:F2259"/>
    <mergeCell ref="D2266:F2266"/>
    <mergeCell ref="D2200:F2200"/>
    <mergeCell ref="D2206:F2206"/>
    <mergeCell ref="D2212:F2212"/>
    <mergeCell ref="D2218:F2218"/>
    <mergeCell ref="D2224:F2224"/>
    <mergeCell ref="D2231:F2231"/>
    <mergeCell ref="D2238:F2238"/>
    <mergeCell ref="E1951:F1951"/>
    <mergeCell ref="E1952:F1952"/>
    <mergeCell ref="D1953:F1953"/>
    <mergeCell ref="E1954:F1954"/>
    <mergeCell ref="D1955:F1955"/>
    <mergeCell ref="E1956:F1956"/>
    <mergeCell ref="E1957:F1957"/>
    <mergeCell ref="E1958:F1958"/>
    <mergeCell ref="D1959:F1959"/>
    <mergeCell ref="E1960:F1960"/>
    <mergeCell ref="D1961:F1961"/>
    <mergeCell ref="E1962:F1962"/>
    <mergeCell ref="E1963:F1963"/>
    <mergeCell ref="E1964:F1964"/>
    <mergeCell ref="D1965:F1965"/>
    <mergeCell ref="E1966:F1966"/>
    <mergeCell ref="E1967:F1967"/>
    <mergeCell ref="E1968:F1968"/>
    <mergeCell ref="D1969:F1969"/>
    <mergeCell ref="E1970:F1970"/>
    <mergeCell ref="D1971:F1971"/>
    <mergeCell ref="E1972:F1972"/>
    <mergeCell ref="D1973:F1973"/>
    <mergeCell ref="E1974:F1974"/>
    <mergeCell ref="D1975:F1975"/>
    <mergeCell ref="E1976:F1976"/>
    <mergeCell ref="D1977:F1977"/>
    <mergeCell ref="E1978:F1978"/>
    <mergeCell ref="E1979:F1979"/>
    <mergeCell ref="D1980:F1980"/>
    <mergeCell ref="E1981:F1981"/>
    <mergeCell ref="D1982:F1982"/>
    <mergeCell ref="E1983:F1983"/>
    <mergeCell ref="E1984:F1984"/>
    <mergeCell ref="D1985:F1985"/>
    <mergeCell ref="E1986:F1986"/>
    <mergeCell ref="E1987:F1987"/>
    <mergeCell ref="E1988:F1988"/>
    <mergeCell ref="D1989:F1989"/>
    <mergeCell ref="E1990:F1990"/>
    <mergeCell ref="E1991:F1991"/>
    <mergeCell ref="E1992:F1992"/>
    <mergeCell ref="D2015:F2015"/>
    <mergeCell ref="E2018:F2018"/>
    <mergeCell ref="E2020:F2020"/>
    <mergeCell ref="D2022:F2022"/>
    <mergeCell ref="E2025:F2025"/>
    <mergeCell ref="E2027:F2027"/>
    <mergeCell ref="D2029:F2029"/>
    <mergeCell ref="D1488:F1488"/>
    <mergeCell ref="E1489:F1489"/>
    <mergeCell ref="D1490:F1490"/>
    <mergeCell ref="E1491:F1491"/>
    <mergeCell ref="D1492:F1492"/>
    <mergeCell ref="E1493:F1493"/>
    <mergeCell ref="D1494:F1494"/>
    <mergeCell ref="E1495:F1495"/>
    <mergeCell ref="D1496:F1496"/>
    <mergeCell ref="E1497:F1497"/>
    <mergeCell ref="D1498:F1498"/>
    <mergeCell ref="E1499:F1499"/>
    <mergeCell ref="D1500:F1500"/>
    <mergeCell ref="E1501:F1501"/>
    <mergeCell ref="D1502:F1502"/>
    <mergeCell ref="E1503:F1503"/>
    <mergeCell ref="D1504:F1504"/>
    <mergeCell ref="E1505:F1505"/>
    <mergeCell ref="D1506:F1506"/>
    <mergeCell ref="E1507:F1507"/>
    <mergeCell ref="E1510:F1510"/>
    <mergeCell ref="D1513:F1513"/>
    <mergeCell ref="E1514:F1514"/>
    <mergeCell ref="E1517:F1517"/>
    <mergeCell ref="D1520:F1520"/>
    <mergeCell ref="E1521:F1521"/>
    <mergeCell ref="E1522:F1522"/>
    <mergeCell ref="E1523:F1523"/>
    <mergeCell ref="D1524:F1524"/>
    <mergeCell ref="E1525:F1525"/>
    <mergeCell ref="E1526:F1526"/>
    <mergeCell ref="E1527:F1527"/>
    <mergeCell ref="D1528:F1528"/>
    <mergeCell ref="E1529:F1529"/>
    <mergeCell ref="E1530:F1530"/>
    <mergeCell ref="E1531:F1531"/>
    <mergeCell ref="D1532:F1532"/>
    <mergeCell ref="E1533:F1533"/>
    <mergeCell ref="E1534:F1534"/>
    <mergeCell ref="E1535:F1535"/>
    <mergeCell ref="D1536:F1536"/>
    <mergeCell ref="E1537:F1537"/>
    <mergeCell ref="E1538:F1538"/>
    <mergeCell ref="E1539:F1539"/>
    <mergeCell ref="D1540:F1540"/>
    <mergeCell ref="E1541:F1541"/>
    <mergeCell ref="E1542:F1542"/>
    <mergeCell ref="E1543:F1543"/>
    <mergeCell ref="D1544:F1544"/>
    <mergeCell ref="E1545:F1545"/>
    <mergeCell ref="D1546:F1546"/>
    <mergeCell ref="E1547:F1547"/>
    <mergeCell ref="D1548:F1548"/>
    <mergeCell ref="E1549:F1549"/>
    <mergeCell ref="D1550:F1550"/>
    <mergeCell ref="E1551:F1551"/>
    <mergeCell ref="E1552:F1552"/>
    <mergeCell ref="D1553:F1553"/>
    <mergeCell ref="E1554:F1554"/>
    <mergeCell ref="E1555:F1555"/>
    <mergeCell ref="D1556:F1556"/>
    <mergeCell ref="E1557:F1557"/>
    <mergeCell ref="E1558:F1558"/>
    <mergeCell ref="D1559:F1559"/>
    <mergeCell ref="E1560:F1560"/>
    <mergeCell ref="E1561:F1561"/>
    <mergeCell ref="D1562:F1562"/>
    <mergeCell ref="E1563:F1563"/>
    <mergeCell ref="E1564:F1564"/>
    <mergeCell ref="D1565:F1565"/>
    <mergeCell ref="E1566:F1566"/>
    <mergeCell ref="E1567:F1567"/>
    <mergeCell ref="D1568:F1568"/>
    <mergeCell ref="E1569:F1569"/>
    <mergeCell ref="E1570:F1570"/>
    <mergeCell ref="D1571:F1571"/>
    <mergeCell ref="E1572:F1572"/>
    <mergeCell ref="E1573:F1573"/>
    <mergeCell ref="D1574:F1574"/>
    <mergeCell ref="E1575:F1575"/>
    <mergeCell ref="E1576:F1576"/>
    <mergeCell ref="D1577:F1577"/>
    <mergeCell ref="E1578:F1578"/>
    <mergeCell ref="E1579:F1579"/>
    <mergeCell ref="E1580:F1580"/>
    <mergeCell ref="D1581:F1581"/>
    <mergeCell ref="E1582:F1582"/>
    <mergeCell ref="E1583:F1583"/>
    <mergeCell ref="E1584:F1584"/>
    <mergeCell ref="D1585:F1585"/>
    <mergeCell ref="E1586:F1586"/>
    <mergeCell ref="E1587:F1587"/>
    <mergeCell ref="E1588:F1588"/>
    <mergeCell ref="D1589:F1589"/>
    <mergeCell ref="E1590:F1590"/>
    <mergeCell ref="E1591:F1591"/>
    <mergeCell ref="E1592:F1592"/>
    <mergeCell ref="D1593:F1593"/>
    <mergeCell ref="E1594:F1594"/>
    <mergeCell ref="E1595:F1595"/>
    <mergeCell ref="E1596:F1596"/>
    <mergeCell ref="D1597:F1597"/>
    <mergeCell ref="E1598:F1598"/>
    <mergeCell ref="E1599:F1599"/>
    <mergeCell ref="E1600:F1600"/>
    <mergeCell ref="D1601:F1601"/>
    <mergeCell ref="E1602:F1602"/>
    <mergeCell ref="D1603:F1603"/>
    <mergeCell ref="E1604:F1604"/>
    <mergeCell ref="D1605:F1605"/>
    <mergeCell ref="E1606:F1606"/>
    <mergeCell ref="D1607:F1607"/>
    <mergeCell ref="E1608:F1608"/>
    <mergeCell ref="E1609:F1609"/>
    <mergeCell ref="E1610:F1610"/>
    <mergeCell ref="D1611:F1611"/>
    <mergeCell ref="E1612:F1612"/>
    <mergeCell ref="E1613:F1613"/>
    <mergeCell ref="D1614:F1614"/>
    <mergeCell ref="E1615:F1615"/>
    <mergeCell ref="E1616:F1616"/>
    <mergeCell ref="E1617:F1617"/>
    <mergeCell ref="D1618:F1618"/>
    <mergeCell ref="E1619:F1619"/>
    <mergeCell ref="E1620:F1620"/>
    <mergeCell ref="D1621:F1621"/>
    <mergeCell ref="E1622:F1622"/>
    <mergeCell ref="E1623:F1623"/>
    <mergeCell ref="D1624:F1624"/>
    <mergeCell ref="E1625:F1625"/>
    <mergeCell ref="E1626:F1626"/>
    <mergeCell ref="D1627:F1627"/>
    <mergeCell ref="E1628:F1628"/>
    <mergeCell ref="D1629:F1629"/>
    <mergeCell ref="E1630:F1630"/>
    <mergeCell ref="D1631:F1631"/>
    <mergeCell ref="E1632:F1632"/>
    <mergeCell ref="D1633:F1633"/>
    <mergeCell ref="E1634:F1634"/>
    <mergeCell ref="D1635:F1635"/>
    <mergeCell ref="E1636:F1636"/>
    <mergeCell ref="D1637:F1637"/>
    <mergeCell ref="E1638:F1638"/>
    <mergeCell ref="E1639:F1639"/>
    <mergeCell ref="D1640:F1640"/>
    <mergeCell ref="E1641:F1641"/>
    <mergeCell ref="E1642:F1642"/>
    <mergeCell ref="D1643:F1643"/>
    <mergeCell ref="E1644:F1644"/>
    <mergeCell ref="E1645:F1645"/>
    <mergeCell ref="D1646:F1646"/>
    <mergeCell ref="E1647:F1647"/>
    <mergeCell ref="E1648:F1648"/>
    <mergeCell ref="E1649:F1649"/>
    <mergeCell ref="D1650:F1650"/>
    <mergeCell ref="E1651:F1651"/>
    <mergeCell ref="E1652:F1652"/>
    <mergeCell ref="E1653:F1653"/>
    <mergeCell ref="D1654:F1654"/>
    <mergeCell ref="E1655:F1655"/>
    <mergeCell ref="E1656:F1656"/>
    <mergeCell ref="D1657:F1657"/>
    <mergeCell ref="E1658:F1658"/>
    <mergeCell ref="D1659:F1659"/>
    <mergeCell ref="E1660:F1660"/>
    <mergeCell ref="E1661:F1661"/>
    <mergeCell ref="E1662:F1662"/>
    <mergeCell ref="D1663:F1663"/>
    <mergeCell ref="E1664:F1664"/>
    <mergeCell ref="E1665:F1665"/>
    <mergeCell ref="D1666:F1666"/>
    <mergeCell ref="E1667:F1667"/>
    <mergeCell ref="E1668:F1668"/>
    <mergeCell ref="D1669:F1669"/>
    <mergeCell ref="E1670:F1670"/>
    <mergeCell ref="E1671:F1671"/>
    <mergeCell ref="D1672:F1672"/>
    <mergeCell ref="E1673:F1673"/>
    <mergeCell ref="E1674:F1674"/>
    <mergeCell ref="E1675:F1675"/>
    <mergeCell ref="D1676:F1676"/>
    <mergeCell ref="E1677:F1677"/>
    <mergeCell ref="E1678:F1678"/>
    <mergeCell ref="D1679:F1679"/>
    <mergeCell ref="E1680:F1680"/>
    <mergeCell ref="E1681:F1681"/>
    <mergeCell ref="D1682:F1682"/>
    <mergeCell ref="E1683:F1683"/>
    <mergeCell ref="E1684:F1684"/>
    <mergeCell ref="D1685:F1685"/>
    <mergeCell ref="E1686:F1686"/>
    <mergeCell ref="E1687:F1687"/>
    <mergeCell ref="D1688:F1688"/>
    <mergeCell ref="E1689:F1689"/>
    <mergeCell ref="E1690:F1690"/>
    <mergeCell ref="E1691:F1691"/>
    <mergeCell ref="D1692:F1692"/>
    <mergeCell ref="E1693:F1693"/>
    <mergeCell ref="E1694:F1694"/>
    <mergeCell ref="E1695:F1695"/>
    <mergeCell ref="D1696:F1696"/>
    <mergeCell ref="E1697:F1697"/>
    <mergeCell ref="E1698:F1698"/>
    <mergeCell ref="D1699:F1699"/>
    <mergeCell ref="E1700:F1700"/>
    <mergeCell ref="E1701:F1701"/>
    <mergeCell ref="D1702:F1702"/>
    <mergeCell ref="E1703:F1703"/>
    <mergeCell ref="E1704:F1704"/>
    <mergeCell ref="E1705:F1705"/>
    <mergeCell ref="D1706:F1706"/>
    <mergeCell ref="E1707:F1707"/>
    <mergeCell ref="E1708:F1708"/>
    <mergeCell ref="E1709:F1709"/>
    <mergeCell ref="D1710:F1710"/>
    <mergeCell ref="E1711:F1711"/>
    <mergeCell ref="D1712:F1712"/>
    <mergeCell ref="E1713:F1713"/>
    <mergeCell ref="D1714:F1714"/>
    <mergeCell ref="E1715:F1715"/>
    <mergeCell ref="E1716:F1716"/>
    <mergeCell ref="D1717:F1717"/>
    <mergeCell ref="E1718:F1718"/>
    <mergeCell ref="E1719:F1719"/>
    <mergeCell ref="D1720:F1720"/>
    <mergeCell ref="E1721:F1721"/>
    <mergeCell ref="D1722:F1722"/>
    <mergeCell ref="E1723:F1723"/>
    <mergeCell ref="D1724:F1724"/>
    <mergeCell ref="E1725:F1725"/>
    <mergeCell ref="D1726:F1726"/>
    <mergeCell ref="E1727:F1727"/>
    <mergeCell ref="D1728:F1728"/>
    <mergeCell ref="E1729:F1729"/>
    <mergeCell ref="E1730:F1730"/>
    <mergeCell ref="E1731:F1731"/>
    <mergeCell ref="D1732:F1732"/>
    <mergeCell ref="E1733:F1733"/>
    <mergeCell ref="E1734:F1734"/>
    <mergeCell ref="E1735:F1735"/>
    <mergeCell ref="D1736:F1736"/>
    <mergeCell ref="E1737:F1737"/>
    <mergeCell ref="D1738:F1738"/>
    <mergeCell ref="E1739:F1739"/>
    <mergeCell ref="D1740:F1740"/>
    <mergeCell ref="E1783:F1783"/>
    <mergeCell ref="D1784:F1784"/>
    <mergeCell ref="E1785:F1785"/>
    <mergeCell ref="E1786:F1786"/>
    <mergeCell ref="D1787:F1787"/>
    <mergeCell ref="E1788:F1788"/>
    <mergeCell ref="E1789:F1789"/>
    <mergeCell ref="D1790:F1790"/>
    <mergeCell ref="E1791:F1791"/>
    <mergeCell ref="E1792:F1792"/>
    <mergeCell ref="D1793:F1793"/>
    <mergeCell ref="E1794:F1794"/>
    <mergeCell ref="E1795:F1795"/>
    <mergeCell ref="D1796:F1796"/>
    <mergeCell ref="E1741:F1741"/>
    <mergeCell ref="D1742:F1742"/>
    <mergeCell ref="E1743:F1743"/>
    <mergeCell ref="D1744:F1744"/>
    <mergeCell ref="E1745:F1745"/>
    <mergeCell ref="D1746:F1746"/>
    <mergeCell ref="E1747:F1747"/>
    <mergeCell ref="D1748:F1748"/>
    <mergeCell ref="E1749:F1749"/>
    <mergeCell ref="E1750:F1750"/>
    <mergeCell ref="E1751:F1751"/>
    <mergeCell ref="D1752:F1752"/>
    <mergeCell ref="E1753:F1753"/>
    <mergeCell ref="E1754:F1754"/>
    <mergeCell ref="E1755:F1755"/>
    <mergeCell ref="D1756:F1756"/>
    <mergeCell ref="E1757:F1757"/>
    <mergeCell ref="D1758:F1758"/>
    <mergeCell ref="E1759:F1759"/>
    <mergeCell ref="E1760:F1760"/>
    <mergeCell ref="E1761:F1761"/>
    <mergeCell ref="D1762:F1762"/>
    <mergeCell ref="E1763:F1763"/>
    <mergeCell ref="D1764:F1764"/>
    <mergeCell ref="E1765:F1765"/>
    <mergeCell ref="D1766:F1766"/>
    <mergeCell ref="E1767:F1767"/>
    <mergeCell ref="D1768:F1768"/>
    <mergeCell ref="E1769:F1769"/>
    <mergeCell ref="D1770:F1770"/>
    <mergeCell ref="E1771:F1771"/>
    <mergeCell ref="D1772:F1772"/>
    <mergeCell ref="E1773:F1773"/>
    <mergeCell ref="E1774:F1774"/>
    <mergeCell ref="D1775:F1775"/>
    <mergeCell ref="E1776:F1776"/>
    <mergeCell ref="E1777:F1777"/>
    <mergeCell ref="D1778:F1778"/>
    <mergeCell ref="E1779:F1779"/>
    <mergeCell ref="E1780:F1780"/>
    <mergeCell ref="D1781:F1781"/>
    <mergeCell ref="E1782:F1782"/>
    <mergeCell ref="E1797:F1797"/>
    <mergeCell ref="E1798:F1798"/>
    <mergeCell ref="D1799:F1799"/>
    <mergeCell ref="E1800:F1800"/>
    <mergeCell ref="E1801:F1801"/>
    <mergeCell ref="D1802:F1802"/>
    <mergeCell ref="E1803:F1803"/>
  </mergeCells>
  <conditionalFormatting sqref="P2:P2272 J3">
    <cfRule type="colorScale" priority="1">
      <colorScale>
        <cfvo type="formula" val="0"/>
        <cfvo type="formula" val="31"/>
        <color rgb="FFFFFFFF"/>
        <color rgb="FFE06666"/>
      </colorScale>
    </cfRule>
  </conditionalFormatting>
  <conditionalFormatting sqref="J2:J2272">
    <cfRule type="colorScale" priority="2">
      <colorScale>
        <cfvo type="formula" val="0"/>
        <cfvo type="formula" val="252"/>
        <color rgb="FFFFFFFF"/>
        <color rgb="FFE06666"/>
      </colorScale>
    </cfRule>
  </conditionalFormatting>
  <conditionalFormatting sqref="K3 Q3:Q2272">
    <cfRule type="colorScale" priority="3">
      <colorScale>
        <cfvo type="formula" val="0"/>
        <cfvo type="formula" val="31"/>
        <color rgb="FFFFFFFF"/>
        <color rgb="FFF6B26B"/>
      </colorScale>
    </cfRule>
  </conditionalFormatting>
  <conditionalFormatting sqref="K3:K2272">
    <cfRule type="colorScale" priority="4">
      <colorScale>
        <cfvo type="formula" val="0"/>
        <cfvo type="formula" val="252"/>
        <color rgb="FFFFFFFF"/>
        <color rgb="FFF6B26B"/>
      </colorScale>
    </cfRule>
  </conditionalFormatting>
  <conditionalFormatting sqref="L3 R3:R2272">
    <cfRule type="colorScale" priority="5">
      <colorScale>
        <cfvo type="formula" val="0"/>
        <cfvo type="formula" val="31"/>
        <color rgb="FFFFFFFF"/>
        <color rgb="FFFFD966"/>
      </colorScale>
    </cfRule>
  </conditionalFormatting>
  <conditionalFormatting sqref="L3:L2272">
    <cfRule type="colorScale" priority="6">
      <colorScale>
        <cfvo type="formula" val="0"/>
        <cfvo type="formula" val="252"/>
        <color rgb="FFFFFFFF"/>
        <color rgb="FFFFD966"/>
      </colorScale>
    </cfRule>
  </conditionalFormatting>
  <conditionalFormatting sqref="M3 S3:S2272">
    <cfRule type="colorScale" priority="7">
      <colorScale>
        <cfvo type="formula" val="0"/>
        <cfvo type="formula" val="31"/>
        <color rgb="FFFFFFFF"/>
        <color rgb="FF6D9EEB"/>
      </colorScale>
    </cfRule>
  </conditionalFormatting>
  <conditionalFormatting sqref="M3:M2272">
    <cfRule type="colorScale" priority="8">
      <colorScale>
        <cfvo type="formula" val="0"/>
        <cfvo type="formula" val="252"/>
        <color rgb="FFFFFFFF"/>
        <color rgb="FF6D9EEB"/>
      </colorScale>
    </cfRule>
  </conditionalFormatting>
  <conditionalFormatting sqref="N3 T3:T2272">
    <cfRule type="colorScale" priority="9">
      <colorScale>
        <cfvo type="formula" val="0"/>
        <cfvo type="formula" val="31"/>
        <color rgb="FFFFFFFF"/>
        <color rgb="FF93C47D"/>
      </colorScale>
    </cfRule>
  </conditionalFormatting>
  <conditionalFormatting sqref="N3:N2272">
    <cfRule type="colorScale" priority="10">
      <colorScale>
        <cfvo type="formula" val="0"/>
        <cfvo type="formula" val="252"/>
        <color rgb="FFFFFFFF"/>
        <color rgb="FF93C47D"/>
      </colorScale>
    </cfRule>
  </conditionalFormatting>
  <conditionalFormatting sqref="O3 U3:U2272">
    <cfRule type="colorScale" priority="11">
      <colorScale>
        <cfvo type="formula" val="0"/>
        <cfvo type="formula" val="31"/>
        <color rgb="FFFFFFFF"/>
        <color rgb="FFC27BA0"/>
      </colorScale>
    </cfRule>
  </conditionalFormatting>
  <conditionalFormatting sqref="O3:O2272">
    <cfRule type="colorScale" priority="12">
      <colorScale>
        <cfvo type="formula" val="0"/>
        <cfvo type="formula" val="252"/>
        <color rgb="FFFFFFFF"/>
        <color rgb="FFC27BA0"/>
      </colorScale>
    </cfRule>
  </conditionalFormatting>
  <conditionalFormatting sqref="J2:U2272">
    <cfRule type="cellIs" dxfId="0" priority="13" operator="equal">
      <formula>0</formula>
    </cfRule>
  </conditionalFormatting>
  <conditionalFormatting sqref="D2:D2265 D2267:D2272">
    <cfRule type="colorScale" priority="14">
      <colorScale>
        <cfvo type="formula" val="1"/>
        <cfvo type="formula" val="100"/>
        <color rgb="FFFFFFFF"/>
        <color rgb="FF8E7CC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20.38"/>
    <col customWidth="1" hidden="1" min="3" max="3" width="4.0"/>
    <col customWidth="1" min="4" max="4" width="4.13"/>
    <col customWidth="1" min="5" max="5" width="3.13"/>
    <col customWidth="1" min="6" max="6" width="13.63"/>
    <col customWidth="1" hidden="1" min="7" max="7" width="12.13"/>
    <col customWidth="1" min="8" max="8" width="48.13"/>
    <col customWidth="1" min="9" max="9" width="8.13"/>
    <col customWidth="1" min="10" max="15" width="4.13"/>
    <col customWidth="1" min="16" max="21" width="3.13"/>
  </cols>
  <sheetData>
    <row r="1">
      <c r="A1" s="1" t="s">
        <v>2699</v>
      </c>
    </row>
    <row r="2">
      <c r="A2" s="1" t="s">
        <v>1</v>
      </c>
      <c r="C2" s="2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P2" s="1" t="s">
        <v>9</v>
      </c>
    </row>
    <row r="3">
      <c r="J3" s="3" t="s">
        <v>10</v>
      </c>
      <c r="K3" s="4" t="s">
        <v>11</v>
      </c>
      <c r="L3" s="5" t="s">
        <v>12</v>
      </c>
      <c r="M3" s="6" t="s">
        <v>13</v>
      </c>
      <c r="N3" s="7" t="s">
        <v>14</v>
      </c>
      <c r="O3" s="8" t="s">
        <v>15</v>
      </c>
      <c r="P3" s="9"/>
      <c r="Q3" s="10"/>
      <c r="R3" s="11"/>
      <c r="S3" s="12"/>
      <c r="T3" s="13"/>
      <c r="U3" s="14"/>
    </row>
    <row r="4" ht="23.25" customHeight="1">
      <c r="A4" s="1" t="str">
        <f>IF(COUNTIF('Icon Lookup'!C:C,B4)&gt;0,LOOKUP(B4,'Icon Lookup'!C:C,'Icon Lookup'!B:B),"")</f>
        <v/>
      </c>
      <c r="B4" s="15" t="s">
        <v>16</v>
      </c>
      <c r="C4" s="1" t="s">
        <v>17</v>
      </c>
      <c r="D4" s="1" t="s">
        <v>18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23.25" customHeight="1">
      <c r="A5" s="17" t="str">
        <f>IF(COUNTIF('Icon Lookup'!C:C,B5)&gt;0,LOOKUP(B5,'Icon Lookup'!C:C,'Icon Lookup'!B:B),"")</f>
        <v/>
      </c>
      <c r="B5" s="18" t="s">
        <v>19</v>
      </c>
      <c r="C5" s="17" t="s">
        <v>17</v>
      </c>
      <c r="D5" s="17">
        <v>5.0</v>
      </c>
      <c r="E5" s="17" t="s">
        <v>20</v>
      </c>
      <c r="G5" s="19"/>
      <c r="H5" s="20" t="s">
        <v>21</v>
      </c>
      <c r="I5" s="17" t="s">
        <v>22</v>
      </c>
      <c r="J5" s="17">
        <v>0.0</v>
      </c>
      <c r="K5" s="17">
        <v>0.0</v>
      </c>
      <c r="L5" s="17">
        <v>0.0</v>
      </c>
      <c r="M5" s="17">
        <v>0.0</v>
      </c>
      <c r="N5" s="17">
        <v>0.0</v>
      </c>
      <c r="O5" s="17">
        <v>0.0</v>
      </c>
      <c r="P5" s="17">
        <v>0.0</v>
      </c>
      <c r="Q5" s="17">
        <v>0.0</v>
      </c>
      <c r="R5" s="17">
        <v>0.0</v>
      </c>
      <c r="S5" s="17">
        <v>0.0</v>
      </c>
      <c r="T5" s="17">
        <v>0.0</v>
      </c>
      <c r="U5" s="17">
        <v>0.0</v>
      </c>
    </row>
    <row r="6" ht="23.25" customHeight="1">
      <c r="A6" s="1" t="str">
        <f>IF(COUNTIF('Icon Lookup'!C:C,B6)&gt;0,LOOKUP(B6,'Icon Lookup'!C:C,'Icon Lookup'!B:B),"")</f>
        <v/>
      </c>
      <c r="B6" s="15" t="s">
        <v>23</v>
      </c>
      <c r="C6" s="1" t="s">
        <v>17</v>
      </c>
      <c r="D6" s="1" t="s">
        <v>24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23.25" customHeight="1">
      <c r="A7" s="20" t="str">
        <f>IF(COUNTIF('Icon Lookup'!C:C,B7)&gt;0,LOOKUP(B7,'Icon Lookup'!C:C,'Icon Lookup'!B:B),"")</f>
        <v/>
      </c>
      <c r="B7" s="21" t="s">
        <v>25</v>
      </c>
      <c r="C7" s="20" t="s">
        <v>17</v>
      </c>
      <c r="D7" s="20">
        <v>5.0</v>
      </c>
      <c r="E7" s="20" t="s">
        <v>26</v>
      </c>
      <c r="G7" s="22"/>
      <c r="H7" s="23" t="s">
        <v>27</v>
      </c>
      <c r="I7" s="20" t="s">
        <v>22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</row>
    <row r="8" ht="23.25" customHeight="1">
      <c r="A8" s="1" t="str">
        <f>IF(COUNTIF('Icon Lookup'!C:C,B8)&gt;0,LOOKUP(B8,'Icon Lookup'!C:C,'Icon Lookup'!B:B),"")</f>
        <v/>
      </c>
      <c r="B8" s="15" t="s">
        <v>28</v>
      </c>
      <c r="C8" s="1" t="s">
        <v>17</v>
      </c>
      <c r="D8" s="1" t="s">
        <v>29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23.25" customHeight="1">
      <c r="A9" s="17" t="str">
        <f>IF(COUNTIF('Icon Lookup'!C:C,B9)&gt;0,LOOKUP(B9,'Icon Lookup'!C:C,'Icon Lookup'!B:B),"")</f>
        <v/>
      </c>
      <c r="B9" s="18" t="s">
        <v>30</v>
      </c>
      <c r="C9" s="17" t="s">
        <v>17</v>
      </c>
      <c r="D9" s="17">
        <v>3.0</v>
      </c>
      <c r="E9" s="17" t="s">
        <v>31</v>
      </c>
      <c r="G9" s="19"/>
      <c r="H9" s="20" t="s">
        <v>32</v>
      </c>
      <c r="I9" s="17" t="s">
        <v>22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</row>
    <row r="10" ht="23.25" customHeight="1">
      <c r="A10" s="20" t="str">
        <f>IF(COUNTIF('Icon Lookup'!C:C,B10)&gt;0,LOOKUP(B10,'Icon Lookup'!C:C,'Icon Lookup'!B:B),"")</f>
        <v/>
      </c>
      <c r="B10" s="21" t="s">
        <v>30</v>
      </c>
      <c r="C10" s="20" t="s">
        <v>17</v>
      </c>
      <c r="D10" s="20">
        <v>3.0</v>
      </c>
      <c r="E10" s="20" t="s">
        <v>31</v>
      </c>
      <c r="G10" s="22"/>
      <c r="H10" s="23" t="s">
        <v>32</v>
      </c>
      <c r="I10" s="20" t="s">
        <v>22</v>
      </c>
      <c r="J10" s="20">
        <v>0.0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</row>
    <row r="11" ht="23.25" customHeight="1">
      <c r="A11" s="1" t="str">
        <f>IF(COUNTIF('Icon Lookup'!C:C,B11)&gt;0,LOOKUP(B11,'Icon Lookup'!C:C,'Icon Lookup'!B:B),"")</f>
        <v/>
      </c>
      <c r="B11" s="15" t="s">
        <v>33</v>
      </c>
      <c r="C11" s="1" t="s">
        <v>17</v>
      </c>
      <c r="D11" s="1" t="s">
        <v>34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ht="23.25" customHeight="1">
      <c r="A12" s="17" t="str">
        <f>IF(COUNTIF('Icon Lookup'!C:C,B12)&gt;0,LOOKUP(B12,'Icon Lookup'!C:C,'Icon Lookup'!B:B),"")</f>
        <v/>
      </c>
      <c r="B12" s="18" t="s">
        <v>30</v>
      </c>
      <c r="C12" s="17" t="s">
        <v>17</v>
      </c>
      <c r="D12" s="17">
        <v>5.0</v>
      </c>
      <c r="E12" s="17" t="s">
        <v>31</v>
      </c>
      <c r="G12" s="19"/>
      <c r="H12" s="20" t="s">
        <v>35</v>
      </c>
      <c r="I12" s="17" t="s">
        <v>36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0.0</v>
      </c>
      <c r="R12" s="17">
        <v>0.0</v>
      </c>
      <c r="S12" s="17">
        <v>0.0</v>
      </c>
      <c r="T12" s="17">
        <v>0.0</v>
      </c>
      <c r="U12" s="17">
        <v>0.0</v>
      </c>
    </row>
    <row r="13" ht="23.25" customHeight="1">
      <c r="A13" s="20" t="str">
        <f>IF(COUNTIF('Icon Lookup'!C:C,B13)&gt;0,LOOKUP(B13,'Icon Lookup'!C:C,'Icon Lookup'!B:B),"")</f>
        <v/>
      </c>
      <c r="B13" s="21" t="s">
        <v>37</v>
      </c>
      <c r="C13" s="20" t="s">
        <v>17</v>
      </c>
      <c r="D13" s="20">
        <v>5.0</v>
      </c>
      <c r="E13" s="20" t="s">
        <v>38</v>
      </c>
      <c r="G13" s="22"/>
      <c r="H13" s="23" t="s">
        <v>39</v>
      </c>
      <c r="I13" s="20" t="s">
        <v>40</v>
      </c>
      <c r="J13" s="20">
        <v>0.0</v>
      </c>
      <c r="K13" s="20">
        <v>0.0</v>
      </c>
      <c r="L13" s="20">
        <v>0.0</v>
      </c>
      <c r="M13" s="20">
        <v>0.0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</row>
    <row r="14" ht="23.25" customHeight="1">
      <c r="A14" s="1" t="str">
        <f>IF(COUNTIF('Icon Lookup'!C:C,B14)&gt;0,LOOKUP(B14,'Icon Lookup'!C:C,'Icon Lookup'!B:B),"")</f>
        <v/>
      </c>
      <c r="B14" s="15" t="s">
        <v>41</v>
      </c>
      <c r="C14" s="1" t="s">
        <v>17</v>
      </c>
      <c r="D14" s="1" t="s">
        <v>42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3.25" customHeight="1">
      <c r="A15" s="17" t="str">
        <f>IF(COUNTIF('Icon Lookup'!C:C,B15)&gt;0,LOOKUP(B15,'Icon Lookup'!C:C,'Icon Lookup'!B:B),"")</f>
        <v/>
      </c>
      <c r="B15" s="18" t="s">
        <v>43</v>
      </c>
      <c r="C15" s="17" t="s">
        <v>17</v>
      </c>
      <c r="D15" s="17">
        <v>5.0</v>
      </c>
      <c r="E15" s="17" t="s">
        <v>44</v>
      </c>
      <c r="G15" s="19"/>
      <c r="H15" s="20" t="s">
        <v>45</v>
      </c>
      <c r="I15" s="17" t="s">
        <v>46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</row>
    <row r="16" ht="23.25" customHeight="1">
      <c r="A16" s="20" t="str">
        <f>IF(COUNTIF('Icon Lookup'!C:C,B16)&gt;0,LOOKUP(B16,'Icon Lookup'!C:C,'Icon Lookup'!B:B),"")</f>
        <v/>
      </c>
      <c r="B16" s="21" t="s">
        <v>19</v>
      </c>
      <c r="C16" s="20" t="s">
        <v>17</v>
      </c>
      <c r="D16" s="20">
        <v>5.0</v>
      </c>
      <c r="E16" s="20" t="s">
        <v>20</v>
      </c>
      <c r="G16" s="22"/>
      <c r="H16" s="23" t="s">
        <v>21</v>
      </c>
      <c r="I16" s="20" t="s">
        <v>36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</row>
    <row r="17" ht="23.25" customHeight="1">
      <c r="A17" s="1" t="str">
        <f>IF(COUNTIF('Icon Lookup'!C:C,B17)&gt;0,LOOKUP(B17,'Icon Lookup'!C:C,'Icon Lookup'!B:B),"")</f>
        <v/>
      </c>
      <c r="B17" s="15" t="s">
        <v>47</v>
      </c>
      <c r="C17" s="1" t="s">
        <v>17</v>
      </c>
      <c r="D17" s="1" t="s">
        <v>48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3.25" customHeight="1">
      <c r="A18" s="17" t="str">
        <f>IF(COUNTIF('Icon Lookup'!C:C,B18)&gt;0,LOOKUP(B18,'Icon Lookup'!C:C,'Icon Lookup'!B:B),"")</f>
        <v/>
      </c>
      <c r="B18" s="18" t="s">
        <v>49</v>
      </c>
      <c r="C18" s="17" t="s">
        <v>17</v>
      </c>
      <c r="D18" s="17">
        <v>7.0</v>
      </c>
      <c r="E18" s="17" t="s">
        <v>50</v>
      </c>
      <c r="G18" s="19"/>
      <c r="H18" s="20" t="s">
        <v>51</v>
      </c>
      <c r="I18" s="17" t="s">
        <v>52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0.0</v>
      </c>
      <c r="U18" s="17">
        <v>0.0</v>
      </c>
    </row>
    <row r="19" ht="23.25" customHeight="1">
      <c r="A19" s="1" t="str">
        <f>IF(COUNTIF('Icon Lookup'!C:C,B19)&gt;0,LOOKUP(B19,'Icon Lookup'!C:C,'Icon Lookup'!B:B),"")</f>
        <v/>
      </c>
      <c r="B19" s="15" t="s">
        <v>53</v>
      </c>
      <c r="C19" s="1" t="s">
        <v>17</v>
      </c>
      <c r="D19" s="1" t="s">
        <v>54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3.25" customHeight="1">
      <c r="A20" s="20" t="str">
        <f>IF(COUNTIF('Icon Lookup'!C:C,B20)&gt;0,LOOKUP(B20,'Icon Lookup'!C:C,'Icon Lookup'!B:B),"")</f>
        <v/>
      </c>
      <c r="B20" s="21" t="s">
        <v>30</v>
      </c>
      <c r="C20" s="20" t="s">
        <v>17</v>
      </c>
      <c r="D20" s="20">
        <v>7.0</v>
      </c>
      <c r="E20" s="20" t="s">
        <v>31</v>
      </c>
      <c r="G20" s="22"/>
      <c r="H20" s="23" t="s">
        <v>35</v>
      </c>
      <c r="I20" s="20" t="s">
        <v>22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</row>
    <row r="21" ht="23.25" customHeight="1">
      <c r="A21" s="1" t="str">
        <f>IF(COUNTIF('Icon Lookup'!C:C,B21)&gt;0,LOOKUP(B21,'Icon Lookup'!C:C,'Icon Lookup'!B:B),"")</f>
        <v/>
      </c>
      <c r="B21" s="15" t="s">
        <v>55</v>
      </c>
      <c r="C21" s="1" t="s">
        <v>17</v>
      </c>
      <c r="D21" s="1" t="s">
        <v>56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3.25" customHeight="1">
      <c r="A22" s="17" t="str">
        <f>IF(COUNTIF('Icon Lookup'!C:C,B22)&gt;0,LOOKUP(B22,'Icon Lookup'!C:C,'Icon Lookup'!B:B),"")</f>
        <v/>
      </c>
      <c r="B22" s="18" t="s">
        <v>57</v>
      </c>
      <c r="C22" s="17" t="s">
        <v>17</v>
      </c>
      <c r="D22" s="17">
        <v>7.0</v>
      </c>
      <c r="E22" s="17" t="s">
        <v>58</v>
      </c>
      <c r="G22" s="19"/>
      <c r="H22" s="20" t="s">
        <v>59</v>
      </c>
      <c r="I22" s="17" t="s">
        <v>52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</row>
    <row r="23" ht="23.25" customHeight="1">
      <c r="A23" s="20" t="str">
        <f>IF(COUNTIF('Icon Lookup'!C:C,B23)&gt;0,LOOKUP(B23,'Icon Lookup'!C:C,'Icon Lookup'!B:B),"")</f>
        <v/>
      </c>
      <c r="B23" s="21" t="s">
        <v>60</v>
      </c>
      <c r="C23" s="20" t="s">
        <v>17</v>
      </c>
      <c r="D23" s="20">
        <v>7.0</v>
      </c>
      <c r="E23" s="20" t="s">
        <v>61</v>
      </c>
      <c r="G23" s="22"/>
      <c r="H23" s="23" t="s">
        <v>62</v>
      </c>
      <c r="I23" s="20" t="s">
        <v>52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</row>
    <row r="24" ht="23.25" customHeight="1">
      <c r="A24" s="1" t="str">
        <f>IF(COUNTIF('Icon Lookup'!C:C,B24)&gt;0,LOOKUP(B24,'Icon Lookup'!C:C,'Icon Lookup'!B:B),"")</f>
        <v/>
      </c>
      <c r="B24" s="15" t="s">
        <v>63</v>
      </c>
      <c r="C24" s="1" t="s">
        <v>17</v>
      </c>
      <c r="D24" s="1" t="s">
        <v>64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3.25" customHeight="1">
      <c r="A25" s="17" t="str">
        <f>IF(COUNTIF('Icon Lookup'!C:C,B25)&gt;0,LOOKUP(B25,'Icon Lookup'!C:C,'Icon Lookup'!B:B),"")</f>
        <v/>
      </c>
      <c r="B25" s="18" t="s">
        <v>49</v>
      </c>
      <c r="C25" s="17" t="s">
        <v>17</v>
      </c>
      <c r="D25" s="17">
        <v>7.0</v>
      </c>
      <c r="E25" s="17" t="s">
        <v>50</v>
      </c>
      <c r="G25" s="19"/>
      <c r="H25" s="20" t="s">
        <v>51</v>
      </c>
      <c r="I25" s="17" t="s">
        <v>52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</row>
    <row r="26" ht="23.25" customHeight="1">
      <c r="A26" s="20" t="str">
        <f>IF(COUNTIF('Icon Lookup'!C:C,B26)&gt;0,LOOKUP(B26,'Icon Lookup'!C:C,'Icon Lookup'!B:B),"")</f>
        <v/>
      </c>
      <c r="B26" s="21" t="s">
        <v>65</v>
      </c>
      <c r="C26" s="20" t="s">
        <v>17</v>
      </c>
      <c r="D26" s="20">
        <v>7.0</v>
      </c>
      <c r="E26" s="20" t="s">
        <v>66</v>
      </c>
      <c r="G26" s="22"/>
      <c r="H26" s="23" t="s">
        <v>67</v>
      </c>
      <c r="I26" s="20" t="s">
        <v>52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</row>
    <row r="27" ht="23.25" customHeight="1">
      <c r="A27" s="1" t="str">
        <f>IF(COUNTIF('Icon Lookup'!C:C,B27)&gt;0,LOOKUP(B27,'Icon Lookup'!C:C,'Icon Lookup'!B:B),"")</f>
        <v/>
      </c>
      <c r="B27" s="15" t="s">
        <v>68</v>
      </c>
      <c r="C27" s="1" t="s">
        <v>17</v>
      </c>
      <c r="D27" s="1" t="s">
        <v>69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3.25" customHeight="1">
      <c r="A28" s="17" t="str">
        <f>IF(COUNTIF('Icon Lookup'!C:C,B28)&gt;0,LOOKUP(B28,'Icon Lookup'!C:C,'Icon Lookup'!B:B),"")</f>
        <v/>
      </c>
      <c r="B28" s="18" t="s">
        <v>70</v>
      </c>
      <c r="C28" s="17" t="s">
        <v>17</v>
      </c>
      <c r="D28" s="17">
        <v>9.0</v>
      </c>
      <c r="E28" s="17" t="s">
        <v>71</v>
      </c>
      <c r="G28" s="19"/>
      <c r="H28" s="20" t="s">
        <v>72</v>
      </c>
      <c r="I28" s="17" t="s">
        <v>73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0.0</v>
      </c>
      <c r="U28" s="17">
        <v>0.0</v>
      </c>
    </row>
    <row r="29" ht="23.25" customHeight="1">
      <c r="A29" s="1" t="str">
        <f>IF(COUNTIF('Icon Lookup'!C:C,B29)&gt;0,LOOKUP(B29,'Icon Lookup'!C:C,'Icon Lookup'!B:B),"")</f>
        <v/>
      </c>
      <c r="B29" s="15" t="s">
        <v>74</v>
      </c>
      <c r="C29" s="1" t="s">
        <v>17</v>
      </c>
      <c r="D29" s="1" t="s">
        <v>75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23.25" customHeight="1">
      <c r="A30" s="20" t="str">
        <f>IF(COUNTIF('Icon Lookup'!C:C,B30)&gt;0,LOOKUP(B30,'Icon Lookup'!C:C,'Icon Lookup'!B:B),"")</f>
        <v/>
      </c>
      <c r="B30" s="21" t="s">
        <v>70</v>
      </c>
      <c r="C30" s="20" t="s">
        <v>17</v>
      </c>
      <c r="D30" s="20">
        <v>9.0</v>
      </c>
      <c r="E30" s="20" t="s">
        <v>71</v>
      </c>
      <c r="G30" s="22"/>
      <c r="H30" s="23" t="s">
        <v>72</v>
      </c>
      <c r="I30" s="20" t="s">
        <v>73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</row>
    <row r="31" ht="23.25" customHeight="1">
      <c r="A31" s="1" t="str">
        <f>IF(COUNTIF('Icon Lookup'!C:C,B31)&gt;0,LOOKUP(B31,'Icon Lookup'!C:C,'Icon Lookup'!B:B),"")</f>
        <v/>
      </c>
      <c r="B31" s="15" t="s">
        <v>76</v>
      </c>
      <c r="C31" s="1" t="s">
        <v>17</v>
      </c>
      <c r="D31" s="1" t="s">
        <v>77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3.25" customHeight="1">
      <c r="A32" s="17" t="str">
        <f>IF(COUNTIF('Icon Lookup'!C:C,B32)&gt;0,LOOKUP(B32,'Icon Lookup'!C:C,'Icon Lookup'!B:B),"")</f>
        <v/>
      </c>
      <c r="B32" s="18" t="s">
        <v>78</v>
      </c>
      <c r="C32" s="17" t="s">
        <v>17</v>
      </c>
      <c r="D32" s="17">
        <v>14.0</v>
      </c>
      <c r="E32" s="17" t="s">
        <v>79</v>
      </c>
      <c r="G32" s="19"/>
      <c r="H32" s="20" t="s">
        <v>80</v>
      </c>
      <c r="I32" s="17" t="s">
        <v>40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</row>
    <row r="33" ht="23.25" customHeight="1">
      <c r="A33" s="1" t="str">
        <f>IF(COUNTIF('Icon Lookup'!C:C,B33)&gt;0,LOOKUP(B33,'Icon Lookup'!C:C,'Icon Lookup'!B:B),"")</f>
        <v/>
      </c>
      <c r="B33" s="15" t="s">
        <v>81</v>
      </c>
      <c r="C33" s="1" t="s">
        <v>17</v>
      </c>
      <c r="D33" s="1" t="s">
        <v>82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23.25" customHeight="1">
      <c r="A34" s="20" t="str">
        <f>IF(COUNTIF('Icon Lookup'!C:C,B34)&gt;0,LOOKUP(B34,'Icon Lookup'!C:C,'Icon Lookup'!B:B),"")</f>
        <v/>
      </c>
      <c r="B34" s="21" t="s">
        <v>25</v>
      </c>
      <c r="C34" s="20" t="s">
        <v>17</v>
      </c>
      <c r="D34" s="20">
        <v>12.0</v>
      </c>
      <c r="E34" s="20" t="s">
        <v>26</v>
      </c>
      <c r="G34" s="22"/>
      <c r="H34" s="23" t="s">
        <v>83</v>
      </c>
      <c r="I34" s="20" t="s">
        <v>22</v>
      </c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>
        <v>0.0</v>
      </c>
      <c r="P34" s="20">
        <v>0.0</v>
      </c>
      <c r="Q34" s="20">
        <v>0.0</v>
      </c>
      <c r="R34" s="20">
        <v>0.0</v>
      </c>
      <c r="S34" s="20">
        <v>0.0</v>
      </c>
      <c r="T34" s="20">
        <v>0.0</v>
      </c>
      <c r="U34" s="20">
        <v>0.0</v>
      </c>
    </row>
    <row r="35" ht="23.25" customHeight="1">
      <c r="A35" s="17" t="str">
        <f>IF(COUNTIF('Icon Lookup'!C:C,B35)&gt;0,LOOKUP(B35,'Icon Lookup'!C:C,'Icon Lookup'!B:B),"")</f>
        <v/>
      </c>
      <c r="B35" s="18" t="s">
        <v>70</v>
      </c>
      <c r="C35" s="17" t="s">
        <v>17</v>
      </c>
      <c r="D35" s="17">
        <v>12.0</v>
      </c>
      <c r="E35" s="17" t="s">
        <v>71</v>
      </c>
      <c r="G35" s="19"/>
      <c r="H35" s="20" t="s">
        <v>72</v>
      </c>
      <c r="I35" s="17" t="s">
        <v>73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7">
        <v>0.0</v>
      </c>
      <c r="U35" s="17">
        <v>0.0</v>
      </c>
    </row>
    <row r="36" ht="23.25" customHeight="1">
      <c r="A36" s="1" t="str">
        <f>IF(COUNTIF('Icon Lookup'!C:C,B36)&gt;0,LOOKUP(B36,'Icon Lookup'!C:C,'Icon Lookup'!B:B),"")</f>
        <v/>
      </c>
      <c r="B36" s="15" t="s">
        <v>84</v>
      </c>
      <c r="C36" s="1" t="s">
        <v>17</v>
      </c>
      <c r="D36" s="1" t="s">
        <v>85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23.25" customHeight="1">
      <c r="A37" s="20" t="str">
        <f>IF(COUNTIF('Icon Lookup'!C:C,B37)&gt;0,LOOKUP(B37,'Icon Lookup'!C:C,'Icon Lookup'!B:B),"")</f>
        <v/>
      </c>
      <c r="B37" s="21" t="s">
        <v>86</v>
      </c>
      <c r="C37" s="20" t="s">
        <v>17</v>
      </c>
      <c r="D37" s="20">
        <v>11.0</v>
      </c>
      <c r="E37" s="20" t="s">
        <v>87</v>
      </c>
      <c r="G37" s="22"/>
      <c r="H37" s="23" t="s">
        <v>88</v>
      </c>
      <c r="I37" s="20" t="s">
        <v>89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</row>
    <row r="38" ht="23.25" customHeight="1">
      <c r="A38" s="17" t="str">
        <f>IF(COUNTIF('Icon Lookup'!C:C,B38)&gt;0,LOOKUP(B38,'Icon Lookup'!C:C,'Icon Lookup'!B:B),"")</f>
        <v/>
      </c>
      <c r="B38" s="18" t="s">
        <v>90</v>
      </c>
      <c r="C38" s="17" t="s">
        <v>17</v>
      </c>
      <c r="D38" s="17">
        <v>11.0</v>
      </c>
      <c r="E38" s="17" t="s">
        <v>91</v>
      </c>
      <c r="G38" s="19"/>
      <c r="H38" s="20" t="s">
        <v>92</v>
      </c>
      <c r="I38" s="17" t="s">
        <v>89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  <c r="S38" s="17">
        <v>0.0</v>
      </c>
      <c r="T38" s="17">
        <v>0.0</v>
      </c>
      <c r="U38" s="17">
        <v>0.0</v>
      </c>
    </row>
    <row r="39" ht="23.25" customHeight="1">
      <c r="A39" s="20" t="str">
        <f>IF(COUNTIF('Icon Lookup'!C:C,B39)&gt;0,LOOKUP(B39,'Icon Lookup'!C:C,'Icon Lookup'!B:B),"")</f>
        <v/>
      </c>
      <c r="B39" s="21" t="s">
        <v>86</v>
      </c>
      <c r="C39" s="20" t="s">
        <v>17</v>
      </c>
      <c r="D39" s="20">
        <v>11.0</v>
      </c>
      <c r="E39" s="20" t="s">
        <v>87</v>
      </c>
      <c r="G39" s="22"/>
      <c r="H39" s="23" t="s">
        <v>88</v>
      </c>
      <c r="I39" s="20" t="s">
        <v>89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</row>
    <row r="40" ht="23.25" customHeight="1">
      <c r="A40" s="17" t="str">
        <f>IF(COUNTIF('Icon Lookup'!C:C,B40)&gt;0,LOOKUP(B40,'Icon Lookup'!C:C,'Icon Lookup'!B:B),"")</f>
        <v/>
      </c>
      <c r="B40" s="18" t="s">
        <v>30</v>
      </c>
      <c r="C40" s="17" t="s">
        <v>17</v>
      </c>
      <c r="D40" s="17">
        <v>11.0</v>
      </c>
      <c r="E40" s="17" t="s">
        <v>31</v>
      </c>
      <c r="G40" s="19"/>
      <c r="H40" s="20" t="s">
        <v>93</v>
      </c>
      <c r="I40" s="17" t="s">
        <v>94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  <c r="S40" s="17">
        <v>0.0</v>
      </c>
      <c r="T40" s="17">
        <v>0.0</v>
      </c>
      <c r="U40" s="17">
        <v>0.0</v>
      </c>
    </row>
    <row r="41" ht="23.25" customHeight="1">
      <c r="A41" s="1" t="str">
        <f>IF(COUNTIF('Icon Lookup'!C:C,B41)&gt;0,LOOKUP(B41,'Icon Lookup'!C:C,'Icon Lookup'!B:B),"")</f>
        <v/>
      </c>
      <c r="B41" s="15" t="s">
        <v>95</v>
      </c>
      <c r="C41" s="1" t="s">
        <v>17</v>
      </c>
      <c r="D41" s="1" t="s">
        <v>96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23.25" customHeight="1">
      <c r="A42" s="20" t="str">
        <f>IF(COUNTIF('Icon Lookup'!C:C,B42)&gt;0,LOOKUP(B42,'Icon Lookup'!C:C,'Icon Lookup'!B:B),"")</f>
        <v/>
      </c>
      <c r="B42" s="21" t="s">
        <v>97</v>
      </c>
      <c r="C42" s="20" t="s">
        <v>17</v>
      </c>
      <c r="D42" s="20">
        <v>14.0</v>
      </c>
      <c r="E42" s="20" t="s">
        <v>98</v>
      </c>
      <c r="G42" s="22"/>
      <c r="H42" s="23" t="s">
        <v>99</v>
      </c>
      <c r="I42" s="20" t="s">
        <v>89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</row>
    <row r="43" ht="23.25" customHeight="1">
      <c r="A43" s="1" t="str">
        <f>IF(COUNTIF('Icon Lookup'!C:C,B43)&gt;0,LOOKUP(B43,'Icon Lookup'!C:C,'Icon Lookup'!B:B),"")</f>
        <v/>
      </c>
      <c r="B43" s="15" t="s">
        <v>100</v>
      </c>
      <c r="C43" s="1" t="s">
        <v>17</v>
      </c>
      <c r="D43" s="1" t="s">
        <v>101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3.25" customHeight="1">
      <c r="A44" s="17" t="str">
        <f>IF(COUNTIF('Icon Lookup'!C:C,B44)&gt;0,LOOKUP(B44,'Icon Lookup'!C:C,'Icon Lookup'!B:B),"")</f>
        <v/>
      </c>
      <c r="B44" s="18" t="s">
        <v>90</v>
      </c>
      <c r="C44" s="17" t="s">
        <v>17</v>
      </c>
      <c r="D44" s="17">
        <v>15.0</v>
      </c>
      <c r="E44" s="17" t="s">
        <v>91</v>
      </c>
      <c r="G44" s="19"/>
      <c r="H44" s="20" t="s">
        <v>102</v>
      </c>
      <c r="I44" s="17" t="s">
        <v>22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  <c r="S44" s="17">
        <v>0.0</v>
      </c>
      <c r="T44" s="17">
        <v>0.0</v>
      </c>
      <c r="U44" s="17">
        <v>0.0</v>
      </c>
    </row>
    <row r="45" ht="23.25" customHeight="1">
      <c r="A45" s="1" t="str">
        <f>IF(COUNTIF('Icon Lookup'!C:C,B45)&gt;0,LOOKUP(B45,'Icon Lookup'!C:C,'Icon Lookup'!B:B),"")</f>
        <v/>
      </c>
      <c r="B45" s="15" t="s">
        <v>103</v>
      </c>
      <c r="C45" s="1" t="s">
        <v>17</v>
      </c>
      <c r="D45" s="1" t="s">
        <v>104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23.25" customHeight="1">
      <c r="A46" s="20" t="str">
        <f>IF(COUNTIF('Icon Lookup'!C:C,B46)&gt;0,LOOKUP(B46,'Icon Lookup'!C:C,'Icon Lookup'!B:B),"")</f>
        <v/>
      </c>
      <c r="B46" s="21" t="s">
        <v>49</v>
      </c>
      <c r="C46" s="20" t="s">
        <v>17</v>
      </c>
      <c r="D46" s="20">
        <v>14.0</v>
      </c>
      <c r="E46" s="20" t="s">
        <v>50</v>
      </c>
      <c r="G46" s="22"/>
      <c r="H46" s="23" t="s">
        <v>51</v>
      </c>
      <c r="I46" s="20" t="s">
        <v>105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</row>
    <row r="47" ht="23.25" customHeight="1">
      <c r="A47" s="1" t="str">
        <f>IF(COUNTIF('Icon Lookup'!C:C,B47)&gt;0,LOOKUP(B47,'Icon Lookup'!C:C,'Icon Lookup'!B:B),"")</f>
        <v/>
      </c>
      <c r="B47" s="15" t="s">
        <v>106</v>
      </c>
      <c r="C47" s="1" t="s">
        <v>17</v>
      </c>
      <c r="D47" s="1" t="s">
        <v>107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23.25" customHeight="1">
      <c r="A48" s="17" t="str">
        <f>IF(COUNTIF('Icon Lookup'!C:C,B48)&gt;0,LOOKUP(B48,'Icon Lookup'!C:C,'Icon Lookup'!B:B),"")</f>
        <v/>
      </c>
      <c r="B48" s="18" t="s">
        <v>43</v>
      </c>
      <c r="C48" s="17" t="s">
        <v>17</v>
      </c>
      <c r="D48" s="17">
        <v>10.0</v>
      </c>
      <c r="E48" s="17" t="s">
        <v>44</v>
      </c>
      <c r="G48" s="19"/>
      <c r="H48" s="20" t="s">
        <v>45</v>
      </c>
      <c r="I48" s="17" t="s">
        <v>89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  <c r="S48" s="17">
        <v>0.0</v>
      </c>
      <c r="T48" s="17">
        <v>0.0</v>
      </c>
      <c r="U48" s="17">
        <v>0.0</v>
      </c>
    </row>
    <row r="49" ht="23.25" customHeight="1">
      <c r="A49" s="20" t="str">
        <f>IF(COUNTIF('Icon Lookup'!C:C,B49)&gt;0,LOOKUP(B49,'Icon Lookup'!C:C,'Icon Lookup'!B:B),"")</f>
        <v/>
      </c>
      <c r="B49" s="21" t="s">
        <v>43</v>
      </c>
      <c r="C49" s="20" t="s">
        <v>17</v>
      </c>
      <c r="D49" s="20">
        <v>10.0</v>
      </c>
      <c r="E49" s="20" t="s">
        <v>44</v>
      </c>
      <c r="G49" s="22"/>
      <c r="H49" s="23" t="s">
        <v>45</v>
      </c>
      <c r="I49" s="20" t="s">
        <v>89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</row>
    <row r="50" ht="23.25" customHeight="1">
      <c r="A50" s="17" t="str">
        <f>IF(COUNTIF('Icon Lookup'!C:C,B50)&gt;0,LOOKUP(B50,'Icon Lookup'!C:C,'Icon Lookup'!B:B),"")</f>
        <v/>
      </c>
      <c r="B50" s="18" t="s">
        <v>43</v>
      </c>
      <c r="C50" s="17" t="s">
        <v>17</v>
      </c>
      <c r="D50" s="17">
        <v>10.0</v>
      </c>
      <c r="E50" s="17" t="s">
        <v>44</v>
      </c>
      <c r="G50" s="19"/>
      <c r="H50" s="20" t="s">
        <v>45</v>
      </c>
      <c r="I50" s="17" t="s">
        <v>89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  <c r="S50" s="17">
        <v>0.0</v>
      </c>
      <c r="T50" s="17">
        <v>0.0</v>
      </c>
      <c r="U50" s="17">
        <v>0.0</v>
      </c>
    </row>
    <row r="51" ht="23.25" customHeight="1">
      <c r="A51" s="20" t="str">
        <f>IF(COUNTIF('Icon Lookup'!C:C,B51)&gt;0,LOOKUP(B51,'Icon Lookup'!C:C,'Icon Lookup'!B:B),"")</f>
        <v/>
      </c>
      <c r="B51" s="21" t="s">
        <v>43</v>
      </c>
      <c r="C51" s="20" t="s">
        <v>17</v>
      </c>
      <c r="D51" s="20">
        <v>10.0</v>
      </c>
      <c r="E51" s="20" t="s">
        <v>44</v>
      </c>
      <c r="G51" s="22"/>
      <c r="H51" s="23" t="s">
        <v>45</v>
      </c>
      <c r="I51" s="20" t="s">
        <v>89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</row>
    <row r="52" ht="23.25" customHeight="1">
      <c r="A52" s="17" t="str">
        <f>IF(COUNTIF('Icon Lookup'!C:C,B52)&gt;0,LOOKUP(B52,'Icon Lookup'!C:C,'Icon Lookup'!B:B),"")</f>
        <v/>
      </c>
      <c r="B52" s="18" t="s">
        <v>43</v>
      </c>
      <c r="C52" s="17" t="s">
        <v>17</v>
      </c>
      <c r="D52" s="17">
        <v>10.0</v>
      </c>
      <c r="E52" s="17" t="s">
        <v>44</v>
      </c>
      <c r="G52" s="19"/>
      <c r="H52" s="20" t="s">
        <v>45</v>
      </c>
      <c r="I52" s="17" t="s">
        <v>89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  <c r="S52" s="17">
        <v>0.0</v>
      </c>
      <c r="T52" s="17">
        <v>0.0</v>
      </c>
      <c r="U52" s="17">
        <v>0.0</v>
      </c>
    </row>
    <row r="53" ht="23.25" customHeight="1">
      <c r="A53" s="20" t="str">
        <f>IF(COUNTIF('Icon Lookup'!C:C,B53)&gt;0,LOOKUP(B53,'Icon Lookup'!C:C,'Icon Lookup'!B:B),"")</f>
        <v/>
      </c>
      <c r="B53" s="21" t="s">
        <v>43</v>
      </c>
      <c r="C53" s="20" t="s">
        <v>17</v>
      </c>
      <c r="D53" s="20">
        <v>10.0</v>
      </c>
      <c r="E53" s="20" t="s">
        <v>44</v>
      </c>
      <c r="G53" s="22"/>
      <c r="H53" s="23" t="s">
        <v>45</v>
      </c>
      <c r="I53" s="20" t="s">
        <v>89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</row>
    <row r="54" ht="23.25" customHeight="1">
      <c r="A54" s="1" t="str">
        <f>IF(COUNTIF('Icon Lookup'!C:C,B54)&gt;0,LOOKUP(B54,'Icon Lookup'!C:C,'Icon Lookup'!B:B),"")</f>
        <v/>
      </c>
      <c r="B54" s="15" t="s">
        <v>108</v>
      </c>
      <c r="C54" s="1" t="s">
        <v>17</v>
      </c>
      <c r="D54" s="1" t="s">
        <v>109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23.25" customHeight="1">
      <c r="A55" s="17" t="str">
        <f>IF(COUNTIF('Icon Lookup'!C:C,B55)&gt;0,LOOKUP(B55,'Icon Lookup'!C:C,'Icon Lookup'!B:B),"")</f>
        <v/>
      </c>
      <c r="B55" s="18" t="s">
        <v>110</v>
      </c>
      <c r="C55" s="17" t="s">
        <v>17</v>
      </c>
      <c r="D55" s="17">
        <v>14.0</v>
      </c>
      <c r="E55" s="17" t="s">
        <v>111</v>
      </c>
      <c r="G55" s="19"/>
      <c r="H55" s="20" t="s">
        <v>112</v>
      </c>
      <c r="I55" s="17" t="s">
        <v>22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  <c r="S55" s="17">
        <v>0.0</v>
      </c>
      <c r="T55" s="17">
        <v>0.0</v>
      </c>
      <c r="U55" s="17">
        <v>0.0</v>
      </c>
    </row>
    <row r="56" ht="23.25" customHeight="1">
      <c r="A56" s="1" t="str">
        <f>IF(COUNTIF('Icon Lookup'!C:C,B56)&gt;0,LOOKUP(B56,'Icon Lookup'!C:C,'Icon Lookup'!B:B),"")</f>
        <v/>
      </c>
      <c r="B56" s="15" t="s">
        <v>113</v>
      </c>
      <c r="C56" s="1" t="s">
        <v>17</v>
      </c>
      <c r="D56" s="1" t="s">
        <v>114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3.25" customHeight="1">
      <c r="A57" s="20" t="str">
        <f>IF(COUNTIF('Icon Lookup'!C:C,B57)&gt;0,LOOKUP(B57,'Icon Lookup'!C:C,'Icon Lookup'!B:B),"")</f>
        <v/>
      </c>
      <c r="B57" s="21" t="s">
        <v>43</v>
      </c>
      <c r="C57" s="20" t="s">
        <v>17</v>
      </c>
      <c r="D57" s="20">
        <v>10.0</v>
      </c>
      <c r="E57" s="20" t="s">
        <v>44</v>
      </c>
      <c r="G57" s="22"/>
      <c r="H57" s="23" t="s">
        <v>45</v>
      </c>
      <c r="I57" s="20" t="s">
        <v>89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</row>
    <row r="58" ht="23.25" customHeight="1">
      <c r="A58" s="17" t="str">
        <f>IF(COUNTIF('Icon Lookup'!C:C,B58)&gt;0,LOOKUP(B58,'Icon Lookup'!C:C,'Icon Lookup'!B:B),"")</f>
        <v/>
      </c>
      <c r="B58" s="18" t="s">
        <v>110</v>
      </c>
      <c r="C58" s="17" t="s">
        <v>17</v>
      </c>
      <c r="D58" s="17">
        <v>13.0</v>
      </c>
      <c r="E58" s="17" t="s">
        <v>111</v>
      </c>
      <c r="G58" s="19"/>
      <c r="H58" s="20" t="s">
        <v>112</v>
      </c>
      <c r="I58" s="17" t="s">
        <v>89</v>
      </c>
      <c r="J58" s="17">
        <v>0.0</v>
      </c>
      <c r="K58" s="17">
        <v>0.0</v>
      </c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7">
        <v>0.0</v>
      </c>
      <c r="T58" s="17">
        <v>0.0</v>
      </c>
      <c r="U58" s="17">
        <v>0.0</v>
      </c>
    </row>
    <row r="59" ht="23.25" customHeight="1">
      <c r="A59" s="20" t="str">
        <f>IF(COUNTIF('Icon Lookup'!C:C,B59)&gt;0,LOOKUP(B59,'Icon Lookup'!C:C,'Icon Lookup'!B:B),"")</f>
        <v/>
      </c>
      <c r="B59" s="21" t="s">
        <v>43</v>
      </c>
      <c r="C59" s="20" t="s">
        <v>17</v>
      </c>
      <c r="D59" s="20">
        <v>10.0</v>
      </c>
      <c r="E59" s="20" t="s">
        <v>44</v>
      </c>
      <c r="G59" s="22"/>
      <c r="H59" s="23" t="s">
        <v>45</v>
      </c>
      <c r="I59" s="20" t="s">
        <v>89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</row>
    <row r="60" ht="23.25" customHeight="1">
      <c r="A60" s="1" t="str">
        <f>IF(COUNTIF('Icon Lookup'!C:C,B60)&gt;0,LOOKUP(B60,'Icon Lookup'!C:C,'Icon Lookup'!B:B),"")</f>
        <v/>
      </c>
      <c r="B60" s="15" t="s">
        <v>115</v>
      </c>
      <c r="C60" s="1" t="s">
        <v>17</v>
      </c>
      <c r="D60" s="1" t="s">
        <v>116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23.25" customHeight="1">
      <c r="A61" s="17" t="str">
        <f>IF(COUNTIF('Icon Lookup'!C:C,B61)&gt;0,LOOKUP(B61,'Icon Lookup'!C:C,'Icon Lookup'!B:B),"")</f>
        <v/>
      </c>
      <c r="B61" s="18" t="s">
        <v>117</v>
      </c>
      <c r="C61" s="17" t="s">
        <v>17</v>
      </c>
      <c r="D61" s="17">
        <v>17.0</v>
      </c>
      <c r="E61" s="17" t="s">
        <v>26</v>
      </c>
      <c r="G61" s="19"/>
      <c r="H61" s="20" t="s">
        <v>118</v>
      </c>
      <c r="I61" s="17" t="s">
        <v>46</v>
      </c>
      <c r="J61" s="17">
        <v>0.0</v>
      </c>
      <c r="K61" s="17">
        <v>0.0</v>
      </c>
      <c r="L61" s="17">
        <v>0.0</v>
      </c>
      <c r="M61" s="17">
        <v>0.0</v>
      </c>
      <c r="N61" s="17">
        <v>0.0</v>
      </c>
      <c r="O61" s="17">
        <v>0.0</v>
      </c>
      <c r="P61" s="17">
        <v>0.0</v>
      </c>
      <c r="Q61" s="17">
        <v>0.0</v>
      </c>
      <c r="R61" s="17">
        <v>0.0</v>
      </c>
      <c r="S61" s="17">
        <v>0.0</v>
      </c>
      <c r="T61" s="17">
        <v>0.0</v>
      </c>
      <c r="U61" s="17">
        <v>0.0</v>
      </c>
    </row>
    <row r="62" ht="23.25" customHeight="1">
      <c r="A62" s="1" t="str">
        <f>IF(COUNTIF('Icon Lookup'!C:C,B62)&gt;0,LOOKUP(B62,'Icon Lookup'!C:C,'Icon Lookup'!B:B),"")</f>
        <v/>
      </c>
      <c r="B62" s="15" t="s">
        <v>119</v>
      </c>
      <c r="C62" s="1" t="s">
        <v>17</v>
      </c>
      <c r="D62" s="1" t="s">
        <v>120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3.25" customHeight="1">
      <c r="A63" s="20" t="str">
        <f>IF(COUNTIF('Icon Lookup'!C:C,B63)&gt;0,LOOKUP(B63,'Icon Lookup'!C:C,'Icon Lookup'!B:B),"")</f>
        <v/>
      </c>
      <c r="B63" s="21" t="s">
        <v>78</v>
      </c>
      <c r="C63" s="20" t="s">
        <v>17</v>
      </c>
      <c r="D63" s="20">
        <v>17.0</v>
      </c>
      <c r="E63" s="20" t="s">
        <v>121</v>
      </c>
      <c r="G63" s="22"/>
      <c r="H63" s="23" t="s">
        <v>122</v>
      </c>
      <c r="I63" s="20" t="s">
        <v>40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</row>
    <row r="64" ht="23.25" customHeight="1">
      <c r="A64" s="1" t="str">
        <f>IF(COUNTIF('Icon Lookup'!C:C,B64)&gt;0,LOOKUP(B64,'Icon Lookup'!C:C,'Icon Lookup'!B:B),"")</f>
        <v/>
      </c>
      <c r="B64" s="15" t="s">
        <v>123</v>
      </c>
      <c r="C64" s="1" t="s">
        <v>17</v>
      </c>
      <c r="D64" s="1" t="s">
        <v>124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23.25" customHeight="1">
      <c r="A65" s="17" t="str">
        <f>IF(COUNTIF('Icon Lookup'!C:C,B65)&gt;0,LOOKUP(B65,'Icon Lookup'!C:C,'Icon Lookup'!B:B),"")</f>
        <v/>
      </c>
      <c r="B65" s="18" t="s">
        <v>19</v>
      </c>
      <c r="C65" s="17" t="s">
        <v>17</v>
      </c>
      <c r="D65" s="17">
        <v>15.0</v>
      </c>
      <c r="E65" s="17" t="s">
        <v>20</v>
      </c>
      <c r="G65" s="19"/>
      <c r="H65" s="20" t="s">
        <v>118</v>
      </c>
      <c r="I65" s="17" t="s">
        <v>22</v>
      </c>
      <c r="J65" s="17">
        <v>0.0</v>
      </c>
      <c r="K65" s="17">
        <v>0.0</v>
      </c>
      <c r="L65" s="17">
        <v>0.0</v>
      </c>
      <c r="M65" s="17">
        <v>0.0</v>
      </c>
      <c r="N65" s="17">
        <v>0.0</v>
      </c>
      <c r="O65" s="17">
        <v>0.0</v>
      </c>
      <c r="P65" s="17">
        <v>0.0</v>
      </c>
      <c r="Q65" s="17">
        <v>0.0</v>
      </c>
      <c r="R65" s="17">
        <v>0.0</v>
      </c>
      <c r="S65" s="17">
        <v>0.0</v>
      </c>
      <c r="T65" s="17">
        <v>0.0</v>
      </c>
      <c r="U65" s="17">
        <v>0.0</v>
      </c>
    </row>
    <row r="66" ht="23.25" customHeight="1">
      <c r="A66" s="20" t="str">
        <f>IF(COUNTIF('Icon Lookup'!C:C,B66)&gt;0,LOOKUP(B66,'Icon Lookup'!C:C,'Icon Lookup'!B:B),"")</f>
        <v/>
      </c>
      <c r="B66" s="21" t="s">
        <v>117</v>
      </c>
      <c r="C66" s="20" t="s">
        <v>17</v>
      </c>
      <c r="D66" s="20">
        <v>15.0</v>
      </c>
      <c r="E66" s="20" t="s">
        <v>26</v>
      </c>
      <c r="G66" s="22"/>
      <c r="H66" s="23" t="s">
        <v>118</v>
      </c>
      <c r="I66" s="20" t="s">
        <v>22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</row>
    <row r="67" ht="23.25" customHeight="1">
      <c r="A67" s="1" t="str">
        <f>IF(COUNTIF('Icon Lookup'!C:C,B67)&gt;0,LOOKUP(B67,'Icon Lookup'!C:C,'Icon Lookup'!B:B),"")</f>
        <v/>
      </c>
      <c r="B67" s="15" t="s">
        <v>125</v>
      </c>
      <c r="C67" s="1" t="s">
        <v>17</v>
      </c>
      <c r="D67" s="1" t="s">
        <v>126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23.25" customHeight="1">
      <c r="A68" s="17" t="str">
        <f>IF(COUNTIF('Icon Lookup'!C:C,B68)&gt;0,LOOKUP(B68,'Icon Lookup'!C:C,'Icon Lookup'!B:B),"")</f>
        <v/>
      </c>
      <c r="B68" s="18" t="s">
        <v>37</v>
      </c>
      <c r="C68" s="17" t="s">
        <v>17</v>
      </c>
      <c r="D68" s="17">
        <v>17.0</v>
      </c>
      <c r="E68" s="17" t="s">
        <v>38</v>
      </c>
      <c r="G68" s="19"/>
      <c r="H68" s="20" t="s">
        <v>127</v>
      </c>
      <c r="I68" s="17" t="s">
        <v>40</v>
      </c>
      <c r="J68" s="17">
        <v>0.0</v>
      </c>
      <c r="K68" s="17">
        <v>0.0</v>
      </c>
      <c r="L68" s="17">
        <v>0.0</v>
      </c>
      <c r="M68" s="17">
        <v>0.0</v>
      </c>
      <c r="N68" s="17">
        <v>0.0</v>
      </c>
      <c r="O68" s="17">
        <v>0.0</v>
      </c>
      <c r="P68" s="17">
        <v>0.0</v>
      </c>
      <c r="Q68" s="17">
        <v>0.0</v>
      </c>
      <c r="R68" s="17">
        <v>0.0</v>
      </c>
      <c r="S68" s="17">
        <v>0.0</v>
      </c>
      <c r="T68" s="17">
        <v>0.0</v>
      </c>
      <c r="U68" s="17">
        <v>0.0</v>
      </c>
    </row>
    <row r="69" ht="23.25" customHeight="1">
      <c r="A69" s="1" t="str">
        <f>IF(COUNTIF('Icon Lookup'!C:C,B69)&gt;0,LOOKUP(B69,'Icon Lookup'!C:C,'Icon Lookup'!B:B),"")</f>
        <v/>
      </c>
      <c r="B69" s="15" t="s">
        <v>128</v>
      </c>
      <c r="C69" s="1" t="s">
        <v>17</v>
      </c>
      <c r="D69" s="1" t="s">
        <v>129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23.25" customHeight="1">
      <c r="A70" s="20" t="str">
        <f>IF(COUNTIF('Icon Lookup'!C:C,B70)&gt;0,LOOKUP(B70,'Icon Lookup'!C:C,'Icon Lookup'!B:B),"")</f>
        <v/>
      </c>
      <c r="B70" s="21" t="s">
        <v>25</v>
      </c>
      <c r="C70" s="20" t="s">
        <v>17</v>
      </c>
      <c r="D70" s="20">
        <v>17.0</v>
      </c>
      <c r="E70" s="20" t="s">
        <v>26</v>
      </c>
      <c r="G70" s="22"/>
      <c r="H70" s="23" t="s">
        <v>130</v>
      </c>
      <c r="I70" s="20" t="s">
        <v>22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</row>
    <row r="71" ht="23.25" customHeight="1">
      <c r="A71" s="1" t="str">
        <f>IF(COUNTIF('Icon Lookup'!C:C,B71)&gt;0,LOOKUP(B71,'Icon Lookup'!C:C,'Icon Lookup'!B:B),"")</f>
        <v/>
      </c>
      <c r="B71" s="15" t="s">
        <v>131</v>
      </c>
      <c r="C71" s="1" t="s">
        <v>17</v>
      </c>
      <c r="D71" s="1" t="s">
        <v>132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3.25" customHeight="1">
      <c r="A72" s="17" t="str">
        <f>IF(COUNTIF('Icon Lookup'!C:C,B72)&gt;0,LOOKUP(B72,'Icon Lookup'!C:C,'Icon Lookup'!B:B),"")</f>
        <v/>
      </c>
      <c r="B72" s="18" t="s">
        <v>19</v>
      </c>
      <c r="C72" s="17" t="s">
        <v>17</v>
      </c>
      <c r="D72" s="17">
        <v>15.0</v>
      </c>
      <c r="E72" s="17" t="s">
        <v>20</v>
      </c>
      <c r="G72" s="19"/>
      <c r="H72" s="20" t="s">
        <v>133</v>
      </c>
      <c r="I72" s="17" t="s">
        <v>73</v>
      </c>
      <c r="J72" s="17">
        <v>0.0</v>
      </c>
      <c r="K72" s="17">
        <v>0.0</v>
      </c>
      <c r="L72" s="17">
        <v>0.0</v>
      </c>
      <c r="M72" s="17">
        <v>0.0</v>
      </c>
      <c r="N72" s="17">
        <v>0.0</v>
      </c>
      <c r="O72" s="17">
        <v>0.0</v>
      </c>
      <c r="P72" s="17">
        <v>0.0</v>
      </c>
      <c r="Q72" s="17">
        <v>0.0</v>
      </c>
      <c r="R72" s="17">
        <v>0.0</v>
      </c>
      <c r="S72" s="17">
        <v>0.0</v>
      </c>
      <c r="T72" s="17">
        <v>0.0</v>
      </c>
      <c r="U72" s="17">
        <v>0.0</v>
      </c>
    </row>
    <row r="73" ht="23.25" customHeight="1">
      <c r="A73" s="20" t="str">
        <f>IF(COUNTIF('Icon Lookup'!C:C,B73)&gt;0,LOOKUP(B73,'Icon Lookup'!C:C,'Icon Lookup'!B:B),"")</f>
        <v/>
      </c>
      <c r="B73" s="21" t="s">
        <v>78</v>
      </c>
      <c r="C73" s="20" t="s">
        <v>17</v>
      </c>
      <c r="D73" s="20">
        <v>15.0</v>
      </c>
      <c r="E73" s="20" t="s">
        <v>121</v>
      </c>
      <c r="G73" s="22"/>
      <c r="H73" s="23" t="s">
        <v>122</v>
      </c>
      <c r="I73" s="20" t="s">
        <v>22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</row>
    <row r="74" ht="23.25" customHeight="1">
      <c r="A74" s="1" t="str">
        <f>IF(COUNTIF('Icon Lookup'!C:C,B74)&gt;0,LOOKUP(B74,'Icon Lookup'!C:C,'Icon Lookup'!B:B),"")</f>
        <v/>
      </c>
      <c r="B74" s="15" t="s">
        <v>134</v>
      </c>
      <c r="C74" s="1" t="s">
        <v>17</v>
      </c>
      <c r="D74" s="1" t="s">
        <v>135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23.25" customHeight="1">
      <c r="A75" s="17" t="str">
        <f>IF(COUNTIF('Icon Lookup'!C:C,B75)&gt;0,LOOKUP(B75,'Icon Lookup'!C:C,'Icon Lookup'!B:B),"")</f>
        <v/>
      </c>
      <c r="B75" s="18" t="s">
        <v>136</v>
      </c>
      <c r="C75" s="17" t="s">
        <v>17</v>
      </c>
      <c r="D75" s="17">
        <v>17.0</v>
      </c>
      <c r="E75" s="17" t="s">
        <v>137</v>
      </c>
      <c r="G75" s="19"/>
      <c r="H75" s="20" t="s">
        <v>138</v>
      </c>
      <c r="I75" s="17" t="s">
        <v>22</v>
      </c>
      <c r="J75" s="17">
        <v>0.0</v>
      </c>
      <c r="K75" s="17">
        <v>0.0</v>
      </c>
      <c r="L75" s="17">
        <v>0.0</v>
      </c>
      <c r="M75" s="17">
        <v>0.0</v>
      </c>
      <c r="N75" s="17">
        <v>0.0</v>
      </c>
      <c r="O75" s="17">
        <v>0.0</v>
      </c>
      <c r="P75" s="17">
        <v>0.0</v>
      </c>
      <c r="Q75" s="17">
        <v>0.0</v>
      </c>
      <c r="R75" s="17">
        <v>0.0</v>
      </c>
      <c r="S75" s="17">
        <v>0.0</v>
      </c>
      <c r="T75" s="17">
        <v>0.0</v>
      </c>
      <c r="U75" s="17">
        <v>0.0</v>
      </c>
    </row>
    <row r="76" ht="23.25" customHeight="1">
      <c r="A76" s="1" t="str">
        <f>IF(COUNTIF('Icon Lookup'!C:C,B76)&gt;0,LOOKUP(B76,'Icon Lookup'!C:C,'Icon Lookup'!B:B),"")</f>
        <v/>
      </c>
      <c r="B76" s="15" t="s">
        <v>139</v>
      </c>
      <c r="C76" s="1" t="s">
        <v>17</v>
      </c>
      <c r="D76" s="1" t="s">
        <v>140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3.25" customHeight="1">
      <c r="A77" s="20" t="str">
        <f>IF(COUNTIF('Icon Lookup'!C:C,B77)&gt;0,LOOKUP(B77,'Icon Lookup'!C:C,'Icon Lookup'!B:B),"")</f>
        <v/>
      </c>
      <c r="B77" s="21" t="s">
        <v>25</v>
      </c>
      <c r="C77" s="20" t="s">
        <v>17</v>
      </c>
      <c r="D77" s="20">
        <v>15.0</v>
      </c>
      <c r="E77" s="20" t="s">
        <v>26</v>
      </c>
      <c r="G77" s="22"/>
      <c r="H77" s="23" t="s">
        <v>83</v>
      </c>
      <c r="I77" s="20" t="s">
        <v>22</v>
      </c>
      <c r="J77" s="20">
        <v>0.0</v>
      </c>
      <c r="K77" s="20">
        <v>0.0</v>
      </c>
      <c r="L77" s="20">
        <v>0.0</v>
      </c>
      <c r="M77" s="20">
        <v>0.0</v>
      </c>
      <c r="N77" s="20">
        <v>0.0</v>
      </c>
      <c r="O77" s="20">
        <v>0.0</v>
      </c>
      <c r="P77" s="20">
        <v>0.0</v>
      </c>
      <c r="Q77" s="20">
        <v>0.0</v>
      </c>
      <c r="R77" s="20">
        <v>0.0</v>
      </c>
      <c r="S77" s="20">
        <v>0.0</v>
      </c>
      <c r="T77" s="20">
        <v>0.0</v>
      </c>
      <c r="U77" s="20">
        <v>0.0</v>
      </c>
    </row>
    <row r="78" ht="23.25" customHeight="1">
      <c r="A78" s="17" t="str">
        <f>IF(COUNTIF('Icon Lookup'!C:C,B78)&gt;0,LOOKUP(B78,'Icon Lookup'!C:C,'Icon Lookup'!B:B),"")</f>
        <v/>
      </c>
      <c r="B78" s="18" t="s">
        <v>25</v>
      </c>
      <c r="C78" s="17" t="s">
        <v>17</v>
      </c>
      <c r="D78" s="17">
        <v>15.0</v>
      </c>
      <c r="E78" s="17" t="s">
        <v>26</v>
      </c>
      <c r="G78" s="19"/>
      <c r="H78" s="20" t="s">
        <v>83</v>
      </c>
      <c r="I78" s="17" t="s">
        <v>22</v>
      </c>
      <c r="J78" s="17">
        <v>0.0</v>
      </c>
      <c r="K78" s="17">
        <v>0.0</v>
      </c>
      <c r="L78" s="17">
        <v>0.0</v>
      </c>
      <c r="M78" s="17">
        <v>0.0</v>
      </c>
      <c r="N78" s="17">
        <v>0.0</v>
      </c>
      <c r="O78" s="17">
        <v>0.0</v>
      </c>
      <c r="P78" s="17">
        <v>0.0</v>
      </c>
      <c r="Q78" s="17">
        <v>0.0</v>
      </c>
      <c r="R78" s="17">
        <v>0.0</v>
      </c>
      <c r="S78" s="17">
        <v>0.0</v>
      </c>
      <c r="T78" s="17">
        <v>0.0</v>
      </c>
      <c r="U78" s="17">
        <v>0.0</v>
      </c>
    </row>
    <row r="79" ht="23.25" customHeight="1">
      <c r="A79" s="1" t="str">
        <f>IF(COUNTIF('Icon Lookup'!C:C,B79)&gt;0,LOOKUP(B79,'Icon Lookup'!C:C,'Icon Lookup'!B:B),"")</f>
        <v/>
      </c>
      <c r="B79" s="15" t="s">
        <v>141</v>
      </c>
      <c r="C79" s="1" t="s">
        <v>17</v>
      </c>
      <c r="D79" s="1" t="s">
        <v>142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3.25" customHeight="1">
      <c r="A80" s="20" t="str">
        <f>IF(COUNTIF('Icon Lookup'!C:C,B80)&gt;0,LOOKUP(B80,'Icon Lookup'!C:C,'Icon Lookup'!B:B),"")</f>
        <v/>
      </c>
      <c r="B80" s="21" t="s">
        <v>19</v>
      </c>
      <c r="C80" s="20" t="s">
        <v>17</v>
      </c>
      <c r="D80" s="20">
        <v>15.0</v>
      </c>
      <c r="E80" s="20" t="s">
        <v>20</v>
      </c>
      <c r="G80" s="22"/>
      <c r="H80" s="23" t="s">
        <v>118</v>
      </c>
      <c r="I80" s="20" t="s">
        <v>36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</row>
    <row r="81" ht="23.25" customHeight="1">
      <c r="A81" s="17" t="str">
        <f>IF(COUNTIF('Icon Lookup'!C:C,B81)&gt;0,LOOKUP(B81,'Icon Lookup'!C:C,'Icon Lookup'!B:B),"")</f>
        <v/>
      </c>
      <c r="B81" s="18" t="s">
        <v>86</v>
      </c>
      <c r="C81" s="17" t="s">
        <v>17</v>
      </c>
      <c r="D81" s="17">
        <v>15.0</v>
      </c>
      <c r="E81" s="17" t="s">
        <v>87</v>
      </c>
      <c r="G81" s="19"/>
      <c r="H81" s="20" t="s">
        <v>143</v>
      </c>
      <c r="I81" s="17" t="s">
        <v>46</v>
      </c>
      <c r="J81" s="17">
        <v>0.0</v>
      </c>
      <c r="K81" s="17">
        <v>0.0</v>
      </c>
      <c r="L81" s="17">
        <v>0.0</v>
      </c>
      <c r="M81" s="17">
        <v>0.0</v>
      </c>
      <c r="N81" s="17">
        <v>0.0</v>
      </c>
      <c r="O81" s="17">
        <v>0.0</v>
      </c>
      <c r="P81" s="17">
        <v>0.0</v>
      </c>
      <c r="Q81" s="17">
        <v>0.0</v>
      </c>
      <c r="R81" s="17">
        <v>0.0</v>
      </c>
      <c r="S81" s="17">
        <v>0.0</v>
      </c>
      <c r="T81" s="17">
        <v>0.0</v>
      </c>
      <c r="U81" s="17">
        <v>0.0</v>
      </c>
    </row>
    <row r="82" ht="23.25" customHeight="1">
      <c r="A82" s="20" t="str">
        <f>IF(COUNTIF('Icon Lookup'!C:C,B82)&gt;0,LOOKUP(B82,'Icon Lookup'!C:C,'Icon Lookup'!B:B),"")</f>
        <v/>
      </c>
      <c r="B82" s="21" t="s">
        <v>144</v>
      </c>
      <c r="C82" s="20" t="s">
        <v>17</v>
      </c>
      <c r="D82" s="20">
        <v>18.0</v>
      </c>
      <c r="E82" s="20" t="s">
        <v>145</v>
      </c>
      <c r="G82" s="22"/>
      <c r="H82" s="23" t="s">
        <v>146</v>
      </c>
      <c r="I82" s="20" t="s">
        <v>36</v>
      </c>
      <c r="J82" s="20">
        <v>0.0</v>
      </c>
      <c r="K82" s="20">
        <v>0.0</v>
      </c>
      <c r="L82" s="20">
        <v>0.0</v>
      </c>
      <c r="M82" s="20">
        <v>0.0</v>
      </c>
      <c r="N82" s="20">
        <v>0.0</v>
      </c>
      <c r="O82" s="20">
        <v>0.0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</row>
    <row r="83" ht="23.25" customHeight="1">
      <c r="A83" s="1" t="str">
        <f>IF(COUNTIF('Icon Lookup'!C:C,B83)&gt;0,LOOKUP(B83,'Icon Lookup'!C:C,'Icon Lookup'!B:B),"")</f>
        <v/>
      </c>
      <c r="B83" s="15" t="s">
        <v>147</v>
      </c>
      <c r="C83" s="1" t="s">
        <v>17</v>
      </c>
      <c r="D83" s="1" t="s">
        <v>148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23.25" customHeight="1">
      <c r="A84" s="17" t="str">
        <f>IF(COUNTIF('Icon Lookup'!C:C,B84)&gt;0,LOOKUP(B84,'Icon Lookup'!C:C,'Icon Lookup'!B:B),"")</f>
        <v/>
      </c>
      <c r="B84" s="18" t="s">
        <v>78</v>
      </c>
      <c r="C84" s="17" t="s">
        <v>17</v>
      </c>
      <c r="D84" s="17">
        <v>19.0</v>
      </c>
      <c r="E84" s="17" t="s">
        <v>121</v>
      </c>
      <c r="G84" s="19"/>
      <c r="H84" s="20" t="s">
        <v>122</v>
      </c>
      <c r="I84" s="17" t="s">
        <v>40</v>
      </c>
      <c r="J84" s="17">
        <v>0.0</v>
      </c>
      <c r="K84" s="17">
        <v>0.0</v>
      </c>
      <c r="L84" s="17">
        <v>0.0</v>
      </c>
      <c r="M84" s="17">
        <v>0.0</v>
      </c>
      <c r="N84" s="17">
        <v>0.0</v>
      </c>
      <c r="O84" s="17">
        <v>0.0</v>
      </c>
      <c r="P84" s="17">
        <v>0.0</v>
      </c>
      <c r="Q84" s="17">
        <v>0.0</v>
      </c>
      <c r="R84" s="17">
        <v>0.0</v>
      </c>
      <c r="S84" s="17">
        <v>0.0</v>
      </c>
      <c r="T84" s="17">
        <v>0.0</v>
      </c>
      <c r="U84" s="17">
        <v>0.0</v>
      </c>
    </row>
    <row r="85" ht="23.25" customHeight="1">
      <c r="A85" s="1" t="str">
        <f>IF(COUNTIF('Icon Lookup'!C:C,B85)&gt;0,LOOKUP(B85,'Icon Lookup'!C:C,'Icon Lookup'!B:B),"")</f>
        <v/>
      </c>
      <c r="B85" s="15" t="s">
        <v>149</v>
      </c>
      <c r="C85" s="1" t="s">
        <v>17</v>
      </c>
      <c r="D85" s="1" t="s">
        <v>150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3.25" customHeight="1">
      <c r="A86" s="20" t="str">
        <f>IF(COUNTIF('Icon Lookup'!C:C,B86)&gt;0,LOOKUP(B86,'Icon Lookup'!C:C,'Icon Lookup'!B:B),"")</f>
        <v/>
      </c>
      <c r="B86" s="21" t="s">
        <v>70</v>
      </c>
      <c r="C86" s="20" t="s">
        <v>17</v>
      </c>
      <c r="D86" s="20">
        <v>19.0</v>
      </c>
      <c r="E86" s="20" t="s">
        <v>71</v>
      </c>
      <c r="G86" s="22"/>
      <c r="H86" s="23" t="s">
        <v>151</v>
      </c>
      <c r="I86" s="20" t="s">
        <v>73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20">
        <v>0.0</v>
      </c>
      <c r="R86" s="20">
        <v>0.0</v>
      </c>
      <c r="S86" s="20">
        <v>0.0</v>
      </c>
      <c r="T86" s="20">
        <v>0.0</v>
      </c>
      <c r="U86" s="20">
        <v>0.0</v>
      </c>
    </row>
    <row r="87" ht="23.25" customHeight="1">
      <c r="A87" s="1" t="str">
        <f>IF(COUNTIF('Icon Lookup'!C:C,B87)&gt;0,LOOKUP(B87,'Icon Lookup'!C:C,'Icon Lookup'!B:B),"")</f>
        <v/>
      </c>
      <c r="B87" s="15" t="s">
        <v>152</v>
      </c>
      <c r="C87" s="1" t="s">
        <v>17</v>
      </c>
      <c r="D87" s="1" t="s">
        <v>153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23.25" customHeight="1">
      <c r="A88" s="17" t="str">
        <f>IF(COUNTIF('Icon Lookup'!C:C,B88)&gt;0,LOOKUP(B88,'Icon Lookup'!C:C,'Icon Lookup'!B:B),"")</f>
        <v/>
      </c>
      <c r="B88" s="18" t="s">
        <v>86</v>
      </c>
      <c r="C88" s="17" t="s">
        <v>17</v>
      </c>
      <c r="D88" s="17">
        <v>15.0</v>
      </c>
      <c r="E88" s="17" t="s">
        <v>87</v>
      </c>
      <c r="G88" s="19"/>
      <c r="H88" s="20" t="s">
        <v>88</v>
      </c>
      <c r="I88" s="17" t="s">
        <v>89</v>
      </c>
      <c r="J88" s="17">
        <v>0.0</v>
      </c>
      <c r="K88" s="17">
        <v>0.0</v>
      </c>
      <c r="L88" s="17">
        <v>0.0</v>
      </c>
      <c r="M88" s="17">
        <v>0.0</v>
      </c>
      <c r="N88" s="17">
        <v>0.0</v>
      </c>
      <c r="O88" s="17">
        <v>0.0</v>
      </c>
      <c r="P88" s="17">
        <v>0.0</v>
      </c>
      <c r="Q88" s="17">
        <v>0.0</v>
      </c>
      <c r="R88" s="17">
        <v>0.0</v>
      </c>
      <c r="S88" s="17">
        <v>0.0</v>
      </c>
      <c r="T88" s="17">
        <v>0.0</v>
      </c>
      <c r="U88" s="17">
        <v>0.0</v>
      </c>
    </row>
    <row r="89" ht="23.25" customHeight="1">
      <c r="A89" s="20" t="str">
        <f>IF(COUNTIF('Icon Lookup'!C:C,B89)&gt;0,LOOKUP(B89,'Icon Lookup'!C:C,'Icon Lookup'!B:B),"")</f>
        <v/>
      </c>
      <c r="B89" s="21" t="s">
        <v>86</v>
      </c>
      <c r="C89" s="20" t="s">
        <v>17</v>
      </c>
      <c r="D89" s="20">
        <v>16.0</v>
      </c>
      <c r="E89" s="20" t="s">
        <v>87</v>
      </c>
      <c r="G89" s="22"/>
      <c r="H89" s="23" t="s">
        <v>154</v>
      </c>
      <c r="I89" s="20" t="s">
        <v>89</v>
      </c>
      <c r="J89" s="20">
        <v>0.0</v>
      </c>
      <c r="K89" s="20">
        <v>0.0</v>
      </c>
      <c r="L89" s="20">
        <v>0.0</v>
      </c>
      <c r="M89" s="20">
        <v>0.0</v>
      </c>
      <c r="N89" s="20">
        <v>0.0</v>
      </c>
      <c r="O89" s="20">
        <v>0.0</v>
      </c>
      <c r="P89" s="20">
        <v>0.0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</row>
    <row r="90" ht="23.25" customHeight="1">
      <c r="A90" s="17" t="str">
        <f>IF(COUNTIF('Icon Lookup'!C:C,B90)&gt;0,LOOKUP(B90,'Icon Lookup'!C:C,'Icon Lookup'!B:B),"")</f>
        <v/>
      </c>
      <c r="B90" s="18" t="s">
        <v>37</v>
      </c>
      <c r="C90" s="17" t="s">
        <v>17</v>
      </c>
      <c r="D90" s="17">
        <v>17.0</v>
      </c>
      <c r="E90" s="17" t="s">
        <v>38</v>
      </c>
      <c r="G90" s="19"/>
      <c r="H90" s="20" t="s">
        <v>155</v>
      </c>
      <c r="I90" s="17" t="s">
        <v>156</v>
      </c>
      <c r="J90" s="17">
        <v>0.0</v>
      </c>
      <c r="K90" s="17">
        <v>0.0</v>
      </c>
      <c r="L90" s="17">
        <v>0.0</v>
      </c>
      <c r="M90" s="17">
        <v>0.0</v>
      </c>
      <c r="N90" s="17">
        <v>0.0</v>
      </c>
      <c r="O90" s="17">
        <v>0.0</v>
      </c>
      <c r="P90" s="17">
        <v>0.0</v>
      </c>
      <c r="Q90" s="17">
        <v>0.0</v>
      </c>
      <c r="R90" s="17">
        <v>0.0</v>
      </c>
      <c r="S90" s="17">
        <v>0.0</v>
      </c>
      <c r="T90" s="17">
        <v>0.0</v>
      </c>
      <c r="U90" s="17">
        <v>0.0</v>
      </c>
    </row>
    <row r="91" ht="23.25" customHeight="1">
      <c r="A91" s="20" t="str">
        <f>IF(COUNTIF('Icon Lookup'!C:C,B91)&gt;0,LOOKUP(B91,'Icon Lookup'!C:C,'Icon Lookup'!B:B),"")</f>
        <v/>
      </c>
      <c r="B91" s="21" t="s">
        <v>86</v>
      </c>
      <c r="C91" s="20" t="s">
        <v>17</v>
      </c>
      <c r="D91" s="20">
        <v>16.0</v>
      </c>
      <c r="E91" s="20" t="s">
        <v>87</v>
      </c>
      <c r="G91" s="22"/>
      <c r="H91" s="23" t="s">
        <v>154</v>
      </c>
      <c r="I91" s="20" t="s">
        <v>89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</row>
    <row r="92" ht="23.25" customHeight="1">
      <c r="A92" s="1" t="str">
        <f>IF(COUNTIF('Icon Lookup'!C:C,B92)&gt;0,LOOKUP(B92,'Icon Lookup'!C:C,'Icon Lookup'!B:B),"")</f>
        <v/>
      </c>
      <c r="B92" s="15" t="s">
        <v>157</v>
      </c>
      <c r="C92" s="1" t="s">
        <v>17</v>
      </c>
      <c r="D92" s="1" t="s">
        <v>158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23.25" customHeight="1">
      <c r="A93" s="17" t="str">
        <f>IF(COUNTIF('Icon Lookup'!C:C,B93)&gt;0,LOOKUP(B93,'Icon Lookup'!C:C,'Icon Lookup'!B:B),"")</f>
        <v/>
      </c>
      <c r="B93" s="18" t="s">
        <v>86</v>
      </c>
      <c r="C93" s="17" t="s">
        <v>17</v>
      </c>
      <c r="D93" s="17">
        <v>16.0</v>
      </c>
      <c r="E93" s="17" t="s">
        <v>87</v>
      </c>
      <c r="G93" s="19"/>
      <c r="H93" s="20" t="s">
        <v>159</v>
      </c>
      <c r="I93" s="17" t="s">
        <v>89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7">
        <v>0.0</v>
      </c>
      <c r="P93" s="17">
        <v>0.0</v>
      </c>
      <c r="Q93" s="17">
        <v>0.0</v>
      </c>
      <c r="R93" s="17">
        <v>0.0</v>
      </c>
      <c r="S93" s="17">
        <v>0.0</v>
      </c>
      <c r="T93" s="17">
        <v>0.0</v>
      </c>
      <c r="U93" s="17">
        <v>0.0</v>
      </c>
    </row>
    <row r="94" ht="23.25" customHeight="1">
      <c r="A94" s="20" t="str">
        <f>IF(COUNTIF('Icon Lookup'!C:C,B94)&gt;0,LOOKUP(B94,'Icon Lookup'!C:C,'Icon Lookup'!B:B),"")</f>
        <v/>
      </c>
      <c r="B94" s="21" t="s">
        <v>160</v>
      </c>
      <c r="C94" s="20" t="s">
        <v>17</v>
      </c>
      <c r="D94" s="20">
        <v>18.0</v>
      </c>
      <c r="E94" s="20" t="s">
        <v>161</v>
      </c>
      <c r="G94" s="22"/>
      <c r="H94" s="23" t="s">
        <v>162</v>
      </c>
      <c r="I94" s="20" t="s">
        <v>94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</row>
    <row r="95" ht="23.25" customHeight="1">
      <c r="A95" s="1" t="str">
        <f>IF(COUNTIF('Icon Lookup'!C:C,B95)&gt;0,LOOKUP(B95,'Icon Lookup'!C:C,'Icon Lookup'!B:B),"")</f>
        <v/>
      </c>
      <c r="B95" s="15" t="s">
        <v>163</v>
      </c>
      <c r="C95" s="1" t="s">
        <v>17</v>
      </c>
      <c r="D95" s="1" t="s">
        <v>164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23.25" customHeight="1">
      <c r="A96" s="17" t="str">
        <f>IF(COUNTIF('Icon Lookup'!C:C,B96)&gt;0,LOOKUP(B96,'Icon Lookup'!C:C,'Icon Lookup'!B:B),"")</f>
        <v/>
      </c>
      <c r="B96" s="18" t="s">
        <v>165</v>
      </c>
      <c r="C96" s="17" t="s">
        <v>17</v>
      </c>
      <c r="D96" s="17">
        <v>18.0</v>
      </c>
      <c r="E96" s="17" t="s">
        <v>166</v>
      </c>
      <c r="G96" s="19"/>
      <c r="H96" s="20" t="s">
        <v>167</v>
      </c>
      <c r="I96" s="17" t="s">
        <v>22</v>
      </c>
      <c r="J96" s="17">
        <v>0.0</v>
      </c>
      <c r="K96" s="17">
        <v>0.0</v>
      </c>
      <c r="L96" s="17">
        <v>0.0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  <c r="R96" s="17">
        <v>0.0</v>
      </c>
      <c r="S96" s="17">
        <v>0.0</v>
      </c>
      <c r="T96" s="17">
        <v>0.0</v>
      </c>
      <c r="U96" s="17">
        <v>0.0</v>
      </c>
    </row>
    <row r="97" ht="23.25" customHeight="1">
      <c r="A97" s="20" t="str">
        <f>IF(COUNTIF('Icon Lookup'!C:C,B97)&gt;0,LOOKUP(B97,'Icon Lookup'!C:C,'Icon Lookup'!B:B),"")</f>
        <v/>
      </c>
      <c r="B97" s="21" t="s">
        <v>90</v>
      </c>
      <c r="C97" s="20" t="s">
        <v>17</v>
      </c>
      <c r="D97" s="20">
        <v>18.0</v>
      </c>
      <c r="E97" s="20" t="s">
        <v>91</v>
      </c>
      <c r="G97" s="22"/>
      <c r="H97" s="23" t="s">
        <v>168</v>
      </c>
      <c r="I97" s="20" t="s">
        <v>22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</row>
    <row r="98" ht="23.25" customHeight="1">
      <c r="A98" s="1" t="str">
        <f>IF(COUNTIF('Icon Lookup'!C:C,B98)&gt;0,LOOKUP(B98,'Icon Lookup'!C:C,'Icon Lookup'!B:B),"")</f>
        <v/>
      </c>
      <c r="B98" s="15" t="s">
        <v>169</v>
      </c>
      <c r="C98" s="1" t="s">
        <v>17</v>
      </c>
      <c r="D98" s="1" t="s">
        <v>170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23.25" customHeight="1">
      <c r="A99" s="17" t="str">
        <f>IF(COUNTIF('Icon Lookup'!C:C,B99)&gt;0,LOOKUP(B99,'Icon Lookup'!C:C,'Icon Lookup'!B:B),"")</f>
        <v/>
      </c>
      <c r="B99" s="18" t="s">
        <v>86</v>
      </c>
      <c r="C99" s="17" t="s">
        <v>17</v>
      </c>
      <c r="D99" s="17">
        <v>17.0</v>
      </c>
      <c r="E99" s="17" t="s">
        <v>87</v>
      </c>
      <c r="G99" s="19"/>
      <c r="H99" s="20" t="s">
        <v>171</v>
      </c>
      <c r="I99" s="17" t="s">
        <v>89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</row>
    <row r="100" ht="23.25" customHeight="1">
      <c r="A100" s="20" t="str">
        <f>IF(COUNTIF('Icon Lookup'!C:C,B100)&gt;0,LOOKUP(B100,'Icon Lookup'!C:C,'Icon Lookup'!B:B),"")</f>
        <v/>
      </c>
      <c r="B100" s="21" t="s">
        <v>86</v>
      </c>
      <c r="C100" s="20" t="s">
        <v>17</v>
      </c>
      <c r="D100" s="20">
        <v>17.0</v>
      </c>
      <c r="E100" s="20" t="s">
        <v>87</v>
      </c>
      <c r="G100" s="22"/>
      <c r="H100" s="23" t="s">
        <v>171</v>
      </c>
      <c r="I100" s="20" t="s">
        <v>89</v>
      </c>
      <c r="J100" s="20">
        <v>0.0</v>
      </c>
      <c r="K100" s="20">
        <v>0.0</v>
      </c>
      <c r="L100" s="20">
        <v>0.0</v>
      </c>
      <c r="M100" s="20">
        <v>0.0</v>
      </c>
      <c r="N100" s="20">
        <v>0.0</v>
      </c>
      <c r="O100" s="20">
        <v>0.0</v>
      </c>
      <c r="P100" s="20">
        <v>0.0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</row>
    <row r="101" ht="23.25" customHeight="1">
      <c r="A101" s="1" t="str">
        <f>IF(COUNTIF('Icon Lookup'!C:C,B101)&gt;0,LOOKUP(B101,'Icon Lookup'!C:C,'Icon Lookup'!B:B),"")</f>
        <v/>
      </c>
      <c r="B101" s="15" t="s">
        <v>172</v>
      </c>
      <c r="C101" s="1" t="s">
        <v>17</v>
      </c>
      <c r="D101" s="1" t="s">
        <v>173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23.25" customHeight="1">
      <c r="A102" s="17" t="str">
        <f>IF(COUNTIF('Icon Lookup'!C:C,B102)&gt;0,LOOKUP(B102,'Icon Lookup'!C:C,'Icon Lookup'!B:B),"")</f>
        <v/>
      </c>
      <c r="B102" s="18" t="s">
        <v>174</v>
      </c>
      <c r="C102" s="17" t="s">
        <v>17</v>
      </c>
      <c r="D102" s="17">
        <v>35.0</v>
      </c>
      <c r="E102" s="17" t="s">
        <v>38</v>
      </c>
      <c r="G102" s="19"/>
      <c r="H102" s="20" t="s">
        <v>175</v>
      </c>
      <c r="I102" s="17" t="s">
        <v>156</v>
      </c>
      <c r="J102" s="17">
        <v>0.0</v>
      </c>
      <c r="K102" s="17">
        <v>0.0</v>
      </c>
      <c r="L102" s="17">
        <v>0.0</v>
      </c>
      <c r="M102" s="17">
        <v>0.0</v>
      </c>
      <c r="N102" s="17">
        <v>0.0</v>
      </c>
      <c r="O102" s="17">
        <v>0.0</v>
      </c>
      <c r="P102" s="17">
        <v>0.0</v>
      </c>
      <c r="Q102" s="17">
        <v>0.0</v>
      </c>
      <c r="R102" s="17">
        <v>0.0</v>
      </c>
      <c r="S102" s="17">
        <v>0.0</v>
      </c>
      <c r="T102" s="17">
        <v>0.0</v>
      </c>
      <c r="U102" s="17">
        <v>0.0</v>
      </c>
    </row>
    <row r="103" ht="23.25" customHeight="1">
      <c r="A103" s="20" t="str">
        <f>IF(COUNTIF('Icon Lookup'!C:C,B103)&gt;0,LOOKUP(B103,'Icon Lookup'!C:C,'Icon Lookup'!B:B),"")</f>
        <v/>
      </c>
      <c r="B103" s="21" t="s">
        <v>176</v>
      </c>
      <c r="C103" s="20" t="s">
        <v>17</v>
      </c>
      <c r="D103" s="20">
        <v>35.0</v>
      </c>
      <c r="E103" s="20" t="s">
        <v>87</v>
      </c>
      <c r="G103" s="22"/>
      <c r="H103" s="23" t="s">
        <v>177</v>
      </c>
      <c r="I103" s="20" t="s">
        <v>89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20">
        <v>0.0</v>
      </c>
      <c r="U103" s="20">
        <v>0.0</v>
      </c>
    </row>
    <row r="104" ht="23.25" customHeight="1">
      <c r="A104" s="17" t="str">
        <f>IF(COUNTIF('Icon Lookup'!C:C,B104)&gt;0,LOOKUP(B104,'Icon Lookup'!C:C,'Icon Lookup'!B:B),"")</f>
        <v/>
      </c>
      <c r="B104" s="18" t="s">
        <v>97</v>
      </c>
      <c r="C104" s="17" t="s">
        <v>17</v>
      </c>
      <c r="D104" s="17">
        <v>35.0</v>
      </c>
      <c r="E104" s="17" t="s">
        <v>98</v>
      </c>
      <c r="G104" s="19"/>
      <c r="H104" s="20" t="s">
        <v>178</v>
      </c>
      <c r="I104" s="17" t="s">
        <v>89</v>
      </c>
      <c r="J104" s="17">
        <v>0.0</v>
      </c>
      <c r="K104" s="17">
        <v>0.0</v>
      </c>
      <c r="L104" s="17">
        <v>0.0</v>
      </c>
      <c r="M104" s="17">
        <v>0.0</v>
      </c>
      <c r="N104" s="17">
        <v>0.0</v>
      </c>
      <c r="O104" s="17">
        <v>0.0</v>
      </c>
      <c r="P104" s="17">
        <v>0.0</v>
      </c>
      <c r="Q104" s="17">
        <v>0.0</v>
      </c>
      <c r="R104" s="17">
        <v>0.0</v>
      </c>
      <c r="S104" s="17">
        <v>0.0</v>
      </c>
      <c r="T104" s="17">
        <v>0.0</v>
      </c>
      <c r="U104" s="17">
        <v>0.0</v>
      </c>
    </row>
    <row r="105" ht="23.25" customHeight="1">
      <c r="A105" s="1" t="str">
        <f>IF(COUNTIF('Icon Lookup'!C:C,B105)&gt;0,LOOKUP(B105,'Icon Lookup'!C:C,'Icon Lookup'!B:B),"")</f>
        <v/>
      </c>
      <c r="B105" s="15" t="s">
        <v>179</v>
      </c>
      <c r="C105" s="1" t="s">
        <v>17</v>
      </c>
      <c r="D105" s="1" t="s">
        <v>180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3.25" customHeight="1">
      <c r="A106" s="20" t="str">
        <f>IF(COUNTIF('Icon Lookup'!C:C,B106)&gt;0,LOOKUP(B106,'Icon Lookup'!C:C,'Icon Lookup'!B:B),"")</f>
        <v/>
      </c>
      <c r="B106" s="21" t="s">
        <v>97</v>
      </c>
      <c r="C106" s="20" t="s">
        <v>17</v>
      </c>
      <c r="D106" s="20">
        <v>19.0</v>
      </c>
      <c r="E106" s="20" t="s">
        <v>98</v>
      </c>
      <c r="G106" s="22"/>
      <c r="H106" s="23" t="s">
        <v>181</v>
      </c>
      <c r="I106" s="20" t="s">
        <v>89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</row>
    <row r="107" ht="23.25" customHeight="1">
      <c r="A107" s="1" t="str">
        <f>IF(COUNTIF('Icon Lookup'!C:C,B107)&gt;0,LOOKUP(B107,'Icon Lookup'!C:C,'Icon Lookup'!B:B),"")</f>
        <v/>
      </c>
      <c r="B107" s="15" t="s">
        <v>182</v>
      </c>
      <c r="C107" s="1" t="s">
        <v>17</v>
      </c>
      <c r="D107" s="1" t="s">
        <v>183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23.25" customHeight="1">
      <c r="A108" s="17" t="str">
        <f>IF(COUNTIF('Icon Lookup'!C:C,B108)&gt;0,LOOKUP(B108,'Icon Lookup'!C:C,'Icon Lookup'!B:B),"")</f>
        <v/>
      </c>
      <c r="B108" s="18" t="s">
        <v>90</v>
      </c>
      <c r="C108" s="17" t="s">
        <v>17</v>
      </c>
      <c r="D108" s="17">
        <v>19.0</v>
      </c>
      <c r="E108" s="17" t="s">
        <v>91</v>
      </c>
      <c r="G108" s="19"/>
      <c r="H108" s="20" t="s">
        <v>184</v>
      </c>
      <c r="I108" s="17" t="s">
        <v>89</v>
      </c>
      <c r="J108" s="17">
        <v>0.0</v>
      </c>
      <c r="K108" s="17">
        <v>0.0</v>
      </c>
      <c r="L108" s="17">
        <v>0.0</v>
      </c>
      <c r="M108" s="17">
        <v>0.0</v>
      </c>
      <c r="N108" s="17">
        <v>0.0</v>
      </c>
      <c r="O108" s="17">
        <v>0.0</v>
      </c>
      <c r="P108" s="17">
        <v>0.0</v>
      </c>
      <c r="Q108" s="17">
        <v>0.0</v>
      </c>
      <c r="R108" s="17">
        <v>0.0</v>
      </c>
      <c r="S108" s="17">
        <v>0.0</v>
      </c>
      <c r="T108" s="17">
        <v>0.0</v>
      </c>
      <c r="U108" s="17">
        <v>0.0</v>
      </c>
    </row>
    <row r="109" ht="23.25" customHeight="1">
      <c r="A109" s="1" t="str">
        <f>IF(COUNTIF('Icon Lookup'!C:C,B109)&gt;0,LOOKUP(B109,'Icon Lookup'!C:C,'Icon Lookup'!B:B),"")</f>
        <v/>
      </c>
      <c r="B109" s="15" t="s">
        <v>185</v>
      </c>
      <c r="C109" s="1" t="s">
        <v>17</v>
      </c>
      <c r="D109" s="1" t="s">
        <v>186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23.25" customHeight="1">
      <c r="A110" s="20" t="str">
        <f>IF(COUNTIF('Icon Lookup'!C:C,B110)&gt;0,LOOKUP(B110,'Icon Lookup'!C:C,'Icon Lookup'!B:B),"")</f>
        <v/>
      </c>
      <c r="B110" s="21" t="s">
        <v>187</v>
      </c>
      <c r="C110" s="20" t="s">
        <v>17</v>
      </c>
      <c r="D110" s="20">
        <v>31.0</v>
      </c>
      <c r="E110" s="20" t="s">
        <v>188</v>
      </c>
      <c r="G110" s="22"/>
      <c r="H110" s="23" t="s">
        <v>189</v>
      </c>
      <c r="I110" s="20" t="s">
        <v>89</v>
      </c>
      <c r="J110" s="20">
        <v>0.0</v>
      </c>
      <c r="K110" s="20">
        <v>0.0</v>
      </c>
      <c r="L110" s="20">
        <v>0.0</v>
      </c>
      <c r="M110" s="20">
        <v>0.0</v>
      </c>
      <c r="N110" s="20">
        <v>0.0</v>
      </c>
      <c r="O110" s="20">
        <v>0.0</v>
      </c>
      <c r="P110" s="20">
        <v>0.0</v>
      </c>
      <c r="Q110" s="20">
        <v>0.0</v>
      </c>
      <c r="R110" s="20">
        <v>0.0</v>
      </c>
      <c r="S110" s="20">
        <v>0.0</v>
      </c>
      <c r="T110" s="20">
        <v>0.0</v>
      </c>
      <c r="U110" s="20">
        <v>0.0</v>
      </c>
    </row>
    <row r="111" ht="23.25" customHeight="1">
      <c r="A111" s="17" t="str">
        <f>IF(COUNTIF('Icon Lookup'!C:C,B111)&gt;0,LOOKUP(B111,'Icon Lookup'!C:C,'Icon Lookup'!B:B),"")</f>
        <v/>
      </c>
      <c r="B111" s="18" t="s">
        <v>190</v>
      </c>
      <c r="C111" s="17" t="s">
        <v>17</v>
      </c>
      <c r="D111" s="17">
        <v>31.0</v>
      </c>
      <c r="E111" s="17" t="s">
        <v>26</v>
      </c>
      <c r="G111" s="19"/>
      <c r="H111" s="20" t="s">
        <v>191</v>
      </c>
      <c r="I111" s="17" t="s">
        <v>156</v>
      </c>
      <c r="J111" s="17">
        <v>0.0</v>
      </c>
      <c r="K111" s="17">
        <v>0.0</v>
      </c>
      <c r="L111" s="17">
        <v>0.0</v>
      </c>
      <c r="M111" s="17">
        <v>0.0</v>
      </c>
      <c r="N111" s="17">
        <v>0.0</v>
      </c>
      <c r="O111" s="17">
        <v>0.0</v>
      </c>
      <c r="P111" s="17">
        <v>0.0</v>
      </c>
      <c r="Q111" s="17">
        <v>0.0</v>
      </c>
      <c r="R111" s="17">
        <v>0.0</v>
      </c>
      <c r="S111" s="17">
        <v>0.0</v>
      </c>
      <c r="T111" s="17">
        <v>0.0</v>
      </c>
      <c r="U111" s="17">
        <v>0.0</v>
      </c>
    </row>
    <row r="112" ht="23.25" customHeight="1">
      <c r="A112" s="1" t="str">
        <f>IF(COUNTIF('Icon Lookup'!C:C,B112)&gt;0,LOOKUP(B112,'Icon Lookup'!C:C,'Icon Lookup'!B:B),"")</f>
        <v/>
      </c>
      <c r="B112" s="15" t="s">
        <v>192</v>
      </c>
      <c r="C112" s="1" t="s">
        <v>17</v>
      </c>
      <c r="D112" s="1" t="s">
        <v>193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23.25" customHeight="1">
      <c r="A113" s="20" t="str">
        <f>IF(COUNTIF('Icon Lookup'!C:C,B113)&gt;0,LOOKUP(B113,'Icon Lookup'!C:C,'Icon Lookup'!B:B),"")</f>
        <v/>
      </c>
      <c r="B113" s="21" t="s">
        <v>194</v>
      </c>
      <c r="C113" s="20" t="s">
        <v>17</v>
      </c>
      <c r="D113" s="20">
        <v>16.0</v>
      </c>
      <c r="E113" s="20" t="s">
        <v>195</v>
      </c>
      <c r="G113" s="22"/>
      <c r="H113" s="23" t="s">
        <v>196</v>
      </c>
      <c r="I113" s="20" t="s">
        <v>197</v>
      </c>
      <c r="J113" s="20">
        <v>0.0</v>
      </c>
      <c r="K113" s="20">
        <v>0.0</v>
      </c>
      <c r="L113" s="20">
        <v>0.0</v>
      </c>
      <c r="M113" s="20">
        <v>0.0</v>
      </c>
      <c r="N113" s="20">
        <v>0.0</v>
      </c>
      <c r="O113" s="20">
        <v>0.0</v>
      </c>
      <c r="P113" s="20">
        <v>0.0</v>
      </c>
      <c r="Q113" s="20">
        <v>0.0</v>
      </c>
      <c r="R113" s="20">
        <v>0.0</v>
      </c>
      <c r="S113" s="20">
        <v>0.0</v>
      </c>
      <c r="T113" s="20">
        <v>0.0</v>
      </c>
      <c r="U113" s="20">
        <v>0.0</v>
      </c>
    </row>
    <row r="114" ht="23.25" customHeight="1">
      <c r="A114" s="17" t="str">
        <f>IF(COUNTIF('Icon Lookup'!C:C,B114)&gt;0,LOOKUP(B114,'Icon Lookup'!C:C,'Icon Lookup'!B:B),"")</f>
        <v/>
      </c>
      <c r="B114" s="18" t="s">
        <v>198</v>
      </c>
      <c r="C114" s="17" t="s">
        <v>17</v>
      </c>
      <c r="D114" s="17">
        <v>18.0</v>
      </c>
      <c r="E114" s="17" t="s">
        <v>50</v>
      </c>
      <c r="G114" s="19"/>
      <c r="H114" s="20" t="s">
        <v>199</v>
      </c>
      <c r="I114" s="17" t="s">
        <v>105</v>
      </c>
      <c r="J114" s="17">
        <v>0.0</v>
      </c>
      <c r="K114" s="17">
        <v>0.0</v>
      </c>
      <c r="L114" s="17">
        <v>0.0</v>
      </c>
      <c r="M114" s="17">
        <v>0.0</v>
      </c>
      <c r="N114" s="17">
        <v>0.0</v>
      </c>
      <c r="O114" s="17">
        <v>0.0</v>
      </c>
      <c r="P114" s="17">
        <v>0.0</v>
      </c>
      <c r="Q114" s="17">
        <v>0.0</v>
      </c>
      <c r="R114" s="17">
        <v>0.0</v>
      </c>
      <c r="S114" s="17">
        <v>0.0</v>
      </c>
      <c r="T114" s="17">
        <v>0.0</v>
      </c>
      <c r="U114" s="17">
        <v>0.0</v>
      </c>
    </row>
    <row r="115" ht="23.25" customHeight="1">
      <c r="A115" s="1" t="str">
        <f>IF(COUNTIF('Icon Lookup'!C:C,B115)&gt;0,LOOKUP(B115,'Icon Lookup'!C:C,'Icon Lookup'!B:B),"")</f>
        <v/>
      </c>
      <c r="B115" s="15" t="s">
        <v>200</v>
      </c>
      <c r="C115" s="1" t="s">
        <v>17</v>
      </c>
      <c r="D115" s="1" t="s">
        <v>201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23.25" customHeight="1">
      <c r="A116" s="20" t="str">
        <f>IF(COUNTIF('Icon Lookup'!C:C,B116)&gt;0,LOOKUP(B116,'Icon Lookup'!C:C,'Icon Lookup'!B:B),"")</f>
        <v/>
      </c>
      <c r="B116" s="21" t="s">
        <v>202</v>
      </c>
      <c r="C116" s="20" t="s">
        <v>17</v>
      </c>
      <c r="D116" s="20">
        <v>17.0</v>
      </c>
      <c r="E116" s="20" t="s">
        <v>203</v>
      </c>
      <c r="G116" s="22"/>
      <c r="H116" s="23" t="s">
        <v>204</v>
      </c>
      <c r="I116" s="20" t="s">
        <v>205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0.0</v>
      </c>
    </row>
    <row r="117" ht="23.25" customHeight="1">
      <c r="A117" s="17" t="str">
        <f>IF(COUNTIF('Icon Lookup'!C:C,B117)&gt;0,LOOKUP(B117,'Icon Lookup'!C:C,'Icon Lookup'!B:B),"")</f>
        <v/>
      </c>
      <c r="B117" s="18" t="s">
        <v>206</v>
      </c>
      <c r="C117" s="17" t="s">
        <v>17</v>
      </c>
      <c r="D117" s="17">
        <v>17.0</v>
      </c>
      <c r="E117" s="17" t="s">
        <v>87</v>
      </c>
      <c r="G117" s="19"/>
      <c r="H117" s="20" t="s">
        <v>207</v>
      </c>
      <c r="I117" s="17" t="s">
        <v>22</v>
      </c>
      <c r="J117" s="17">
        <v>0.0</v>
      </c>
      <c r="K117" s="17">
        <v>0.0</v>
      </c>
      <c r="L117" s="17">
        <v>0.0</v>
      </c>
      <c r="M117" s="17">
        <v>0.0</v>
      </c>
      <c r="N117" s="17">
        <v>0.0</v>
      </c>
      <c r="O117" s="17">
        <v>0.0</v>
      </c>
      <c r="P117" s="17">
        <v>0.0</v>
      </c>
      <c r="Q117" s="17">
        <v>0.0</v>
      </c>
      <c r="R117" s="17">
        <v>0.0</v>
      </c>
      <c r="S117" s="17">
        <v>0.0</v>
      </c>
      <c r="T117" s="17">
        <v>0.0</v>
      </c>
      <c r="U117" s="17">
        <v>0.0</v>
      </c>
    </row>
    <row r="118" ht="23.25" customHeight="1">
      <c r="A118" s="1" t="str">
        <f>IF(COUNTIF('Icon Lookup'!C:C,B118)&gt;0,LOOKUP(B118,'Icon Lookup'!C:C,'Icon Lookup'!B:B),"")</f>
        <v/>
      </c>
      <c r="B118" s="15" t="s">
        <v>208</v>
      </c>
      <c r="C118" s="1" t="s">
        <v>17</v>
      </c>
      <c r="D118" s="1" t="s">
        <v>209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23.25" customHeight="1">
      <c r="A119" s="20" t="str">
        <f>IF(COUNTIF('Icon Lookup'!C:C,B119)&gt;0,LOOKUP(B119,'Icon Lookup'!C:C,'Icon Lookup'!B:B),"")</f>
        <v/>
      </c>
      <c r="B119" s="21" t="s">
        <v>206</v>
      </c>
      <c r="C119" s="20" t="s">
        <v>17</v>
      </c>
      <c r="D119" s="20">
        <v>16.0</v>
      </c>
      <c r="E119" s="20" t="s">
        <v>98</v>
      </c>
      <c r="G119" s="22"/>
      <c r="H119" s="23" t="s">
        <v>210</v>
      </c>
      <c r="I119" s="20" t="s">
        <v>211</v>
      </c>
      <c r="J119" s="20">
        <v>0.0</v>
      </c>
      <c r="K119" s="20">
        <v>0.0</v>
      </c>
      <c r="L119" s="20">
        <v>0.0</v>
      </c>
      <c r="M119" s="20">
        <v>0.0</v>
      </c>
      <c r="N119" s="20">
        <v>0.0</v>
      </c>
      <c r="O119" s="20">
        <v>0.0</v>
      </c>
      <c r="P119" s="20">
        <v>0.0</v>
      </c>
      <c r="Q119" s="20">
        <v>0.0</v>
      </c>
      <c r="R119" s="20">
        <v>0.0</v>
      </c>
      <c r="S119" s="20">
        <v>0.0</v>
      </c>
      <c r="T119" s="20">
        <v>0.0</v>
      </c>
      <c r="U119" s="20">
        <v>0.0</v>
      </c>
    </row>
    <row r="120" ht="23.25" customHeight="1">
      <c r="A120" s="17" t="str">
        <f>IF(COUNTIF('Icon Lookup'!C:C,B120)&gt;0,LOOKUP(B120,'Icon Lookup'!C:C,'Icon Lookup'!B:B),"")</f>
        <v/>
      </c>
      <c r="B120" s="18" t="s">
        <v>49</v>
      </c>
      <c r="C120" s="17" t="s">
        <v>17</v>
      </c>
      <c r="D120" s="17">
        <v>15.0</v>
      </c>
      <c r="E120" s="17" t="s">
        <v>50</v>
      </c>
      <c r="G120" s="19"/>
      <c r="H120" s="20" t="s">
        <v>51</v>
      </c>
      <c r="I120" s="17" t="s">
        <v>205</v>
      </c>
      <c r="J120" s="17">
        <v>0.0</v>
      </c>
      <c r="K120" s="17">
        <v>0.0</v>
      </c>
      <c r="L120" s="17">
        <v>0.0</v>
      </c>
      <c r="M120" s="17">
        <v>0.0</v>
      </c>
      <c r="N120" s="17">
        <v>0.0</v>
      </c>
      <c r="O120" s="17">
        <v>0.0</v>
      </c>
      <c r="P120" s="17">
        <v>0.0</v>
      </c>
      <c r="Q120" s="17">
        <v>0.0</v>
      </c>
      <c r="R120" s="17">
        <v>0.0</v>
      </c>
      <c r="S120" s="17">
        <v>0.0</v>
      </c>
      <c r="T120" s="17">
        <v>0.0</v>
      </c>
      <c r="U120" s="17">
        <v>0.0</v>
      </c>
    </row>
    <row r="121" ht="23.25" customHeight="1">
      <c r="A121" s="20" t="str">
        <f>IF(COUNTIF('Icon Lookup'!C:C,B121)&gt;0,LOOKUP(B121,'Icon Lookup'!C:C,'Icon Lookup'!B:B),"")</f>
        <v/>
      </c>
      <c r="B121" s="21" t="s">
        <v>212</v>
      </c>
      <c r="C121" s="20" t="s">
        <v>17</v>
      </c>
      <c r="D121" s="20">
        <v>17.0</v>
      </c>
      <c r="E121" s="20" t="s">
        <v>137</v>
      </c>
      <c r="G121" s="22"/>
      <c r="H121" s="23" t="s">
        <v>213</v>
      </c>
      <c r="I121" s="20" t="s">
        <v>205</v>
      </c>
      <c r="J121" s="20">
        <v>0.0</v>
      </c>
      <c r="K121" s="20">
        <v>0.0</v>
      </c>
      <c r="L121" s="20">
        <v>0.0</v>
      </c>
      <c r="M121" s="20">
        <v>0.0</v>
      </c>
      <c r="N121" s="20">
        <v>0.0</v>
      </c>
      <c r="O121" s="20">
        <v>0.0</v>
      </c>
      <c r="P121" s="20">
        <v>0.0</v>
      </c>
      <c r="Q121" s="20">
        <v>0.0</v>
      </c>
      <c r="R121" s="20">
        <v>0.0</v>
      </c>
      <c r="S121" s="20">
        <v>0.0</v>
      </c>
      <c r="T121" s="20">
        <v>0.0</v>
      </c>
      <c r="U121" s="20">
        <v>0.0</v>
      </c>
    </row>
    <row r="122" ht="23.25" customHeight="1">
      <c r="A122" s="1" t="str">
        <f>IF(COUNTIF('Icon Lookup'!C:C,B122)&gt;0,LOOKUP(B122,'Icon Lookup'!C:C,'Icon Lookup'!B:B),"")</f>
        <v/>
      </c>
      <c r="B122" s="15" t="s">
        <v>214</v>
      </c>
      <c r="C122" s="1" t="s">
        <v>17</v>
      </c>
      <c r="D122" s="1" t="s">
        <v>215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23.25" customHeight="1">
      <c r="A123" s="17" t="str">
        <f>IF(COUNTIF('Icon Lookup'!C:C,B123)&gt;0,LOOKUP(B123,'Icon Lookup'!C:C,'Icon Lookup'!B:B),"")</f>
        <v/>
      </c>
      <c r="B123" s="18" t="s">
        <v>202</v>
      </c>
      <c r="C123" s="17" t="s">
        <v>17</v>
      </c>
      <c r="D123" s="17">
        <v>16.0</v>
      </c>
      <c r="E123" s="17" t="s">
        <v>203</v>
      </c>
      <c r="G123" s="19"/>
      <c r="H123" s="20" t="s">
        <v>216</v>
      </c>
      <c r="I123" s="17" t="s">
        <v>52</v>
      </c>
      <c r="J123" s="17">
        <v>0.0</v>
      </c>
      <c r="K123" s="17">
        <v>0.0</v>
      </c>
      <c r="L123" s="17">
        <v>0.0</v>
      </c>
      <c r="M123" s="17">
        <v>0.0</v>
      </c>
      <c r="N123" s="17">
        <v>0.0</v>
      </c>
      <c r="O123" s="17">
        <v>0.0</v>
      </c>
      <c r="P123" s="17">
        <v>0.0</v>
      </c>
      <c r="Q123" s="17">
        <v>0.0</v>
      </c>
      <c r="R123" s="17">
        <v>0.0</v>
      </c>
      <c r="S123" s="17">
        <v>0.0</v>
      </c>
      <c r="T123" s="17">
        <v>0.0</v>
      </c>
      <c r="U123" s="17">
        <v>0.0</v>
      </c>
    </row>
    <row r="124" ht="23.25" customHeight="1">
      <c r="A124" s="20" t="str">
        <f>IF(COUNTIF('Icon Lookup'!C:C,B124)&gt;0,LOOKUP(B124,'Icon Lookup'!C:C,'Icon Lookup'!B:B),"")</f>
        <v/>
      </c>
      <c r="B124" s="21" t="s">
        <v>49</v>
      </c>
      <c r="C124" s="20" t="s">
        <v>17</v>
      </c>
      <c r="D124" s="20">
        <v>15.0</v>
      </c>
      <c r="E124" s="20" t="s">
        <v>50</v>
      </c>
      <c r="G124" s="22"/>
      <c r="H124" s="23" t="s">
        <v>51</v>
      </c>
      <c r="I124" s="20" t="s">
        <v>40</v>
      </c>
      <c r="J124" s="20">
        <v>0.0</v>
      </c>
      <c r="K124" s="20">
        <v>0.0</v>
      </c>
      <c r="L124" s="20">
        <v>0.0</v>
      </c>
      <c r="M124" s="20">
        <v>0.0</v>
      </c>
      <c r="N124" s="20">
        <v>0.0</v>
      </c>
      <c r="O124" s="20">
        <v>0.0</v>
      </c>
      <c r="P124" s="20">
        <v>0.0</v>
      </c>
      <c r="Q124" s="20">
        <v>0.0</v>
      </c>
      <c r="R124" s="20">
        <v>0.0</v>
      </c>
      <c r="S124" s="20">
        <v>0.0</v>
      </c>
      <c r="T124" s="20">
        <v>0.0</v>
      </c>
      <c r="U124" s="20">
        <v>0.0</v>
      </c>
    </row>
    <row r="125" ht="23.25" customHeight="1">
      <c r="A125" s="17" t="str">
        <f>IF(COUNTIF('Icon Lookup'!C:C,B125)&gt;0,LOOKUP(B125,'Icon Lookup'!C:C,'Icon Lookup'!B:B),"")</f>
        <v/>
      </c>
      <c r="B125" s="18" t="s">
        <v>217</v>
      </c>
      <c r="C125" s="17" t="s">
        <v>17</v>
      </c>
      <c r="D125" s="17">
        <v>17.0</v>
      </c>
      <c r="E125" s="17" t="s">
        <v>218</v>
      </c>
      <c r="G125" s="19"/>
      <c r="H125" s="20" t="s">
        <v>219</v>
      </c>
      <c r="I125" s="17" t="s">
        <v>40</v>
      </c>
      <c r="J125" s="17">
        <v>0.0</v>
      </c>
      <c r="K125" s="17">
        <v>0.0</v>
      </c>
      <c r="L125" s="17">
        <v>0.0</v>
      </c>
      <c r="M125" s="17">
        <v>0.0</v>
      </c>
      <c r="N125" s="17">
        <v>0.0</v>
      </c>
      <c r="O125" s="17">
        <v>0.0</v>
      </c>
      <c r="P125" s="17">
        <v>0.0</v>
      </c>
      <c r="Q125" s="17">
        <v>0.0</v>
      </c>
      <c r="R125" s="17">
        <v>0.0</v>
      </c>
      <c r="S125" s="17">
        <v>0.0</v>
      </c>
      <c r="T125" s="17">
        <v>0.0</v>
      </c>
      <c r="U125" s="17">
        <v>0.0</v>
      </c>
    </row>
    <row r="126" ht="23.25" customHeight="1">
      <c r="A126" s="1" t="str">
        <f>IF(COUNTIF('Icon Lookup'!C:C,B126)&gt;0,LOOKUP(B126,'Icon Lookup'!C:C,'Icon Lookup'!B:B),"")</f>
        <v/>
      </c>
      <c r="B126" s="15" t="s">
        <v>220</v>
      </c>
      <c r="C126" s="1" t="s">
        <v>17</v>
      </c>
      <c r="D126" s="1" t="s">
        <v>221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23.25" customHeight="1">
      <c r="A127" s="20" t="str">
        <f>IF(COUNTIF('Icon Lookup'!C:C,B127)&gt;0,LOOKUP(B127,'Icon Lookup'!C:C,'Icon Lookup'!B:B),"")</f>
        <v/>
      </c>
      <c r="B127" s="21" t="s">
        <v>30</v>
      </c>
      <c r="C127" s="20" t="s">
        <v>17</v>
      </c>
      <c r="D127" s="20">
        <v>14.0</v>
      </c>
      <c r="E127" s="20" t="s">
        <v>31</v>
      </c>
      <c r="G127" s="22"/>
      <c r="H127" s="23" t="s">
        <v>222</v>
      </c>
      <c r="I127" s="20" t="s">
        <v>22</v>
      </c>
      <c r="J127" s="20">
        <v>0.0</v>
      </c>
      <c r="K127" s="20">
        <v>0.0</v>
      </c>
      <c r="L127" s="20">
        <v>0.0</v>
      </c>
      <c r="M127" s="20">
        <v>0.0</v>
      </c>
      <c r="N127" s="20">
        <v>0.0</v>
      </c>
      <c r="O127" s="20">
        <v>0.0</v>
      </c>
      <c r="P127" s="20">
        <v>0.0</v>
      </c>
      <c r="Q127" s="20">
        <v>0.0</v>
      </c>
      <c r="R127" s="20">
        <v>0.0</v>
      </c>
      <c r="S127" s="20">
        <v>0.0</v>
      </c>
      <c r="T127" s="20">
        <v>0.0</v>
      </c>
      <c r="U127" s="20">
        <v>0.0</v>
      </c>
    </row>
    <row r="128" ht="23.25" customHeight="1">
      <c r="A128" s="17" t="str">
        <f>IF(COUNTIF('Icon Lookup'!C:C,B128)&gt;0,LOOKUP(B128,'Icon Lookup'!C:C,'Icon Lookup'!B:B),"")</f>
        <v/>
      </c>
      <c r="B128" s="18" t="s">
        <v>30</v>
      </c>
      <c r="C128" s="17" t="s">
        <v>17</v>
      </c>
      <c r="D128" s="17">
        <v>15.0</v>
      </c>
      <c r="E128" s="17" t="s">
        <v>31</v>
      </c>
      <c r="G128" s="19"/>
      <c r="H128" s="20" t="s">
        <v>222</v>
      </c>
      <c r="I128" s="17" t="s">
        <v>22</v>
      </c>
      <c r="J128" s="17">
        <v>0.0</v>
      </c>
      <c r="K128" s="17">
        <v>0.0</v>
      </c>
      <c r="L128" s="17">
        <v>0.0</v>
      </c>
      <c r="M128" s="17">
        <v>0.0</v>
      </c>
      <c r="N128" s="17">
        <v>0.0</v>
      </c>
      <c r="O128" s="17">
        <v>0.0</v>
      </c>
      <c r="P128" s="17">
        <v>0.0</v>
      </c>
      <c r="Q128" s="17">
        <v>0.0</v>
      </c>
      <c r="R128" s="17">
        <v>0.0</v>
      </c>
      <c r="S128" s="17">
        <v>0.0</v>
      </c>
      <c r="T128" s="17">
        <v>0.0</v>
      </c>
      <c r="U128" s="17">
        <v>0.0</v>
      </c>
    </row>
    <row r="129" ht="23.25" customHeight="1">
      <c r="A129" s="20" t="str">
        <f>IF(COUNTIF('Icon Lookup'!C:C,B129)&gt;0,LOOKUP(B129,'Icon Lookup'!C:C,'Icon Lookup'!B:B),"")</f>
        <v/>
      </c>
      <c r="B129" s="21" t="s">
        <v>30</v>
      </c>
      <c r="C129" s="20" t="s">
        <v>17</v>
      </c>
      <c r="D129" s="20">
        <v>16.0</v>
      </c>
      <c r="E129" s="20" t="s">
        <v>31</v>
      </c>
      <c r="G129" s="22"/>
      <c r="H129" s="23" t="s">
        <v>222</v>
      </c>
      <c r="I129" s="20" t="s">
        <v>22</v>
      </c>
      <c r="J129" s="20">
        <v>0.0</v>
      </c>
      <c r="K129" s="20">
        <v>0.0</v>
      </c>
      <c r="L129" s="20">
        <v>0.0</v>
      </c>
      <c r="M129" s="20">
        <v>0.0</v>
      </c>
      <c r="N129" s="20">
        <v>0.0</v>
      </c>
      <c r="O129" s="20">
        <v>0.0</v>
      </c>
      <c r="P129" s="20">
        <v>0.0</v>
      </c>
      <c r="Q129" s="20">
        <v>0.0</v>
      </c>
      <c r="R129" s="20">
        <v>0.0</v>
      </c>
      <c r="S129" s="20">
        <v>0.0</v>
      </c>
      <c r="T129" s="20">
        <v>0.0</v>
      </c>
      <c r="U129" s="20">
        <v>0.0</v>
      </c>
    </row>
    <row r="130" ht="23.25" customHeight="1">
      <c r="A130" s="17" t="str">
        <f>IF(COUNTIF('Icon Lookup'!C:C,B130)&gt;0,LOOKUP(B130,'Icon Lookup'!C:C,'Icon Lookup'!B:B),"")</f>
        <v/>
      </c>
      <c r="B130" s="18" t="s">
        <v>30</v>
      </c>
      <c r="C130" s="17" t="s">
        <v>17</v>
      </c>
      <c r="D130" s="17">
        <v>15.0</v>
      </c>
      <c r="E130" s="17" t="s">
        <v>31</v>
      </c>
      <c r="G130" s="19"/>
      <c r="H130" s="20" t="s">
        <v>222</v>
      </c>
      <c r="I130" s="17" t="s">
        <v>22</v>
      </c>
      <c r="J130" s="17">
        <v>0.0</v>
      </c>
      <c r="K130" s="17">
        <v>0.0</v>
      </c>
      <c r="L130" s="17">
        <v>0.0</v>
      </c>
      <c r="M130" s="17">
        <v>0.0</v>
      </c>
      <c r="N130" s="17">
        <v>0.0</v>
      </c>
      <c r="O130" s="17">
        <v>0.0</v>
      </c>
      <c r="P130" s="17">
        <v>0.0</v>
      </c>
      <c r="Q130" s="17">
        <v>0.0</v>
      </c>
      <c r="R130" s="17">
        <v>0.0</v>
      </c>
      <c r="S130" s="17">
        <v>0.0</v>
      </c>
      <c r="T130" s="17">
        <v>0.0</v>
      </c>
      <c r="U130" s="17">
        <v>0.0</v>
      </c>
    </row>
    <row r="131" ht="23.25" customHeight="1">
      <c r="A131" s="20" t="str">
        <f>IF(COUNTIF('Icon Lookup'!C:C,B131)&gt;0,LOOKUP(B131,'Icon Lookup'!C:C,'Icon Lookup'!B:B),"")</f>
        <v/>
      </c>
      <c r="B131" s="21" t="s">
        <v>30</v>
      </c>
      <c r="C131" s="20" t="s">
        <v>17</v>
      </c>
      <c r="D131" s="20">
        <v>15.0</v>
      </c>
      <c r="E131" s="20" t="s">
        <v>31</v>
      </c>
      <c r="G131" s="22"/>
      <c r="H131" s="23" t="s">
        <v>222</v>
      </c>
      <c r="I131" s="20" t="s">
        <v>22</v>
      </c>
      <c r="J131" s="20">
        <v>0.0</v>
      </c>
      <c r="K131" s="20">
        <v>0.0</v>
      </c>
      <c r="L131" s="20">
        <v>0.0</v>
      </c>
      <c r="M131" s="20">
        <v>0.0</v>
      </c>
      <c r="N131" s="20">
        <v>0.0</v>
      </c>
      <c r="O131" s="20">
        <v>0.0</v>
      </c>
      <c r="P131" s="20">
        <v>0.0</v>
      </c>
      <c r="Q131" s="20">
        <v>0.0</v>
      </c>
      <c r="R131" s="20">
        <v>0.0</v>
      </c>
      <c r="S131" s="20">
        <v>0.0</v>
      </c>
      <c r="T131" s="20">
        <v>0.0</v>
      </c>
      <c r="U131" s="20">
        <v>0.0</v>
      </c>
    </row>
    <row r="132" ht="23.25" customHeight="1">
      <c r="A132" s="1" t="str">
        <f>IF(COUNTIF('Icon Lookup'!C:C,B132)&gt;0,LOOKUP(B132,'Icon Lookup'!C:C,'Icon Lookup'!B:B),"")</f>
        <v/>
      </c>
      <c r="B132" s="15" t="s">
        <v>223</v>
      </c>
      <c r="C132" s="1" t="s">
        <v>17</v>
      </c>
      <c r="D132" s="1" t="s">
        <v>224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23.25" customHeight="1">
      <c r="A133" s="17" t="str">
        <f>IF(COUNTIF('Icon Lookup'!C:C,B133)&gt;0,LOOKUP(B133,'Icon Lookup'!C:C,'Icon Lookup'!B:B),"")</f>
        <v/>
      </c>
      <c r="B133" s="18" t="s">
        <v>225</v>
      </c>
      <c r="C133" s="17" t="s">
        <v>17</v>
      </c>
      <c r="D133" s="17">
        <v>19.0</v>
      </c>
      <c r="E133" s="17" t="s">
        <v>26</v>
      </c>
      <c r="G133" s="19"/>
      <c r="H133" s="20" t="s">
        <v>226</v>
      </c>
      <c r="I133" s="17" t="s">
        <v>94</v>
      </c>
      <c r="J133" s="17">
        <v>0.0</v>
      </c>
      <c r="K133" s="17">
        <v>0.0</v>
      </c>
      <c r="L133" s="17">
        <v>0.0</v>
      </c>
      <c r="M133" s="17">
        <v>0.0</v>
      </c>
      <c r="N133" s="17">
        <v>0.0</v>
      </c>
      <c r="O133" s="17">
        <v>0.0</v>
      </c>
      <c r="P133" s="17">
        <v>0.0</v>
      </c>
      <c r="Q133" s="17">
        <v>0.0</v>
      </c>
      <c r="R133" s="17">
        <v>0.0</v>
      </c>
      <c r="S133" s="17">
        <v>0.0</v>
      </c>
      <c r="T133" s="17">
        <v>0.0</v>
      </c>
      <c r="U133" s="17">
        <v>0.0</v>
      </c>
    </row>
    <row r="134" ht="23.25" customHeight="1">
      <c r="A134" s="1" t="str">
        <f>IF(COUNTIF('Icon Lookup'!C:C,B134)&gt;0,LOOKUP(B134,'Icon Lookup'!C:C,'Icon Lookup'!B:B),"")</f>
        <v/>
      </c>
      <c r="B134" s="15" t="s">
        <v>227</v>
      </c>
      <c r="C134" s="1" t="s">
        <v>17</v>
      </c>
      <c r="D134" s="1" t="s">
        <v>228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23.25" customHeight="1">
      <c r="A135" s="20" t="str">
        <f>IF(COUNTIF('Icon Lookup'!C:C,B135)&gt;0,LOOKUP(B135,'Icon Lookup'!C:C,'Icon Lookup'!B:B),"")</f>
        <v/>
      </c>
      <c r="B135" s="21" t="s">
        <v>136</v>
      </c>
      <c r="C135" s="20" t="s">
        <v>17</v>
      </c>
      <c r="D135" s="20">
        <v>19.0</v>
      </c>
      <c r="E135" s="20" t="s">
        <v>137</v>
      </c>
      <c r="G135" s="22"/>
      <c r="H135" s="23" t="s">
        <v>229</v>
      </c>
      <c r="I135" s="20" t="s">
        <v>40</v>
      </c>
      <c r="J135" s="20">
        <v>0.0</v>
      </c>
      <c r="K135" s="20">
        <v>0.0</v>
      </c>
      <c r="L135" s="20">
        <v>0.0</v>
      </c>
      <c r="M135" s="20">
        <v>0.0</v>
      </c>
      <c r="N135" s="20">
        <v>0.0</v>
      </c>
      <c r="O135" s="20">
        <v>0.0</v>
      </c>
      <c r="P135" s="20">
        <v>0.0</v>
      </c>
      <c r="Q135" s="20">
        <v>0.0</v>
      </c>
      <c r="R135" s="20">
        <v>0.0</v>
      </c>
      <c r="S135" s="20">
        <v>0.0</v>
      </c>
      <c r="T135" s="20">
        <v>0.0</v>
      </c>
      <c r="U135" s="20">
        <v>0.0</v>
      </c>
    </row>
    <row r="136" ht="23.25" customHeight="1">
      <c r="A136" s="1" t="str">
        <f>IF(COUNTIF('Icon Lookup'!C:C,B136)&gt;0,LOOKUP(B136,'Icon Lookup'!C:C,'Icon Lookup'!B:B),"")</f>
        <v/>
      </c>
      <c r="B136" s="15" t="s">
        <v>230</v>
      </c>
      <c r="C136" s="1" t="s">
        <v>17</v>
      </c>
      <c r="D136" s="1" t="s">
        <v>231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23.25" customHeight="1">
      <c r="A137" s="17" t="str">
        <f>IF(COUNTIF('Icon Lookup'!C:C,B137)&gt;0,LOOKUP(B137,'Icon Lookup'!C:C,'Icon Lookup'!B:B),"")</f>
        <v/>
      </c>
      <c r="B137" s="18" t="s">
        <v>90</v>
      </c>
      <c r="C137" s="17" t="s">
        <v>17</v>
      </c>
      <c r="D137" s="17">
        <v>19.0</v>
      </c>
      <c r="E137" s="17" t="s">
        <v>91</v>
      </c>
      <c r="G137" s="19"/>
      <c r="H137" s="20" t="s">
        <v>232</v>
      </c>
      <c r="I137" s="17" t="s">
        <v>211</v>
      </c>
      <c r="J137" s="17">
        <v>0.0</v>
      </c>
      <c r="K137" s="17">
        <v>0.0</v>
      </c>
      <c r="L137" s="17">
        <v>0.0</v>
      </c>
      <c r="M137" s="17">
        <v>0.0</v>
      </c>
      <c r="N137" s="17">
        <v>0.0</v>
      </c>
      <c r="O137" s="17">
        <v>0.0</v>
      </c>
      <c r="P137" s="17">
        <v>0.0</v>
      </c>
      <c r="Q137" s="17">
        <v>0.0</v>
      </c>
      <c r="R137" s="17">
        <v>0.0</v>
      </c>
      <c r="S137" s="17">
        <v>0.0</v>
      </c>
      <c r="T137" s="17">
        <v>0.0</v>
      </c>
      <c r="U137" s="17">
        <v>0.0</v>
      </c>
    </row>
    <row r="138" ht="23.25" customHeight="1">
      <c r="A138" s="1" t="str">
        <f>IF(COUNTIF('Icon Lookup'!C:C,B138)&gt;0,LOOKUP(B138,'Icon Lookup'!C:C,'Icon Lookup'!B:B),"")</f>
        <v/>
      </c>
      <c r="B138" s="15" t="s">
        <v>233</v>
      </c>
      <c r="C138" s="1" t="s">
        <v>17</v>
      </c>
      <c r="D138" s="1" t="s">
        <v>234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23.25" customHeight="1">
      <c r="A139" s="20" t="str">
        <f>IF(COUNTIF('Icon Lookup'!C:C,B139)&gt;0,LOOKUP(B139,'Icon Lookup'!C:C,'Icon Lookup'!B:B),"")</f>
        <v/>
      </c>
      <c r="B139" s="21" t="s">
        <v>165</v>
      </c>
      <c r="C139" s="20" t="s">
        <v>17</v>
      </c>
      <c r="D139" s="20">
        <v>19.0</v>
      </c>
      <c r="E139" s="20" t="s">
        <v>166</v>
      </c>
      <c r="G139" s="22"/>
      <c r="H139" s="23" t="s">
        <v>235</v>
      </c>
      <c r="I139" s="20" t="s">
        <v>197</v>
      </c>
      <c r="J139" s="20">
        <v>0.0</v>
      </c>
      <c r="K139" s="20">
        <v>0.0</v>
      </c>
      <c r="L139" s="20">
        <v>0.0</v>
      </c>
      <c r="M139" s="20">
        <v>0.0</v>
      </c>
      <c r="N139" s="20">
        <v>0.0</v>
      </c>
      <c r="O139" s="20">
        <v>0.0</v>
      </c>
      <c r="P139" s="20">
        <v>0.0</v>
      </c>
      <c r="Q139" s="20">
        <v>0.0</v>
      </c>
      <c r="R139" s="20">
        <v>0.0</v>
      </c>
      <c r="S139" s="20">
        <v>0.0</v>
      </c>
      <c r="T139" s="20">
        <v>0.0</v>
      </c>
      <c r="U139" s="20">
        <v>0.0</v>
      </c>
    </row>
    <row r="140" ht="23.25" customHeight="1">
      <c r="A140" s="1" t="str">
        <f>IF(COUNTIF('Icon Lookup'!C:C,B140)&gt;0,LOOKUP(B140,'Icon Lookup'!C:C,'Icon Lookup'!B:B),"")</f>
        <v/>
      </c>
      <c r="B140" s="15" t="s">
        <v>236</v>
      </c>
      <c r="C140" s="1" t="s">
        <v>17</v>
      </c>
      <c r="D140" s="1" t="s">
        <v>237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23.25" customHeight="1">
      <c r="A141" s="17" t="str">
        <f>IF(COUNTIF('Icon Lookup'!C:C,B141)&gt;0,LOOKUP(B141,'Icon Lookup'!C:C,'Icon Lookup'!B:B),"")</f>
        <v/>
      </c>
      <c r="B141" s="18" t="s">
        <v>212</v>
      </c>
      <c r="C141" s="17" t="s">
        <v>17</v>
      </c>
      <c r="D141" s="17">
        <v>18.0</v>
      </c>
      <c r="E141" s="17" t="s">
        <v>137</v>
      </c>
      <c r="G141" s="19"/>
      <c r="H141" s="20" t="s">
        <v>213</v>
      </c>
      <c r="I141" s="17" t="s">
        <v>156</v>
      </c>
      <c r="J141" s="17">
        <v>0.0</v>
      </c>
      <c r="K141" s="17">
        <v>0.0</v>
      </c>
      <c r="L141" s="17">
        <v>0.0</v>
      </c>
      <c r="M141" s="17">
        <v>0.0</v>
      </c>
      <c r="N141" s="17">
        <v>0.0</v>
      </c>
      <c r="O141" s="17">
        <v>0.0</v>
      </c>
      <c r="P141" s="17">
        <v>0.0</v>
      </c>
      <c r="Q141" s="17">
        <v>0.0</v>
      </c>
      <c r="R141" s="17">
        <v>0.0</v>
      </c>
      <c r="S141" s="17">
        <v>0.0</v>
      </c>
      <c r="T141" s="17">
        <v>0.0</v>
      </c>
      <c r="U141" s="17">
        <v>0.0</v>
      </c>
    </row>
    <row r="142" ht="23.25" customHeight="1">
      <c r="A142" s="20" t="str">
        <f>IF(COUNTIF('Icon Lookup'!C:C,B142)&gt;0,LOOKUP(B142,'Icon Lookup'!C:C,'Icon Lookup'!B:B),"")</f>
        <v/>
      </c>
      <c r="B142" s="21" t="s">
        <v>136</v>
      </c>
      <c r="C142" s="20" t="s">
        <v>17</v>
      </c>
      <c r="D142" s="20">
        <v>19.0</v>
      </c>
      <c r="E142" s="20" t="s">
        <v>137</v>
      </c>
      <c r="G142" s="22"/>
      <c r="H142" s="23" t="s">
        <v>238</v>
      </c>
      <c r="I142" s="20" t="s">
        <v>156</v>
      </c>
      <c r="J142" s="20">
        <v>0.0</v>
      </c>
      <c r="K142" s="20">
        <v>0.0</v>
      </c>
      <c r="L142" s="20">
        <v>0.0</v>
      </c>
      <c r="M142" s="20">
        <v>0.0</v>
      </c>
      <c r="N142" s="20">
        <v>0.0</v>
      </c>
      <c r="O142" s="20">
        <v>0.0</v>
      </c>
      <c r="P142" s="20">
        <v>0.0</v>
      </c>
      <c r="Q142" s="20">
        <v>0.0</v>
      </c>
      <c r="R142" s="20">
        <v>0.0</v>
      </c>
      <c r="S142" s="20">
        <v>0.0</v>
      </c>
      <c r="T142" s="20">
        <v>0.0</v>
      </c>
      <c r="U142" s="20">
        <v>0.0</v>
      </c>
    </row>
    <row r="143" ht="23.25" customHeight="1">
      <c r="A143" s="17" t="str">
        <f>IF(COUNTIF('Icon Lookup'!C:C,B143)&gt;0,LOOKUP(B143,'Icon Lookup'!C:C,'Icon Lookup'!B:B),"")</f>
        <v/>
      </c>
      <c r="B143" s="18" t="s">
        <v>239</v>
      </c>
      <c r="C143" s="17" t="s">
        <v>17</v>
      </c>
      <c r="D143" s="17">
        <v>17.0</v>
      </c>
      <c r="E143" s="17" t="s">
        <v>240</v>
      </c>
      <c r="G143" s="19"/>
      <c r="H143" s="20" t="s">
        <v>241</v>
      </c>
      <c r="I143" s="17" t="s">
        <v>156</v>
      </c>
      <c r="J143" s="17">
        <v>0.0</v>
      </c>
      <c r="K143" s="17">
        <v>0.0</v>
      </c>
      <c r="L143" s="17">
        <v>0.0</v>
      </c>
      <c r="M143" s="17">
        <v>0.0</v>
      </c>
      <c r="N143" s="17">
        <v>0.0</v>
      </c>
      <c r="O143" s="17">
        <v>0.0</v>
      </c>
      <c r="P143" s="17">
        <v>0.0</v>
      </c>
      <c r="Q143" s="17">
        <v>0.0</v>
      </c>
      <c r="R143" s="17">
        <v>0.0</v>
      </c>
      <c r="S143" s="17">
        <v>0.0</v>
      </c>
      <c r="T143" s="17">
        <v>0.0</v>
      </c>
      <c r="U143" s="17">
        <v>0.0</v>
      </c>
    </row>
    <row r="144" ht="23.25" customHeight="1">
      <c r="A144" s="1" t="str">
        <f>IF(COUNTIF('Icon Lookup'!C:C,B144)&gt;0,LOOKUP(B144,'Icon Lookup'!C:C,'Icon Lookup'!B:B),"")</f>
        <v/>
      </c>
      <c r="B144" s="15" t="s">
        <v>242</v>
      </c>
      <c r="C144" s="1" t="s">
        <v>17</v>
      </c>
      <c r="D144" s="1" t="s">
        <v>243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23.25" customHeight="1">
      <c r="A145" s="20" t="str">
        <f>IF(COUNTIF('Icon Lookup'!C:C,B145)&gt;0,LOOKUP(B145,'Icon Lookup'!C:C,'Icon Lookup'!B:B),"")</f>
        <v/>
      </c>
      <c r="B145" s="21" t="s">
        <v>217</v>
      </c>
      <c r="C145" s="20" t="s">
        <v>17</v>
      </c>
      <c r="D145" s="20">
        <v>19.0</v>
      </c>
      <c r="E145" s="20" t="s">
        <v>218</v>
      </c>
      <c r="G145" s="22"/>
      <c r="H145" s="23" t="s">
        <v>244</v>
      </c>
      <c r="I145" s="20" t="s">
        <v>105</v>
      </c>
      <c r="J145" s="20">
        <v>0.0</v>
      </c>
      <c r="K145" s="20">
        <v>0.0</v>
      </c>
      <c r="L145" s="20">
        <v>0.0</v>
      </c>
      <c r="M145" s="20">
        <v>0.0</v>
      </c>
      <c r="N145" s="20">
        <v>0.0</v>
      </c>
      <c r="O145" s="20">
        <v>0.0</v>
      </c>
      <c r="P145" s="20">
        <v>0.0</v>
      </c>
      <c r="Q145" s="20">
        <v>0.0</v>
      </c>
      <c r="R145" s="20">
        <v>0.0</v>
      </c>
      <c r="S145" s="20">
        <v>0.0</v>
      </c>
      <c r="T145" s="20">
        <v>0.0</v>
      </c>
      <c r="U145" s="20">
        <v>0.0</v>
      </c>
    </row>
    <row r="146" ht="23.25" customHeight="1">
      <c r="A146" s="17" t="str">
        <f>IF(COUNTIF('Icon Lookup'!C:C,B146)&gt;0,LOOKUP(B146,'Icon Lookup'!C:C,'Icon Lookup'!B:B),"")</f>
        <v/>
      </c>
      <c r="B146" s="18" t="s">
        <v>245</v>
      </c>
      <c r="C146" s="17" t="s">
        <v>17</v>
      </c>
      <c r="D146" s="17">
        <v>17.0</v>
      </c>
      <c r="E146" s="17" t="s">
        <v>218</v>
      </c>
      <c r="G146" s="19"/>
      <c r="H146" s="20" t="s">
        <v>246</v>
      </c>
      <c r="I146" s="17" t="s">
        <v>105</v>
      </c>
      <c r="J146" s="17">
        <v>0.0</v>
      </c>
      <c r="K146" s="17">
        <v>0.0</v>
      </c>
      <c r="L146" s="17">
        <v>0.0</v>
      </c>
      <c r="M146" s="17">
        <v>0.0</v>
      </c>
      <c r="N146" s="17">
        <v>0.0</v>
      </c>
      <c r="O146" s="17">
        <v>0.0</v>
      </c>
      <c r="P146" s="17">
        <v>0.0</v>
      </c>
      <c r="Q146" s="17">
        <v>0.0</v>
      </c>
      <c r="R146" s="17">
        <v>0.0</v>
      </c>
      <c r="S146" s="17">
        <v>0.0</v>
      </c>
      <c r="T146" s="17">
        <v>0.0</v>
      </c>
      <c r="U146" s="17">
        <v>0.0</v>
      </c>
    </row>
    <row r="147" ht="23.25" customHeight="1">
      <c r="A147" s="20" t="str">
        <f>IF(COUNTIF('Icon Lookup'!C:C,B147)&gt;0,LOOKUP(B147,'Icon Lookup'!C:C,'Icon Lookup'!B:B),"")</f>
        <v/>
      </c>
      <c r="B147" s="21" t="s">
        <v>239</v>
      </c>
      <c r="C147" s="20" t="s">
        <v>17</v>
      </c>
      <c r="D147" s="20">
        <v>18.0</v>
      </c>
      <c r="E147" s="20" t="s">
        <v>240</v>
      </c>
      <c r="G147" s="22"/>
      <c r="H147" s="23" t="s">
        <v>247</v>
      </c>
      <c r="I147" s="20" t="s">
        <v>105</v>
      </c>
      <c r="J147" s="20">
        <v>0.0</v>
      </c>
      <c r="K147" s="20">
        <v>0.0</v>
      </c>
      <c r="L147" s="20">
        <v>0.0</v>
      </c>
      <c r="M147" s="20">
        <v>0.0</v>
      </c>
      <c r="N147" s="20">
        <v>0.0</v>
      </c>
      <c r="O147" s="20">
        <v>0.0</v>
      </c>
      <c r="P147" s="20">
        <v>0.0</v>
      </c>
      <c r="Q147" s="20">
        <v>0.0</v>
      </c>
      <c r="R147" s="20">
        <v>0.0</v>
      </c>
      <c r="S147" s="20">
        <v>0.0</v>
      </c>
      <c r="T147" s="20">
        <v>0.0</v>
      </c>
      <c r="U147" s="20">
        <v>0.0</v>
      </c>
    </row>
    <row r="148" ht="23.25" customHeight="1">
      <c r="A148" s="1" t="str">
        <f>IF(COUNTIF('Icon Lookup'!C:C,B148)&gt;0,LOOKUP(B148,'Icon Lookup'!C:C,'Icon Lookup'!B:B),"")</f>
        <v/>
      </c>
      <c r="B148" s="15" t="s">
        <v>248</v>
      </c>
      <c r="C148" s="1" t="s">
        <v>17</v>
      </c>
      <c r="D148" s="1" t="s">
        <v>249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23.25" customHeight="1">
      <c r="A149" s="17" t="str">
        <f>IF(COUNTIF('Icon Lookup'!C:C,B149)&gt;0,LOOKUP(B149,'Icon Lookup'!C:C,'Icon Lookup'!B:B),"")</f>
        <v/>
      </c>
      <c r="B149" s="18" t="s">
        <v>136</v>
      </c>
      <c r="C149" s="17" t="s">
        <v>17</v>
      </c>
      <c r="D149" s="17">
        <v>21.0</v>
      </c>
      <c r="E149" s="17" t="s">
        <v>137</v>
      </c>
      <c r="G149" s="19"/>
      <c r="H149" s="20" t="s">
        <v>250</v>
      </c>
      <c r="I149" s="17" t="s">
        <v>52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</row>
    <row r="150" ht="23.25" customHeight="1">
      <c r="A150" s="1" t="str">
        <f>IF(COUNTIF('Icon Lookup'!C:C,B150)&gt;0,LOOKUP(B150,'Icon Lookup'!C:C,'Icon Lookup'!B:B),"")</f>
        <v/>
      </c>
      <c r="B150" s="15" t="s">
        <v>251</v>
      </c>
      <c r="C150" s="1" t="s">
        <v>17</v>
      </c>
      <c r="D150" s="1" t="s">
        <v>252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23.25" customHeight="1">
      <c r="A151" s="20" t="str">
        <f>IF(COUNTIF('Icon Lookup'!C:C,B151)&gt;0,LOOKUP(B151,'Icon Lookup'!C:C,'Icon Lookup'!B:B),"")</f>
        <v/>
      </c>
      <c r="B151" s="21" t="s">
        <v>245</v>
      </c>
      <c r="C151" s="20" t="s">
        <v>17</v>
      </c>
      <c r="D151" s="20">
        <v>21.0</v>
      </c>
      <c r="E151" s="20" t="s">
        <v>253</v>
      </c>
      <c r="G151" s="22"/>
      <c r="H151" s="23" t="s">
        <v>254</v>
      </c>
      <c r="I151" s="20" t="s">
        <v>52</v>
      </c>
      <c r="J151" s="20">
        <v>0.0</v>
      </c>
      <c r="K151" s="20">
        <v>0.0</v>
      </c>
      <c r="L151" s="20">
        <v>0.0</v>
      </c>
      <c r="M151" s="20">
        <v>0.0</v>
      </c>
      <c r="N151" s="20">
        <v>0.0</v>
      </c>
      <c r="O151" s="20">
        <v>0.0</v>
      </c>
      <c r="P151" s="20">
        <v>0.0</v>
      </c>
      <c r="Q151" s="20">
        <v>0.0</v>
      </c>
      <c r="R151" s="20">
        <v>0.0</v>
      </c>
      <c r="S151" s="20">
        <v>0.0</v>
      </c>
      <c r="T151" s="20">
        <v>0.0</v>
      </c>
      <c r="U151" s="20">
        <v>0.0</v>
      </c>
    </row>
    <row r="152" ht="23.25" customHeight="1">
      <c r="A152" s="1" t="str">
        <f>IF(COUNTIF('Icon Lookup'!C:C,B152)&gt;0,LOOKUP(B152,'Icon Lookup'!C:C,'Icon Lookup'!B:B),"")</f>
        <v/>
      </c>
      <c r="B152" s="15" t="s">
        <v>255</v>
      </c>
      <c r="C152" s="1" t="s">
        <v>17</v>
      </c>
      <c r="D152" s="1" t="s">
        <v>256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23.25" customHeight="1">
      <c r="A153" s="17" t="str">
        <f>IF(COUNTIF('Icon Lookup'!C:C,B153)&gt;0,LOOKUP(B153,'Icon Lookup'!C:C,'Icon Lookup'!B:B),"")</f>
        <v/>
      </c>
      <c r="B153" s="18" t="s">
        <v>257</v>
      </c>
      <c r="C153" s="17" t="s">
        <v>17</v>
      </c>
      <c r="D153" s="17">
        <v>25.0</v>
      </c>
      <c r="E153" s="17" t="s">
        <v>258</v>
      </c>
      <c r="G153" s="19"/>
      <c r="H153" s="20" t="s">
        <v>259</v>
      </c>
      <c r="I153" s="17" t="s">
        <v>94</v>
      </c>
      <c r="J153" s="17">
        <v>0.0</v>
      </c>
      <c r="K153" s="17">
        <v>0.0</v>
      </c>
      <c r="L153" s="17">
        <v>0.0</v>
      </c>
      <c r="M153" s="17">
        <v>0.0</v>
      </c>
      <c r="N153" s="17">
        <v>0.0</v>
      </c>
      <c r="O153" s="17">
        <v>0.0</v>
      </c>
      <c r="P153" s="17">
        <v>0.0</v>
      </c>
      <c r="Q153" s="17">
        <v>0.0</v>
      </c>
      <c r="R153" s="17">
        <v>0.0</v>
      </c>
      <c r="S153" s="17">
        <v>0.0</v>
      </c>
      <c r="T153" s="17">
        <v>0.0</v>
      </c>
      <c r="U153" s="17">
        <v>0.0</v>
      </c>
    </row>
    <row r="154" ht="23.25" customHeight="1">
      <c r="A154" s="20" t="str">
        <f>IF(COUNTIF('Icon Lookup'!C:C,B154)&gt;0,LOOKUP(B154,'Icon Lookup'!C:C,'Icon Lookup'!B:B),"")</f>
        <v/>
      </c>
      <c r="B154" s="21" t="s">
        <v>97</v>
      </c>
      <c r="C154" s="20" t="s">
        <v>17</v>
      </c>
      <c r="D154" s="20">
        <v>26.0</v>
      </c>
      <c r="E154" s="20" t="s">
        <v>87</v>
      </c>
      <c r="G154" s="22"/>
      <c r="H154" s="23" t="s">
        <v>260</v>
      </c>
      <c r="I154" s="20" t="s">
        <v>89</v>
      </c>
      <c r="J154" s="20">
        <v>0.0</v>
      </c>
      <c r="K154" s="20">
        <v>0.0</v>
      </c>
      <c r="L154" s="20">
        <v>0.0</v>
      </c>
      <c r="M154" s="20">
        <v>0.0</v>
      </c>
      <c r="N154" s="20">
        <v>0.0</v>
      </c>
      <c r="O154" s="20">
        <v>0.0</v>
      </c>
      <c r="P154" s="20">
        <v>0.0</v>
      </c>
      <c r="Q154" s="20">
        <v>0.0</v>
      </c>
      <c r="R154" s="20">
        <v>0.0</v>
      </c>
      <c r="S154" s="20">
        <v>0.0</v>
      </c>
      <c r="T154" s="20">
        <v>0.0</v>
      </c>
      <c r="U154" s="20">
        <v>0.0</v>
      </c>
    </row>
    <row r="155" ht="23.25" customHeight="1">
      <c r="A155" s="17" t="str">
        <f>IF(COUNTIF('Icon Lookup'!C:C,B155)&gt;0,LOOKUP(B155,'Icon Lookup'!C:C,'Icon Lookup'!B:B),"")</f>
        <v/>
      </c>
      <c r="B155" s="18" t="s">
        <v>225</v>
      </c>
      <c r="C155" s="17" t="s">
        <v>17</v>
      </c>
      <c r="D155" s="17">
        <v>27.0</v>
      </c>
      <c r="E155" s="17" t="s">
        <v>26</v>
      </c>
      <c r="G155" s="19"/>
      <c r="H155" s="20" t="s">
        <v>261</v>
      </c>
      <c r="I155" s="17" t="s">
        <v>94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</row>
    <row r="156" ht="23.25" customHeight="1">
      <c r="A156" s="1" t="str">
        <f>IF(COUNTIF('Icon Lookup'!C:C,B156)&gt;0,LOOKUP(B156,'Icon Lookup'!C:C,'Icon Lookup'!B:B),"")</f>
        <v/>
      </c>
      <c r="B156" s="15" t="s">
        <v>262</v>
      </c>
      <c r="C156" s="1" t="s">
        <v>17</v>
      </c>
      <c r="D156" s="1" t="s">
        <v>263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23.25" customHeight="1">
      <c r="A157" s="20" t="str">
        <f>IF(COUNTIF('Icon Lookup'!C:C,B157)&gt;0,LOOKUP(B157,'Icon Lookup'!C:C,'Icon Lookup'!B:B),"")</f>
        <v/>
      </c>
      <c r="B157" s="21" t="s">
        <v>78</v>
      </c>
      <c r="C157" s="20" t="s">
        <v>17</v>
      </c>
      <c r="D157" s="20">
        <v>27.0</v>
      </c>
      <c r="E157" s="20" t="s">
        <v>121</v>
      </c>
      <c r="G157" s="22"/>
      <c r="H157" s="23" t="s">
        <v>264</v>
      </c>
      <c r="I157" s="20" t="s">
        <v>265</v>
      </c>
      <c r="J157" s="20">
        <v>0.0</v>
      </c>
      <c r="K157" s="20">
        <v>0.0</v>
      </c>
      <c r="L157" s="20">
        <v>0.0</v>
      </c>
      <c r="M157" s="20">
        <v>0.0</v>
      </c>
      <c r="N157" s="20">
        <v>0.0</v>
      </c>
      <c r="O157" s="20">
        <v>0.0</v>
      </c>
      <c r="P157" s="20">
        <v>0.0</v>
      </c>
      <c r="Q157" s="20">
        <v>0.0</v>
      </c>
      <c r="R157" s="20">
        <v>0.0</v>
      </c>
      <c r="S157" s="20">
        <v>0.0</v>
      </c>
      <c r="T157" s="20">
        <v>0.0</v>
      </c>
      <c r="U157" s="20">
        <v>0.0</v>
      </c>
    </row>
    <row r="158" ht="23.25" customHeight="1">
      <c r="A158" s="17" t="str">
        <f>IF(COUNTIF('Icon Lookup'!C:C,B158)&gt;0,LOOKUP(B158,'Icon Lookup'!C:C,'Icon Lookup'!B:B),"")</f>
        <v/>
      </c>
      <c r="B158" s="18" t="s">
        <v>266</v>
      </c>
      <c r="C158" s="17" t="s">
        <v>17</v>
      </c>
      <c r="D158" s="17">
        <v>27.0</v>
      </c>
      <c r="E158" s="17" t="s">
        <v>267</v>
      </c>
      <c r="G158" s="19"/>
      <c r="H158" s="20" t="s">
        <v>268</v>
      </c>
      <c r="I158" s="17" t="s">
        <v>211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0.0</v>
      </c>
      <c r="Q158" s="17">
        <v>0.0</v>
      </c>
      <c r="R158" s="17">
        <v>0.0</v>
      </c>
      <c r="S158" s="17">
        <v>0.0</v>
      </c>
      <c r="T158" s="17">
        <v>0.0</v>
      </c>
      <c r="U158" s="17">
        <v>0.0</v>
      </c>
    </row>
    <row r="159" ht="23.25" customHeight="1">
      <c r="A159" s="1" t="str">
        <f>IF(COUNTIF('Icon Lookup'!C:C,B159)&gt;0,LOOKUP(B159,'Icon Lookup'!C:C,'Icon Lookup'!B:B),"")</f>
        <v/>
      </c>
      <c r="B159" s="15" t="s">
        <v>269</v>
      </c>
      <c r="C159" s="1" t="s">
        <v>17</v>
      </c>
      <c r="D159" s="1" t="s">
        <v>270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23.25" customHeight="1">
      <c r="A160" s="20" t="str">
        <f>IF(COUNTIF('Icon Lookup'!C:C,B160)&gt;0,LOOKUP(B160,'Icon Lookup'!C:C,'Icon Lookup'!B:B),"")</f>
        <v/>
      </c>
      <c r="B160" s="21" t="s">
        <v>271</v>
      </c>
      <c r="C160" s="20" t="s">
        <v>17</v>
      </c>
      <c r="D160" s="20">
        <v>26.0</v>
      </c>
      <c r="E160" s="20" t="s">
        <v>44</v>
      </c>
      <c r="G160" s="22"/>
      <c r="H160" s="23" t="s">
        <v>272</v>
      </c>
      <c r="I160" s="20" t="s">
        <v>22</v>
      </c>
      <c r="J160" s="20">
        <v>0.0</v>
      </c>
      <c r="K160" s="20">
        <v>0.0</v>
      </c>
      <c r="L160" s="20">
        <v>0.0</v>
      </c>
      <c r="M160" s="20">
        <v>0.0</v>
      </c>
      <c r="N160" s="20">
        <v>0.0</v>
      </c>
      <c r="O160" s="20">
        <v>0.0</v>
      </c>
      <c r="P160" s="20">
        <v>0.0</v>
      </c>
      <c r="Q160" s="20">
        <v>0.0</v>
      </c>
      <c r="R160" s="20">
        <v>0.0</v>
      </c>
      <c r="S160" s="20">
        <v>0.0</v>
      </c>
      <c r="T160" s="20">
        <v>0.0</v>
      </c>
      <c r="U160" s="20">
        <v>0.0</v>
      </c>
    </row>
    <row r="161" ht="23.25" customHeight="1">
      <c r="A161" s="17" t="str">
        <f>IF(COUNTIF('Icon Lookup'!C:C,B161)&gt;0,LOOKUP(B161,'Icon Lookup'!C:C,'Icon Lookup'!B:B),"")</f>
        <v/>
      </c>
      <c r="B161" s="18" t="s">
        <v>273</v>
      </c>
      <c r="C161" s="17" t="s">
        <v>17</v>
      </c>
      <c r="D161" s="17">
        <v>26.0</v>
      </c>
      <c r="E161" s="17" t="s">
        <v>38</v>
      </c>
      <c r="G161" s="19"/>
      <c r="H161" s="20" t="s">
        <v>274</v>
      </c>
      <c r="I161" s="17" t="s">
        <v>52</v>
      </c>
      <c r="J161" s="17">
        <v>0.0</v>
      </c>
      <c r="K161" s="17">
        <v>0.0</v>
      </c>
      <c r="L161" s="17">
        <v>0.0</v>
      </c>
      <c r="M161" s="17">
        <v>0.0</v>
      </c>
      <c r="N161" s="17">
        <v>0.0</v>
      </c>
      <c r="O161" s="17">
        <v>0.0</v>
      </c>
      <c r="P161" s="17">
        <v>0.0</v>
      </c>
      <c r="Q161" s="17">
        <v>0.0</v>
      </c>
      <c r="R161" s="17">
        <v>0.0</v>
      </c>
      <c r="S161" s="17">
        <v>0.0</v>
      </c>
      <c r="T161" s="17">
        <v>0.0</v>
      </c>
      <c r="U161" s="17">
        <v>0.0</v>
      </c>
    </row>
    <row r="162" ht="23.25" customHeight="1">
      <c r="A162" s="20" t="str">
        <f>IF(COUNTIF('Icon Lookup'!C:C,B162)&gt;0,LOOKUP(B162,'Icon Lookup'!C:C,'Icon Lookup'!B:B),"")</f>
        <v/>
      </c>
      <c r="B162" s="21" t="s">
        <v>275</v>
      </c>
      <c r="C162" s="20" t="s">
        <v>17</v>
      </c>
      <c r="D162" s="20">
        <v>26.0</v>
      </c>
      <c r="E162" s="20" t="s">
        <v>276</v>
      </c>
      <c r="G162" s="22"/>
      <c r="H162" s="23" t="s">
        <v>277</v>
      </c>
      <c r="I162" s="20" t="s">
        <v>22</v>
      </c>
      <c r="J162" s="20">
        <v>0.0</v>
      </c>
      <c r="K162" s="20">
        <v>0.0</v>
      </c>
      <c r="L162" s="20">
        <v>0.0</v>
      </c>
      <c r="M162" s="20">
        <v>0.0</v>
      </c>
      <c r="N162" s="20">
        <v>0.0</v>
      </c>
      <c r="O162" s="20">
        <v>0.0</v>
      </c>
      <c r="P162" s="20">
        <v>0.0</v>
      </c>
      <c r="Q162" s="20">
        <v>0.0</v>
      </c>
      <c r="R162" s="20">
        <v>0.0</v>
      </c>
      <c r="S162" s="20">
        <v>0.0</v>
      </c>
      <c r="T162" s="20">
        <v>0.0</v>
      </c>
      <c r="U162" s="20">
        <v>0.0</v>
      </c>
    </row>
    <row r="163" ht="23.25" customHeight="1">
      <c r="A163" s="1" t="str">
        <f>IF(COUNTIF('Icon Lookup'!C:C,B163)&gt;0,LOOKUP(B163,'Icon Lookup'!C:C,'Icon Lookup'!B:B),"")</f>
        <v/>
      </c>
      <c r="B163" s="15" t="s">
        <v>278</v>
      </c>
      <c r="C163" s="1" t="s">
        <v>17</v>
      </c>
      <c r="D163" s="1" t="s">
        <v>279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23.25" customHeight="1">
      <c r="A164" s="17" t="str">
        <f>IF(COUNTIF('Icon Lookup'!C:C,B164)&gt;0,LOOKUP(B164,'Icon Lookup'!C:C,'Icon Lookup'!B:B),"")</f>
        <v/>
      </c>
      <c r="B164" s="18" t="s">
        <v>275</v>
      </c>
      <c r="C164" s="17" t="s">
        <v>17</v>
      </c>
      <c r="D164" s="17">
        <v>29.0</v>
      </c>
      <c r="E164" s="17" t="s">
        <v>91</v>
      </c>
      <c r="G164" s="19"/>
      <c r="H164" s="20" t="s">
        <v>232</v>
      </c>
      <c r="I164" s="17" t="s">
        <v>89</v>
      </c>
      <c r="J164" s="17">
        <v>0.0</v>
      </c>
      <c r="K164" s="17">
        <v>0.0</v>
      </c>
      <c r="L164" s="17">
        <v>0.0</v>
      </c>
      <c r="M164" s="17">
        <v>0.0</v>
      </c>
      <c r="N164" s="17">
        <v>0.0</v>
      </c>
      <c r="O164" s="17">
        <v>0.0</v>
      </c>
      <c r="P164" s="17">
        <v>0.0</v>
      </c>
      <c r="Q164" s="17">
        <v>0.0</v>
      </c>
      <c r="R164" s="17">
        <v>0.0</v>
      </c>
      <c r="S164" s="17">
        <v>0.0</v>
      </c>
      <c r="T164" s="17">
        <v>0.0</v>
      </c>
      <c r="U164" s="17">
        <v>0.0</v>
      </c>
    </row>
    <row r="165" ht="23.25" customHeight="1">
      <c r="A165" s="1" t="str">
        <f>IF(COUNTIF('Icon Lookup'!C:C,B165)&gt;0,LOOKUP(B165,'Icon Lookup'!C:C,'Icon Lookup'!B:B),"")</f>
        <v/>
      </c>
      <c r="B165" s="15" t="s">
        <v>280</v>
      </c>
      <c r="C165" s="1" t="s">
        <v>17</v>
      </c>
      <c r="D165" s="1" t="s">
        <v>281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23.25" customHeight="1">
      <c r="A166" s="20" t="str">
        <f>IF(COUNTIF('Icon Lookup'!C:C,B166)&gt;0,LOOKUP(B166,'Icon Lookup'!C:C,'Icon Lookup'!B:B),"")</f>
        <v/>
      </c>
      <c r="B166" s="21" t="s">
        <v>37</v>
      </c>
      <c r="C166" s="20" t="s">
        <v>17</v>
      </c>
      <c r="D166" s="20">
        <v>23.0</v>
      </c>
      <c r="E166" s="20" t="s">
        <v>38</v>
      </c>
      <c r="G166" s="22"/>
      <c r="H166" s="23" t="s">
        <v>127</v>
      </c>
      <c r="I166" s="20" t="s">
        <v>40</v>
      </c>
      <c r="J166" s="20">
        <v>0.0</v>
      </c>
      <c r="K166" s="20">
        <v>0.0</v>
      </c>
      <c r="L166" s="20">
        <v>0.0</v>
      </c>
      <c r="M166" s="20">
        <v>0.0</v>
      </c>
      <c r="N166" s="20">
        <v>0.0</v>
      </c>
      <c r="O166" s="20">
        <v>0.0</v>
      </c>
      <c r="P166" s="20">
        <v>0.0</v>
      </c>
      <c r="Q166" s="20">
        <v>0.0</v>
      </c>
      <c r="R166" s="20">
        <v>0.0</v>
      </c>
      <c r="S166" s="20">
        <v>0.0</v>
      </c>
      <c r="T166" s="20">
        <v>0.0</v>
      </c>
      <c r="U166" s="20">
        <v>0.0</v>
      </c>
    </row>
    <row r="167" ht="23.25" customHeight="1">
      <c r="A167" s="17" t="str">
        <f>IF(COUNTIF('Icon Lookup'!C:C,B167)&gt;0,LOOKUP(B167,'Icon Lookup'!C:C,'Icon Lookup'!B:B),"")</f>
        <v/>
      </c>
      <c r="B167" s="18" t="s">
        <v>282</v>
      </c>
      <c r="C167" s="17" t="s">
        <v>17</v>
      </c>
      <c r="D167" s="17">
        <v>25.0</v>
      </c>
      <c r="E167" s="17" t="s">
        <v>283</v>
      </c>
      <c r="G167" s="19"/>
      <c r="H167" s="20" t="s">
        <v>284</v>
      </c>
      <c r="I167" s="17" t="s">
        <v>46</v>
      </c>
      <c r="J167" s="17">
        <v>0.0</v>
      </c>
      <c r="K167" s="17">
        <v>0.0</v>
      </c>
      <c r="L167" s="17">
        <v>0.0</v>
      </c>
      <c r="M167" s="17">
        <v>0.0</v>
      </c>
      <c r="N167" s="17">
        <v>0.0</v>
      </c>
      <c r="O167" s="17">
        <v>0.0</v>
      </c>
      <c r="P167" s="17">
        <v>0.0</v>
      </c>
      <c r="Q167" s="17">
        <v>0.0</v>
      </c>
      <c r="R167" s="17">
        <v>0.0</v>
      </c>
      <c r="S167" s="17">
        <v>0.0</v>
      </c>
      <c r="T167" s="17">
        <v>0.0</v>
      </c>
      <c r="U167" s="17">
        <v>0.0</v>
      </c>
    </row>
    <row r="168" ht="23.25" customHeight="1">
      <c r="A168" s="20" t="str">
        <f>IF(COUNTIF('Icon Lookup'!C:C,B168)&gt;0,LOOKUP(B168,'Icon Lookup'!C:C,'Icon Lookup'!B:B),"")</f>
        <v/>
      </c>
      <c r="B168" s="21" t="s">
        <v>37</v>
      </c>
      <c r="C168" s="20" t="s">
        <v>17</v>
      </c>
      <c r="D168" s="20">
        <v>23.0</v>
      </c>
      <c r="E168" s="20" t="s">
        <v>38</v>
      </c>
      <c r="G168" s="22"/>
      <c r="H168" s="23" t="s">
        <v>127</v>
      </c>
      <c r="I168" s="20" t="s">
        <v>40</v>
      </c>
      <c r="J168" s="20">
        <v>0.0</v>
      </c>
      <c r="K168" s="20">
        <v>0.0</v>
      </c>
      <c r="L168" s="20">
        <v>0.0</v>
      </c>
      <c r="M168" s="20">
        <v>0.0</v>
      </c>
      <c r="N168" s="20">
        <v>0.0</v>
      </c>
      <c r="O168" s="20">
        <v>0.0</v>
      </c>
      <c r="P168" s="20">
        <v>0.0</v>
      </c>
      <c r="Q168" s="20">
        <v>0.0</v>
      </c>
      <c r="R168" s="20">
        <v>0.0</v>
      </c>
      <c r="S168" s="20">
        <v>0.0</v>
      </c>
      <c r="T168" s="20">
        <v>0.0</v>
      </c>
      <c r="U168" s="20">
        <v>0.0</v>
      </c>
    </row>
    <row r="169" ht="23.25" customHeight="1">
      <c r="A169" s="17" t="str">
        <f>IF(COUNTIF('Icon Lookup'!C:C,B169)&gt;0,LOOKUP(B169,'Icon Lookup'!C:C,'Icon Lookup'!B:B),"")</f>
        <v/>
      </c>
      <c r="B169" s="18" t="s">
        <v>174</v>
      </c>
      <c r="C169" s="17" t="s">
        <v>17</v>
      </c>
      <c r="D169" s="17">
        <v>25.0</v>
      </c>
      <c r="E169" s="17" t="s">
        <v>38</v>
      </c>
      <c r="G169" s="19"/>
      <c r="H169" s="20" t="s">
        <v>285</v>
      </c>
      <c r="I169" s="17" t="s">
        <v>40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</row>
    <row r="170" ht="23.25" customHeight="1">
      <c r="A170" s="1" t="str">
        <f>IF(COUNTIF('Icon Lookup'!C:C,B170)&gt;0,LOOKUP(B170,'Icon Lookup'!C:C,'Icon Lookup'!B:B),"")</f>
        <v/>
      </c>
      <c r="B170" s="15" t="s">
        <v>286</v>
      </c>
      <c r="C170" s="1" t="s">
        <v>17</v>
      </c>
      <c r="D170" s="1" t="s">
        <v>287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23.25" customHeight="1">
      <c r="A171" s="20" t="str">
        <f>IF(COUNTIF('Icon Lookup'!C:C,B171)&gt;0,LOOKUP(B171,'Icon Lookup'!C:C,'Icon Lookup'!B:B),"")</f>
        <v/>
      </c>
      <c r="B171" s="21" t="s">
        <v>288</v>
      </c>
      <c r="C171" s="20" t="s">
        <v>17</v>
      </c>
      <c r="D171" s="20">
        <v>25.0</v>
      </c>
      <c r="E171" s="20" t="s">
        <v>289</v>
      </c>
      <c r="G171" s="22"/>
      <c r="H171" s="23" t="s">
        <v>290</v>
      </c>
      <c r="I171" s="20" t="s">
        <v>36</v>
      </c>
      <c r="J171" s="20">
        <v>0.0</v>
      </c>
      <c r="K171" s="20">
        <v>0.0</v>
      </c>
      <c r="L171" s="20">
        <v>0.0</v>
      </c>
      <c r="M171" s="20">
        <v>0.0</v>
      </c>
      <c r="N171" s="20">
        <v>0.0</v>
      </c>
      <c r="O171" s="20">
        <v>0.0</v>
      </c>
      <c r="P171" s="20">
        <v>0.0</v>
      </c>
      <c r="Q171" s="20">
        <v>0.0</v>
      </c>
      <c r="R171" s="20">
        <v>0.0</v>
      </c>
      <c r="S171" s="20">
        <v>0.0</v>
      </c>
      <c r="T171" s="20">
        <v>0.0</v>
      </c>
      <c r="U171" s="20">
        <v>0.0</v>
      </c>
    </row>
    <row r="172" ht="23.25" customHeight="1">
      <c r="A172" s="17" t="str">
        <f>IF(COUNTIF('Icon Lookup'!C:C,B172)&gt;0,LOOKUP(B172,'Icon Lookup'!C:C,'Icon Lookup'!B:B),"")</f>
        <v/>
      </c>
      <c r="B172" s="18" t="s">
        <v>174</v>
      </c>
      <c r="C172" s="17" t="s">
        <v>17</v>
      </c>
      <c r="D172" s="17">
        <v>25.0</v>
      </c>
      <c r="E172" s="17" t="s">
        <v>38</v>
      </c>
      <c r="G172" s="19"/>
      <c r="H172" s="20" t="s">
        <v>127</v>
      </c>
      <c r="I172" s="17" t="s">
        <v>40</v>
      </c>
      <c r="J172" s="17">
        <v>0.0</v>
      </c>
      <c r="K172" s="17">
        <v>0.0</v>
      </c>
      <c r="L172" s="17">
        <v>0.0</v>
      </c>
      <c r="M172" s="17">
        <v>0.0</v>
      </c>
      <c r="N172" s="17">
        <v>0.0</v>
      </c>
      <c r="O172" s="17">
        <v>0.0</v>
      </c>
      <c r="P172" s="17">
        <v>0.0</v>
      </c>
      <c r="Q172" s="17">
        <v>0.0</v>
      </c>
      <c r="R172" s="17">
        <v>0.0</v>
      </c>
      <c r="S172" s="17">
        <v>0.0</v>
      </c>
      <c r="T172" s="17">
        <v>0.0</v>
      </c>
      <c r="U172" s="17">
        <v>0.0</v>
      </c>
    </row>
    <row r="173" ht="23.25" customHeight="1">
      <c r="A173" s="1" t="str">
        <f>IF(COUNTIF('Icon Lookup'!C:C,B173)&gt;0,LOOKUP(B173,'Icon Lookup'!C:C,'Icon Lookup'!B:B),"")</f>
        <v/>
      </c>
      <c r="B173" s="15" t="s">
        <v>291</v>
      </c>
      <c r="C173" s="1" t="s">
        <v>17</v>
      </c>
      <c r="D173" s="1" t="s">
        <v>292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23.25" customHeight="1">
      <c r="A174" s="20" t="str">
        <f>IF(COUNTIF('Icon Lookup'!C:C,B174)&gt;0,LOOKUP(B174,'Icon Lookup'!C:C,'Icon Lookup'!B:B),"")</f>
        <v/>
      </c>
      <c r="B174" s="21" t="s">
        <v>293</v>
      </c>
      <c r="C174" s="20" t="s">
        <v>17</v>
      </c>
      <c r="D174" s="20">
        <v>27.0</v>
      </c>
      <c r="E174" s="20" t="s">
        <v>61</v>
      </c>
      <c r="G174" s="22"/>
      <c r="H174" s="23" t="s">
        <v>294</v>
      </c>
      <c r="I174" s="20" t="s">
        <v>40</v>
      </c>
      <c r="J174" s="20">
        <v>0.0</v>
      </c>
      <c r="K174" s="20">
        <v>0.0</v>
      </c>
      <c r="L174" s="20">
        <v>0.0</v>
      </c>
      <c r="M174" s="20">
        <v>0.0</v>
      </c>
      <c r="N174" s="20">
        <v>0.0</v>
      </c>
      <c r="O174" s="20">
        <v>0.0</v>
      </c>
      <c r="P174" s="20">
        <v>0.0</v>
      </c>
      <c r="Q174" s="20">
        <v>0.0</v>
      </c>
      <c r="R174" s="20">
        <v>0.0</v>
      </c>
      <c r="S174" s="20">
        <v>0.0</v>
      </c>
      <c r="T174" s="20">
        <v>0.0</v>
      </c>
      <c r="U174" s="20">
        <v>0.0</v>
      </c>
    </row>
    <row r="175" ht="23.25" customHeight="1">
      <c r="A175" s="1" t="str">
        <f>IF(COUNTIF('Icon Lookup'!C:C,B175)&gt;0,LOOKUP(B175,'Icon Lookup'!C:C,'Icon Lookup'!B:B),"")</f>
        <v/>
      </c>
      <c r="B175" s="15" t="s">
        <v>295</v>
      </c>
      <c r="C175" s="1" t="s">
        <v>17</v>
      </c>
      <c r="D175" s="1" t="s">
        <v>296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23.25" customHeight="1">
      <c r="A176" s="17" t="str">
        <f>IF(COUNTIF('Icon Lookup'!C:C,B176)&gt;0,LOOKUP(B176,'Icon Lookup'!C:C,'Icon Lookup'!B:B),"")</f>
        <v/>
      </c>
      <c r="B176" s="18" t="s">
        <v>297</v>
      </c>
      <c r="C176" s="17" t="s">
        <v>17</v>
      </c>
      <c r="D176" s="17">
        <v>39.0</v>
      </c>
      <c r="E176" s="17" t="s">
        <v>298</v>
      </c>
      <c r="G176" s="19"/>
      <c r="H176" s="20" t="s">
        <v>299</v>
      </c>
      <c r="I176" s="17" t="s">
        <v>22</v>
      </c>
      <c r="J176" s="17">
        <v>0.0</v>
      </c>
      <c r="K176" s="17">
        <v>0.0</v>
      </c>
      <c r="L176" s="17">
        <v>0.0</v>
      </c>
      <c r="M176" s="17">
        <v>0.0</v>
      </c>
      <c r="N176" s="17">
        <v>0.0</v>
      </c>
      <c r="O176" s="17">
        <v>0.0</v>
      </c>
      <c r="P176" s="17">
        <v>0.0</v>
      </c>
      <c r="Q176" s="17">
        <v>0.0</v>
      </c>
      <c r="R176" s="17">
        <v>0.0</v>
      </c>
      <c r="S176" s="17">
        <v>0.0</v>
      </c>
      <c r="T176" s="17">
        <v>0.0</v>
      </c>
      <c r="U176" s="17">
        <v>0.0</v>
      </c>
    </row>
    <row r="177" ht="23.25" customHeight="1">
      <c r="A177" s="1" t="str">
        <f>IF(COUNTIF('Icon Lookup'!C:C,B177)&gt;0,LOOKUP(B177,'Icon Lookup'!C:C,'Icon Lookup'!B:B),"")</f>
        <v/>
      </c>
      <c r="B177" s="15" t="s">
        <v>300</v>
      </c>
      <c r="C177" s="1" t="s">
        <v>17</v>
      </c>
      <c r="D177" s="1" t="s">
        <v>301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23.25" customHeight="1">
      <c r="A178" s="20" t="str">
        <f>IF(COUNTIF('Icon Lookup'!C:C,B178)&gt;0,LOOKUP(B178,'Icon Lookup'!C:C,'Icon Lookup'!B:B),"")</f>
        <v/>
      </c>
      <c r="B178" s="21" t="s">
        <v>302</v>
      </c>
      <c r="C178" s="20" t="s">
        <v>17</v>
      </c>
      <c r="D178" s="20">
        <v>27.0</v>
      </c>
      <c r="E178" s="20" t="s">
        <v>20</v>
      </c>
      <c r="G178" s="22"/>
      <c r="H178" s="23" t="s">
        <v>303</v>
      </c>
      <c r="I178" s="20" t="s">
        <v>52</v>
      </c>
      <c r="J178" s="20">
        <v>0.0</v>
      </c>
      <c r="K178" s="20">
        <v>0.0</v>
      </c>
      <c r="L178" s="20">
        <v>0.0</v>
      </c>
      <c r="M178" s="20">
        <v>0.0</v>
      </c>
      <c r="N178" s="20">
        <v>0.0</v>
      </c>
      <c r="O178" s="20">
        <v>0.0</v>
      </c>
      <c r="P178" s="20">
        <v>0.0</v>
      </c>
      <c r="Q178" s="20">
        <v>0.0</v>
      </c>
      <c r="R178" s="20">
        <v>0.0</v>
      </c>
      <c r="S178" s="20">
        <v>0.0</v>
      </c>
      <c r="T178" s="20">
        <v>0.0</v>
      </c>
      <c r="U178" s="20">
        <v>0.0</v>
      </c>
    </row>
    <row r="179" ht="23.25" customHeight="1">
      <c r="A179" s="17" t="str">
        <f>IF(COUNTIF('Icon Lookup'!C:C,B179)&gt;0,LOOKUP(B179,'Icon Lookup'!C:C,'Icon Lookup'!B:B),"")</f>
        <v/>
      </c>
      <c r="B179" s="18" t="s">
        <v>304</v>
      </c>
      <c r="C179" s="17" t="s">
        <v>17</v>
      </c>
      <c r="D179" s="17">
        <v>27.0</v>
      </c>
      <c r="E179" s="17" t="s">
        <v>20</v>
      </c>
      <c r="G179" s="19"/>
      <c r="H179" s="20" t="s">
        <v>305</v>
      </c>
      <c r="I179" s="17" t="s">
        <v>22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</row>
    <row r="180" ht="23.25" customHeight="1">
      <c r="A180" s="1" t="str">
        <f>IF(COUNTIF('Icon Lookup'!C:C,B180)&gt;0,LOOKUP(B180,'Icon Lookup'!C:C,'Icon Lookup'!B:B),"")</f>
        <v/>
      </c>
      <c r="B180" s="15" t="s">
        <v>306</v>
      </c>
      <c r="C180" s="1" t="s">
        <v>17</v>
      </c>
      <c r="D180" s="1" t="s">
        <v>307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23.25" customHeight="1">
      <c r="A181" s="20" t="str">
        <f>IF(COUNTIF('Icon Lookup'!C:C,B181)&gt;0,LOOKUP(B181,'Icon Lookup'!C:C,'Icon Lookup'!B:B),"")</f>
        <v/>
      </c>
      <c r="B181" s="21" t="s">
        <v>190</v>
      </c>
      <c r="C181" s="20" t="s">
        <v>17</v>
      </c>
      <c r="D181" s="20">
        <v>27.0</v>
      </c>
      <c r="E181" s="20" t="s">
        <v>26</v>
      </c>
      <c r="G181" s="22"/>
      <c r="H181" s="23" t="s">
        <v>308</v>
      </c>
      <c r="I181" s="20" t="s">
        <v>156</v>
      </c>
      <c r="J181" s="20">
        <v>0.0</v>
      </c>
      <c r="K181" s="20">
        <v>0.0</v>
      </c>
      <c r="L181" s="20">
        <v>0.0</v>
      </c>
      <c r="M181" s="20">
        <v>0.0</v>
      </c>
      <c r="N181" s="20">
        <v>0.0</v>
      </c>
      <c r="O181" s="20">
        <v>0.0</v>
      </c>
      <c r="P181" s="20">
        <v>0.0</v>
      </c>
      <c r="Q181" s="20">
        <v>0.0</v>
      </c>
      <c r="R181" s="20">
        <v>0.0</v>
      </c>
      <c r="S181" s="20">
        <v>0.0</v>
      </c>
      <c r="T181" s="20">
        <v>0.0</v>
      </c>
      <c r="U181" s="20">
        <v>0.0</v>
      </c>
    </row>
    <row r="182" ht="23.25" customHeight="1">
      <c r="A182" s="1" t="str">
        <f>IF(COUNTIF('Icon Lookup'!C:C,B182)&gt;0,LOOKUP(B182,'Icon Lookup'!C:C,'Icon Lookup'!B:B),"")</f>
        <v/>
      </c>
      <c r="B182" s="15" t="s">
        <v>309</v>
      </c>
      <c r="C182" s="1" t="s">
        <v>17</v>
      </c>
      <c r="D182" s="1" t="s">
        <v>310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23.25" customHeight="1">
      <c r="A183" s="17" t="str">
        <f>IF(COUNTIF('Icon Lookup'!C:C,B183)&gt;0,LOOKUP(B183,'Icon Lookup'!C:C,'Icon Lookup'!B:B),"")</f>
        <v/>
      </c>
      <c r="B183" s="18" t="s">
        <v>311</v>
      </c>
      <c r="C183" s="17" t="s">
        <v>17</v>
      </c>
      <c r="D183" s="17">
        <v>27.0</v>
      </c>
      <c r="E183" s="17" t="s">
        <v>137</v>
      </c>
      <c r="G183" s="19"/>
      <c r="H183" s="20" t="s">
        <v>312</v>
      </c>
      <c r="I183" s="17" t="s">
        <v>156</v>
      </c>
      <c r="J183" s="17">
        <v>0.0</v>
      </c>
      <c r="K183" s="17">
        <v>0.0</v>
      </c>
      <c r="L183" s="17">
        <v>0.0</v>
      </c>
      <c r="M183" s="17">
        <v>0.0</v>
      </c>
      <c r="N183" s="17">
        <v>0.0</v>
      </c>
      <c r="O183" s="17">
        <v>0.0</v>
      </c>
      <c r="P183" s="17">
        <v>0.0</v>
      </c>
      <c r="Q183" s="17">
        <v>0.0</v>
      </c>
      <c r="R183" s="17">
        <v>0.0</v>
      </c>
      <c r="S183" s="17">
        <v>0.0</v>
      </c>
      <c r="T183" s="17">
        <v>0.0</v>
      </c>
      <c r="U183" s="17">
        <v>0.0</v>
      </c>
    </row>
    <row r="184" ht="23.25" customHeight="1">
      <c r="A184" s="1" t="str">
        <f>IF(COUNTIF('Icon Lookup'!C:C,B184)&gt;0,LOOKUP(B184,'Icon Lookup'!C:C,'Icon Lookup'!B:B),"")</f>
        <v/>
      </c>
      <c r="B184" s="15" t="s">
        <v>313</v>
      </c>
      <c r="C184" s="1" t="s">
        <v>17</v>
      </c>
      <c r="D184" s="1" t="s">
        <v>314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23.25" customHeight="1">
      <c r="A185" s="20" t="str">
        <f>IF(COUNTIF('Icon Lookup'!C:C,B185)&gt;0,LOOKUP(B185,'Icon Lookup'!C:C,'Icon Lookup'!B:B),"")</f>
        <v/>
      </c>
      <c r="B185" s="21" t="s">
        <v>302</v>
      </c>
      <c r="C185" s="20" t="s">
        <v>17</v>
      </c>
      <c r="D185" s="20">
        <v>19.0</v>
      </c>
      <c r="E185" s="20" t="s">
        <v>20</v>
      </c>
      <c r="G185" s="22"/>
      <c r="H185" s="23" t="s">
        <v>315</v>
      </c>
      <c r="I185" s="20" t="s">
        <v>105</v>
      </c>
      <c r="J185" s="20">
        <v>0.0</v>
      </c>
      <c r="K185" s="20">
        <v>0.0</v>
      </c>
      <c r="L185" s="20">
        <v>0.0</v>
      </c>
      <c r="M185" s="20">
        <v>0.0</v>
      </c>
      <c r="N185" s="20">
        <v>0.0</v>
      </c>
      <c r="O185" s="20">
        <v>0.0</v>
      </c>
      <c r="P185" s="20">
        <v>0.0</v>
      </c>
      <c r="Q185" s="20">
        <v>0.0</v>
      </c>
      <c r="R185" s="20">
        <v>0.0</v>
      </c>
      <c r="S185" s="20">
        <v>0.0</v>
      </c>
      <c r="T185" s="20">
        <v>0.0</v>
      </c>
      <c r="U185" s="20">
        <v>0.0</v>
      </c>
    </row>
    <row r="186" ht="23.25" customHeight="1">
      <c r="A186" s="1" t="str">
        <f>IF(COUNTIF('Icon Lookup'!C:C,B186)&gt;0,LOOKUP(B186,'Icon Lookup'!C:C,'Icon Lookup'!B:B),"")</f>
        <v/>
      </c>
      <c r="B186" s="15" t="s">
        <v>316</v>
      </c>
      <c r="C186" s="1" t="s">
        <v>17</v>
      </c>
      <c r="D186" s="1" t="s">
        <v>317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23.25" customHeight="1">
      <c r="A187" s="17" t="str">
        <f>IF(COUNTIF('Icon Lookup'!C:C,B187)&gt;0,LOOKUP(B187,'Icon Lookup'!C:C,'Icon Lookup'!B:B),"")</f>
        <v/>
      </c>
      <c r="B187" s="18" t="s">
        <v>37</v>
      </c>
      <c r="C187" s="17" t="s">
        <v>17</v>
      </c>
      <c r="D187" s="17">
        <v>13.0</v>
      </c>
      <c r="E187" s="17" t="s">
        <v>38</v>
      </c>
      <c r="G187" s="19"/>
      <c r="H187" s="20" t="s">
        <v>318</v>
      </c>
      <c r="I187" s="17" t="s">
        <v>22</v>
      </c>
      <c r="J187" s="17">
        <v>0.0</v>
      </c>
      <c r="K187" s="17">
        <v>0.0</v>
      </c>
      <c r="L187" s="17">
        <v>0.0</v>
      </c>
      <c r="M187" s="17">
        <v>0.0</v>
      </c>
      <c r="N187" s="17">
        <v>0.0</v>
      </c>
      <c r="O187" s="17">
        <v>0.0</v>
      </c>
      <c r="P187" s="17">
        <v>0.0</v>
      </c>
      <c r="Q187" s="17">
        <v>0.0</v>
      </c>
      <c r="R187" s="17">
        <v>0.0</v>
      </c>
      <c r="S187" s="17">
        <v>0.0</v>
      </c>
      <c r="T187" s="17">
        <v>0.0</v>
      </c>
      <c r="U187" s="17">
        <v>0.0</v>
      </c>
    </row>
    <row r="188" ht="23.25" customHeight="1">
      <c r="A188" s="20" t="str">
        <f>IF(COUNTIF('Icon Lookup'!C:C,B188)&gt;0,LOOKUP(B188,'Icon Lookup'!C:C,'Icon Lookup'!B:B),"")</f>
        <v/>
      </c>
      <c r="B188" s="21" t="s">
        <v>37</v>
      </c>
      <c r="C188" s="20" t="s">
        <v>17</v>
      </c>
      <c r="D188" s="20">
        <v>14.0</v>
      </c>
      <c r="E188" s="20" t="s">
        <v>38</v>
      </c>
      <c r="G188" s="22"/>
      <c r="H188" s="23" t="s">
        <v>318</v>
      </c>
      <c r="I188" s="20" t="s">
        <v>22</v>
      </c>
      <c r="J188" s="20">
        <v>0.0</v>
      </c>
      <c r="K188" s="20">
        <v>0.0</v>
      </c>
      <c r="L188" s="20">
        <v>0.0</v>
      </c>
      <c r="M188" s="20">
        <v>0.0</v>
      </c>
      <c r="N188" s="20">
        <v>0.0</v>
      </c>
      <c r="O188" s="20">
        <v>0.0</v>
      </c>
      <c r="P188" s="20">
        <v>0.0</v>
      </c>
      <c r="Q188" s="20">
        <v>0.0</v>
      </c>
      <c r="R188" s="20">
        <v>0.0</v>
      </c>
      <c r="S188" s="20">
        <v>0.0</v>
      </c>
      <c r="T188" s="20">
        <v>0.0</v>
      </c>
      <c r="U188" s="20">
        <v>0.0</v>
      </c>
    </row>
    <row r="189" ht="23.25" customHeight="1">
      <c r="A189" s="17" t="str">
        <f>IF(COUNTIF('Icon Lookup'!C:C,B189)&gt;0,LOOKUP(B189,'Icon Lookup'!C:C,'Icon Lookup'!B:B),"")</f>
        <v/>
      </c>
      <c r="B189" s="18" t="s">
        <v>37</v>
      </c>
      <c r="C189" s="17" t="s">
        <v>17</v>
      </c>
      <c r="D189" s="17">
        <v>15.0</v>
      </c>
      <c r="E189" s="17" t="s">
        <v>38</v>
      </c>
      <c r="G189" s="19"/>
      <c r="H189" s="20" t="s">
        <v>319</v>
      </c>
      <c r="I189" s="17" t="s">
        <v>52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</row>
    <row r="190" ht="23.25" customHeight="1">
      <c r="A190" s="1" t="str">
        <f>IF(COUNTIF('Icon Lookup'!C:C,B190)&gt;0,LOOKUP(B190,'Icon Lookup'!C:C,'Icon Lookup'!B:B),"")</f>
        <v/>
      </c>
      <c r="B190" s="15" t="s">
        <v>320</v>
      </c>
      <c r="C190" s="1" t="s">
        <v>17</v>
      </c>
      <c r="D190" s="1" t="s">
        <v>321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23.25" customHeight="1">
      <c r="A191" s="20" t="str">
        <f>IF(COUNTIF('Icon Lookup'!C:C,B191)&gt;0,LOOKUP(B191,'Icon Lookup'!C:C,'Icon Lookup'!B:B),"")</f>
        <v/>
      </c>
      <c r="B191" s="21" t="s">
        <v>288</v>
      </c>
      <c r="C191" s="20" t="s">
        <v>17</v>
      </c>
      <c r="D191" s="20">
        <v>28.0</v>
      </c>
      <c r="E191" s="20" t="s">
        <v>289</v>
      </c>
      <c r="G191" s="22"/>
      <c r="H191" s="23" t="s">
        <v>322</v>
      </c>
      <c r="I191" s="20" t="s">
        <v>94</v>
      </c>
      <c r="J191" s="20">
        <v>0.0</v>
      </c>
      <c r="K191" s="20">
        <v>0.0</v>
      </c>
      <c r="L191" s="20">
        <v>0.0</v>
      </c>
      <c r="M191" s="20">
        <v>0.0</v>
      </c>
      <c r="N191" s="20">
        <v>0.0</v>
      </c>
      <c r="O191" s="20">
        <v>0.0</v>
      </c>
      <c r="P191" s="20">
        <v>0.0</v>
      </c>
      <c r="Q191" s="20">
        <v>0.0</v>
      </c>
      <c r="R191" s="20">
        <v>0.0</v>
      </c>
      <c r="S191" s="20">
        <v>0.0</v>
      </c>
      <c r="T191" s="20">
        <v>0.0</v>
      </c>
      <c r="U191" s="20">
        <v>0.0</v>
      </c>
    </row>
    <row r="192" ht="23.25" customHeight="1">
      <c r="A192" s="17" t="str">
        <f>IF(COUNTIF('Icon Lookup'!C:C,B192)&gt;0,LOOKUP(B192,'Icon Lookup'!C:C,'Icon Lookup'!B:B),"")</f>
        <v/>
      </c>
      <c r="B192" s="18" t="s">
        <v>165</v>
      </c>
      <c r="C192" s="17" t="s">
        <v>17</v>
      </c>
      <c r="D192" s="17">
        <v>27.0</v>
      </c>
      <c r="E192" s="17" t="s">
        <v>166</v>
      </c>
      <c r="G192" s="19"/>
      <c r="H192" s="20" t="s">
        <v>323</v>
      </c>
      <c r="I192" s="17" t="s">
        <v>94</v>
      </c>
      <c r="J192" s="17">
        <v>0.0</v>
      </c>
      <c r="K192" s="17">
        <v>0.0</v>
      </c>
      <c r="L192" s="17">
        <v>0.0</v>
      </c>
      <c r="M192" s="17">
        <v>0.0</v>
      </c>
      <c r="N192" s="17">
        <v>0.0</v>
      </c>
      <c r="O192" s="17">
        <v>0.0</v>
      </c>
      <c r="P192" s="17">
        <v>0.0</v>
      </c>
      <c r="Q192" s="17">
        <v>0.0</v>
      </c>
      <c r="R192" s="17">
        <v>0.0</v>
      </c>
      <c r="S192" s="17">
        <v>0.0</v>
      </c>
      <c r="T192" s="17">
        <v>0.0</v>
      </c>
      <c r="U192" s="17">
        <v>0.0</v>
      </c>
    </row>
    <row r="193" ht="23.25" customHeight="1">
      <c r="A193" s="20" t="str">
        <f>IF(COUNTIF('Icon Lookup'!C:C,B193)&gt;0,LOOKUP(B193,'Icon Lookup'!C:C,'Icon Lookup'!B:B),"")</f>
        <v/>
      </c>
      <c r="B193" s="21" t="s">
        <v>275</v>
      </c>
      <c r="C193" s="20" t="s">
        <v>17</v>
      </c>
      <c r="D193" s="20">
        <v>29.0</v>
      </c>
      <c r="E193" s="20" t="s">
        <v>91</v>
      </c>
      <c r="G193" s="22"/>
      <c r="H193" s="23" t="s">
        <v>324</v>
      </c>
      <c r="I193" s="20" t="s">
        <v>89</v>
      </c>
      <c r="J193" s="20">
        <v>0.0</v>
      </c>
      <c r="K193" s="20">
        <v>0.0</v>
      </c>
      <c r="L193" s="20">
        <v>0.0</v>
      </c>
      <c r="M193" s="20">
        <v>0.0</v>
      </c>
      <c r="N193" s="20">
        <v>0.0</v>
      </c>
      <c r="O193" s="20">
        <v>0.0</v>
      </c>
      <c r="P193" s="20">
        <v>0.0</v>
      </c>
      <c r="Q193" s="20">
        <v>0.0</v>
      </c>
      <c r="R193" s="20">
        <v>0.0</v>
      </c>
      <c r="S193" s="20">
        <v>0.0</v>
      </c>
      <c r="T193" s="20">
        <v>0.0</v>
      </c>
      <c r="U193" s="20">
        <v>0.0</v>
      </c>
    </row>
    <row r="194" ht="23.25" customHeight="1">
      <c r="A194" s="1" t="str">
        <f>IF(COUNTIF('Icon Lookup'!C:C,B194)&gt;0,LOOKUP(B194,'Icon Lookup'!C:C,'Icon Lookup'!B:B),"")</f>
        <v/>
      </c>
      <c r="B194" s="15" t="s">
        <v>325</v>
      </c>
      <c r="C194" s="1" t="s">
        <v>17</v>
      </c>
      <c r="D194" s="1" t="s">
        <v>326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23.25" customHeight="1">
      <c r="A195" s="17" t="str">
        <f>IF(COUNTIF('Icon Lookup'!C:C,B195)&gt;0,LOOKUP(B195,'Icon Lookup'!C:C,'Icon Lookup'!B:B),"")</f>
        <v/>
      </c>
      <c r="B195" s="18" t="s">
        <v>282</v>
      </c>
      <c r="C195" s="17" t="s">
        <v>17</v>
      </c>
      <c r="D195" s="17">
        <v>27.0</v>
      </c>
      <c r="E195" s="17" t="s">
        <v>283</v>
      </c>
      <c r="G195" s="19"/>
      <c r="H195" s="20" t="s">
        <v>327</v>
      </c>
      <c r="I195" s="17" t="s">
        <v>46</v>
      </c>
      <c r="J195" s="17">
        <v>0.0</v>
      </c>
      <c r="K195" s="17">
        <v>0.0</v>
      </c>
      <c r="L195" s="17">
        <v>0.0</v>
      </c>
      <c r="M195" s="17">
        <v>0.0</v>
      </c>
      <c r="N195" s="17">
        <v>0.0</v>
      </c>
      <c r="O195" s="17">
        <v>0.0</v>
      </c>
      <c r="P195" s="17">
        <v>0.0</v>
      </c>
      <c r="Q195" s="17">
        <v>0.0</v>
      </c>
      <c r="R195" s="17">
        <v>0.0</v>
      </c>
      <c r="S195" s="17">
        <v>0.0</v>
      </c>
      <c r="T195" s="17">
        <v>0.0</v>
      </c>
      <c r="U195" s="17">
        <v>0.0</v>
      </c>
    </row>
    <row r="196" ht="23.25" customHeight="1">
      <c r="A196" s="20" t="str">
        <f>IF(COUNTIF('Icon Lookup'!C:C,B196)&gt;0,LOOKUP(B196,'Icon Lookup'!C:C,'Icon Lookup'!B:B),"")</f>
        <v/>
      </c>
      <c r="B196" s="21" t="s">
        <v>174</v>
      </c>
      <c r="C196" s="20" t="s">
        <v>17</v>
      </c>
      <c r="D196" s="20">
        <v>27.0</v>
      </c>
      <c r="E196" s="20" t="s">
        <v>38</v>
      </c>
      <c r="G196" s="22"/>
      <c r="H196" s="23" t="s">
        <v>328</v>
      </c>
      <c r="I196" s="20" t="s">
        <v>40</v>
      </c>
      <c r="J196" s="20">
        <v>0.0</v>
      </c>
      <c r="K196" s="20">
        <v>0.0</v>
      </c>
      <c r="L196" s="20">
        <v>0.0</v>
      </c>
      <c r="M196" s="20">
        <v>0.0</v>
      </c>
      <c r="N196" s="20">
        <v>0.0</v>
      </c>
      <c r="O196" s="20">
        <v>0.0</v>
      </c>
      <c r="P196" s="20">
        <v>0.0</v>
      </c>
      <c r="Q196" s="20">
        <v>0.0</v>
      </c>
      <c r="R196" s="20">
        <v>0.0</v>
      </c>
      <c r="S196" s="20">
        <v>0.0</v>
      </c>
      <c r="T196" s="20">
        <v>0.0</v>
      </c>
      <c r="U196" s="20">
        <v>0.0</v>
      </c>
    </row>
    <row r="197" ht="23.25" customHeight="1">
      <c r="A197" s="1" t="str">
        <f>IF(COUNTIF('Icon Lookup'!C:C,B197)&gt;0,LOOKUP(B197,'Icon Lookup'!C:C,'Icon Lookup'!B:B),"")</f>
        <v/>
      </c>
      <c r="B197" s="15" t="s">
        <v>329</v>
      </c>
      <c r="C197" s="1" t="s">
        <v>17</v>
      </c>
      <c r="D197" s="1" t="s">
        <v>330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23.25" customHeight="1">
      <c r="A198" s="17" t="str">
        <f>IF(COUNTIF('Icon Lookup'!C:C,B198)&gt;0,LOOKUP(B198,'Icon Lookup'!C:C,'Icon Lookup'!B:B),"")</f>
        <v/>
      </c>
      <c r="B198" s="18" t="s">
        <v>304</v>
      </c>
      <c r="C198" s="17" t="s">
        <v>17</v>
      </c>
      <c r="D198" s="17">
        <v>31.0</v>
      </c>
      <c r="E198" s="17" t="s">
        <v>20</v>
      </c>
      <c r="G198" s="19"/>
      <c r="H198" s="20" t="s">
        <v>331</v>
      </c>
      <c r="I198" s="17" t="s">
        <v>105</v>
      </c>
      <c r="J198" s="17">
        <v>0.0</v>
      </c>
      <c r="K198" s="17">
        <v>0.0</v>
      </c>
      <c r="L198" s="17">
        <v>0.0</v>
      </c>
      <c r="M198" s="17">
        <v>0.0</v>
      </c>
      <c r="N198" s="17">
        <v>0.0</v>
      </c>
      <c r="O198" s="17">
        <v>0.0</v>
      </c>
      <c r="P198" s="17">
        <v>0.0</v>
      </c>
      <c r="Q198" s="17">
        <v>0.0</v>
      </c>
      <c r="R198" s="17">
        <v>0.0</v>
      </c>
      <c r="S198" s="17">
        <v>0.0</v>
      </c>
      <c r="T198" s="17">
        <v>0.0</v>
      </c>
      <c r="U198" s="17">
        <v>0.0</v>
      </c>
    </row>
    <row r="199" ht="23.25" customHeight="1">
      <c r="A199" s="1" t="str">
        <f>IF(COUNTIF('Icon Lookup'!C:C,B199)&gt;0,LOOKUP(B199,'Icon Lookup'!C:C,'Icon Lookup'!B:B),"")</f>
        <v/>
      </c>
      <c r="B199" s="15" t="s">
        <v>332</v>
      </c>
      <c r="C199" s="1" t="s">
        <v>17</v>
      </c>
      <c r="D199" s="1" t="s">
        <v>333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23.25" customHeight="1">
      <c r="A200" s="20" t="str">
        <f>IF(COUNTIF('Icon Lookup'!C:C,B200)&gt;0,LOOKUP(B200,'Icon Lookup'!C:C,'Icon Lookup'!B:B),"")</f>
        <v/>
      </c>
      <c r="B200" s="21" t="s">
        <v>225</v>
      </c>
      <c r="C200" s="20" t="s">
        <v>17</v>
      </c>
      <c r="D200" s="20">
        <v>19.0</v>
      </c>
      <c r="E200" s="20" t="s">
        <v>26</v>
      </c>
      <c r="G200" s="22"/>
      <c r="H200" s="23" t="s">
        <v>226</v>
      </c>
      <c r="I200" s="20" t="s">
        <v>36</v>
      </c>
      <c r="J200" s="20">
        <v>0.0</v>
      </c>
      <c r="K200" s="20">
        <v>0.0</v>
      </c>
      <c r="L200" s="20">
        <v>0.0</v>
      </c>
      <c r="M200" s="20">
        <v>0.0</v>
      </c>
      <c r="N200" s="20">
        <v>0.0</v>
      </c>
      <c r="O200" s="20">
        <v>0.0</v>
      </c>
      <c r="P200" s="20">
        <v>0.0</v>
      </c>
      <c r="Q200" s="20">
        <v>0.0</v>
      </c>
      <c r="R200" s="20">
        <v>0.0</v>
      </c>
      <c r="S200" s="20">
        <v>0.0</v>
      </c>
      <c r="T200" s="20">
        <v>0.0</v>
      </c>
      <c r="U200" s="20">
        <v>0.0</v>
      </c>
    </row>
    <row r="201" ht="23.25" customHeight="1">
      <c r="A201" s="1" t="str">
        <f>IF(COUNTIF('Icon Lookup'!C:C,B201)&gt;0,LOOKUP(B201,'Icon Lookup'!C:C,'Icon Lookup'!B:B),"")</f>
        <v/>
      </c>
      <c r="B201" s="15" t="s">
        <v>334</v>
      </c>
      <c r="C201" s="1" t="s">
        <v>17</v>
      </c>
      <c r="D201" s="1" t="s">
        <v>335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23.25" customHeight="1">
      <c r="A202" s="17" t="str">
        <f>IF(COUNTIF('Icon Lookup'!C:C,B202)&gt;0,LOOKUP(B202,'Icon Lookup'!C:C,'Icon Lookup'!B:B),"")</f>
        <v/>
      </c>
      <c r="B202" s="18" t="s">
        <v>336</v>
      </c>
      <c r="C202" s="17" t="s">
        <v>17</v>
      </c>
      <c r="D202" s="17">
        <v>19.0</v>
      </c>
      <c r="E202" s="17" t="s">
        <v>337</v>
      </c>
      <c r="G202" s="19"/>
      <c r="H202" s="20" t="s">
        <v>338</v>
      </c>
      <c r="I202" s="17" t="s">
        <v>22</v>
      </c>
      <c r="J202" s="17">
        <v>0.0</v>
      </c>
      <c r="K202" s="17">
        <v>0.0</v>
      </c>
      <c r="L202" s="17">
        <v>0.0</v>
      </c>
      <c r="M202" s="17">
        <v>0.0</v>
      </c>
      <c r="N202" s="17">
        <v>0.0</v>
      </c>
      <c r="O202" s="17">
        <v>0.0</v>
      </c>
      <c r="P202" s="17">
        <v>0.0</v>
      </c>
      <c r="Q202" s="17">
        <v>0.0</v>
      </c>
      <c r="R202" s="17">
        <v>0.0</v>
      </c>
      <c r="S202" s="17">
        <v>0.0</v>
      </c>
      <c r="T202" s="17">
        <v>0.0</v>
      </c>
      <c r="U202" s="17">
        <v>0.0</v>
      </c>
    </row>
    <row r="203" ht="23.25" customHeight="1">
      <c r="A203" s="1" t="str">
        <f>IF(COUNTIF('Icon Lookup'!C:C,B203)&gt;0,LOOKUP(B203,'Icon Lookup'!C:C,'Icon Lookup'!B:B),"")</f>
        <v/>
      </c>
      <c r="B203" s="15" t="s">
        <v>339</v>
      </c>
      <c r="C203" s="1" t="s">
        <v>17</v>
      </c>
      <c r="D203" s="1" t="s">
        <v>340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23.25" customHeight="1">
      <c r="A204" s="20" t="str">
        <f>IF(COUNTIF('Icon Lookup'!C:C,B204)&gt;0,LOOKUP(B204,'Icon Lookup'!C:C,'Icon Lookup'!B:B),"")</f>
        <v/>
      </c>
      <c r="B204" s="21" t="s">
        <v>341</v>
      </c>
      <c r="C204" s="20" t="s">
        <v>17</v>
      </c>
      <c r="D204" s="20">
        <v>19.0</v>
      </c>
      <c r="E204" s="20" t="s">
        <v>342</v>
      </c>
      <c r="G204" s="22"/>
      <c r="H204" s="23" t="s">
        <v>343</v>
      </c>
      <c r="I204" s="20" t="s">
        <v>52</v>
      </c>
      <c r="J204" s="20">
        <v>0.0</v>
      </c>
      <c r="K204" s="20">
        <v>0.0</v>
      </c>
      <c r="L204" s="20">
        <v>0.0</v>
      </c>
      <c r="M204" s="20">
        <v>0.0</v>
      </c>
      <c r="N204" s="20">
        <v>0.0</v>
      </c>
      <c r="O204" s="20">
        <v>0.0</v>
      </c>
      <c r="P204" s="20">
        <v>0.0</v>
      </c>
      <c r="Q204" s="20">
        <v>0.0</v>
      </c>
      <c r="R204" s="20">
        <v>0.0</v>
      </c>
      <c r="S204" s="20">
        <v>0.0</v>
      </c>
      <c r="T204" s="20">
        <v>0.0</v>
      </c>
      <c r="U204" s="20">
        <v>0.0</v>
      </c>
    </row>
    <row r="205" ht="23.25" customHeight="1">
      <c r="A205" s="1" t="str">
        <f>IF(COUNTIF('Icon Lookup'!C:C,B205)&gt;0,LOOKUP(B205,'Icon Lookup'!C:C,'Icon Lookup'!B:B),"")</f>
        <v/>
      </c>
      <c r="B205" s="15" t="s">
        <v>344</v>
      </c>
      <c r="C205" s="1" t="s">
        <v>17</v>
      </c>
      <c r="D205" s="1" t="s">
        <v>345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23.25" customHeight="1">
      <c r="A206" s="17" t="str">
        <f>IF(COUNTIF('Icon Lookup'!C:C,B206)&gt;0,LOOKUP(B206,'Icon Lookup'!C:C,'Icon Lookup'!B:B),"")</f>
        <v/>
      </c>
      <c r="B206" s="18" t="s">
        <v>198</v>
      </c>
      <c r="C206" s="17" t="s">
        <v>17</v>
      </c>
      <c r="D206" s="17">
        <v>19.0</v>
      </c>
      <c r="E206" s="17" t="s">
        <v>50</v>
      </c>
      <c r="G206" s="19"/>
      <c r="H206" s="20" t="s">
        <v>199</v>
      </c>
      <c r="I206" s="17" t="s">
        <v>52</v>
      </c>
      <c r="J206" s="17">
        <v>0.0</v>
      </c>
      <c r="K206" s="17">
        <v>0.0</v>
      </c>
      <c r="L206" s="17">
        <v>0.0</v>
      </c>
      <c r="M206" s="17">
        <v>0.0</v>
      </c>
      <c r="N206" s="17">
        <v>0.0</v>
      </c>
      <c r="O206" s="17">
        <v>0.0</v>
      </c>
      <c r="P206" s="17">
        <v>0.0</v>
      </c>
      <c r="Q206" s="17">
        <v>0.0</v>
      </c>
      <c r="R206" s="17">
        <v>0.0</v>
      </c>
      <c r="S206" s="17">
        <v>0.0</v>
      </c>
      <c r="T206" s="17">
        <v>0.0</v>
      </c>
      <c r="U206" s="17">
        <v>0.0</v>
      </c>
    </row>
    <row r="207" ht="23.25" customHeight="1">
      <c r="A207" s="1" t="str">
        <f>IF(COUNTIF('Icon Lookup'!C:C,B207)&gt;0,LOOKUP(B207,'Icon Lookup'!C:C,'Icon Lookup'!B:B),"")</f>
        <v/>
      </c>
      <c r="B207" s="15" t="s">
        <v>346</v>
      </c>
      <c r="C207" s="1" t="s">
        <v>17</v>
      </c>
      <c r="D207" s="1" t="s">
        <v>347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23.25" customHeight="1">
      <c r="A208" s="20" t="str">
        <f>IF(COUNTIF('Icon Lookup'!C:C,B208)&gt;0,LOOKUP(B208,'Icon Lookup'!C:C,'Icon Lookup'!B:B),"")</f>
        <v/>
      </c>
      <c r="B208" s="21" t="s">
        <v>302</v>
      </c>
      <c r="C208" s="20" t="s">
        <v>17</v>
      </c>
      <c r="D208" s="20">
        <v>18.0</v>
      </c>
      <c r="E208" s="20" t="s">
        <v>20</v>
      </c>
      <c r="G208" s="22"/>
      <c r="H208" s="23" t="s">
        <v>348</v>
      </c>
      <c r="I208" s="20" t="s">
        <v>156</v>
      </c>
      <c r="J208" s="20">
        <v>0.0</v>
      </c>
      <c r="K208" s="20">
        <v>0.0</v>
      </c>
      <c r="L208" s="20">
        <v>0.0</v>
      </c>
      <c r="M208" s="20">
        <v>0.0</v>
      </c>
      <c r="N208" s="20">
        <v>0.0</v>
      </c>
      <c r="O208" s="20">
        <v>0.0</v>
      </c>
      <c r="P208" s="20">
        <v>0.0</v>
      </c>
      <c r="Q208" s="20">
        <v>0.0</v>
      </c>
      <c r="R208" s="20">
        <v>0.0</v>
      </c>
      <c r="S208" s="20">
        <v>0.0</v>
      </c>
      <c r="T208" s="20">
        <v>0.0</v>
      </c>
      <c r="U208" s="20">
        <v>0.0</v>
      </c>
    </row>
    <row r="209" ht="23.25" customHeight="1">
      <c r="A209" s="17" t="str">
        <f>IF(COUNTIF('Icon Lookup'!C:C,B209)&gt;0,LOOKUP(B209,'Icon Lookup'!C:C,'Icon Lookup'!B:B),"")</f>
        <v/>
      </c>
      <c r="B209" s="18" t="s">
        <v>90</v>
      </c>
      <c r="C209" s="17" t="s">
        <v>17</v>
      </c>
      <c r="D209" s="17">
        <v>18.0</v>
      </c>
      <c r="E209" s="17" t="s">
        <v>91</v>
      </c>
      <c r="G209" s="19"/>
      <c r="H209" s="20" t="s">
        <v>232</v>
      </c>
      <c r="I209" s="17" t="s">
        <v>89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</row>
    <row r="210" ht="23.25" customHeight="1">
      <c r="A210" s="1" t="str">
        <f>IF(COUNTIF('Icon Lookup'!C:C,B210)&gt;0,LOOKUP(B210,'Icon Lookup'!C:C,'Icon Lookup'!B:B),"")</f>
        <v/>
      </c>
      <c r="B210" s="15" t="s">
        <v>349</v>
      </c>
      <c r="C210" s="1" t="s">
        <v>17</v>
      </c>
      <c r="D210" s="1" t="s">
        <v>350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23.25" customHeight="1">
      <c r="A211" s="20" t="str">
        <f>IF(COUNTIF('Icon Lookup'!C:C,B211)&gt;0,LOOKUP(B211,'Icon Lookup'!C:C,'Icon Lookup'!B:B),"")</f>
        <v/>
      </c>
      <c r="B211" s="21" t="s">
        <v>302</v>
      </c>
      <c r="C211" s="20" t="s">
        <v>17</v>
      </c>
      <c r="D211" s="20">
        <v>18.0</v>
      </c>
      <c r="E211" s="20" t="s">
        <v>20</v>
      </c>
      <c r="G211" s="22"/>
      <c r="H211" s="23" t="s">
        <v>351</v>
      </c>
      <c r="I211" s="20" t="s">
        <v>156</v>
      </c>
      <c r="J211" s="20">
        <v>0.0</v>
      </c>
      <c r="K211" s="20">
        <v>0.0</v>
      </c>
      <c r="L211" s="20">
        <v>0.0</v>
      </c>
      <c r="M211" s="20">
        <v>0.0</v>
      </c>
      <c r="N211" s="20">
        <v>0.0</v>
      </c>
      <c r="O211" s="20">
        <v>0.0</v>
      </c>
      <c r="P211" s="20">
        <v>0.0</v>
      </c>
      <c r="Q211" s="20">
        <v>0.0</v>
      </c>
      <c r="R211" s="20">
        <v>0.0</v>
      </c>
      <c r="S211" s="20">
        <v>0.0</v>
      </c>
      <c r="T211" s="20">
        <v>0.0</v>
      </c>
      <c r="U211" s="20">
        <v>0.0</v>
      </c>
    </row>
    <row r="212" ht="23.25" customHeight="1">
      <c r="A212" s="17" t="str">
        <f>IF(COUNTIF('Icon Lookup'!C:C,B212)&gt;0,LOOKUP(B212,'Icon Lookup'!C:C,'Icon Lookup'!B:B),"")</f>
        <v/>
      </c>
      <c r="B212" s="18" t="s">
        <v>90</v>
      </c>
      <c r="C212" s="17" t="s">
        <v>17</v>
      </c>
      <c r="D212" s="17">
        <v>18.0</v>
      </c>
      <c r="E212" s="17" t="s">
        <v>91</v>
      </c>
      <c r="G212" s="19"/>
      <c r="H212" s="20" t="s">
        <v>184</v>
      </c>
      <c r="I212" s="17" t="s">
        <v>89</v>
      </c>
      <c r="J212" s="17">
        <v>0.0</v>
      </c>
      <c r="K212" s="17">
        <v>0.0</v>
      </c>
      <c r="L212" s="17">
        <v>0.0</v>
      </c>
      <c r="M212" s="17">
        <v>0.0</v>
      </c>
      <c r="N212" s="17">
        <v>0.0</v>
      </c>
      <c r="O212" s="17">
        <v>0.0</v>
      </c>
      <c r="P212" s="17">
        <v>0.0</v>
      </c>
      <c r="Q212" s="17">
        <v>0.0</v>
      </c>
      <c r="R212" s="17">
        <v>0.0</v>
      </c>
      <c r="S212" s="17">
        <v>0.0</v>
      </c>
      <c r="T212" s="17">
        <v>0.0</v>
      </c>
      <c r="U212" s="17">
        <v>0.0</v>
      </c>
    </row>
    <row r="213" ht="23.25" customHeight="1">
      <c r="A213" s="1" t="str">
        <f>IF(COUNTIF('Icon Lookup'!C:C,B213)&gt;0,LOOKUP(B213,'Icon Lookup'!C:C,'Icon Lookup'!B:B),"")</f>
        <v/>
      </c>
      <c r="B213" s="15" t="s">
        <v>352</v>
      </c>
      <c r="C213" s="1" t="s">
        <v>17</v>
      </c>
      <c r="D213" s="1" t="s">
        <v>353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23.25" customHeight="1">
      <c r="A214" s="20" t="str">
        <f>IF(COUNTIF('Icon Lookup'!C:C,B214)&gt;0,LOOKUP(B214,'Icon Lookup'!C:C,'Icon Lookup'!B:B),"")</f>
        <v/>
      </c>
      <c r="B214" s="21" t="s">
        <v>302</v>
      </c>
      <c r="C214" s="20" t="s">
        <v>17</v>
      </c>
      <c r="D214" s="20">
        <v>18.0</v>
      </c>
      <c r="E214" s="20" t="s">
        <v>20</v>
      </c>
      <c r="G214" s="22"/>
      <c r="H214" s="23" t="s">
        <v>354</v>
      </c>
      <c r="I214" s="20" t="s">
        <v>156</v>
      </c>
      <c r="J214" s="20">
        <v>0.0</v>
      </c>
      <c r="K214" s="20">
        <v>0.0</v>
      </c>
      <c r="L214" s="20">
        <v>0.0</v>
      </c>
      <c r="M214" s="20">
        <v>0.0</v>
      </c>
      <c r="N214" s="20">
        <v>0.0</v>
      </c>
      <c r="O214" s="20">
        <v>0.0</v>
      </c>
      <c r="P214" s="20">
        <v>0.0</v>
      </c>
      <c r="Q214" s="20">
        <v>0.0</v>
      </c>
      <c r="R214" s="20">
        <v>0.0</v>
      </c>
      <c r="S214" s="20">
        <v>0.0</v>
      </c>
      <c r="T214" s="20">
        <v>0.0</v>
      </c>
      <c r="U214" s="20">
        <v>0.0</v>
      </c>
    </row>
    <row r="215" ht="23.25" customHeight="1">
      <c r="A215" s="17" t="str">
        <f>IF(COUNTIF('Icon Lookup'!C:C,B215)&gt;0,LOOKUP(B215,'Icon Lookup'!C:C,'Icon Lookup'!B:B),"")</f>
        <v/>
      </c>
      <c r="B215" s="18" t="s">
        <v>165</v>
      </c>
      <c r="C215" s="17" t="s">
        <v>17</v>
      </c>
      <c r="D215" s="17">
        <v>18.0</v>
      </c>
      <c r="E215" s="17" t="s">
        <v>166</v>
      </c>
      <c r="G215" s="19"/>
      <c r="H215" s="20" t="s">
        <v>355</v>
      </c>
      <c r="I215" s="17" t="s">
        <v>94</v>
      </c>
      <c r="J215" s="17">
        <v>0.0</v>
      </c>
      <c r="K215" s="17">
        <v>0.0</v>
      </c>
      <c r="L215" s="17">
        <v>0.0</v>
      </c>
      <c r="M215" s="17">
        <v>0.0</v>
      </c>
      <c r="N215" s="17">
        <v>0.0</v>
      </c>
      <c r="O215" s="17">
        <v>0.0</v>
      </c>
      <c r="P215" s="17">
        <v>0.0</v>
      </c>
      <c r="Q215" s="17">
        <v>0.0</v>
      </c>
      <c r="R215" s="17">
        <v>0.0</v>
      </c>
      <c r="S215" s="17">
        <v>0.0</v>
      </c>
      <c r="T215" s="17">
        <v>0.0</v>
      </c>
      <c r="U215" s="17">
        <v>0.0</v>
      </c>
    </row>
    <row r="216" ht="23.25" customHeight="1">
      <c r="A216" s="1" t="str">
        <f>IF(COUNTIF('Icon Lookup'!C:C,B216)&gt;0,LOOKUP(B216,'Icon Lookup'!C:C,'Icon Lookup'!B:B),"")</f>
        <v/>
      </c>
      <c r="B216" s="15" t="s">
        <v>356</v>
      </c>
      <c r="C216" s="1" t="s">
        <v>17</v>
      </c>
      <c r="D216" s="1" t="s">
        <v>357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23.25" customHeight="1">
      <c r="A217" s="20" t="str">
        <f>IF(COUNTIF('Icon Lookup'!C:C,B217)&gt;0,LOOKUP(B217,'Icon Lookup'!C:C,'Icon Lookup'!B:B),"")</f>
        <v/>
      </c>
      <c r="B217" s="21" t="s">
        <v>190</v>
      </c>
      <c r="C217" s="20" t="s">
        <v>17</v>
      </c>
      <c r="D217" s="20">
        <v>21.0</v>
      </c>
      <c r="E217" s="20" t="s">
        <v>26</v>
      </c>
      <c r="G217" s="22"/>
      <c r="H217" s="23" t="s">
        <v>358</v>
      </c>
      <c r="I217" s="20" t="s">
        <v>156</v>
      </c>
      <c r="J217" s="20">
        <v>0.0</v>
      </c>
      <c r="K217" s="20">
        <v>0.0</v>
      </c>
      <c r="L217" s="20">
        <v>0.0</v>
      </c>
      <c r="M217" s="20">
        <v>0.0</v>
      </c>
      <c r="N217" s="20">
        <v>0.0</v>
      </c>
      <c r="O217" s="20">
        <v>0.0</v>
      </c>
      <c r="P217" s="20">
        <v>0.0</v>
      </c>
      <c r="Q217" s="20">
        <v>0.0</v>
      </c>
      <c r="R217" s="20">
        <v>0.0</v>
      </c>
      <c r="S217" s="20">
        <v>0.0</v>
      </c>
      <c r="T217" s="20">
        <v>0.0</v>
      </c>
      <c r="U217" s="20">
        <v>0.0</v>
      </c>
    </row>
    <row r="218" ht="23.25" customHeight="1">
      <c r="A218" s="1" t="str">
        <f>IF(COUNTIF('Icon Lookup'!C:C,B218)&gt;0,LOOKUP(B218,'Icon Lookup'!C:C,'Icon Lookup'!B:B),"")</f>
        <v/>
      </c>
      <c r="B218" s="15" t="s">
        <v>359</v>
      </c>
      <c r="C218" s="1" t="s">
        <v>17</v>
      </c>
      <c r="D218" s="1" t="s">
        <v>360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23.25" customHeight="1">
      <c r="A219" s="17" t="str">
        <f>IF(COUNTIF('Icon Lookup'!C:C,B219)&gt;0,LOOKUP(B219,'Icon Lookup'!C:C,'Icon Lookup'!B:B),"")</f>
        <v/>
      </c>
      <c r="B219" s="18" t="s">
        <v>110</v>
      </c>
      <c r="C219" s="17" t="s">
        <v>17</v>
      </c>
      <c r="D219" s="17">
        <v>19.0</v>
      </c>
      <c r="E219" s="17" t="s">
        <v>111</v>
      </c>
      <c r="G219" s="19"/>
      <c r="H219" s="20" t="s">
        <v>361</v>
      </c>
      <c r="I219" s="17" t="s">
        <v>89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</row>
    <row r="220" ht="23.25" customHeight="1">
      <c r="A220" s="20" t="str">
        <f>IF(COUNTIF('Icon Lookup'!C:C,B220)&gt;0,LOOKUP(B220,'Icon Lookup'!C:C,'Icon Lookup'!B:B),"")</f>
        <v/>
      </c>
      <c r="B220" s="21" t="s">
        <v>187</v>
      </c>
      <c r="C220" s="20" t="s">
        <v>17</v>
      </c>
      <c r="D220" s="20">
        <v>19.0</v>
      </c>
      <c r="E220" s="20" t="s">
        <v>188</v>
      </c>
      <c r="G220" s="22"/>
      <c r="H220" s="23" t="s">
        <v>362</v>
      </c>
      <c r="I220" s="20" t="s">
        <v>89</v>
      </c>
      <c r="J220" s="20">
        <v>0.0</v>
      </c>
      <c r="K220" s="20">
        <v>0.0</v>
      </c>
      <c r="L220" s="20">
        <v>0.0</v>
      </c>
      <c r="M220" s="20">
        <v>0.0</v>
      </c>
      <c r="N220" s="20">
        <v>0.0</v>
      </c>
      <c r="O220" s="20">
        <v>0.0</v>
      </c>
      <c r="P220" s="20">
        <v>0.0</v>
      </c>
      <c r="Q220" s="20">
        <v>0.0</v>
      </c>
      <c r="R220" s="20">
        <v>0.0</v>
      </c>
      <c r="S220" s="20">
        <v>0.0</v>
      </c>
      <c r="T220" s="20">
        <v>0.0</v>
      </c>
      <c r="U220" s="20">
        <v>0.0</v>
      </c>
    </row>
    <row r="221" ht="23.25" customHeight="1">
      <c r="A221" s="1" t="str">
        <f>IF(COUNTIF('Icon Lookup'!C:C,B221)&gt;0,LOOKUP(B221,'Icon Lookup'!C:C,'Icon Lookup'!B:B),"")</f>
        <v/>
      </c>
      <c r="B221" s="15" t="s">
        <v>363</v>
      </c>
      <c r="C221" s="1" t="s">
        <v>17</v>
      </c>
      <c r="D221" s="1" t="s">
        <v>364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ht="23.25" customHeight="1">
      <c r="A222" s="17" t="str">
        <f>IF(COUNTIF('Icon Lookup'!C:C,B222)&gt;0,LOOKUP(B222,'Icon Lookup'!C:C,'Icon Lookup'!B:B),"")</f>
        <v/>
      </c>
      <c r="B222" s="18" t="s">
        <v>187</v>
      </c>
      <c r="C222" s="17" t="s">
        <v>17</v>
      </c>
      <c r="D222" s="17">
        <v>17.0</v>
      </c>
      <c r="E222" s="17" t="s">
        <v>188</v>
      </c>
      <c r="G222" s="19"/>
      <c r="H222" s="20" t="s">
        <v>362</v>
      </c>
      <c r="I222" s="17" t="s">
        <v>89</v>
      </c>
      <c r="J222" s="17">
        <v>0.0</v>
      </c>
      <c r="K222" s="17">
        <v>0.0</v>
      </c>
      <c r="L222" s="17">
        <v>0.0</v>
      </c>
      <c r="M222" s="17">
        <v>0.0</v>
      </c>
      <c r="N222" s="17">
        <v>0.0</v>
      </c>
      <c r="O222" s="17">
        <v>0.0</v>
      </c>
      <c r="P222" s="17">
        <v>0.0</v>
      </c>
      <c r="Q222" s="17">
        <v>0.0</v>
      </c>
      <c r="R222" s="17">
        <v>0.0</v>
      </c>
      <c r="S222" s="17">
        <v>0.0</v>
      </c>
      <c r="T222" s="17">
        <v>0.0</v>
      </c>
      <c r="U222" s="17">
        <v>0.0</v>
      </c>
    </row>
    <row r="223" ht="23.25" customHeight="1">
      <c r="A223" s="20" t="str">
        <f>IF(COUNTIF('Icon Lookup'!C:C,B223)&gt;0,LOOKUP(B223,'Icon Lookup'!C:C,'Icon Lookup'!B:B),"")</f>
        <v/>
      </c>
      <c r="B223" s="21" t="s">
        <v>187</v>
      </c>
      <c r="C223" s="20" t="s">
        <v>17</v>
      </c>
      <c r="D223" s="20">
        <v>18.0</v>
      </c>
      <c r="E223" s="20" t="s">
        <v>188</v>
      </c>
      <c r="G223" s="22"/>
      <c r="H223" s="23" t="s">
        <v>362</v>
      </c>
      <c r="I223" s="20" t="s">
        <v>89</v>
      </c>
      <c r="J223" s="20">
        <v>0.0</v>
      </c>
      <c r="K223" s="20">
        <v>0.0</v>
      </c>
      <c r="L223" s="20">
        <v>0.0</v>
      </c>
      <c r="M223" s="20">
        <v>0.0</v>
      </c>
      <c r="N223" s="20">
        <v>0.0</v>
      </c>
      <c r="O223" s="20">
        <v>0.0</v>
      </c>
      <c r="P223" s="20">
        <v>0.0</v>
      </c>
      <c r="Q223" s="20">
        <v>0.0</v>
      </c>
      <c r="R223" s="20">
        <v>0.0</v>
      </c>
      <c r="S223" s="20">
        <v>0.0</v>
      </c>
      <c r="T223" s="20">
        <v>0.0</v>
      </c>
      <c r="U223" s="20">
        <v>0.0</v>
      </c>
    </row>
    <row r="224" ht="23.25" customHeight="1">
      <c r="A224" s="17" t="str">
        <f>IF(COUNTIF('Icon Lookup'!C:C,B224)&gt;0,LOOKUP(B224,'Icon Lookup'!C:C,'Icon Lookup'!B:B),"")</f>
        <v/>
      </c>
      <c r="B224" s="18" t="s">
        <v>365</v>
      </c>
      <c r="C224" s="17" t="s">
        <v>17</v>
      </c>
      <c r="D224" s="17">
        <v>20.0</v>
      </c>
      <c r="E224" s="17" t="s">
        <v>366</v>
      </c>
      <c r="G224" s="19"/>
      <c r="H224" s="20" t="s">
        <v>367</v>
      </c>
      <c r="I224" s="17" t="s">
        <v>156</v>
      </c>
      <c r="J224" s="17">
        <v>0.0</v>
      </c>
      <c r="K224" s="17">
        <v>0.0</v>
      </c>
      <c r="L224" s="17">
        <v>0.0</v>
      </c>
      <c r="M224" s="17">
        <v>0.0</v>
      </c>
      <c r="N224" s="17">
        <v>0.0</v>
      </c>
      <c r="O224" s="17">
        <v>0.0</v>
      </c>
      <c r="P224" s="17">
        <v>0.0</v>
      </c>
      <c r="Q224" s="17">
        <v>0.0</v>
      </c>
      <c r="R224" s="17">
        <v>0.0</v>
      </c>
      <c r="S224" s="17">
        <v>0.0</v>
      </c>
      <c r="T224" s="17">
        <v>0.0</v>
      </c>
      <c r="U224" s="17">
        <v>0.0</v>
      </c>
    </row>
    <row r="225" ht="23.25" customHeight="1">
      <c r="A225" s="20" t="str">
        <f>IF(COUNTIF('Icon Lookup'!C:C,B225)&gt;0,LOOKUP(B225,'Icon Lookup'!C:C,'Icon Lookup'!B:B),"")</f>
        <v/>
      </c>
      <c r="B225" s="21" t="s">
        <v>187</v>
      </c>
      <c r="C225" s="20" t="s">
        <v>17</v>
      </c>
      <c r="D225" s="20">
        <v>17.0</v>
      </c>
      <c r="E225" s="20" t="s">
        <v>188</v>
      </c>
      <c r="G225" s="22"/>
      <c r="H225" s="23" t="s">
        <v>362</v>
      </c>
      <c r="I225" s="20" t="s">
        <v>89</v>
      </c>
      <c r="J225" s="20">
        <v>0.0</v>
      </c>
      <c r="K225" s="20">
        <v>0.0</v>
      </c>
      <c r="L225" s="20">
        <v>0.0</v>
      </c>
      <c r="M225" s="20">
        <v>0.0</v>
      </c>
      <c r="N225" s="20">
        <v>0.0</v>
      </c>
      <c r="O225" s="20">
        <v>0.0</v>
      </c>
      <c r="P225" s="20">
        <v>0.0</v>
      </c>
      <c r="Q225" s="20">
        <v>0.0</v>
      </c>
      <c r="R225" s="20">
        <v>0.0</v>
      </c>
      <c r="S225" s="20">
        <v>0.0</v>
      </c>
      <c r="T225" s="20">
        <v>0.0</v>
      </c>
      <c r="U225" s="20">
        <v>0.0</v>
      </c>
    </row>
    <row r="226" ht="23.25" customHeight="1">
      <c r="A226" s="1" t="str">
        <f>IF(COUNTIF('Icon Lookup'!C:C,B226)&gt;0,LOOKUP(B226,'Icon Lookup'!C:C,'Icon Lookup'!B:B),"")</f>
        <v/>
      </c>
      <c r="B226" s="15" t="s">
        <v>368</v>
      </c>
      <c r="C226" s="1" t="s">
        <v>17</v>
      </c>
      <c r="D226" s="1" t="s">
        <v>369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ht="23.25" customHeight="1">
      <c r="A227" s="17" t="str">
        <f>IF(COUNTIF('Icon Lookup'!C:C,B227)&gt;0,LOOKUP(B227,'Icon Lookup'!C:C,'Icon Lookup'!B:B),"")</f>
        <v/>
      </c>
      <c r="B227" s="18" t="s">
        <v>225</v>
      </c>
      <c r="C227" s="17" t="s">
        <v>17</v>
      </c>
      <c r="D227" s="17">
        <v>21.0</v>
      </c>
      <c r="E227" s="17" t="s">
        <v>26</v>
      </c>
      <c r="G227" s="19"/>
      <c r="H227" s="20" t="s">
        <v>130</v>
      </c>
      <c r="I227" s="17" t="s">
        <v>22</v>
      </c>
      <c r="J227" s="17">
        <v>0.0</v>
      </c>
      <c r="K227" s="17">
        <v>0.0</v>
      </c>
      <c r="L227" s="17">
        <v>0.0</v>
      </c>
      <c r="M227" s="17">
        <v>0.0</v>
      </c>
      <c r="N227" s="17">
        <v>0.0</v>
      </c>
      <c r="O227" s="17">
        <v>0.0</v>
      </c>
      <c r="P227" s="17">
        <v>0.0</v>
      </c>
      <c r="Q227" s="17">
        <v>0.0</v>
      </c>
      <c r="R227" s="17">
        <v>0.0</v>
      </c>
      <c r="S227" s="17">
        <v>0.0</v>
      </c>
      <c r="T227" s="17">
        <v>0.0</v>
      </c>
      <c r="U227" s="17">
        <v>0.0</v>
      </c>
    </row>
    <row r="228" ht="23.25" customHeight="1">
      <c r="A228" s="20" t="str">
        <f>IF(COUNTIF('Icon Lookup'!C:C,B228)&gt;0,LOOKUP(B228,'Icon Lookup'!C:C,'Icon Lookup'!B:B),"")</f>
        <v/>
      </c>
      <c r="B228" s="21" t="s">
        <v>271</v>
      </c>
      <c r="C228" s="20" t="s">
        <v>17</v>
      </c>
      <c r="D228" s="20">
        <v>21.0</v>
      </c>
      <c r="E228" s="20" t="s">
        <v>44</v>
      </c>
      <c r="G228" s="22"/>
      <c r="H228" s="23" t="s">
        <v>370</v>
      </c>
      <c r="I228" s="20" t="s">
        <v>22</v>
      </c>
      <c r="J228" s="20">
        <v>0.0</v>
      </c>
      <c r="K228" s="20">
        <v>0.0</v>
      </c>
      <c r="L228" s="20">
        <v>0.0</v>
      </c>
      <c r="M228" s="20">
        <v>0.0</v>
      </c>
      <c r="N228" s="20">
        <v>0.0</v>
      </c>
      <c r="O228" s="20">
        <v>0.0</v>
      </c>
      <c r="P228" s="20">
        <v>0.0</v>
      </c>
      <c r="Q228" s="20">
        <v>0.0</v>
      </c>
      <c r="R228" s="20">
        <v>0.0</v>
      </c>
      <c r="S228" s="20">
        <v>0.0</v>
      </c>
      <c r="T228" s="20">
        <v>0.0</v>
      </c>
      <c r="U228" s="20">
        <v>0.0</v>
      </c>
    </row>
    <row r="229" ht="23.25" customHeight="1">
      <c r="A229" s="1" t="str">
        <f>IF(COUNTIF('Icon Lookup'!C:C,B229)&gt;0,LOOKUP(B229,'Icon Lookup'!C:C,'Icon Lookup'!B:B),"")</f>
        <v/>
      </c>
      <c r="B229" s="15" t="s">
        <v>371</v>
      </c>
      <c r="C229" s="1" t="s">
        <v>17</v>
      </c>
      <c r="D229" s="1" t="s">
        <v>372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ht="23.25" customHeight="1">
      <c r="A230" s="17" t="str">
        <f>IF(COUNTIF('Icon Lookup'!C:C,B230)&gt;0,LOOKUP(B230,'Icon Lookup'!C:C,'Icon Lookup'!B:B),"")</f>
        <v/>
      </c>
      <c r="B230" s="18" t="s">
        <v>373</v>
      </c>
      <c r="C230" s="17" t="s">
        <v>17</v>
      </c>
      <c r="D230" s="17">
        <v>21.0</v>
      </c>
      <c r="E230" s="17" t="s">
        <v>374</v>
      </c>
      <c r="G230" s="19"/>
      <c r="H230" s="20" t="s">
        <v>375</v>
      </c>
      <c r="I230" s="17" t="s">
        <v>156</v>
      </c>
      <c r="J230" s="17">
        <v>0.0</v>
      </c>
      <c r="K230" s="17">
        <v>0.0</v>
      </c>
      <c r="L230" s="17">
        <v>0.0</v>
      </c>
      <c r="M230" s="17">
        <v>0.0</v>
      </c>
      <c r="N230" s="17">
        <v>0.0</v>
      </c>
      <c r="O230" s="17">
        <v>0.0</v>
      </c>
      <c r="P230" s="17">
        <v>0.0</v>
      </c>
      <c r="Q230" s="17">
        <v>0.0</v>
      </c>
      <c r="R230" s="17">
        <v>0.0</v>
      </c>
      <c r="S230" s="17">
        <v>0.0</v>
      </c>
      <c r="T230" s="17">
        <v>0.0</v>
      </c>
      <c r="U230" s="17">
        <v>0.0</v>
      </c>
    </row>
    <row r="231" ht="23.25" customHeight="1">
      <c r="A231" s="20" t="str">
        <f>IF(COUNTIF('Icon Lookup'!C:C,B231)&gt;0,LOOKUP(B231,'Icon Lookup'!C:C,'Icon Lookup'!B:B),"")</f>
        <v/>
      </c>
      <c r="B231" s="21" t="s">
        <v>373</v>
      </c>
      <c r="C231" s="20" t="s">
        <v>17</v>
      </c>
      <c r="D231" s="20">
        <v>21.0</v>
      </c>
      <c r="E231" s="20" t="s">
        <v>374</v>
      </c>
      <c r="G231" s="22"/>
      <c r="H231" s="23" t="s">
        <v>376</v>
      </c>
      <c r="I231" s="20" t="s">
        <v>156</v>
      </c>
      <c r="J231" s="20">
        <v>0.0</v>
      </c>
      <c r="K231" s="20">
        <v>0.0</v>
      </c>
      <c r="L231" s="20">
        <v>0.0</v>
      </c>
      <c r="M231" s="20">
        <v>0.0</v>
      </c>
      <c r="N231" s="20">
        <v>0.0</v>
      </c>
      <c r="O231" s="20">
        <v>0.0</v>
      </c>
      <c r="P231" s="20">
        <v>0.0</v>
      </c>
      <c r="Q231" s="20">
        <v>0.0</v>
      </c>
      <c r="R231" s="20">
        <v>0.0</v>
      </c>
      <c r="S231" s="20">
        <v>0.0</v>
      </c>
      <c r="T231" s="20">
        <v>0.0</v>
      </c>
      <c r="U231" s="20">
        <v>0.0</v>
      </c>
    </row>
    <row r="232" ht="23.25" customHeight="1">
      <c r="A232" s="1" t="str">
        <f>IF(COUNTIF('Icon Lookup'!C:C,B232)&gt;0,LOOKUP(B232,'Icon Lookup'!C:C,'Icon Lookup'!B:B),"")</f>
        <v/>
      </c>
      <c r="B232" s="15" t="s">
        <v>377</v>
      </c>
      <c r="C232" s="1" t="s">
        <v>17</v>
      </c>
      <c r="D232" s="1" t="s">
        <v>378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ht="23.25" customHeight="1">
      <c r="A233" s="17" t="str">
        <f>IF(COUNTIF('Icon Lookup'!C:C,B233)&gt;0,LOOKUP(B233,'Icon Lookup'!C:C,'Icon Lookup'!B:B),"")</f>
        <v/>
      </c>
      <c r="B233" s="18" t="s">
        <v>379</v>
      </c>
      <c r="C233" s="17" t="s">
        <v>17</v>
      </c>
      <c r="D233" s="17">
        <v>21.0</v>
      </c>
      <c r="E233" s="17" t="s">
        <v>71</v>
      </c>
      <c r="G233" s="19"/>
      <c r="H233" s="20" t="s">
        <v>380</v>
      </c>
      <c r="I233" s="17" t="s">
        <v>22</v>
      </c>
      <c r="J233" s="17">
        <v>0.0</v>
      </c>
      <c r="K233" s="17">
        <v>0.0</v>
      </c>
      <c r="L233" s="17">
        <v>0.0</v>
      </c>
      <c r="M233" s="17">
        <v>0.0</v>
      </c>
      <c r="N233" s="17">
        <v>0.0</v>
      </c>
      <c r="O233" s="17">
        <v>0.0</v>
      </c>
      <c r="P233" s="17">
        <v>0.0</v>
      </c>
      <c r="Q233" s="17">
        <v>0.0</v>
      </c>
      <c r="R233" s="17">
        <v>0.0</v>
      </c>
      <c r="S233" s="17">
        <v>0.0</v>
      </c>
      <c r="T233" s="17">
        <v>0.0</v>
      </c>
      <c r="U233" s="17">
        <v>0.0</v>
      </c>
    </row>
    <row r="234" ht="23.25" customHeight="1">
      <c r="A234" s="20" t="str">
        <f>IF(COUNTIF('Icon Lookup'!C:C,B234)&gt;0,LOOKUP(B234,'Icon Lookup'!C:C,'Icon Lookup'!B:B),"")</f>
        <v/>
      </c>
      <c r="B234" s="21" t="s">
        <v>381</v>
      </c>
      <c r="C234" s="20" t="s">
        <v>17</v>
      </c>
      <c r="D234" s="20">
        <v>21.0</v>
      </c>
      <c r="E234" s="20" t="s">
        <v>382</v>
      </c>
      <c r="G234" s="22"/>
      <c r="H234" s="23" t="s">
        <v>383</v>
      </c>
      <c r="I234" s="20" t="s">
        <v>22</v>
      </c>
      <c r="J234" s="20">
        <v>0.0</v>
      </c>
      <c r="K234" s="20">
        <v>0.0</v>
      </c>
      <c r="L234" s="20">
        <v>0.0</v>
      </c>
      <c r="M234" s="20">
        <v>0.0</v>
      </c>
      <c r="N234" s="20">
        <v>0.0</v>
      </c>
      <c r="O234" s="20">
        <v>0.0</v>
      </c>
      <c r="P234" s="20">
        <v>0.0</v>
      </c>
      <c r="Q234" s="20">
        <v>0.0</v>
      </c>
      <c r="R234" s="20">
        <v>0.0</v>
      </c>
      <c r="S234" s="20">
        <v>0.0</v>
      </c>
      <c r="T234" s="20">
        <v>0.0</v>
      </c>
      <c r="U234" s="20">
        <v>0.0</v>
      </c>
    </row>
    <row r="235" ht="23.25" customHeight="1">
      <c r="A235" s="1" t="str">
        <f>IF(COUNTIF('Icon Lookup'!C:C,B235)&gt;0,LOOKUP(B235,'Icon Lookup'!C:C,'Icon Lookup'!B:B),"")</f>
        <v/>
      </c>
      <c r="B235" s="15" t="s">
        <v>384</v>
      </c>
      <c r="C235" s="1" t="s">
        <v>17</v>
      </c>
      <c r="D235" s="1" t="s">
        <v>385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ht="23.25" customHeight="1">
      <c r="A236" s="17" t="str">
        <f>IF(COUNTIF('Icon Lookup'!C:C,B236)&gt;0,LOOKUP(B236,'Icon Lookup'!C:C,'Icon Lookup'!B:B),"")</f>
        <v/>
      </c>
      <c r="B236" s="18" t="s">
        <v>386</v>
      </c>
      <c r="C236" s="17" t="s">
        <v>17</v>
      </c>
      <c r="D236" s="17">
        <v>21.0</v>
      </c>
      <c r="E236" s="17" t="s">
        <v>387</v>
      </c>
      <c r="G236" s="19"/>
      <c r="H236" s="20" t="s">
        <v>388</v>
      </c>
      <c r="I236" s="17" t="s">
        <v>156</v>
      </c>
      <c r="J236" s="17">
        <v>0.0</v>
      </c>
      <c r="K236" s="17">
        <v>0.0</v>
      </c>
      <c r="L236" s="17">
        <v>0.0</v>
      </c>
      <c r="M236" s="17">
        <v>0.0</v>
      </c>
      <c r="N236" s="17">
        <v>0.0</v>
      </c>
      <c r="O236" s="17">
        <v>0.0</v>
      </c>
      <c r="P236" s="17">
        <v>0.0</v>
      </c>
      <c r="Q236" s="17">
        <v>0.0</v>
      </c>
      <c r="R236" s="17">
        <v>0.0</v>
      </c>
      <c r="S236" s="17">
        <v>0.0</v>
      </c>
      <c r="T236" s="17">
        <v>0.0</v>
      </c>
      <c r="U236" s="17">
        <v>0.0</v>
      </c>
    </row>
    <row r="237" ht="23.25" customHeight="1">
      <c r="A237" s="1" t="str">
        <f>IF(COUNTIF('Icon Lookup'!C:C,B237)&gt;0,LOOKUP(B237,'Icon Lookup'!C:C,'Icon Lookup'!B:B),"")</f>
        <v/>
      </c>
      <c r="B237" s="15" t="s">
        <v>389</v>
      </c>
      <c r="C237" s="1" t="s">
        <v>17</v>
      </c>
      <c r="D237" s="1" t="s">
        <v>390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ht="23.25" customHeight="1">
      <c r="A238" s="20" t="str">
        <f>IF(COUNTIF('Icon Lookup'!C:C,B238)&gt;0,LOOKUP(B238,'Icon Lookup'!C:C,'Icon Lookup'!B:B),"")</f>
        <v/>
      </c>
      <c r="B238" s="21" t="s">
        <v>302</v>
      </c>
      <c r="C238" s="20" t="s">
        <v>17</v>
      </c>
      <c r="D238" s="20">
        <v>17.0</v>
      </c>
      <c r="E238" s="20" t="s">
        <v>20</v>
      </c>
      <c r="G238" s="22"/>
      <c r="H238" s="23" t="s">
        <v>351</v>
      </c>
      <c r="I238" s="20" t="s">
        <v>156</v>
      </c>
      <c r="J238" s="20">
        <v>0.0</v>
      </c>
      <c r="K238" s="20">
        <v>0.0</v>
      </c>
      <c r="L238" s="20">
        <v>0.0</v>
      </c>
      <c r="M238" s="20">
        <v>0.0</v>
      </c>
      <c r="N238" s="20">
        <v>0.0</v>
      </c>
      <c r="O238" s="20">
        <v>0.0</v>
      </c>
      <c r="P238" s="20">
        <v>0.0</v>
      </c>
      <c r="Q238" s="20">
        <v>0.0</v>
      </c>
      <c r="R238" s="20">
        <v>0.0</v>
      </c>
      <c r="S238" s="20">
        <v>0.0</v>
      </c>
      <c r="T238" s="20">
        <v>0.0</v>
      </c>
      <c r="U238" s="20">
        <v>0.0</v>
      </c>
    </row>
    <row r="239" ht="23.25" customHeight="1">
      <c r="A239" s="17" t="str">
        <f>IF(COUNTIF('Icon Lookup'!C:C,B239)&gt;0,LOOKUP(B239,'Icon Lookup'!C:C,'Icon Lookup'!B:B),"")</f>
        <v/>
      </c>
      <c r="B239" s="18" t="s">
        <v>165</v>
      </c>
      <c r="C239" s="17" t="s">
        <v>17</v>
      </c>
      <c r="D239" s="17">
        <v>19.0</v>
      </c>
      <c r="E239" s="17" t="s">
        <v>166</v>
      </c>
      <c r="G239" s="19"/>
      <c r="H239" s="20" t="s">
        <v>355</v>
      </c>
      <c r="I239" s="17" t="s">
        <v>94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</row>
    <row r="240" ht="23.25" customHeight="1">
      <c r="A240" s="1" t="str">
        <f>IF(COUNTIF('Icon Lookup'!C:C,B240)&gt;0,LOOKUP(B240,'Icon Lookup'!C:C,'Icon Lookup'!B:B),"")</f>
        <v/>
      </c>
      <c r="B240" s="15" t="s">
        <v>391</v>
      </c>
      <c r="C240" s="1" t="s">
        <v>17</v>
      </c>
      <c r="D240" s="1" t="s">
        <v>392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ht="23.25" customHeight="1">
      <c r="A241" s="20" t="str">
        <f>IF(COUNTIF('Icon Lookup'!C:C,B241)&gt;0,LOOKUP(B241,'Icon Lookup'!C:C,'Icon Lookup'!B:B),"")</f>
        <v/>
      </c>
      <c r="B241" s="21" t="s">
        <v>190</v>
      </c>
      <c r="C241" s="20" t="s">
        <v>17</v>
      </c>
      <c r="D241" s="20">
        <v>30.0</v>
      </c>
      <c r="E241" s="20" t="s">
        <v>26</v>
      </c>
      <c r="G241" s="22"/>
      <c r="H241" s="23" t="s">
        <v>393</v>
      </c>
      <c r="I241" s="20" t="s">
        <v>156</v>
      </c>
      <c r="J241" s="20">
        <v>0.0</v>
      </c>
      <c r="K241" s="20">
        <v>0.0</v>
      </c>
      <c r="L241" s="20">
        <v>0.0</v>
      </c>
      <c r="M241" s="20">
        <v>0.0</v>
      </c>
      <c r="N241" s="20">
        <v>0.0</v>
      </c>
      <c r="O241" s="20">
        <v>0.0</v>
      </c>
      <c r="P241" s="20">
        <v>0.0</v>
      </c>
      <c r="Q241" s="20">
        <v>0.0</v>
      </c>
      <c r="R241" s="20">
        <v>0.0</v>
      </c>
      <c r="S241" s="20">
        <v>0.0</v>
      </c>
      <c r="T241" s="20">
        <v>0.0</v>
      </c>
      <c r="U241" s="20">
        <v>0.0</v>
      </c>
    </row>
    <row r="242" ht="23.25" customHeight="1">
      <c r="A242" s="17" t="str">
        <f>IF(COUNTIF('Icon Lookup'!C:C,B242)&gt;0,LOOKUP(B242,'Icon Lookup'!C:C,'Icon Lookup'!B:B),"")</f>
        <v/>
      </c>
      <c r="B242" s="18" t="s">
        <v>190</v>
      </c>
      <c r="C242" s="17" t="s">
        <v>17</v>
      </c>
      <c r="D242" s="17">
        <v>29.0</v>
      </c>
      <c r="E242" s="17" t="s">
        <v>26</v>
      </c>
      <c r="G242" s="19"/>
      <c r="H242" s="20" t="s">
        <v>394</v>
      </c>
      <c r="I242" s="17" t="s">
        <v>156</v>
      </c>
      <c r="J242" s="17">
        <v>0.0</v>
      </c>
      <c r="K242" s="17">
        <v>0.0</v>
      </c>
      <c r="L242" s="17">
        <v>0.0</v>
      </c>
      <c r="M242" s="17">
        <v>0.0</v>
      </c>
      <c r="N242" s="17">
        <v>0.0</v>
      </c>
      <c r="O242" s="17">
        <v>0.0</v>
      </c>
      <c r="P242" s="17">
        <v>0.0</v>
      </c>
      <c r="Q242" s="17">
        <v>0.0</v>
      </c>
      <c r="R242" s="17">
        <v>0.0</v>
      </c>
      <c r="S242" s="17">
        <v>0.0</v>
      </c>
      <c r="T242" s="17">
        <v>0.0</v>
      </c>
      <c r="U242" s="17">
        <v>0.0</v>
      </c>
    </row>
    <row r="243" ht="23.25" customHeight="1">
      <c r="A243" s="20" t="str">
        <f>IF(COUNTIF('Icon Lookup'!C:C,B243)&gt;0,LOOKUP(B243,'Icon Lookup'!C:C,'Icon Lookup'!B:B),"")</f>
        <v/>
      </c>
      <c r="B243" s="21" t="s">
        <v>190</v>
      </c>
      <c r="C243" s="20" t="s">
        <v>17</v>
      </c>
      <c r="D243" s="20">
        <v>31.0</v>
      </c>
      <c r="E243" s="20" t="s">
        <v>26</v>
      </c>
      <c r="G243" s="22"/>
      <c r="H243" s="23" t="s">
        <v>395</v>
      </c>
      <c r="I243" s="20" t="s">
        <v>156</v>
      </c>
      <c r="J243" s="20">
        <v>0.0</v>
      </c>
      <c r="K243" s="20">
        <v>0.0</v>
      </c>
      <c r="L243" s="20">
        <v>0.0</v>
      </c>
      <c r="M243" s="20">
        <v>0.0</v>
      </c>
      <c r="N243" s="20">
        <v>0.0</v>
      </c>
      <c r="O243" s="20">
        <v>0.0</v>
      </c>
      <c r="P243" s="20">
        <v>0.0</v>
      </c>
      <c r="Q243" s="20">
        <v>0.0</v>
      </c>
      <c r="R243" s="20">
        <v>0.0</v>
      </c>
      <c r="S243" s="20">
        <v>0.0</v>
      </c>
      <c r="T243" s="20">
        <v>0.0</v>
      </c>
      <c r="U243" s="20">
        <v>0.0</v>
      </c>
    </row>
    <row r="244" ht="23.25" customHeight="1">
      <c r="A244" s="1" t="str">
        <f>IF(COUNTIF('Icon Lookup'!C:C,B244)&gt;0,LOOKUP(B244,'Icon Lookup'!C:C,'Icon Lookup'!B:B),"")</f>
        <v/>
      </c>
      <c r="B244" s="15" t="s">
        <v>396</v>
      </c>
      <c r="C244" s="1" t="s">
        <v>17</v>
      </c>
      <c r="D244" s="1" t="s">
        <v>397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ht="23.25" customHeight="1">
      <c r="A245" s="17" t="str">
        <f>IF(COUNTIF('Icon Lookup'!C:C,B245)&gt;0,LOOKUP(B245,'Icon Lookup'!C:C,'Icon Lookup'!B:B),"")</f>
        <v/>
      </c>
      <c r="B245" s="18" t="s">
        <v>398</v>
      </c>
      <c r="C245" s="17" t="s">
        <v>17</v>
      </c>
      <c r="D245" s="17">
        <v>30.0</v>
      </c>
      <c r="E245" s="17" t="s">
        <v>399</v>
      </c>
      <c r="G245" s="19"/>
      <c r="H245" s="20" t="s">
        <v>400</v>
      </c>
      <c r="I245" s="17" t="s">
        <v>156</v>
      </c>
      <c r="J245" s="17">
        <v>0.0</v>
      </c>
      <c r="K245" s="17">
        <v>0.0</v>
      </c>
      <c r="L245" s="17">
        <v>0.0</v>
      </c>
      <c r="M245" s="17">
        <v>0.0</v>
      </c>
      <c r="N245" s="17">
        <v>0.0</v>
      </c>
      <c r="O245" s="17">
        <v>0.0</v>
      </c>
      <c r="P245" s="17">
        <v>0.0</v>
      </c>
      <c r="Q245" s="17">
        <v>0.0</v>
      </c>
      <c r="R245" s="17">
        <v>0.0</v>
      </c>
      <c r="S245" s="17">
        <v>0.0</v>
      </c>
      <c r="T245" s="17">
        <v>0.0</v>
      </c>
      <c r="U245" s="17">
        <v>0.0</v>
      </c>
    </row>
    <row r="246" ht="23.25" customHeight="1">
      <c r="A246" s="20" t="str">
        <f>IF(COUNTIF('Icon Lookup'!C:C,B246)&gt;0,LOOKUP(B246,'Icon Lookup'!C:C,'Icon Lookup'!B:B),"")</f>
        <v/>
      </c>
      <c r="B246" s="21" t="s">
        <v>398</v>
      </c>
      <c r="C246" s="20" t="s">
        <v>17</v>
      </c>
      <c r="D246" s="20">
        <v>32.0</v>
      </c>
      <c r="E246" s="20" t="s">
        <v>399</v>
      </c>
      <c r="G246" s="22"/>
      <c r="H246" s="23" t="s">
        <v>401</v>
      </c>
      <c r="I246" s="20" t="s">
        <v>156</v>
      </c>
      <c r="J246" s="20">
        <v>0.0</v>
      </c>
      <c r="K246" s="20">
        <v>0.0</v>
      </c>
      <c r="L246" s="20">
        <v>0.0</v>
      </c>
      <c r="M246" s="20">
        <v>0.0</v>
      </c>
      <c r="N246" s="20">
        <v>0.0</v>
      </c>
      <c r="O246" s="20">
        <v>0.0</v>
      </c>
      <c r="P246" s="20">
        <v>0.0</v>
      </c>
      <c r="Q246" s="20">
        <v>0.0</v>
      </c>
      <c r="R246" s="20">
        <v>0.0</v>
      </c>
      <c r="S246" s="20">
        <v>0.0</v>
      </c>
      <c r="T246" s="20">
        <v>0.0</v>
      </c>
      <c r="U246" s="20">
        <v>0.0</v>
      </c>
    </row>
    <row r="247" ht="23.25" customHeight="1">
      <c r="A247" s="1" t="str">
        <f>IF(COUNTIF('Icon Lookup'!C:C,B247)&gt;0,LOOKUP(B247,'Icon Lookup'!C:C,'Icon Lookup'!B:B),"")</f>
        <v/>
      </c>
      <c r="B247" s="15" t="s">
        <v>402</v>
      </c>
      <c r="C247" s="1" t="s">
        <v>17</v>
      </c>
      <c r="D247" s="1" t="s">
        <v>403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ht="23.25" customHeight="1">
      <c r="A248" s="17" t="str">
        <f>IF(COUNTIF('Icon Lookup'!C:C,B248)&gt;0,LOOKUP(B248,'Icon Lookup'!C:C,'Icon Lookup'!B:B),"")</f>
        <v/>
      </c>
      <c r="B248" s="18" t="s">
        <v>381</v>
      </c>
      <c r="C248" s="17" t="s">
        <v>17</v>
      </c>
      <c r="D248" s="17">
        <v>31.0</v>
      </c>
      <c r="E248" s="17" t="s">
        <v>382</v>
      </c>
      <c r="G248" s="19"/>
      <c r="H248" s="20" t="s">
        <v>404</v>
      </c>
      <c r="I248" s="17" t="s">
        <v>197</v>
      </c>
      <c r="J248" s="17">
        <v>0.0</v>
      </c>
      <c r="K248" s="17">
        <v>0.0</v>
      </c>
      <c r="L248" s="17">
        <v>0.0</v>
      </c>
      <c r="M248" s="17">
        <v>0.0</v>
      </c>
      <c r="N248" s="17">
        <v>0.0</v>
      </c>
      <c r="O248" s="17">
        <v>0.0</v>
      </c>
      <c r="P248" s="17">
        <v>0.0</v>
      </c>
      <c r="Q248" s="17">
        <v>0.0</v>
      </c>
      <c r="R248" s="17">
        <v>0.0</v>
      </c>
      <c r="S248" s="17">
        <v>0.0</v>
      </c>
      <c r="T248" s="17">
        <v>0.0</v>
      </c>
      <c r="U248" s="17">
        <v>0.0</v>
      </c>
    </row>
    <row r="249" ht="23.25" customHeight="1">
      <c r="A249" s="20" t="str">
        <f>IF(COUNTIF('Icon Lookup'!C:C,B249)&gt;0,LOOKUP(B249,'Icon Lookup'!C:C,'Icon Lookup'!B:B),"")</f>
        <v/>
      </c>
      <c r="B249" s="21" t="s">
        <v>405</v>
      </c>
      <c r="C249" s="20" t="s">
        <v>17</v>
      </c>
      <c r="D249" s="20">
        <v>31.0</v>
      </c>
      <c r="E249" s="20" t="s">
        <v>382</v>
      </c>
      <c r="G249" s="22"/>
      <c r="H249" s="23" t="s">
        <v>406</v>
      </c>
      <c r="I249" s="20" t="s">
        <v>197</v>
      </c>
      <c r="J249" s="20">
        <v>0.0</v>
      </c>
      <c r="K249" s="20">
        <v>0.0</v>
      </c>
      <c r="L249" s="20">
        <v>0.0</v>
      </c>
      <c r="M249" s="20">
        <v>0.0</v>
      </c>
      <c r="N249" s="20">
        <v>0.0</v>
      </c>
      <c r="O249" s="20">
        <v>0.0</v>
      </c>
      <c r="P249" s="20">
        <v>0.0</v>
      </c>
      <c r="Q249" s="20">
        <v>0.0</v>
      </c>
      <c r="R249" s="20">
        <v>0.0</v>
      </c>
      <c r="S249" s="20">
        <v>0.0</v>
      </c>
      <c r="T249" s="20">
        <v>0.0</v>
      </c>
      <c r="U249" s="20">
        <v>0.0</v>
      </c>
    </row>
    <row r="250" ht="23.25" customHeight="1">
      <c r="A250" s="1" t="str">
        <f>IF(COUNTIF('Icon Lookup'!C:C,B250)&gt;0,LOOKUP(B250,'Icon Lookup'!C:C,'Icon Lookup'!B:B),"")</f>
        <v/>
      </c>
      <c r="B250" s="15" t="s">
        <v>407</v>
      </c>
      <c r="C250" s="1" t="s">
        <v>17</v>
      </c>
      <c r="D250" s="1" t="s">
        <v>408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ht="23.25" customHeight="1">
      <c r="A251" s="17" t="str">
        <f>IF(COUNTIF('Icon Lookup'!C:C,B251)&gt;0,LOOKUP(B251,'Icon Lookup'!C:C,'Icon Lookup'!B:B),"")</f>
        <v/>
      </c>
      <c r="B251" s="18" t="s">
        <v>381</v>
      </c>
      <c r="C251" s="17" t="s">
        <v>17</v>
      </c>
      <c r="D251" s="17">
        <v>32.0</v>
      </c>
      <c r="E251" s="17" t="s">
        <v>382</v>
      </c>
      <c r="G251" s="19"/>
      <c r="H251" s="20" t="s">
        <v>409</v>
      </c>
      <c r="I251" s="17" t="s">
        <v>197</v>
      </c>
      <c r="J251" s="17">
        <v>0.0</v>
      </c>
      <c r="K251" s="17">
        <v>0.0</v>
      </c>
      <c r="L251" s="17">
        <v>0.0</v>
      </c>
      <c r="M251" s="17">
        <v>0.0</v>
      </c>
      <c r="N251" s="17">
        <v>0.0</v>
      </c>
      <c r="O251" s="17">
        <v>0.0</v>
      </c>
      <c r="P251" s="17">
        <v>0.0</v>
      </c>
      <c r="Q251" s="17">
        <v>0.0</v>
      </c>
      <c r="R251" s="17">
        <v>0.0</v>
      </c>
      <c r="S251" s="17">
        <v>0.0</v>
      </c>
      <c r="T251" s="17">
        <v>0.0</v>
      </c>
      <c r="U251" s="17">
        <v>0.0</v>
      </c>
    </row>
    <row r="252" ht="23.25" customHeight="1">
      <c r="A252" s="20" t="str">
        <f>IF(COUNTIF('Icon Lookup'!C:C,B252)&gt;0,LOOKUP(B252,'Icon Lookup'!C:C,'Icon Lookup'!B:B),"")</f>
        <v/>
      </c>
      <c r="B252" s="21" t="s">
        <v>410</v>
      </c>
      <c r="C252" s="20" t="s">
        <v>17</v>
      </c>
      <c r="D252" s="20">
        <v>30.0</v>
      </c>
      <c r="E252" s="20" t="s">
        <v>411</v>
      </c>
      <c r="G252" s="22"/>
      <c r="H252" s="23" t="s">
        <v>412</v>
      </c>
      <c r="I252" s="20" t="s">
        <v>205</v>
      </c>
      <c r="J252" s="20">
        <v>0.0</v>
      </c>
      <c r="K252" s="20">
        <v>0.0</v>
      </c>
      <c r="L252" s="20">
        <v>0.0</v>
      </c>
      <c r="M252" s="20">
        <v>0.0</v>
      </c>
      <c r="N252" s="20">
        <v>0.0</v>
      </c>
      <c r="O252" s="20">
        <v>0.0</v>
      </c>
      <c r="P252" s="20">
        <v>0.0</v>
      </c>
      <c r="Q252" s="20">
        <v>0.0</v>
      </c>
      <c r="R252" s="20">
        <v>0.0</v>
      </c>
      <c r="S252" s="20">
        <v>0.0</v>
      </c>
      <c r="T252" s="20">
        <v>0.0</v>
      </c>
      <c r="U252" s="20">
        <v>0.0</v>
      </c>
    </row>
    <row r="253" ht="23.25" customHeight="1">
      <c r="A253" s="1" t="str">
        <f>IF(COUNTIF('Icon Lookup'!C:C,B253)&gt;0,LOOKUP(B253,'Icon Lookup'!C:C,'Icon Lookup'!B:B),"")</f>
        <v/>
      </c>
      <c r="B253" s="15" t="s">
        <v>413</v>
      </c>
      <c r="C253" s="1" t="s">
        <v>17</v>
      </c>
      <c r="D253" s="1" t="s">
        <v>414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ht="23.25" customHeight="1">
      <c r="A254" s="17" t="str">
        <f t="shared" ref="A254:A255" si="1">IMAGE("https://www.smogon.com/forums//media/minisprites/shellos-east.png",3)</f>
        <v/>
      </c>
      <c r="B254" s="18" t="s">
        <v>2700</v>
      </c>
      <c r="C254" s="17" t="s">
        <v>17</v>
      </c>
      <c r="D254" s="17">
        <v>19.0</v>
      </c>
      <c r="E254" s="17" t="s">
        <v>366</v>
      </c>
      <c r="G254" s="19"/>
      <c r="H254" s="20" t="s">
        <v>367</v>
      </c>
      <c r="I254" s="17" t="s">
        <v>105</v>
      </c>
      <c r="J254" s="17">
        <v>0.0</v>
      </c>
      <c r="K254" s="17">
        <v>0.0</v>
      </c>
      <c r="L254" s="17">
        <v>0.0</v>
      </c>
      <c r="M254" s="17">
        <v>0.0</v>
      </c>
      <c r="N254" s="17">
        <v>0.0</v>
      </c>
      <c r="O254" s="17">
        <v>0.0</v>
      </c>
      <c r="P254" s="17">
        <v>0.0</v>
      </c>
      <c r="Q254" s="17">
        <v>0.0</v>
      </c>
      <c r="R254" s="17">
        <v>0.0</v>
      </c>
      <c r="S254" s="17">
        <v>0.0</v>
      </c>
      <c r="T254" s="17">
        <v>0.0</v>
      </c>
      <c r="U254" s="17">
        <v>0.0</v>
      </c>
    </row>
    <row r="255" ht="23.25" customHeight="1">
      <c r="A255" s="20" t="str">
        <f t="shared" si="1"/>
        <v/>
      </c>
      <c r="B255" s="21" t="s">
        <v>2700</v>
      </c>
      <c r="C255" s="20" t="s">
        <v>17</v>
      </c>
      <c r="D255" s="20">
        <v>21.0</v>
      </c>
      <c r="E255" s="20" t="s">
        <v>366</v>
      </c>
      <c r="G255" s="22"/>
      <c r="H255" s="23" t="s">
        <v>416</v>
      </c>
      <c r="I255" s="20" t="s">
        <v>105</v>
      </c>
      <c r="J255" s="20">
        <v>0.0</v>
      </c>
      <c r="K255" s="20">
        <v>0.0</v>
      </c>
      <c r="L255" s="20">
        <v>0.0</v>
      </c>
      <c r="M255" s="20">
        <v>0.0</v>
      </c>
      <c r="N255" s="20">
        <v>0.0</v>
      </c>
      <c r="O255" s="20">
        <v>0.0</v>
      </c>
      <c r="P255" s="20">
        <v>0.0</v>
      </c>
      <c r="Q255" s="20">
        <v>0.0</v>
      </c>
      <c r="R255" s="20">
        <v>0.0</v>
      </c>
      <c r="S255" s="20">
        <v>0.0</v>
      </c>
      <c r="T255" s="20">
        <v>0.0</v>
      </c>
      <c r="U255" s="20">
        <v>0.0</v>
      </c>
    </row>
    <row r="256" ht="23.25" customHeight="1">
      <c r="A256" s="17" t="str">
        <f>IF(COUNTIF('Icon Lookup'!C:C,B256)&gt;0,LOOKUP(B256,'Icon Lookup'!C:C,'Icon Lookup'!B:B),"")</f>
        <v/>
      </c>
      <c r="B256" s="18" t="s">
        <v>365</v>
      </c>
      <c r="C256" s="17" t="s">
        <v>17</v>
      </c>
      <c r="D256" s="17">
        <v>20.0</v>
      </c>
      <c r="E256" s="17" t="s">
        <v>366</v>
      </c>
      <c r="G256" s="19"/>
      <c r="H256" s="20" t="s">
        <v>416</v>
      </c>
      <c r="I256" s="17" t="s">
        <v>105</v>
      </c>
      <c r="J256" s="17">
        <v>0.0</v>
      </c>
      <c r="K256" s="17">
        <v>0.0</v>
      </c>
      <c r="L256" s="17">
        <v>0.0</v>
      </c>
      <c r="M256" s="17">
        <v>0.0</v>
      </c>
      <c r="N256" s="17">
        <v>0.0</v>
      </c>
      <c r="O256" s="17">
        <v>0.0</v>
      </c>
      <c r="P256" s="17">
        <v>0.0</v>
      </c>
      <c r="Q256" s="17">
        <v>0.0</v>
      </c>
      <c r="R256" s="17">
        <v>0.0</v>
      </c>
      <c r="S256" s="17">
        <v>0.0</v>
      </c>
      <c r="T256" s="17">
        <v>0.0</v>
      </c>
      <c r="U256" s="17">
        <v>0.0</v>
      </c>
    </row>
    <row r="257" ht="23.25" customHeight="1">
      <c r="A257" s="1" t="str">
        <f>IF(COUNTIF('Icon Lookup'!C:C,B257)&gt;0,LOOKUP(B257,'Icon Lookup'!C:C,'Icon Lookup'!B:B),"")</f>
        <v/>
      </c>
      <c r="B257" s="15" t="s">
        <v>417</v>
      </c>
      <c r="C257" s="1" t="s">
        <v>17</v>
      </c>
      <c r="D257" s="1" t="s">
        <v>418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ht="23.25" customHeight="1">
      <c r="A258" s="20" t="str">
        <f>IF(COUNTIF('Icon Lookup'!C:C,B258)&gt;0,LOOKUP(B258,'Icon Lookup'!C:C,'Icon Lookup'!B:B),"")</f>
        <v/>
      </c>
      <c r="B258" s="21" t="s">
        <v>419</v>
      </c>
      <c r="C258" s="20" t="s">
        <v>17</v>
      </c>
      <c r="D258" s="20">
        <v>23.0</v>
      </c>
      <c r="E258" s="20" t="s">
        <v>31</v>
      </c>
      <c r="G258" s="22"/>
      <c r="H258" s="23" t="s">
        <v>420</v>
      </c>
      <c r="I258" s="20" t="s">
        <v>22</v>
      </c>
      <c r="J258" s="20">
        <v>0.0</v>
      </c>
      <c r="K258" s="20">
        <v>0.0</v>
      </c>
      <c r="L258" s="20">
        <v>0.0</v>
      </c>
      <c r="M258" s="20">
        <v>0.0</v>
      </c>
      <c r="N258" s="20">
        <v>0.0</v>
      </c>
      <c r="O258" s="20">
        <v>0.0</v>
      </c>
      <c r="P258" s="20">
        <v>0.0</v>
      </c>
      <c r="Q258" s="20">
        <v>0.0</v>
      </c>
      <c r="R258" s="20">
        <v>0.0</v>
      </c>
      <c r="S258" s="20">
        <v>0.0</v>
      </c>
      <c r="T258" s="20">
        <v>0.0</v>
      </c>
      <c r="U258" s="20">
        <v>0.0</v>
      </c>
    </row>
    <row r="259" ht="23.25" customHeight="1">
      <c r="A259" s="1" t="str">
        <f>IF(COUNTIF('Icon Lookup'!C:C,B259)&gt;0,LOOKUP(B259,'Icon Lookup'!C:C,'Icon Lookup'!B:B),"")</f>
        <v/>
      </c>
      <c r="B259" s="15" t="s">
        <v>421</v>
      </c>
      <c r="C259" s="1" t="s">
        <v>17</v>
      </c>
      <c r="D259" s="1" t="s">
        <v>422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ht="23.25" customHeight="1">
      <c r="A260" s="17" t="str">
        <f>IF(COUNTIF('Icon Lookup'!C:C,B260)&gt;0,LOOKUP(B260,'Icon Lookup'!C:C,'Icon Lookup'!B:B),"")</f>
        <v/>
      </c>
      <c r="B260" s="18" t="s">
        <v>190</v>
      </c>
      <c r="C260" s="17" t="s">
        <v>17</v>
      </c>
      <c r="D260" s="17">
        <v>31.0</v>
      </c>
      <c r="E260" s="17" t="s">
        <v>26</v>
      </c>
      <c r="G260" s="19"/>
      <c r="H260" s="20" t="s">
        <v>308</v>
      </c>
      <c r="I260" s="17" t="s">
        <v>156</v>
      </c>
      <c r="J260" s="17">
        <v>0.0</v>
      </c>
      <c r="K260" s="17">
        <v>0.0</v>
      </c>
      <c r="L260" s="17">
        <v>0.0</v>
      </c>
      <c r="M260" s="17">
        <v>0.0</v>
      </c>
      <c r="N260" s="17">
        <v>0.0</v>
      </c>
      <c r="O260" s="17">
        <v>0.0</v>
      </c>
      <c r="P260" s="17">
        <v>0.0</v>
      </c>
      <c r="Q260" s="17">
        <v>0.0</v>
      </c>
      <c r="R260" s="17">
        <v>0.0</v>
      </c>
      <c r="S260" s="17">
        <v>0.0</v>
      </c>
      <c r="T260" s="17">
        <v>0.0</v>
      </c>
      <c r="U260" s="17">
        <v>0.0</v>
      </c>
    </row>
    <row r="261" ht="23.25" customHeight="1">
      <c r="A261" s="20" t="str">
        <f>IF(COUNTIF('Icon Lookup'!C:C,B261)&gt;0,LOOKUP(B261,'Icon Lookup'!C:C,'Icon Lookup'!B:B),"")</f>
        <v/>
      </c>
      <c r="B261" s="21" t="s">
        <v>90</v>
      </c>
      <c r="C261" s="20" t="s">
        <v>17</v>
      </c>
      <c r="D261" s="20">
        <v>31.0</v>
      </c>
      <c r="E261" s="20" t="s">
        <v>91</v>
      </c>
      <c r="G261" s="22"/>
      <c r="H261" s="23" t="s">
        <v>423</v>
      </c>
      <c r="I261" s="20" t="s">
        <v>89</v>
      </c>
      <c r="J261" s="20">
        <v>0.0</v>
      </c>
      <c r="K261" s="20">
        <v>0.0</v>
      </c>
      <c r="L261" s="20">
        <v>0.0</v>
      </c>
      <c r="M261" s="20">
        <v>0.0</v>
      </c>
      <c r="N261" s="20">
        <v>0.0</v>
      </c>
      <c r="O261" s="20">
        <v>0.0</v>
      </c>
      <c r="P261" s="20">
        <v>0.0</v>
      </c>
      <c r="Q261" s="20">
        <v>0.0</v>
      </c>
      <c r="R261" s="20">
        <v>0.0</v>
      </c>
      <c r="S261" s="20">
        <v>0.0</v>
      </c>
      <c r="T261" s="20">
        <v>0.0</v>
      </c>
      <c r="U261" s="20">
        <v>0.0</v>
      </c>
    </row>
    <row r="262" ht="23.25" customHeight="1">
      <c r="A262" s="1" t="str">
        <f>IF(COUNTIF('Icon Lookup'!C:C,B262)&gt;0,LOOKUP(B262,'Icon Lookup'!C:C,'Icon Lookup'!B:B),"")</f>
        <v/>
      </c>
      <c r="B262" s="15" t="s">
        <v>424</v>
      </c>
      <c r="C262" s="1" t="s">
        <v>17</v>
      </c>
      <c r="D262" s="1" t="s">
        <v>425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ht="23.25" customHeight="1">
      <c r="A263" s="17" t="str">
        <f>IF(COUNTIF('Icon Lookup'!C:C,B263)&gt;0,LOOKUP(B263,'Icon Lookup'!C:C,'Icon Lookup'!B:B),"")</f>
        <v/>
      </c>
      <c r="B263" s="18" t="s">
        <v>43</v>
      </c>
      <c r="C263" s="17" t="s">
        <v>17</v>
      </c>
      <c r="D263" s="17">
        <v>19.0</v>
      </c>
      <c r="E263" s="17" t="s">
        <v>44</v>
      </c>
      <c r="G263" s="19"/>
      <c r="H263" s="20" t="s">
        <v>426</v>
      </c>
      <c r="I263" s="17" t="s">
        <v>89</v>
      </c>
      <c r="J263" s="17">
        <v>0.0</v>
      </c>
      <c r="K263" s="17">
        <v>0.0</v>
      </c>
      <c r="L263" s="17">
        <v>0.0</v>
      </c>
      <c r="M263" s="17">
        <v>0.0</v>
      </c>
      <c r="N263" s="17">
        <v>0.0</v>
      </c>
      <c r="O263" s="17">
        <v>0.0</v>
      </c>
      <c r="P263" s="17">
        <v>0.0</v>
      </c>
      <c r="Q263" s="17">
        <v>0.0</v>
      </c>
      <c r="R263" s="17">
        <v>0.0</v>
      </c>
      <c r="S263" s="17">
        <v>0.0</v>
      </c>
      <c r="T263" s="17">
        <v>0.0</v>
      </c>
      <c r="U263" s="17">
        <v>0.0</v>
      </c>
    </row>
    <row r="264" ht="23.25" customHeight="1">
      <c r="A264" s="20" t="str">
        <f>IF(COUNTIF('Icon Lookup'!C:C,B264)&gt;0,LOOKUP(B264,'Icon Lookup'!C:C,'Icon Lookup'!B:B),"")</f>
        <v/>
      </c>
      <c r="B264" s="21" t="s">
        <v>427</v>
      </c>
      <c r="C264" s="20" t="s">
        <v>17</v>
      </c>
      <c r="D264" s="20">
        <v>19.0</v>
      </c>
      <c r="E264" s="20" t="s">
        <v>428</v>
      </c>
      <c r="G264" s="22"/>
      <c r="H264" s="23" t="s">
        <v>429</v>
      </c>
      <c r="I264" s="20" t="s">
        <v>94</v>
      </c>
      <c r="J264" s="20">
        <v>0.0</v>
      </c>
      <c r="K264" s="20">
        <v>0.0</v>
      </c>
      <c r="L264" s="20">
        <v>0.0</v>
      </c>
      <c r="M264" s="20">
        <v>0.0</v>
      </c>
      <c r="N264" s="20">
        <v>0.0</v>
      </c>
      <c r="O264" s="20">
        <v>0.0</v>
      </c>
      <c r="P264" s="20">
        <v>0.0</v>
      </c>
      <c r="Q264" s="20">
        <v>0.0</v>
      </c>
      <c r="R264" s="20">
        <v>0.0</v>
      </c>
      <c r="S264" s="20">
        <v>0.0</v>
      </c>
      <c r="T264" s="20">
        <v>0.0</v>
      </c>
      <c r="U264" s="20">
        <v>0.0</v>
      </c>
    </row>
    <row r="265" ht="23.25" customHeight="1">
      <c r="A265" s="17" t="str">
        <f>IF(COUNTIF('Icon Lookup'!C:C,B265)&gt;0,LOOKUP(B265,'Icon Lookup'!C:C,'Icon Lookup'!B:B),"")</f>
        <v/>
      </c>
      <c r="B265" s="18" t="s">
        <v>190</v>
      </c>
      <c r="C265" s="17" t="s">
        <v>17</v>
      </c>
      <c r="D265" s="17">
        <v>22.0</v>
      </c>
      <c r="E265" s="17" t="s">
        <v>26</v>
      </c>
      <c r="G265" s="19"/>
      <c r="H265" s="20" t="s">
        <v>430</v>
      </c>
      <c r="I265" s="17" t="s">
        <v>156</v>
      </c>
      <c r="J265" s="17">
        <v>0.0</v>
      </c>
      <c r="K265" s="17">
        <v>0.0</v>
      </c>
      <c r="L265" s="17">
        <v>0.0</v>
      </c>
      <c r="M265" s="17">
        <v>0.0</v>
      </c>
      <c r="N265" s="17">
        <v>0.0</v>
      </c>
      <c r="O265" s="17">
        <v>0.0</v>
      </c>
      <c r="P265" s="17">
        <v>0.0</v>
      </c>
      <c r="Q265" s="17">
        <v>0.0</v>
      </c>
      <c r="R265" s="17">
        <v>0.0</v>
      </c>
      <c r="S265" s="17">
        <v>0.0</v>
      </c>
      <c r="T265" s="17">
        <v>0.0</v>
      </c>
      <c r="U265" s="17">
        <v>0.0</v>
      </c>
    </row>
    <row r="266" ht="23.25" customHeight="1">
      <c r="A266" s="1" t="str">
        <f>IF(COUNTIF('Icon Lookup'!C:C,B266)&gt;0,LOOKUP(B266,'Icon Lookup'!C:C,'Icon Lookup'!B:B),"")</f>
        <v/>
      </c>
      <c r="B266" s="15" t="s">
        <v>431</v>
      </c>
      <c r="C266" s="1" t="s">
        <v>17</v>
      </c>
      <c r="D266" s="1" t="s">
        <v>432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ht="23.25" customHeight="1">
      <c r="A267" s="20" t="str">
        <f>IF(COUNTIF('Icon Lookup'!C:C,B267)&gt;0,LOOKUP(B267,'Icon Lookup'!C:C,'Icon Lookup'!B:B),"")</f>
        <v/>
      </c>
      <c r="B267" s="21" t="s">
        <v>433</v>
      </c>
      <c r="C267" s="20" t="s">
        <v>17</v>
      </c>
      <c r="D267" s="20">
        <v>24.0</v>
      </c>
      <c r="E267" s="20" t="s">
        <v>434</v>
      </c>
      <c r="G267" s="22"/>
      <c r="H267" s="23" t="s">
        <v>435</v>
      </c>
      <c r="I267" s="20" t="s">
        <v>89</v>
      </c>
      <c r="J267" s="20">
        <v>0.0</v>
      </c>
      <c r="K267" s="20">
        <v>0.0</v>
      </c>
      <c r="L267" s="20">
        <v>0.0</v>
      </c>
      <c r="M267" s="20">
        <v>0.0</v>
      </c>
      <c r="N267" s="20">
        <v>0.0</v>
      </c>
      <c r="O267" s="20">
        <v>0.0</v>
      </c>
      <c r="P267" s="20">
        <v>0.0</v>
      </c>
      <c r="Q267" s="20">
        <v>0.0</v>
      </c>
      <c r="R267" s="20">
        <v>0.0</v>
      </c>
      <c r="S267" s="20">
        <v>0.0</v>
      </c>
      <c r="T267" s="20">
        <v>0.0</v>
      </c>
      <c r="U267" s="20">
        <v>0.0</v>
      </c>
    </row>
    <row r="268" ht="23.25" customHeight="1">
      <c r="A268" s="17" t="str">
        <f>IF(COUNTIF('Icon Lookup'!C:C,B268)&gt;0,LOOKUP(B268,'Icon Lookup'!C:C,'Icon Lookup'!B:B),"")</f>
        <v/>
      </c>
      <c r="B268" s="18" t="s">
        <v>86</v>
      </c>
      <c r="C268" s="17" t="s">
        <v>17</v>
      </c>
      <c r="D268" s="17">
        <v>22.0</v>
      </c>
      <c r="E268" s="17" t="s">
        <v>98</v>
      </c>
      <c r="G268" s="19"/>
      <c r="H268" s="20" t="s">
        <v>177</v>
      </c>
      <c r="I268" s="17" t="s">
        <v>89</v>
      </c>
      <c r="J268" s="17">
        <v>0.0</v>
      </c>
      <c r="K268" s="17">
        <v>0.0</v>
      </c>
      <c r="L268" s="17">
        <v>0.0</v>
      </c>
      <c r="M268" s="17">
        <v>0.0</v>
      </c>
      <c r="N268" s="17">
        <v>0.0</v>
      </c>
      <c r="O268" s="17">
        <v>0.0</v>
      </c>
      <c r="P268" s="17">
        <v>0.0</v>
      </c>
      <c r="Q268" s="17">
        <v>0.0</v>
      </c>
      <c r="R268" s="17">
        <v>0.0</v>
      </c>
      <c r="S268" s="17">
        <v>0.0</v>
      </c>
      <c r="T268" s="17">
        <v>0.0</v>
      </c>
      <c r="U268" s="17">
        <v>0.0</v>
      </c>
    </row>
    <row r="269" ht="23.25" customHeight="1">
      <c r="A269" s="20" t="str">
        <f>IF(COUNTIF('Icon Lookup'!C:C,B269)&gt;0,LOOKUP(B269,'Icon Lookup'!C:C,'Icon Lookup'!B:B),"")</f>
        <v/>
      </c>
      <c r="B269" s="21" t="s">
        <v>160</v>
      </c>
      <c r="C269" s="20" t="s">
        <v>17</v>
      </c>
      <c r="D269" s="20">
        <v>23.0</v>
      </c>
      <c r="E269" s="20" t="s">
        <v>161</v>
      </c>
      <c r="G269" s="22"/>
      <c r="H269" s="23" t="s">
        <v>162</v>
      </c>
      <c r="I269" s="20" t="s">
        <v>94</v>
      </c>
      <c r="J269" s="20">
        <v>0.0</v>
      </c>
      <c r="K269" s="20">
        <v>0.0</v>
      </c>
      <c r="L269" s="20">
        <v>0.0</v>
      </c>
      <c r="M269" s="20">
        <v>0.0</v>
      </c>
      <c r="N269" s="20">
        <v>0.0</v>
      </c>
      <c r="O269" s="20">
        <v>0.0</v>
      </c>
      <c r="P269" s="20">
        <v>0.0</v>
      </c>
      <c r="Q269" s="20">
        <v>0.0</v>
      </c>
      <c r="R269" s="20">
        <v>0.0</v>
      </c>
      <c r="S269" s="20">
        <v>0.0</v>
      </c>
      <c r="T269" s="20">
        <v>0.0</v>
      </c>
      <c r="U269" s="20">
        <v>0.0</v>
      </c>
    </row>
    <row r="270" ht="23.25" customHeight="1">
      <c r="A270" s="1" t="str">
        <f>IF(COUNTIF('Icon Lookup'!C:C,B270)&gt;0,LOOKUP(B270,'Icon Lookup'!C:C,'Icon Lookup'!B:B),"")</f>
        <v/>
      </c>
      <c r="B270" s="15" t="s">
        <v>436</v>
      </c>
      <c r="C270" s="1" t="s">
        <v>17</v>
      </c>
      <c r="D270" s="1" t="s">
        <v>437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ht="23.25" customHeight="1">
      <c r="A271" s="17" t="str">
        <f>IF(COUNTIF('Icon Lookup'!C:C,B271)&gt;0,LOOKUP(B271,'Icon Lookup'!C:C,'Icon Lookup'!B:B),"")</f>
        <v/>
      </c>
      <c r="B271" s="18" t="s">
        <v>438</v>
      </c>
      <c r="C271" s="17" t="s">
        <v>17</v>
      </c>
      <c r="D271" s="17">
        <v>26.0</v>
      </c>
      <c r="E271" s="17" t="s">
        <v>98</v>
      </c>
      <c r="G271" s="19"/>
      <c r="H271" s="20" t="s">
        <v>439</v>
      </c>
      <c r="I271" s="17" t="s">
        <v>89</v>
      </c>
      <c r="J271" s="17">
        <v>0.0</v>
      </c>
      <c r="K271" s="17">
        <v>0.0</v>
      </c>
      <c r="L271" s="17">
        <v>0.0</v>
      </c>
      <c r="M271" s="17">
        <v>0.0</v>
      </c>
      <c r="N271" s="17">
        <v>0.0</v>
      </c>
      <c r="O271" s="17">
        <v>0.0</v>
      </c>
      <c r="P271" s="17">
        <v>0.0</v>
      </c>
      <c r="Q271" s="17">
        <v>0.0</v>
      </c>
      <c r="R271" s="17">
        <v>0.0</v>
      </c>
      <c r="S271" s="17">
        <v>0.0</v>
      </c>
      <c r="T271" s="17">
        <v>0.0</v>
      </c>
      <c r="U271" s="17">
        <v>0.0</v>
      </c>
    </row>
    <row r="272" ht="23.25" customHeight="1">
      <c r="A272" s="1" t="str">
        <f>IF(COUNTIF('Icon Lookup'!C:C,B272)&gt;0,LOOKUP(B272,'Icon Lookup'!C:C,'Icon Lookup'!B:B),"")</f>
        <v/>
      </c>
      <c r="B272" s="15" t="s">
        <v>440</v>
      </c>
      <c r="C272" s="1" t="s">
        <v>17</v>
      </c>
      <c r="D272" s="1" t="s">
        <v>441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ht="23.25" customHeight="1">
      <c r="A273" s="20" t="str">
        <f>IF(COUNTIF('Icon Lookup'!C:C,B273)&gt;0,LOOKUP(B273,'Icon Lookup'!C:C,'Icon Lookup'!B:B),"")</f>
        <v/>
      </c>
      <c r="B273" s="21" t="s">
        <v>442</v>
      </c>
      <c r="C273" s="20" t="s">
        <v>17</v>
      </c>
      <c r="D273" s="20">
        <v>23.0</v>
      </c>
      <c r="E273" s="20" t="s">
        <v>161</v>
      </c>
      <c r="G273" s="22"/>
      <c r="H273" s="23" t="s">
        <v>443</v>
      </c>
      <c r="I273" s="20" t="s">
        <v>52</v>
      </c>
      <c r="J273" s="20">
        <v>0.0</v>
      </c>
      <c r="K273" s="20">
        <v>0.0</v>
      </c>
      <c r="L273" s="20">
        <v>0.0</v>
      </c>
      <c r="M273" s="20">
        <v>0.0</v>
      </c>
      <c r="N273" s="20">
        <v>0.0</v>
      </c>
      <c r="O273" s="20">
        <v>0.0</v>
      </c>
      <c r="P273" s="20">
        <v>0.0</v>
      </c>
      <c r="Q273" s="20">
        <v>0.0</v>
      </c>
      <c r="R273" s="20">
        <v>0.0</v>
      </c>
      <c r="S273" s="20">
        <v>0.0</v>
      </c>
      <c r="T273" s="20">
        <v>0.0</v>
      </c>
      <c r="U273" s="20">
        <v>0.0</v>
      </c>
    </row>
    <row r="274" ht="23.25" customHeight="1">
      <c r="A274" s="17" t="str">
        <f>IF(COUNTIF('Icon Lookup'!C:C,B274)&gt;0,LOOKUP(B274,'Icon Lookup'!C:C,'Icon Lookup'!B:B),"")</f>
        <v/>
      </c>
      <c r="B274" s="18" t="s">
        <v>386</v>
      </c>
      <c r="C274" s="17" t="s">
        <v>17</v>
      </c>
      <c r="D274" s="17">
        <v>23.0</v>
      </c>
      <c r="E274" s="17" t="s">
        <v>387</v>
      </c>
      <c r="G274" s="19"/>
      <c r="H274" s="20" t="s">
        <v>444</v>
      </c>
      <c r="I274" s="17" t="s">
        <v>52</v>
      </c>
      <c r="J274" s="17">
        <v>0.0</v>
      </c>
      <c r="K274" s="17">
        <v>0.0</v>
      </c>
      <c r="L274" s="17">
        <v>0.0</v>
      </c>
      <c r="M274" s="17">
        <v>0.0</v>
      </c>
      <c r="N274" s="17">
        <v>0.0</v>
      </c>
      <c r="O274" s="17">
        <v>0.0</v>
      </c>
      <c r="P274" s="17">
        <v>0.0</v>
      </c>
      <c r="Q274" s="17">
        <v>0.0</v>
      </c>
      <c r="R274" s="17">
        <v>0.0</v>
      </c>
      <c r="S274" s="17">
        <v>0.0</v>
      </c>
      <c r="T274" s="17">
        <v>0.0</v>
      </c>
      <c r="U274" s="17">
        <v>0.0</v>
      </c>
    </row>
    <row r="275" ht="23.25" customHeight="1">
      <c r="A275" s="1" t="str">
        <f>IF(COUNTIF('Icon Lookup'!C:C,B275)&gt;0,LOOKUP(B275,'Icon Lookup'!C:C,'Icon Lookup'!B:B),"")</f>
        <v/>
      </c>
      <c r="B275" s="15" t="s">
        <v>445</v>
      </c>
      <c r="C275" s="1" t="s">
        <v>17</v>
      </c>
      <c r="D275" s="1" t="s">
        <v>446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ht="23.25" customHeight="1">
      <c r="A276" s="20" t="str">
        <f>IF(COUNTIF('Icon Lookup'!C:C,B276)&gt;0,LOOKUP(B276,'Icon Lookup'!C:C,'Icon Lookup'!B:B),"")</f>
        <v/>
      </c>
      <c r="B276" s="21" t="s">
        <v>447</v>
      </c>
      <c r="C276" s="20" t="s">
        <v>17</v>
      </c>
      <c r="D276" s="20">
        <v>22.0</v>
      </c>
      <c r="E276" s="20" t="s">
        <v>161</v>
      </c>
      <c r="G276" s="22"/>
      <c r="H276" s="23" t="s">
        <v>448</v>
      </c>
      <c r="I276" s="20" t="s">
        <v>52</v>
      </c>
      <c r="J276" s="20">
        <v>0.0</v>
      </c>
      <c r="K276" s="20">
        <v>0.0</v>
      </c>
      <c r="L276" s="20">
        <v>0.0</v>
      </c>
      <c r="M276" s="20">
        <v>0.0</v>
      </c>
      <c r="N276" s="20">
        <v>0.0</v>
      </c>
      <c r="O276" s="20">
        <v>0.0</v>
      </c>
      <c r="P276" s="20">
        <v>0.0</v>
      </c>
      <c r="Q276" s="20">
        <v>0.0</v>
      </c>
      <c r="R276" s="20">
        <v>0.0</v>
      </c>
      <c r="S276" s="20">
        <v>0.0</v>
      </c>
      <c r="T276" s="20">
        <v>0.0</v>
      </c>
      <c r="U276" s="20">
        <v>0.0</v>
      </c>
    </row>
    <row r="277" ht="23.25" customHeight="1">
      <c r="A277" s="17" t="str">
        <f>IF(COUNTIF('Icon Lookup'!C:C,B277)&gt;0,LOOKUP(B277,'Icon Lookup'!C:C,'Icon Lookup'!B:B),"")</f>
        <v/>
      </c>
      <c r="B277" s="18" t="s">
        <v>449</v>
      </c>
      <c r="C277" s="17" t="s">
        <v>17</v>
      </c>
      <c r="D277" s="17">
        <v>23.0</v>
      </c>
      <c r="E277" s="17" t="s">
        <v>161</v>
      </c>
      <c r="G277" s="19"/>
      <c r="H277" s="20" t="s">
        <v>450</v>
      </c>
      <c r="I277" s="17" t="s">
        <v>52</v>
      </c>
      <c r="J277" s="17">
        <v>0.0</v>
      </c>
      <c r="K277" s="17">
        <v>0.0</v>
      </c>
      <c r="L277" s="17">
        <v>0.0</v>
      </c>
      <c r="M277" s="17">
        <v>0.0</v>
      </c>
      <c r="N277" s="17">
        <v>0.0</v>
      </c>
      <c r="O277" s="17">
        <v>0.0</v>
      </c>
      <c r="P277" s="17">
        <v>0.0</v>
      </c>
      <c r="Q277" s="17">
        <v>0.0</v>
      </c>
      <c r="R277" s="17">
        <v>0.0</v>
      </c>
      <c r="S277" s="17">
        <v>0.0</v>
      </c>
      <c r="T277" s="17">
        <v>0.0</v>
      </c>
      <c r="U277" s="17">
        <v>0.0</v>
      </c>
    </row>
    <row r="278" ht="23.25" customHeight="1">
      <c r="A278" s="20" t="str">
        <f>IF(COUNTIF('Icon Lookup'!C:C,B278)&gt;0,LOOKUP(B278,'Icon Lookup'!C:C,'Icon Lookup'!B:B),"")</f>
        <v/>
      </c>
      <c r="B278" s="21" t="s">
        <v>386</v>
      </c>
      <c r="C278" s="20" t="s">
        <v>17</v>
      </c>
      <c r="D278" s="20">
        <v>24.0</v>
      </c>
      <c r="E278" s="20" t="s">
        <v>387</v>
      </c>
      <c r="G278" s="22"/>
      <c r="H278" s="23" t="s">
        <v>444</v>
      </c>
      <c r="I278" s="20" t="s">
        <v>52</v>
      </c>
      <c r="J278" s="20">
        <v>0.0</v>
      </c>
      <c r="K278" s="20">
        <v>0.0</v>
      </c>
      <c r="L278" s="20">
        <v>0.0</v>
      </c>
      <c r="M278" s="20">
        <v>0.0</v>
      </c>
      <c r="N278" s="20">
        <v>0.0</v>
      </c>
      <c r="O278" s="20">
        <v>0.0</v>
      </c>
      <c r="P278" s="20">
        <v>0.0</v>
      </c>
      <c r="Q278" s="20">
        <v>0.0</v>
      </c>
      <c r="R278" s="20">
        <v>0.0</v>
      </c>
      <c r="S278" s="20">
        <v>0.0</v>
      </c>
      <c r="T278" s="20">
        <v>0.0</v>
      </c>
      <c r="U278" s="20">
        <v>0.0</v>
      </c>
    </row>
    <row r="279" ht="23.25" customHeight="1">
      <c r="A279" s="1" t="str">
        <f>IF(COUNTIF('Icon Lookup'!C:C,B279)&gt;0,LOOKUP(B279,'Icon Lookup'!C:C,'Icon Lookup'!B:B),"")</f>
        <v/>
      </c>
      <c r="B279" s="15" t="s">
        <v>451</v>
      </c>
      <c r="C279" s="1" t="s">
        <v>17</v>
      </c>
      <c r="D279" s="1" t="s">
        <v>452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ht="23.25" customHeight="1">
      <c r="A280" s="17" t="str">
        <f>IF(COUNTIF('Icon Lookup'!C:C,B280)&gt;0,LOOKUP(B280,'Icon Lookup'!C:C,'Icon Lookup'!B:B),"")</f>
        <v/>
      </c>
      <c r="B280" s="18" t="s">
        <v>110</v>
      </c>
      <c r="C280" s="17" t="s">
        <v>17</v>
      </c>
      <c r="D280" s="17">
        <v>23.0</v>
      </c>
      <c r="E280" s="17" t="s">
        <v>111</v>
      </c>
      <c r="G280" s="19"/>
      <c r="H280" s="20" t="s">
        <v>112</v>
      </c>
      <c r="I280" s="17" t="s">
        <v>52</v>
      </c>
      <c r="J280" s="17">
        <v>0.0</v>
      </c>
      <c r="K280" s="17">
        <v>0.0</v>
      </c>
      <c r="L280" s="17">
        <v>0.0</v>
      </c>
      <c r="M280" s="17">
        <v>0.0</v>
      </c>
      <c r="N280" s="17">
        <v>0.0</v>
      </c>
      <c r="O280" s="17">
        <v>0.0</v>
      </c>
      <c r="P280" s="17">
        <v>0.0</v>
      </c>
      <c r="Q280" s="17">
        <v>0.0</v>
      </c>
      <c r="R280" s="17">
        <v>0.0</v>
      </c>
      <c r="S280" s="17">
        <v>0.0</v>
      </c>
      <c r="T280" s="17">
        <v>0.0</v>
      </c>
      <c r="U280" s="17">
        <v>0.0</v>
      </c>
    </row>
    <row r="281" ht="23.25" customHeight="1">
      <c r="A281" s="20" t="str">
        <f>IF(COUNTIF('Icon Lookup'!C:C,B281)&gt;0,LOOKUP(B281,'Icon Lookup'!C:C,'Icon Lookup'!B:B),"")</f>
        <v/>
      </c>
      <c r="B281" s="21" t="s">
        <v>110</v>
      </c>
      <c r="C281" s="20" t="s">
        <v>17</v>
      </c>
      <c r="D281" s="20">
        <v>23.0</v>
      </c>
      <c r="E281" s="20" t="s">
        <v>111</v>
      </c>
      <c r="G281" s="22"/>
      <c r="H281" s="23" t="s">
        <v>453</v>
      </c>
      <c r="I281" s="20" t="s">
        <v>22</v>
      </c>
      <c r="J281" s="20">
        <v>0.0</v>
      </c>
      <c r="K281" s="20">
        <v>0.0</v>
      </c>
      <c r="L281" s="20">
        <v>0.0</v>
      </c>
      <c r="M281" s="20">
        <v>0.0</v>
      </c>
      <c r="N281" s="20">
        <v>0.0</v>
      </c>
      <c r="O281" s="20">
        <v>0.0</v>
      </c>
      <c r="P281" s="20">
        <v>0.0</v>
      </c>
      <c r="Q281" s="20">
        <v>0.0</v>
      </c>
      <c r="R281" s="20">
        <v>0.0</v>
      </c>
      <c r="S281" s="20">
        <v>0.0</v>
      </c>
      <c r="T281" s="20">
        <v>0.0</v>
      </c>
      <c r="U281" s="20">
        <v>0.0</v>
      </c>
    </row>
    <row r="282" ht="23.25" customHeight="1">
      <c r="A282" s="17" t="str">
        <f>IF(COUNTIF('Icon Lookup'!C:C,B282)&gt;0,LOOKUP(B282,'Icon Lookup'!C:C,'Icon Lookup'!B:B),"")</f>
        <v/>
      </c>
      <c r="B282" s="18" t="s">
        <v>110</v>
      </c>
      <c r="C282" s="17" t="s">
        <v>17</v>
      </c>
      <c r="D282" s="17">
        <v>23.0</v>
      </c>
      <c r="E282" s="17" t="s">
        <v>111</v>
      </c>
      <c r="G282" s="19"/>
      <c r="H282" s="20" t="s">
        <v>454</v>
      </c>
      <c r="I282" s="17" t="s">
        <v>22</v>
      </c>
      <c r="J282" s="17">
        <v>0.0</v>
      </c>
      <c r="K282" s="17">
        <v>0.0</v>
      </c>
      <c r="L282" s="17">
        <v>0.0</v>
      </c>
      <c r="M282" s="17">
        <v>0.0</v>
      </c>
      <c r="N282" s="17">
        <v>0.0</v>
      </c>
      <c r="O282" s="17">
        <v>0.0</v>
      </c>
      <c r="P282" s="17">
        <v>0.0</v>
      </c>
      <c r="Q282" s="17">
        <v>0.0</v>
      </c>
      <c r="R282" s="17">
        <v>0.0</v>
      </c>
      <c r="S282" s="17">
        <v>0.0</v>
      </c>
      <c r="T282" s="17">
        <v>0.0</v>
      </c>
      <c r="U282" s="17">
        <v>0.0</v>
      </c>
    </row>
    <row r="283" ht="23.25" customHeight="1">
      <c r="A283" s="1" t="str">
        <f>IF(COUNTIF('Icon Lookup'!C:C,B283)&gt;0,LOOKUP(B283,'Icon Lookup'!C:C,'Icon Lookup'!B:B),"")</f>
        <v/>
      </c>
      <c r="B283" s="15" t="s">
        <v>455</v>
      </c>
      <c r="C283" s="1" t="s">
        <v>17</v>
      </c>
      <c r="D283" s="1" t="s">
        <v>456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ht="23.25" customHeight="1">
      <c r="A284" s="20" t="str">
        <f>IF(COUNTIF('Icon Lookup'!C:C,B284)&gt;0,LOOKUP(B284,'Icon Lookup'!C:C,'Icon Lookup'!B:B),"")</f>
        <v/>
      </c>
      <c r="B284" s="21" t="s">
        <v>165</v>
      </c>
      <c r="C284" s="20" t="s">
        <v>17</v>
      </c>
      <c r="D284" s="20">
        <v>23.0</v>
      </c>
      <c r="E284" s="20" t="s">
        <v>166</v>
      </c>
      <c r="G284" s="22"/>
      <c r="H284" s="23" t="s">
        <v>457</v>
      </c>
      <c r="I284" s="20" t="s">
        <v>94</v>
      </c>
      <c r="J284" s="20">
        <v>0.0</v>
      </c>
      <c r="K284" s="20">
        <v>0.0</v>
      </c>
      <c r="L284" s="20">
        <v>0.0</v>
      </c>
      <c r="M284" s="20">
        <v>0.0</v>
      </c>
      <c r="N284" s="20">
        <v>0.0</v>
      </c>
      <c r="O284" s="20">
        <v>0.0</v>
      </c>
      <c r="P284" s="20">
        <v>0.0</v>
      </c>
      <c r="Q284" s="20">
        <v>0.0</v>
      </c>
      <c r="R284" s="20">
        <v>0.0</v>
      </c>
      <c r="S284" s="20">
        <v>0.0</v>
      </c>
      <c r="T284" s="20">
        <v>0.0</v>
      </c>
      <c r="U284" s="20">
        <v>0.0</v>
      </c>
    </row>
    <row r="285" ht="23.25" customHeight="1">
      <c r="A285" s="17" t="str">
        <f>IF(COUNTIF('Icon Lookup'!C:C,B285)&gt;0,LOOKUP(B285,'Icon Lookup'!C:C,'Icon Lookup'!B:B),"")</f>
        <v/>
      </c>
      <c r="B285" s="18" t="s">
        <v>90</v>
      </c>
      <c r="C285" s="17" t="s">
        <v>17</v>
      </c>
      <c r="D285" s="17">
        <v>22.0</v>
      </c>
      <c r="E285" s="17" t="s">
        <v>91</v>
      </c>
      <c r="G285" s="19"/>
      <c r="H285" s="20" t="s">
        <v>458</v>
      </c>
      <c r="I285" s="17" t="s">
        <v>89</v>
      </c>
      <c r="J285" s="17">
        <v>0.0</v>
      </c>
      <c r="K285" s="17">
        <v>0.0</v>
      </c>
      <c r="L285" s="17">
        <v>0.0</v>
      </c>
      <c r="M285" s="17">
        <v>0.0</v>
      </c>
      <c r="N285" s="17">
        <v>0.0</v>
      </c>
      <c r="O285" s="17">
        <v>0.0</v>
      </c>
      <c r="P285" s="17">
        <v>0.0</v>
      </c>
      <c r="Q285" s="17">
        <v>0.0</v>
      </c>
      <c r="R285" s="17">
        <v>0.0</v>
      </c>
      <c r="S285" s="17">
        <v>0.0</v>
      </c>
      <c r="T285" s="17">
        <v>0.0</v>
      </c>
      <c r="U285" s="17">
        <v>0.0</v>
      </c>
    </row>
    <row r="286" ht="23.25" customHeight="1">
      <c r="A286" s="20" t="str">
        <f>IF(COUNTIF('Icon Lookup'!C:C,B286)&gt;0,LOOKUP(B286,'Icon Lookup'!C:C,'Icon Lookup'!B:B),"")</f>
        <v/>
      </c>
      <c r="B286" s="21" t="s">
        <v>165</v>
      </c>
      <c r="C286" s="20" t="s">
        <v>17</v>
      </c>
      <c r="D286" s="20">
        <v>21.0</v>
      </c>
      <c r="E286" s="20" t="s">
        <v>166</v>
      </c>
      <c r="G286" s="22"/>
      <c r="H286" s="23" t="s">
        <v>457</v>
      </c>
      <c r="I286" s="20" t="s">
        <v>94</v>
      </c>
      <c r="J286" s="20">
        <v>0.0</v>
      </c>
      <c r="K286" s="20">
        <v>0.0</v>
      </c>
      <c r="L286" s="20">
        <v>0.0</v>
      </c>
      <c r="M286" s="20">
        <v>0.0</v>
      </c>
      <c r="N286" s="20">
        <v>0.0</v>
      </c>
      <c r="O286" s="20">
        <v>0.0</v>
      </c>
      <c r="P286" s="20">
        <v>0.0</v>
      </c>
      <c r="Q286" s="20">
        <v>0.0</v>
      </c>
      <c r="R286" s="20">
        <v>0.0</v>
      </c>
      <c r="S286" s="20">
        <v>0.0</v>
      </c>
      <c r="T286" s="20">
        <v>0.0</v>
      </c>
      <c r="U286" s="20">
        <v>0.0</v>
      </c>
    </row>
    <row r="287" ht="23.25" customHeight="1">
      <c r="A287" s="1" t="str">
        <f>IF(COUNTIF('Icon Lookup'!C:C,B287)&gt;0,LOOKUP(B287,'Icon Lookup'!C:C,'Icon Lookup'!B:B),"")</f>
        <v/>
      </c>
      <c r="B287" s="15" t="s">
        <v>459</v>
      </c>
      <c r="C287" s="1" t="s">
        <v>17</v>
      </c>
      <c r="D287" s="1" t="s">
        <v>460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ht="23.25" customHeight="1">
      <c r="A288" s="17" t="str">
        <f>IF(COUNTIF('Icon Lookup'!C:C,B288)&gt;0,LOOKUP(B288,'Icon Lookup'!C:C,'Icon Lookup'!B:B),"")</f>
        <v/>
      </c>
      <c r="B288" s="18" t="s">
        <v>288</v>
      </c>
      <c r="C288" s="17" t="s">
        <v>17</v>
      </c>
      <c r="D288" s="17">
        <v>25.0</v>
      </c>
      <c r="E288" s="17" t="s">
        <v>289</v>
      </c>
      <c r="G288" s="19"/>
      <c r="H288" s="20" t="s">
        <v>461</v>
      </c>
      <c r="I288" s="17" t="s">
        <v>94</v>
      </c>
      <c r="J288" s="17">
        <v>0.0</v>
      </c>
      <c r="K288" s="17">
        <v>0.0</v>
      </c>
      <c r="L288" s="17">
        <v>0.0</v>
      </c>
      <c r="M288" s="17">
        <v>0.0</v>
      </c>
      <c r="N288" s="17">
        <v>0.0</v>
      </c>
      <c r="O288" s="17">
        <v>0.0</v>
      </c>
      <c r="P288" s="17">
        <v>0.0</v>
      </c>
      <c r="Q288" s="17">
        <v>0.0</v>
      </c>
      <c r="R288" s="17">
        <v>0.0</v>
      </c>
      <c r="S288" s="17">
        <v>0.0</v>
      </c>
      <c r="T288" s="17">
        <v>0.0</v>
      </c>
      <c r="U288" s="17">
        <v>0.0</v>
      </c>
    </row>
    <row r="289" ht="23.25" customHeight="1">
      <c r="A289" s="1" t="str">
        <f>IF(COUNTIF('Icon Lookup'!C:C,B289)&gt;0,LOOKUP(B289,'Icon Lookup'!C:C,'Icon Lookup'!B:B),"")</f>
        <v/>
      </c>
      <c r="B289" s="15" t="s">
        <v>462</v>
      </c>
      <c r="C289" s="1" t="s">
        <v>17</v>
      </c>
      <c r="D289" s="1" t="s">
        <v>463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ht="23.25" customHeight="1">
      <c r="A290" s="20" t="str">
        <f>IF(COUNTIF('Icon Lookup'!C:C,B290)&gt;0,LOOKUP(B290,'Icon Lookup'!C:C,'Icon Lookup'!B:B),"")</f>
        <v/>
      </c>
      <c r="B290" s="21" t="s">
        <v>288</v>
      </c>
      <c r="C290" s="20" t="s">
        <v>17</v>
      </c>
      <c r="D290" s="20">
        <v>21.0</v>
      </c>
      <c r="E290" s="20" t="s">
        <v>289</v>
      </c>
      <c r="G290" s="22"/>
      <c r="H290" s="23" t="s">
        <v>464</v>
      </c>
      <c r="I290" s="20" t="s">
        <v>94</v>
      </c>
      <c r="J290" s="20">
        <v>0.0</v>
      </c>
      <c r="K290" s="20">
        <v>0.0</v>
      </c>
      <c r="L290" s="20">
        <v>0.0</v>
      </c>
      <c r="M290" s="20">
        <v>0.0</v>
      </c>
      <c r="N290" s="20">
        <v>0.0</v>
      </c>
      <c r="O290" s="20">
        <v>0.0</v>
      </c>
      <c r="P290" s="20">
        <v>0.0</v>
      </c>
      <c r="Q290" s="20">
        <v>0.0</v>
      </c>
      <c r="R290" s="20">
        <v>0.0</v>
      </c>
      <c r="S290" s="20">
        <v>0.0</v>
      </c>
      <c r="T290" s="20">
        <v>0.0</v>
      </c>
      <c r="U290" s="20">
        <v>0.0</v>
      </c>
    </row>
    <row r="291" ht="23.25" customHeight="1">
      <c r="A291" s="17" t="str">
        <f>IF(COUNTIF('Icon Lookup'!C:C,B291)&gt;0,LOOKUP(B291,'Icon Lookup'!C:C,'Icon Lookup'!B:B),"")</f>
        <v/>
      </c>
      <c r="B291" s="18" t="s">
        <v>165</v>
      </c>
      <c r="C291" s="17" t="s">
        <v>17</v>
      </c>
      <c r="D291" s="17">
        <v>23.0</v>
      </c>
      <c r="E291" s="17" t="s">
        <v>166</v>
      </c>
      <c r="G291" s="19"/>
      <c r="H291" s="20" t="s">
        <v>465</v>
      </c>
      <c r="I291" s="17" t="s">
        <v>94</v>
      </c>
      <c r="J291" s="17">
        <v>0.0</v>
      </c>
      <c r="K291" s="17">
        <v>0.0</v>
      </c>
      <c r="L291" s="17">
        <v>0.0</v>
      </c>
      <c r="M291" s="17">
        <v>0.0</v>
      </c>
      <c r="N291" s="17">
        <v>0.0</v>
      </c>
      <c r="O291" s="17">
        <v>0.0</v>
      </c>
      <c r="P291" s="17">
        <v>0.0</v>
      </c>
      <c r="Q291" s="17">
        <v>0.0</v>
      </c>
      <c r="R291" s="17">
        <v>0.0</v>
      </c>
      <c r="S291" s="17">
        <v>0.0</v>
      </c>
      <c r="T291" s="17">
        <v>0.0</v>
      </c>
      <c r="U291" s="17">
        <v>0.0</v>
      </c>
    </row>
    <row r="292" ht="23.25" customHeight="1">
      <c r="A292" s="20" t="str">
        <f>IF(COUNTIF('Icon Lookup'!C:C,B292)&gt;0,LOOKUP(B292,'Icon Lookup'!C:C,'Icon Lookup'!B:B),"")</f>
        <v/>
      </c>
      <c r="B292" s="21" t="s">
        <v>90</v>
      </c>
      <c r="C292" s="20" t="s">
        <v>17</v>
      </c>
      <c r="D292" s="20">
        <v>22.0</v>
      </c>
      <c r="E292" s="20" t="s">
        <v>91</v>
      </c>
      <c r="G292" s="22"/>
      <c r="H292" s="23" t="s">
        <v>458</v>
      </c>
      <c r="I292" s="20" t="s">
        <v>89</v>
      </c>
      <c r="J292" s="20">
        <v>0.0</v>
      </c>
      <c r="K292" s="20">
        <v>0.0</v>
      </c>
      <c r="L292" s="20">
        <v>0.0</v>
      </c>
      <c r="M292" s="20">
        <v>0.0</v>
      </c>
      <c r="N292" s="20">
        <v>0.0</v>
      </c>
      <c r="O292" s="20">
        <v>0.0</v>
      </c>
      <c r="P292" s="20">
        <v>0.0</v>
      </c>
      <c r="Q292" s="20">
        <v>0.0</v>
      </c>
      <c r="R292" s="20">
        <v>0.0</v>
      </c>
      <c r="S292" s="20">
        <v>0.0</v>
      </c>
      <c r="T292" s="20">
        <v>0.0</v>
      </c>
      <c r="U292" s="20">
        <v>0.0</v>
      </c>
    </row>
    <row r="293" ht="23.25" customHeight="1">
      <c r="A293" s="1" t="str">
        <f>IF(COUNTIF('Icon Lookup'!C:C,B293)&gt;0,LOOKUP(B293,'Icon Lookup'!C:C,'Icon Lookup'!B:B),"")</f>
        <v/>
      </c>
      <c r="B293" s="15" t="s">
        <v>466</v>
      </c>
      <c r="C293" s="1" t="s">
        <v>17</v>
      </c>
      <c r="D293" s="1" t="s">
        <v>467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ht="23.25" customHeight="1">
      <c r="A294" s="17" t="str">
        <f>IF(COUNTIF('Icon Lookup'!C:C,B294)&gt;0,LOOKUP(B294,'Icon Lookup'!C:C,'Icon Lookup'!B:B),"")</f>
        <v/>
      </c>
      <c r="B294" s="18" t="s">
        <v>117</v>
      </c>
      <c r="C294" s="17" t="s">
        <v>17</v>
      </c>
      <c r="D294" s="17">
        <v>23.0</v>
      </c>
      <c r="E294" s="17" t="s">
        <v>26</v>
      </c>
      <c r="G294" s="19"/>
      <c r="H294" s="20" t="s">
        <v>468</v>
      </c>
      <c r="I294" s="17" t="s">
        <v>156</v>
      </c>
      <c r="J294" s="17">
        <v>0.0</v>
      </c>
      <c r="K294" s="17">
        <v>0.0</v>
      </c>
      <c r="L294" s="17">
        <v>0.0</v>
      </c>
      <c r="M294" s="17">
        <v>0.0</v>
      </c>
      <c r="N294" s="17">
        <v>0.0</v>
      </c>
      <c r="O294" s="17">
        <v>0.0</v>
      </c>
      <c r="P294" s="17">
        <v>0.0</v>
      </c>
      <c r="Q294" s="17">
        <v>0.0</v>
      </c>
      <c r="R294" s="17">
        <v>0.0</v>
      </c>
      <c r="S294" s="17">
        <v>0.0</v>
      </c>
      <c r="T294" s="17">
        <v>0.0</v>
      </c>
      <c r="U294" s="17">
        <v>0.0</v>
      </c>
    </row>
    <row r="295" ht="23.25" customHeight="1">
      <c r="A295" s="1" t="str">
        <f>IF(COUNTIF('Icon Lookup'!C:C,B295)&gt;0,LOOKUP(B295,'Icon Lookup'!C:C,'Icon Lookup'!B:B),"")</f>
        <v/>
      </c>
      <c r="B295" s="15" t="s">
        <v>469</v>
      </c>
      <c r="C295" s="1" t="s">
        <v>17</v>
      </c>
      <c r="D295" s="1" t="s">
        <v>470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ht="23.25" customHeight="1">
      <c r="A296" s="20" t="str">
        <f>IF(COUNTIF('Icon Lookup'!C:C,B296)&gt;0,LOOKUP(B296,'Icon Lookup'!C:C,'Icon Lookup'!B:B),"")</f>
        <v/>
      </c>
      <c r="B296" s="21" t="s">
        <v>471</v>
      </c>
      <c r="C296" s="20" t="s">
        <v>17</v>
      </c>
      <c r="D296" s="20">
        <v>35.0</v>
      </c>
      <c r="E296" s="20" t="s">
        <v>71</v>
      </c>
      <c r="G296" s="22"/>
      <c r="H296" s="23" t="s">
        <v>472</v>
      </c>
      <c r="I296" s="20" t="s">
        <v>94</v>
      </c>
      <c r="J296" s="20">
        <v>0.0</v>
      </c>
      <c r="K296" s="20">
        <v>0.0</v>
      </c>
      <c r="L296" s="20">
        <v>0.0</v>
      </c>
      <c r="M296" s="20">
        <v>0.0</v>
      </c>
      <c r="N296" s="20">
        <v>0.0</v>
      </c>
      <c r="O296" s="20">
        <v>0.0</v>
      </c>
      <c r="P296" s="20">
        <v>0.0</v>
      </c>
      <c r="Q296" s="20">
        <v>0.0</v>
      </c>
      <c r="R296" s="20">
        <v>0.0</v>
      </c>
      <c r="S296" s="20">
        <v>0.0</v>
      </c>
      <c r="T296" s="20">
        <v>0.0</v>
      </c>
      <c r="U296" s="20">
        <v>0.0</v>
      </c>
    </row>
    <row r="297" ht="23.25" customHeight="1">
      <c r="A297" s="17" t="str">
        <f>IF(COUNTIF('Icon Lookup'!C:C,B297)&gt;0,LOOKUP(B297,'Icon Lookup'!C:C,'Icon Lookup'!B:B),"")</f>
        <v/>
      </c>
      <c r="B297" s="18" t="s">
        <v>386</v>
      </c>
      <c r="C297" s="17" t="s">
        <v>17</v>
      </c>
      <c r="D297" s="17">
        <v>35.0</v>
      </c>
      <c r="E297" s="17" t="s">
        <v>38</v>
      </c>
      <c r="G297" s="19"/>
      <c r="H297" s="20" t="s">
        <v>473</v>
      </c>
      <c r="I297" s="17" t="s">
        <v>156</v>
      </c>
      <c r="J297" s="17">
        <v>0.0</v>
      </c>
      <c r="K297" s="17">
        <v>0.0</v>
      </c>
      <c r="L297" s="17">
        <v>0.0</v>
      </c>
      <c r="M297" s="17">
        <v>0.0</v>
      </c>
      <c r="N297" s="17">
        <v>0.0</v>
      </c>
      <c r="O297" s="17">
        <v>0.0</v>
      </c>
      <c r="P297" s="17">
        <v>0.0</v>
      </c>
      <c r="Q297" s="17">
        <v>0.0</v>
      </c>
      <c r="R297" s="17">
        <v>0.0</v>
      </c>
      <c r="S297" s="17">
        <v>0.0</v>
      </c>
      <c r="T297" s="17">
        <v>0.0</v>
      </c>
      <c r="U297" s="17">
        <v>0.0</v>
      </c>
    </row>
    <row r="298" ht="23.25" customHeight="1">
      <c r="A298" s="1" t="str">
        <f>IF(COUNTIF('Icon Lookup'!C:C,B298)&gt;0,LOOKUP(B298,'Icon Lookup'!C:C,'Icon Lookup'!B:B),"")</f>
        <v/>
      </c>
      <c r="B298" s="15" t="s">
        <v>474</v>
      </c>
      <c r="C298" s="1" t="s">
        <v>17</v>
      </c>
      <c r="D298" s="1" t="s">
        <v>475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ht="23.25" customHeight="1">
      <c r="A299" s="20" t="str">
        <f>IF(COUNTIF('Icon Lookup'!C:C,B299)&gt;0,LOOKUP(B299,'Icon Lookup'!C:C,'Icon Lookup'!B:B),"")</f>
        <v/>
      </c>
      <c r="B299" s="21" t="s">
        <v>476</v>
      </c>
      <c r="C299" s="20" t="s">
        <v>17</v>
      </c>
      <c r="D299" s="20">
        <v>33.0</v>
      </c>
      <c r="E299" s="20" t="s">
        <v>203</v>
      </c>
      <c r="G299" s="22"/>
      <c r="H299" s="23" t="s">
        <v>477</v>
      </c>
      <c r="I299" s="20" t="s">
        <v>156</v>
      </c>
      <c r="J299" s="20">
        <v>0.0</v>
      </c>
      <c r="K299" s="20">
        <v>0.0</v>
      </c>
      <c r="L299" s="20">
        <v>0.0</v>
      </c>
      <c r="M299" s="20">
        <v>0.0</v>
      </c>
      <c r="N299" s="20">
        <v>0.0</v>
      </c>
      <c r="O299" s="20">
        <v>0.0</v>
      </c>
      <c r="P299" s="20">
        <v>0.0</v>
      </c>
      <c r="Q299" s="20">
        <v>0.0</v>
      </c>
      <c r="R299" s="20">
        <v>0.0</v>
      </c>
      <c r="S299" s="20">
        <v>0.0</v>
      </c>
      <c r="T299" s="20">
        <v>0.0</v>
      </c>
      <c r="U299" s="20">
        <v>0.0</v>
      </c>
    </row>
    <row r="300" ht="23.25" customHeight="1">
      <c r="A300" s="17" t="str">
        <f>IF(COUNTIF('Icon Lookup'!C:C,B300)&gt;0,LOOKUP(B300,'Icon Lookup'!C:C,'Icon Lookup'!B:B),"")</f>
        <v/>
      </c>
      <c r="B300" s="18" t="s">
        <v>275</v>
      </c>
      <c r="C300" s="17" t="s">
        <v>17</v>
      </c>
      <c r="D300" s="17">
        <v>34.0</v>
      </c>
      <c r="E300" s="17" t="s">
        <v>91</v>
      </c>
      <c r="G300" s="19"/>
      <c r="H300" s="20" t="s">
        <v>423</v>
      </c>
      <c r="I300" s="17" t="s">
        <v>89</v>
      </c>
      <c r="J300" s="17">
        <v>0.0</v>
      </c>
      <c r="K300" s="17">
        <v>0.0</v>
      </c>
      <c r="L300" s="17">
        <v>0.0</v>
      </c>
      <c r="M300" s="17">
        <v>0.0</v>
      </c>
      <c r="N300" s="17">
        <v>0.0</v>
      </c>
      <c r="O300" s="17">
        <v>0.0</v>
      </c>
      <c r="P300" s="17">
        <v>0.0</v>
      </c>
      <c r="Q300" s="17">
        <v>0.0</v>
      </c>
      <c r="R300" s="17">
        <v>0.0</v>
      </c>
      <c r="S300" s="17">
        <v>0.0</v>
      </c>
      <c r="T300" s="17">
        <v>0.0</v>
      </c>
      <c r="U300" s="17">
        <v>0.0</v>
      </c>
    </row>
    <row r="301" ht="23.25" customHeight="1">
      <c r="A301" s="20" t="str">
        <f>IF(COUNTIF('Icon Lookup'!C:C,B301)&gt;0,LOOKUP(B301,'Icon Lookup'!C:C,'Icon Lookup'!B:B),"")</f>
        <v/>
      </c>
      <c r="B301" s="21" t="s">
        <v>478</v>
      </c>
      <c r="C301" s="20" t="s">
        <v>17</v>
      </c>
      <c r="D301" s="20">
        <v>35.0</v>
      </c>
      <c r="E301" s="20" t="s">
        <v>38</v>
      </c>
      <c r="G301" s="22"/>
      <c r="H301" s="23" t="s">
        <v>479</v>
      </c>
      <c r="I301" s="20" t="s">
        <v>156</v>
      </c>
      <c r="J301" s="20">
        <v>0.0</v>
      </c>
      <c r="K301" s="20">
        <v>0.0</v>
      </c>
      <c r="L301" s="20">
        <v>0.0</v>
      </c>
      <c r="M301" s="20">
        <v>0.0</v>
      </c>
      <c r="N301" s="20">
        <v>0.0</v>
      </c>
      <c r="O301" s="20">
        <v>0.0</v>
      </c>
      <c r="P301" s="20">
        <v>0.0</v>
      </c>
      <c r="Q301" s="20">
        <v>0.0</v>
      </c>
      <c r="R301" s="20">
        <v>0.0</v>
      </c>
      <c r="S301" s="20">
        <v>0.0</v>
      </c>
      <c r="T301" s="20">
        <v>0.0</v>
      </c>
      <c r="U301" s="20">
        <v>0.0</v>
      </c>
    </row>
    <row r="302" ht="23.25" customHeight="1">
      <c r="A302" s="1" t="str">
        <f>IF(COUNTIF('Icon Lookup'!C:C,B302)&gt;0,LOOKUP(B302,'Icon Lookup'!C:C,'Icon Lookup'!B:B),"")</f>
        <v/>
      </c>
      <c r="B302" s="15" t="s">
        <v>480</v>
      </c>
      <c r="C302" s="1" t="s">
        <v>17</v>
      </c>
      <c r="D302" s="1" t="s">
        <v>481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ht="23.25" customHeight="1">
      <c r="A303" s="17" t="str">
        <f>IF(COUNTIF('Icon Lookup'!C:C,B303)&gt;0,LOOKUP(B303,'Icon Lookup'!C:C,'Icon Lookup'!B:B),"")</f>
        <v/>
      </c>
      <c r="B303" s="18" t="s">
        <v>482</v>
      </c>
      <c r="C303" s="17" t="s">
        <v>17</v>
      </c>
      <c r="D303" s="17">
        <v>37.0</v>
      </c>
      <c r="E303" s="17" t="s">
        <v>218</v>
      </c>
      <c r="G303" s="19"/>
      <c r="H303" s="20" t="s">
        <v>483</v>
      </c>
      <c r="I303" s="17" t="s">
        <v>265</v>
      </c>
      <c r="J303" s="17">
        <v>0.0</v>
      </c>
      <c r="K303" s="17">
        <v>0.0</v>
      </c>
      <c r="L303" s="17">
        <v>0.0</v>
      </c>
      <c r="M303" s="17">
        <v>0.0</v>
      </c>
      <c r="N303" s="17">
        <v>0.0</v>
      </c>
      <c r="O303" s="17">
        <v>0.0</v>
      </c>
      <c r="P303" s="17">
        <v>0.0</v>
      </c>
      <c r="Q303" s="17">
        <v>0.0</v>
      </c>
      <c r="R303" s="17">
        <v>0.0</v>
      </c>
      <c r="S303" s="17">
        <v>0.0</v>
      </c>
      <c r="T303" s="17">
        <v>0.0</v>
      </c>
      <c r="U303" s="17">
        <v>0.0</v>
      </c>
    </row>
    <row r="304" ht="23.25" customHeight="1">
      <c r="A304" s="1" t="str">
        <f>IF(COUNTIF('Icon Lookup'!C:C,B304)&gt;0,LOOKUP(B304,'Icon Lookup'!C:C,'Icon Lookup'!B:B),"")</f>
        <v/>
      </c>
      <c r="B304" s="15" t="s">
        <v>484</v>
      </c>
      <c r="C304" s="1" t="s">
        <v>17</v>
      </c>
      <c r="D304" s="1" t="s">
        <v>485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ht="23.25" customHeight="1">
      <c r="A305" s="20" t="str">
        <f>IF(COUNTIF('Icon Lookup'!C:C,B305)&gt;0,LOOKUP(B305,'Icon Lookup'!C:C,'Icon Lookup'!B:B),"")</f>
        <v/>
      </c>
      <c r="B305" s="21" t="s">
        <v>398</v>
      </c>
      <c r="C305" s="20" t="s">
        <v>17</v>
      </c>
      <c r="D305" s="20">
        <v>34.0</v>
      </c>
      <c r="E305" s="20" t="s">
        <v>399</v>
      </c>
      <c r="G305" s="22"/>
      <c r="H305" s="23" t="s">
        <v>486</v>
      </c>
      <c r="I305" s="20" t="s">
        <v>105</v>
      </c>
      <c r="J305" s="20">
        <v>0.0</v>
      </c>
      <c r="K305" s="20">
        <v>0.0</v>
      </c>
      <c r="L305" s="20">
        <v>0.0</v>
      </c>
      <c r="M305" s="20">
        <v>0.0</v>
      </c>
      <c r="N305" s="20">
        <v>0.0</v>
      </c>
      <c r="O305" s="20">
        <v>0.0</v>
      </c>
      <c r="P305" s="20">
        <v>0.0</v>
      </c>
      <c r="Q305" s="20">
        <v>0.0</v>
      </c>
      <c r="R305" s="20">
        <v>0.0</v>
      </c>
      <c r="S305" s="20">
        <v>0.0</v>
      </c>
      <c r="T305" s="20">
        <v>0.0</v>
      </c>
      <c r="U305" s="20">
        <v>0.0</v>
      </c>
    </row>
    <row r="306" ht="23.25" customHeight="1">
      <c r="A306" s="17" t="str">
        <f>IF(COUNTIF('Icon Lookup'!C:C,B306)&gt;0,LOOKUP(B306,'Icon Lookup'!C:C,'Icon Lookup'!B:B),"")</f>
        <v/>
      </c>
      <c r="B306" s="18" t="s">
        <v>78</v>
      </c>
      <c r="C306" s="17" t="s">
        <v>17</v>
      </c>
      <c r="D306" s="17">
        <v>35.0</v>
      </c>
      <c r="E306" s="17" t="s">
        <v>121</v>
      </c>
      <c r="G306" s="19"/>
      <c r="H306" s="20" t="s">
        <v>487</v>
      </c>
      <c r="I306" s="17" t="s">
        <v>265</v>
      </c>
      <c r="J306" s="17">
        <v>0.0</v>
      </c>
      <c r="K306" s="17">
        <v>0.0</v>
      </c>
      <c r="L306" s="17">
        <v>0.0</v>
      </c>
      <c r="M306" s="17">
        <v>0.0</v>
      </c>
      <c r="N306" s="17">
        <v>0.0</v>
      </c>
      <c r="O306" s="17">
        <v>0.0</v>
      </c>
      <c r="P306" s="17">
        <v>0.0</v>
      </c>
      <c r="Q306" s="17">
        <v>0.0</v>
      </c>
      <c r="R306" s="17">
        <v>0.0</v>
      </c>
      <c r="S306" s="17">
        <v>0.0</v>
      </c>
      <c r="T306" s="17">
        <v>0.0</v>
      </c>
      <c r="U306" s="17">
        <v>0.0</v>
      </c>
    </row>
    <row r="307" ht="23.25" customHeight="1">
      <c r="A307" s="20" t="str">
        <f>IF(COUNTIF('Icon Lookup'!C:C,B307)&gt;0,LOOKUP(B307,'Icon Lookup'!C:C,'Icon Lookup'!B:B),"")</f>
        <v/>
      </c>
      <c r="B307" s="21" t="s">
        <v>488</v>
      </c>
      <c r="C307" s="20" t="s">
        <v>17</v>
      </c>
      <c r="D307" s="20">
        <v>33.0</v>
      </c>
      <c r="E307" s="20" t="s">
        <v>87</v>
      </c>
      <c r="G307" s="22"/>
      <c r="H307" s="23" t="s">
        <v>489</v>
      </c>
      <c r="I307" s="20" t="s">
        <v>211</v>
      </c>
      <c r="J307" s="20">
        <v>0.0</v>
      </c>
      <c r="K307" s="20">
        <v>0.0</v>
      </c>
      <c r="L307" s="20">
        <v>0.0</v>
      </c>
      <c r="M307" s="20">
        <v>0.0</v>
      </c>
      <c r="N307" s="20">
        <v>0.0</v>
      </c>
      <c r="O307" s="20">
        <v>0.0</v>
      </c>
      <c r="P307" s="20">
        <v>0.0</v>
      </c>
      <c r="Q307" s="20">
        <v>0.0</v>
      </c>
      <c r="R307" s="20">
        <v>0.0</v>
      </c>
      <c r="S307" s="20">
        <v>0.0</v>
      </c>
      <c r="T307" s="20">
        <v>0.0</v>
      </c>
      <c r="U307" s="20">
        <v>0.0</v>
      </c>
    </row>
    <row r="308" ht="23.25" customHeight="1">
      <c r="A308" s="1" t="str">
        <f>IF(COUNTIF('Icon Lookup'!C:C,B308)&gt;0,LOOKUP(B308,'Icon Lookup'!C:C,'Icon Lookup'!B:B),"")</f>
        <v/>
      </c>
      <c r="B308" s="15" t="s">
        <v>490</v>
      </c>
      <c r="C308" s="1" t="s">
        <v>17</v>
      </c>
      <c r="D308" s="1" t="s">
        <v>491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ht="23.25" customHeight="1">
      <c r="A309" s="17" t="str">
        <f>IF(COUNTIF('Icon Lookup'!C:C,B309)&gt;0,LOOKUP(B309,'Icon Lookup'!C:C,'Icon Lookup'!B:B),"")</f>
        <v/>
      </c>
      <c r="B309" s="18" t="s">
        <v>86</v>
      </c>
      <c r="C309" s="17" t="s">
        <v>17</v>
      </c>
      <c r="D309" s="17">
        <v>35.0</v>
      </c>
      <c r="E309" s="17" t="s">
        <v>87</v>
      </c>
      <c r="G309" s="19"/>
      <c r="H309" s="20" t="s">
        <v>492</v>
      </c>
      <c r="I309" s="17" t="s">
        <v>46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</row>
    <row r="310" ht="23.25" customHeight="1">
      <c r="A310" s="20" t="str">
        <f>IF(COUNTIF('Icon Lookup'!C:C,B310)&gt;0,LOOKUP(B310,'Icon Lookup'!C:C,'Icon Lookup'!B:B),"")</f>
        <v/>
      </c>
      <c r="B310" s="21" t="s">
        <v>176</v>
      </c>
      <c r="C310" s="20" t="s">
        <v>17</v>
      </c>
      <c r="D310" s="20">
        <v>35.0</v>
      </c>
      <c r="E310" s="20" t="s">
        <v>98</v>
      </c>
      <c r="G310" s="22"/>
      <c r="H310" s="23" t="s">
        <v>493</v>
      </c>
      <c r="I310" s="20" t="s">
        <v>46</v>
      </c>
      <c r="J310" s="20">
        <v>0.0</v>
      </c>
      <c r="K310" s="20">
        <v>0.0</v>
      </c>
      <c r="L310" s="20">
        <v>0.0</v>
      </c>
      <c r="M310" s="20">
        <v>0.0</v>
      </c>
      <c r="N310" s="20">
        <v>0.0</v>
      </c>
      <c r="O310" s="20">
        <v>0.0</v>
      </c>
      <c r="P310" s="20">
        <v>0.0</v>
      </c>
      <c r="Q310" s="20">
        <v>0.0</v>
      </c>
      <c r="R310" s="20">
        <v>0.0</v>
      </c>
      <c r="S310" s="20">
        <v>0.0</v>
      </c>
      <c r="T310" s="20">
        <v>0.0</v>
      </c>
      <c r="U310" s="20">
        <v>0.0</v>
      </c>
    </row>
    <row r="311" ht="23.25" customHeight="1">
      <c r="A311" s="17" t="str">
        <f>IF(COUNTIF('Icon Lookup'!C:C,B311)&gt;0,LOOKUP(B311,'Icon Lookup'!C:C,'Icon Lookup'!B:B),"")</f>
        <v/>
      </c>
      <c r="B311" s="18" t="s">
        <v>494</v>
      </c>
      <c r="C311" s="17" t="s">
        <v>17</v>
      </c>
      <c r="D311" s="17">
        <v>35.0</v>
      </c>
      <c r="E311" s="17" t="s">
        <v>495</v>
      </c>
      <c r="G311" s="19"/>
      <c r="H311" s="20" t="s">
        <v>496</v>
      </c>
      <c r="I311" s="17" t="s">
        <v>40</v>
      </c>
      <c r="J311" s="17">
        <v>0.0</v>
      </c>
      <c r="K311" s="17">
        <v>0.0</v>
      </c>
      <c r="L311" s="17">
        <v>0.0</v>
      </c>
      <c r="M311" s="17">
        <v>0.0</v>
      </c>
      <c r="N311" s="17">
        <v>0.0</v>
      </c>
      <c r="O311" s="17">
        <v>0.0</v>
      </c>
      <c r="P311" s="17">
        <v>0.0</v>
      </c>
      <c r="Q311" s="17">
        <v>0.0</v>
      </c>
      <c r="R311" s="17">
        <v>0.0</v>
      </c>
      <c r="S311" s="17">
        <v>0.0</v>
      </c>
      <c r="T311" s="17">
        <v>0.0</v>
      </c>
      <c r="U311" s="17">
        <v>0.0</v>
      </c>
    </row>
    <row r="312" ht="23.25" customHeight="1">
      <c r="A312" s="1" t="str">
        <f>IF(COUNTIF('Icon Lookup'!C:C,B312)&gt;0,LOOKUP(B312,'Icon Lookup'!C:C,'Icon Lookup'!B:B),"")</f>
        <v/>
      </c>
      <c r="B312" s="15" t="s">
        <v>497</v>
      </c>
      <c r="C312" s="1" t="s">
        <v>17</v>
      </c>
      <c r="D312" s="1" t="s">
        <v>498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ht="23.25" customHeight="1">
      <c r="A313" s="20" t="str">
        <f>IF(COUNTIF('Icon Lookup'!C:C,B313)&gt;0,LOOKUP(B313,'Icon Lookup'!C:C,'Icon Lookup'!B:B),"")</f>
        <v/>
      </c>
      <c r="B313" s="21" t="s">
        <v>478</v>
      </c>
      <c r="C313" s="20" t="s">
        <v>17</v>
      </c>
      <c r="D313" s="20">
        <v>35.0</v>
      </c>
      <c r="E313" s="20" t="s">
        <v>38</v>
      </c>
      <c r="G313" s="22"/>
      <c r="H313" s="23" t="s">
        <v>499</v>
      </c>
      <c r="I313" s="20" t="s">
        <v>22</v>
      </c>
      <c r="J313" s="20">
        <v>0.0</v>
      </c>
      <c r="K313" s="20">
        <v>0.0</v>
      </c>
      <c r="L313" s="20">
        <v>0.0</v>
      </c>
      <c r="M313" s="20">
        <v>0.0</v>
      </c>
      <c r="N313" s="20">
        <v>0.0</v>
      </c>
      <c r="O313" s="20">
        <v>0.0</v>
      </c>
      <c r="P313" s="20">
        <v>0.0</v>
      </c>
      <c r="Q313" s="20">
        <v>0.0</v>
      </c>
      <c r="R313" s="20">
        <v>0.0</v>
      </c>
      <c r="S313" s="20">
        <v>0.0</v>
      </c>
      <c r="T313" s="20">
        <v>0.0</v>
      </c>
      <c r="U313" s="20">
        <v>0.0</v>
      </c>
    </row>
    <row r="314" ht="23.25" customHeight="1">
      <c r="A314" s="1" t="str">
        <f>IF(COUNTIF('Icon Lookup'!C:C,B314)&gt;0,LOOKUP(B314,'Icon Lookup'!C:C,'Icon Lookup'!B:B),"")</f>
        <v/>
      </c>
      <c r="B314" s="15" t="s">
        <v>500</v>
      </c>
      <c r="C314" s="1" t="s">
        <v>17</v>
      </c>
      <c r="D314" s="1" t="s">
        <v>501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ht="23.25" customHeight="1">
      <c r="A315" s="17" t="str">
        <f>IF(COUNTIF('Icon Lookup'!C:C,B315)&gt;0,LOOKUP(B315,'Icon Lookup'!C:C,'Icon Lookup'!B:B),"")</f>
        <v/>
      </c>
      <c r="B315" s="18" t="s">
        <v>198</v>
      </c>
      <c r="C315" s="17" t="s">
        <v>17</v>
      </c>
      <c r="D315" s="17">
        <v>36.0</v>
      </c>
      <c r="E315" s="17" t="s">
        <v>50</v>
      </c>
      <c r="G315" s="19"/>
      <c r="H315" s="20" t="s">
        <v>502</v>
      </c>
      <c r="I315" s="17" t="s">
        <v>52</v>
      </c>
      <c r="J315" s="17">
        <v>0.0</v>
      </c>
      <c r="K315" s="17">
        <v>0.0</v>
      </c>
      <c r="L315" s="17">
        <v>0.0</v>
      </c>
      <c r="M315" s="17">
        <v>0.0</v>
      </c>
      <c r="N315" s="17">
        <v>0.0</v>
      </c>
      <c r="O315" s="17">
        <v>0.0</v>
      </c>
      <c r="P315" s="17">
        <v>0.0</v>
      </c>
      <c r="Q315" s="17">
        <v>0.0</v>
      </c>
      <c r="R315" s="17">
        <v>0.0</v>
      </c>
      <c r="S315" s="17">
        <v>0.0</v>
      </c>
      <c r="T315" s="17">
        <v>0.0</v>
      </c>
      <c r="U315" s="17">
        <v>0.0</v>
      </c>
    </row>
    <row r="316" ht="23.25" customHeight="1">
      <c r="A316" s="20" t="str">
        <f>IF(COUNTIF('Icon Lookup'!C:C,B316)&gt;0,LOOKUP(B316,'Icon Lookup'!C:C,'Icon Lookup'!B:B),"")</f>
        <v/>
      </c>
      <c r="B316" s="21" t="s">
        <v>494</v>
      </c>
      <c r="C316" s="20" t="s">
        <v>17</v>
      </c>
      <c r="D316" s="20">
        <v>36.0</v>
      </c>
      <c r="E316" s="20" t="s">
        <v>495</v>
      </c>
      <c r="G316" s="22"/>
      <c r="H316" s="23" t="s">
        <v>496</v>
      </c>
      <c r="I316" s="20" t="s">
        <v>73</v>
      </c>
      <c r="J316" s="20">
        <v>0.0</v>
      </c>
      <c r="K316" s="20">
        <v>0.0</v>
      </c>
      <c r="L316" s="20">
        <v>0.0</v>
      </c>
      <c r="M316" s="20">
        <v>0.0</v>
      </c>
      <c r="N316" s="20">
        <v>0.0</v>
      </c>
      <c r="O316" s="20">
        <v>0.0</v>
      </c>
      <c r="P316" s="20">
        <v>0.0</v>
      </c>
      <c r="Q316" s="20">
        <v>0.0</v>
      </c>
      <c r="R316" s="20">
        <v>0.0</v>
      </c>
      <c r="S316" s="20">
        <v>0.0</v>
      </c>
      <c r="T316" s="20">
        <v>0.0</v>
      </c>
      <c r="U316" s="20">
        <v>0.0</v>
      </c>
    </row>
    <row r="317" ht="23.25" customHeight="1">
      <c r="A317" s="1" t="str">
        <f>IF(COUNTIF('Icon Lookup'!C:C,B317)&gt;0,LOOKUP(B317,'Icon Lookup'!C:C,'Icon Lookup'!B:B),"")</f>
        <v/>
      </c>
      <c r="B317" s="15" t="s">
        <v>503</v>
      </c>
      <c r="C317" s="1" t="s">
        <v>17</v>
      </c>
      <c r="D317" s="1" t="s">
        <v>504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ht="23.25" customHeight="1">
      <c r="A318" s="17" t="str">
        <f>IF(COUNTIF('Icon Lookup'!C:C,B318)&gt;0,LOOKUP(B318,'Icon Lookup'!C:C,'Icon Lookup'!B:B),"")</f>
        <v/>
      </c>
      <c r="B318" s="18" t="s">
        <v>117</v>
      </c>
      <c r="C318" s="17" t="s">
        <v>17</v>
      </c>
      <c r="D318" s="17">
        <v>38.0</v>
      </c>
      <c r="E318" s="17" t="s">
        <v>26</v>
      </c>
      <c r="G318" s="19"/>
      <c r="H318" s="20" t="s">
        <v>505</v>
      </c>
      <c r="I318" s="17" t="s">
        <v>22</v>
      </c>
      <c r="J318" s="17">
        <v>0.0</v>
      </c>
      <c r="K318" s="17">
        <v>0.0</v>
      </c>
      <c r="L318" s="17">
        <v>0.0</v>
      </c>
      <c r="M318" s="17">
        <v>0.0</v>
      </c>
      <c r="N318" s="17">
        <v>0.0</v>
      </c>
      <c r="O318" s="17">
        <v>0.0</v>
      </c>
      <c r="P318" s="17">
        <v>0.0</v>
      </c>
      <c r="Q318" s="17">
        <v>0.0</v>
      </c>
      <c r="R318" s="17">
        <v>0.0</v>
      </c>
      <c r="S318" s="17">
        <v>0.0</v>
      </c>
      <c r="T318" s="17">
        <v>0.0</v>
      </c>
      <c r="U318" s="17">
        <v>0.0</v>
      </c>
    </row>
    <row r="319" ht="23.25" customHeight="1">
      <c r="A319" s="1" t="str">
        <f>IF(COUNTIF('Icon Lookup'!C:C,B319)&gt;0,LOOKUP(B319,'Icon Lookup'!C:C,'Icon Lookup'!B:B),"")</f>
        <v/>
      </c>
      <c r="B319" s="15" t="s">
        <v>506</v>
      </c>
      <c r="C319" s="1" t="s">
        <v>17</v>
      </c>
      <c r="D319" s="1" t="s">
        <v>507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ht="23.25" customHeight="1">
      <c r="A320" s="20" t="str">
        <f>IF(COUNTIF('Icon Lookup'!C:C,B320)&gt;0,LOOKUP(B320,'Icon Lookup'!C:C,'Icon Lookup'!B:B),"")</f>
        <v/>
      </c>
      <c r="B320" s="21" t="s">
        <v>311</v>
      </c>
      <c r="C320" s="20" t="s">
        <v>17</v>
      </c>
      <c r="D320" s="20">
        <v>34.0</v>
      </c>
      <c r="E320" s="20" t="s">
        <v>137</v>
      </c>
      <c r="G320" s="22"/>
      <c r="H320" s="23" t="s">
        <v>508</v>
      </c>
      <c r="I320" s="20" t="s">
        <v>52</v>
      </c>
      <c r="J320" s="20">
        <v>0.0</v>
      </c>
      <c r="K320" s="20">
        <v>0.0</v>
      </c>
      <c r="L320" s="20">
        <v>0.0</v>
      </c>
      <c r="M320" s="20">
        <v>0.0</v>
      </c>
      <c r="N320" s="20">
        <v>0.0</v>
      </c>
      <c r="O320" s="20">
        <v>0.0</v>
      </c>
      <c r="P320" s="20">
        <v>0.0</v>
      </c>
      <c r="Q320" s="20">
        <v>0.0</v>
      </c>
      <c r="R320" s="20">
        <v>0.0</v>
      </c>
      <c r="S320" s="20">
        <v>0.0</v>
      </c>
      <c r="T320" s="20">
        <v>0.0</v>
      </c>
      <c r="U320" s="20">
        <v>0.0</v>
      </c>
    </row>
    <row r="321" ht="23.25" customHeight="1">
      <c r="A321" s="17" t="str">
        <f>IF(COUNTIF('Icon Lookup'!C:C,B321)&gt;0,LOOKUP(B321,'Icon Lookup'!C:C,'Icon Lookup'!B:B),"")</f>
        <v/>
      </c>
      <c r="B321" s="18" t="s">
        <v>410</v>
      </c>
      <c r="C321" s="17" t="s">
        <v>17</v>
      </c>
      <c r="D321" s="17">
        <v>36.0</v>
      </c>
      <c r="E321" s="17" t="s">
        <v>20</v>
      </c>
      <c r="G321" s="19"/>
      <c r="H321" s="20" t="s">
        <v>509</v>
      </c>
      <c r="I321" s="17" t="s">
        <v>52</v>
      </c>
      <c r="J321" s="17">
        <v>0.0</v>
      </c>
      <c r="K321" s="17">
        <v>0.0</v>
      </c>
      <c r="L321" s="17">
        <v>0.0</v>
      </c>
      <c r="M321" s="17">
        <v>0.0</v>
      </c>
      <c r="N321" s="17">
        <v>0.0</v>
      </c>
      <c r="O321" s="17">
        <v>0.0</v>
      </c>
      <c r="P321" s="17">
        <v>0.0</v>
      </c>
      <c r="Q321" s="17">
        <v>0.0</v>
      </c>
      <c r="R321" s="17">
        <v>0.0</v>
      </c>
      <c r="S321" s="17">
        <v>0.0</v>
      </c>
      <c r="T321" s="17">
        <v>0.0</v>
      </c>
      <c r="U321" s="17">
        <v>0.0</v>
      </c>
    </row>
    <row r="322" ht="23.25" customHeight="1">
      <c r="A322" s="20" t="str">
        <f>IF(COUNTIF('Icon Lookup'!C:C,B322)&gt;0,LOOKUP(B322,'Icon Lookup'!C:C,'Icon Lookup'!B:B),"")</f>
        <v/>
      </c>
      <c r="B322" s="21" t="s">
        <v>510</v>
      </c>
      <c r="C322" s="20" t="s">
        <v>17</v>
      </c>
      <c r="D322" s="20">
        <v>38.0</v>
      </c>
      <c r="E322" s="20" t="s">
        <v>511</v>
      </c>
      <c r="G322" s="22"/>
      <c r="H322" s="23" t="s">
        <v>512</v>
      </c>
      <c r="I322" s="20" t="s">
        <v>89</v>
      </c>
      <c r="J322" s="20">
        <v>0.0</v>
      </c>
      <c r="K322" s="20">
        <v>0.0</v>
      </c>
      <c r="L322" s="20">
        <v>0.0</v>
      </c>
      <c r="M322" s="20">
        <v>0.0</v>
      </c>
      <c r="N322" s="20">
        <v>0.0</v>
      </c>
      <c r="O322" s="20">
        <v>0.0</v>
      </c>
      <c r="P322" s="20">
        <v>0.0</v>
      </c>
      <c r="Q322" s="20">
        <v>0.0</v>
      </c>
      <c r="R322" s="20">
        <v>0.0</v>
      </c>
      <c r="S322" s="20">
        <v>0.0</v>
      </c>
      <c r="T322" s="20">
        <v>0.0</v>
      </c>
      <c r="U322" s="20">
        <v>0.0</v>
      </c>
    </row>
    <row r="323" ht="23.25" customHeight="1">
      <c r="A323" s="1" t="str">
        <f>IF(COUNTIF('Icon Lookup'!C:C,B323)&gt;0,LOOKUP(B323,'Icon Lookup'!C:C,'Icon Lookup'!B:B),"")</f>
        <v/>
      </c>
      <c r="B323" s="15" t="s">
        <v>513</v>
      </c>
      <c r="C323" s="1" t="s">
        <v>17</v>
      </c>
      <c r="D323" s="1" t="s">
        <v>514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ht="23.25" customHeight="1">
      <c r="A324" s="17" t="str">
        <f>IF(COUNTIF('Icon Lookup'!C:C,B324)&gt;0,LOOKUP(B324,'Icon Lookup'!C:C,'Icon Lookup'!B:B),"")</f>
        <v/>
      </c>
      <c r="B324" s="18" t="s">
        <v>198</v>
      </c>
      <c r="C324" s="17" t="s">
        <v>17</v>
      </c>
      <c r="D324" s="17">
        <v>37.0</v>
      </c>
      <c r="E324" s="17" t="s">
        <v>50</v>
      </c>
      <c r="G324" s="19"/>
      <c r="H324" s="20" t="s">
        <v>502</v>
      </c>
      <c r="I324" s="17" t="s">
        <v>105</v>
      </c>
      <c r="J324" s="17">
        <v>0.0</v>
      </c>
      <c r="K324" s="17">
        <v>0.0</v>
      </c>
      <c r="L324" s="17">
        <v>0.0</v>
      </c>
      <c r="M324" s="17">
        <v>0.0</v>
      </c>
      <c r="N324" s="17">
        <v>0.0</v>
      </c>
      <c r="O324" s="17">
        <v>0.0</v>
      </c>
      <c r="P324" s="17">
        <v>0.0</v>
      </c>
      <c r="Q324" s="17">
        <v>0.0</v>
      </c>
      <c r="R324" s="17">
        <v>0.0</v>
      </c>
      <c r="S324" s="17">
        <v>0.0</v>
      </c>
      <c r="T324" s="17">
        <v>0.0</v>
      </c>
      <c r="U324" s="17">
        <v>0.0</v>
      </c>
    </row>
    <row r="325" ht="23.25" customHeight="1">
      <c r="A325" s="20" t="str">
        <f>IF(COUNTIF('Icon Lookup'!C:C,B325)&gt;0,LOOKUP(B325,'Icon Lookup'!C:C,'Icon Lookup'!B:B),"")</f>
        <v/>
      </c>
      <c r="B325" s="21" t="s">
        <v>515</v>
      </c>
      <c r="C325" s="20" t="s">
        <v>17</v>
      </c>
      <c r="D325" s="20">
        <v>37.0</v>
      </c>
      <c r="E325" s="20" t="s">
        <v>111</v>
      </c>
      <c r="G325" s="22"/>
      <c r="H325" s="23" t="s">
        <v>516</v>
      </c>
      <c r="I325" s="20" t="s">
        <v>22</v>
      </c>
      <c r="J325" s="20">
        <v>0.0</v>
      </c>
      <c r="K325" s="20">
        <v>0.0</v>
      </c>
      <c r="L325" s="20">
        <v>0.0</v>
      </c>
      <c r="M325" s="20">
        <v>0.0</v>
      </c>
      <c r="N325" s="20">
        <v>0.0</v>
      </c>
      <c r="O325" s="20">
        <v>0.0</v>
      </c>
      <c r="P325" s="20">
        <v>0.0</v>
      </c>
      <c r="Q325" s="20">
        <v>0.0</v>
      </c>
      <c r="R325" s="20">
        <v>0.0</v>
      </c>
      <c r="S325" s="20">
        <v>0.0</v>
      </c>
      <c r="T325" s="20">
        <v>0.0</v>
      </c>
      <c r="U325" s="20">
        <v>0.0</v>
      </c>
    </row>
    <row r="326" ht="23.25" customHeight="1">
      <c r="A326" s="1" t="str">
        <f>IF(COUNTIF('Icon Lookup'!C:C,B326)&gt;0,LOOKUP(B326,'Icon Lookup'!C:C,'Icon Lookup'!B:B),"")</f>
        <v/>
      </c>
      <c r="B326" s="15" t="s">
        <v>517</v>
      </c>
      <c r="C326" s="1" t="s">
        <v>17</v>
      </c>
      <c r="D326" s="1" t="s">
        <v>518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ht="23.25" customHeight="1">
      <c r="A327" s="17" t="str">
        <f>IF(COUNTIF('Icon Lookup'!C:C,B327)&gt;0,LOOKUP(B327,'Icon Lookup'!C:C,'Icon Lookup'!B:B),"")</f>
        <v/>
      </c>
      <c r="B327" s="18" t="s">
        <v>494</v>
      </c>
      <c r="C327" s="17" t="s">
        <v>17</v>
      </c>
      <c r="D327" s="17">
        <v>34.0</v>
      </c>
      <c r="E327" s="17" t="s">
        <v>495</v>
      </c>
      <c r="G327" s="19"/>
      <c r="H327" s="20" t="s">
        <v>519</v>
      </c>
      <c r="I327" s="17" t="s">
        <v>40</v>
      </c>
      <c r="J327" s="17">
        <v>0.0</v>
      </c>
      <c r="K327" s="17">
        <v>0.0</v>
      </c>
      <c r="L327" s="17">
        <v>0.0</v>
      </c>
      <c r="M327" s="17">
        <v>0.0</v>
      </c>
      <c r="N327" s="17">
        <v>0.0</v>
      </c>
      <c r="O327" s="17">
        <v>0.0</v>
      </c>
      <c r="P327" s="17">
        <v>0.0</v>
      </c>
      <c r="Q327" s="17">
        <v>0.0</v>
      </c>
      <c r="R327" s="17">
        <v>0.0</v>
      </c>
      <c r="S327" s="17">
        <v>0.0</v>
      </c>
      <c r="T327" s="17">
        <v>0.0</v>
      </c>
      <c r="U327" s="17">
        <v>0.0</v>
      </c>
    </row>
    <row r="328" ht="23.25" customHeight="1">
      <c r="A328" s="20" t="str">
        <f>IF(COUNTIF('Icon Lookup'!C:C,B328)&gt;0,LOOKUP(B328,'Icon Lookup'!C:C,'Icon Lookup'!B:B),"")</f>
        <v/>
      </c>
      <c r="B328" s="21" t="s">
        <v>494</v>
      </c>
      <c r="C328" s="20" t="s">
        <v>17</v>
      </c>
      <c r="D328" s="20">
        <v>33.0</v>
      </c>
      <c r="E328" s="20" t="s">
        <v>495</v>
      </c>
      <c r="G328" s="22"/>
      <c r="H328" s="23" t="s">
        <v>520</v>
      </c>
      <c r="I328" s="20" t="s">
        <v>40</v>
      </c>
      <c r="J328" s="20">
        <v>0.0</v>
      </c>
      <c r="K328" s="20">
        <v>0.0</v>
      </c>
      <c r="L328" s="20">
        <v>0.0</v>
      </c>
      <c r="M328" s="20">
        <v>0.0</v>
      </c>
      <c r="N328" s="20">
        <v>0.0</v>
      </c>
      <c r="O328" s="20">
        <v>0.0</v>
      </c>
      <c r="P328" s="20">
        <v>0.0</v>
      </c>
      <c r="Q328" s="20">
        <v>0.0</v>
      </c>
      <c r="R328" s="20">
        <v>0.0</v>
      </c>
      <c r="S328" s="20">
        <v>0.0</v>
      </c>
      <c r="T328" s="20">
        <v>0.0</v>
      </c>
      <c r="U328" s="20">
        <v>0.0</v>
      </c>
    </row>
    <row r="329" ht="23.25" customHeight="1">
      <c r="A329" s="17" t="str">
        <f>IF(COUNTIF('Icon Lookup'!C:C,B329)&gt;0,LOOKUP(B329,'Icon Lookup'!C:C,'Icon Lookup'!B:B),"")</f>
        <v/>
      </c>
      <c r="B329" s="18" t="s">
        <v>398</v>
      </c>
      <c r="C329" s="17" t="s">
        <v>17</v>
      </c>
      <c r="D329" s="17">
        <v>34.0</v>
      </c>
      <c r="E329" s="17" t="s">
        <v>399</v>
      </c>
      <c r="G329" s="19"/>
      <c r="H329" s="20" t="s">
        <v>521</v>
      </c>
      <c r="I329" s="17" t="s">
        <v>40</v>
      </c>
      <c r="J329" s="17">
        <v>0.0</v>
      </c>
      <c r="K329" s="17">
        <v>0.0</v>
      </c>
      <c r="L329" s="17">
        <v>0.0</v>
      </c>
      <c r="M329" s="17">
        <v>0.0</v>
      </c>
      <c r="N329" s="17">
        <v>0.0</v>
      </c>
      <c r="O329" s="17">
        <v>0.0</v>
      </c>
      <c r="P329" s="17">
        <v>0.0</v>
      </c>
      <c r="Q329" s="17">
        <v>0.0</v>
      </c>
      <c r="R329" s="17">
        <v>0.0</v>
      </c>
      <c r="S329" s="17">
        <v>0.0</v>
      </c>
      <c r="T329" s="17">
        <v>0.0</v>
      </c>
      <c r="U329" s="17">
        <v>0.0</v>
      </c>
    </row>
    <row r="330" ht="23.25" customHeight="1">
      <c r="A330" s="20" t="str">
        <f>IF(COUNTIF('Icon Lookup'!C:C,B330)&gt;0,LOOKUP(B330,'Icon Lookup'!C:C,'Icon Lookup'!B:B),"")</f>
        <v/>
      </c>
      <c r="B330" s="21" t="s">
        <v>494</v>
      </c>
      <c r="C330" s="20" t="s">
        <v>17</v>
      </c>
      <c r="D330" s="20">
        <v>35.0</v>
      </c>
      <c r="E330" s="20" t="s">
        <v>495</v>
      </c>
      <c r="G330" s="22"/>
      <c r="H330" s="23" t="s">
        <v>496</v>
      </c>
      <c r="I330" s="20" t="s">
        <v>40</v>
      </c>
      <c r="J330" s="20">
        <v>0.0</v>
      </c>
      <c r="K330" s="20">
        <v>0.0</v>
      </c>
      <c r="L330" s="20">
        <v>0.0</v>
      </c>
      <c r="M330" s="20">
        <v>0.0</v>
      </c>
      <c r="N330" s="20">
        <v>0.0</v>
      </c>
      <c r="O330" s="20">
        <v>0.0</v>
      </c>
      <c r="P330" s="20">
        <v>0.0</v>
      </c>
      <c r="Q330" s="20">
        <v>0.0</v>
      </c>
      <c r="R330" s="20">
        <v>0.0</v>
      </c>
      <c r="S330" s="20">
        <v>0.0</v>
      </c>
      <c r="T330" s="20">
        <v>0.0</v>
      </c>
      <c r="U330" s="20">
        <v>0.0</v>
      </c>
    </row>
    <row r="331" ht="23.25" customHeight="1">
      <c r="A331" s="1" t="str">
        <f>IF(COUNTIF('Icon Lookup'!C:C,B331)&gt;0,LOOKUP(B331,'Icon Lookup'!C:C,'Icon Lookup'!B:B),"")</f>
        <v/>
      </c>
      <c r="B331" s="15" t="s">
        <v>522</v>
      </c>
      <c r="C331" s="1" t="s">
        <v>17</v>
      </c>
      <c r="D331" s="1" t="s">
        <v>523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ht="23.25" customHeight="1">
      <c r="A332" s="17" t="str">
        <f>IF(COUNTIF('Icon Lookup'!C:C,B332)&gt;0,LOOKUP(B332,'Icon Lookup'!C:C,'Icon Lookup'!B:B),"")</f>
        <v/>
      </c>
      <c r="B332" s="18" t="s">
        <v>524</v>
      </c>
      <c r="C332" s="17" t="s">
        <v>17</v>
      </c>
      <c r="D332" s="17">
        <v>36.0</v>
      </c>
      <c r="E332" s="17" t="s">
        <v>525</v>
      </c>
      <c r="G332" s="19"/>
      <c r="H332" s="20" t="s">
        <v>526</v>
      </c>
      <c r="I332" s="17" t="s">
        <v>52</v>
      </c>
      <c r="J332" s="17">
        <v>0.0</v>
      </c>
      <c r="K332" s="17">
        <v>0.0</v>
      </c>
      <c r="L332" s="17">
        <v>0.0</v>
      </c>
      <c r="M332" s="17">
        <v>0.0</v>
      </c>
      <c r="N332" s="17">
        <v>0.0</v>
      </c>
      <c r="O332" s="17">
        <v>0.0</v>
      </c>
      <c r="P332" s="17">
        <v>0.0</v>
      </c>
      <c r="Q332" s="17">
        <v>0.0</v>
      </c>
      <c r="R332" s="17">
        <v>0.0</v>
      </c>
      <c r="S332" s="17">
        <v>0.0</v>
      </c>
      <c r="T332" s="17">
        <v>0.0</v>
      </c>
      <c r="U332" s="17">
        <v>0.0</v>
      </c>
    </row>
    <row r="333" ht="23.25" customHeight="1">
      <c r="A333" s="20" t="str">
        <f>IF(COUNTIF('Icon Lookup'!C:C,B333)&gt;0,LOOKUP(B333,'Icon Lookup'!C:C,'Icon Lookup'!B:B),"")</f>
        <v/>
      </c>
      <c r="B333" s="21" t="s">
        <v>478</v>
      </c>
      <c r="C333" s="20" t="s">
        <v>17</v>
      </c>
      <c r="D333" s="20">
        <v>38.0</v>
      </c>
      <c r="E333" s="20" t="s">
        <v>38</v>
      </c>
      <c r="G333" s="22"/>
      <c r="H333" s="23" t="s">
        <v>527</v>
      </c>
      <c r="I333" s="20" t="s">
        <v>22</v>
      </c>
      <c r="J333" s="20">
        <v>0.0</v>
      </c>
      <c r="K333" s="20">
        <v>0.0</v>
      </c>
      <c r="L333" s="20">
        <v>0.0</v>
      </c>
      <c r="M333" s="20">
        <v>0.0</v>
      </c>
      <c r="N333" s="20">
        <v>0.0</v>
      </c>
      <c r="O333" s="20">
        <v>0.0</v>
      </c>
      <c r="P333" s="20">
        <v>0.0</v>
      </c>
      <c r="Q333" s="20">
        <v>0.0</v>
      </c>
      <c r="R333" s="20">
        <v>0.0</v>
      </c>
      <c r="S333" s="20">
        <v>0.0</v>
      </c>
      <c r="T333" s="20">
        <v>0.0</v>
      </c>
      <c r="U333" s="20">
        <v>0.0</v>
      </c>
    </row>
    <row r="334" ht="23.25" customHeight="1">
      <c r="A334" s="1" t="str">
        <f>IF(COUNTIF('Icon Lookup'!C:C,B334)&gt;0,LOOKUP(B334,'Icon Lookup'!C:C,'Icon Lookup'!B:B),"")</f>
        <v/>
      </c>
      <c r="B334" s="15" t="s">
        <v>528</v>
      </c>
      <c r="C334" s="1" t="s">
        <v>17</v>
      </c>
      <c r="D334" s="1" t="s">
        <v>529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ht="23.25" customHeight="1">
      <c r="A335" s="17" t="str">
        <f>IF(COUNTIF('Icon Lookup'!C:C,B335)&gt;0,LOOKUP(B335,'Icon Lookup'!C:C,'Icon Lookup'!B:B),"")</f>
        <v/>
      </c>
      <c r="B335" s="18" t="s">
        <v>381</v>
      </c>
      <c r="C335" s="17" t="s">
        <v>17</v>
      </c>
      <c r="D335" s="17">
        <v>35.0</v>
      </c>
      <c r="E335" s="17" t="s">
        <v>382</v>
      </c>
      <c r="G335" s="19"/>
      <c r="H335" s="20" t="s">
        <v>530</v>
      </c>
      <c r="I335" s="17" t="s">
        <v>73</v>
      </c>
      <c r="J335" s="17">
        <v>0.0</v>
      </c>
      <c r="K335" s="17">
        <v>0.0</v>
      </c>
      <c r="L335" s="17">
        <v>0.0</v>
      </c>
      <c r="M335" s="17">
        <v>0.0</v>
      </c>
      <c r="N335" s="17">
        <v>0.0</v>
      </c>
      <c r="O335" s="17">
        <v>0.0</v>
      </c>
      <c r="P335" s="17">
        <v>0.0</v>
      </c>
      <c r="Q335" s="17">
        <v>0.0</v>
      </c>
      <c r="R335" s="17">
        <v>0.0</v>
      </c>
      <c r="S335" s="17">
        <v>0.0</v>
      </c>
      <c r="T335" s="17">
        <v>0.0</v>
      </c>
      <c r="U335" s="17">
        <v>0.0</v>
      </c>
    </row>
    <row r="336" ht="23.25" customHeight="1">
      <c r="A336" s="20" t="str">
        <f>IF(COUNTIF('Icon Lookup'!C:C,B336)&gt;0,LOOKUP(B336,'Icon Lookup'!C:C,'Icon Lookup'!B:B),"")</f>
        <v/>
      </c>
      <c r="B336" s="21" t="s">
        <v>245</v>
      </c>
      <c r="C336" s="20" t="s">
        <v>17</v>
      </c>
      <c r="D336" s="20">
        <v>35.0</v>
      </c>
      <c r="E336" s="20" t="s">
        <v>218</v>
      </c>
      <c r="G336" s="22"/>
      <c r="H336" s="23" t="s">
        <v>531</v>
      </c>
      <c r="I336" s="20" t="s">
        <v>52</v>
      </c>
      <c r="J336" s="20">
        <v>0.0</v>
      </c>
      <c r="K336" s="20">
        <v>0.0</v>
      </c>
      <c r="L336" s="20">
        <v>0.0</v>
      </c>
      <c r="M336" s="20">
        <v>0.0</v>
      </c>
      <c r="N336" s="20">
        <v>0.0</v>
      </c>
      <c r="O336" s="20">
        <v>0.0</v>
      </c>
      <c r="P336" s="20">
        <v>0.0</v>
      </c>
      <c r="Q336" s="20">
        <v>0.0</v>
      </c>
      <c r="R336" s="20">
        <v>0.0</v>
      </c>
      <c r="S336" s="20">
        <v>0.0</v>
      </c>
      <c r="T336" s="20">
        <v>0.0</v>
      </c>
      <c r="U336" s="20">
        <v>0.0</v>
      </c>
    </row>
    <row r="337" ht="23.25" customHeight="1">
      <c r="A337" s="1" t="str">
        <f>IF(COUNTIF('Icon Lookup'!C:C,B337)&gt;0,LOOKUP(B337,'Icon Lookup'!C:C,'Icon Lookup'!B:B),"")</f>
        <v/>
      </c>
      <c r="B337" s="15" t="s">
        <v>532</v>
      </c>
      <c r="C337" s="1" t="s">
        <v>17</v>
      </c>
      <c r="D337" s="1" t="s">
        <v>533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ht="23.25" customHeight="1">
      <c r="A338" s="17" t="str">
        <f>IF(COUNTIF('Icon Lookup'!C:C,B338)&gt;0,LOOKUP(B338,'Icon Lookup'!C:C,'Icon Lookup'!B:B),"")</f>
        <v/>
      </c>
      <c r="B338" s="18" t="s">
        <v>494</v>
      </c>
      <c r="C338" s="17" t="s">
        <v>17</v>
      </c>
      <c r="D338" s="17">
        <v>37.0</v>
      </c>
      <c r="E338" s="17" t="s">
        <v>495</v>
      </c>
      <c r="G338" s="19"/>
      <c r="H338" s="20" t="s">
        <v>496</v>
      </c>
      <c r="I338" s="17" t="s">
        <v>156</v>
      </c>
      <c r="J338" s="17">
        <v>0.0</v>
      </c>
      <c r="K338" s="17">
        <v>0.0</v>
      </c>
      <c r="L338" s="17">
        <v>0.0</v>
      </c>
      <c r="M338" s="17">
        <v>0.0</v>
      </c>
      <c r="N338" s="17">
        <v>0.0</v>
      </c>
      <c r="O338" s="17">
        <v>0.0</v>
      </c>
      <c r="P338" s="17">
        <v>0.0</v>
      </c>
      <c r="Q338" s="17">
        <v>0.0</v>
      </c>
      <c r="R338" s="17">
        <v>0.0</v>
      </c>
      <c r="S338" s="17">
        <v>0.0</v>
      </c>
      <c r="T338" s="17">
        <v>0.0</v>
      </c>
      <c r="U338" s="17">
        <v>0.0</v>
      </c>
    </row>
    <row r="339" ht="23.25" customHeight="1">
      <c r="A339" s="1" t="str">
        <f>IF(COUNTIF('Icon Lookup'!C:C,B339)&gt;0,LOOKUP(B339,'Icon Lookup'!C:C,'Icon Lookup'!B:B),"")</f>
        <v/>
      </c>
      <c r="B339" s="15" t="s">
        <v>534</v>
      </c>
      <c r="C339" s="1" t="s">
        <v>17</v>
      </c>
      <c r="D339" s="1" t="s">
        <v>535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ht="23.25" customHeight="1">
      <c r="A340" s="20" t="str">
        <f>IF(COUNTIF('Icon Lookup'!C:C,B340)&gt;0,LOOKUP(B340,'Icon Lookup'!C:C,'Icon Lookup'!B:B),"")</f>
        <v/>
      </c>
      <c r="B340" s="21" t="s">
        <v>37</v>
      </c>
      <c r="C340" s="20" t="s">
        <v>17</v>
      </c>
      <c r="D340" s="20">
        <v>33.0</v>
      </c>
      <c r="E340" s="20" t="s">
        <v>38</v>
      </c>
      <c r="G340" s="22"/>
      <c r="H340" s="23" t="s">
        <v>536</v>
      </c>
      <c r="I340" s="20" t="s">
        <v>40</v>
      </c>
      <c r="J340" s="20">
        <v>0.0</v>
      </c>
      <c r="K340" s="20">
        <v>0.0</v>
      </c>
      <c r="L340" s="20">
        <v>0.0</v>
      </c>
      <c r="M340" s="20">
        <v>0.0</v>
      </c>
      <c r="N340" s="20">
        <v>0.0</v>
      </c>
      <c r="O340" s="20">
        <v>0.0</v>
      </c>
      <c r="P340" s="20">
        <v>0.0</v>
      </c>
      <c r="Q340" s="20">
        <v>0.0</v>
      </c>
      <c r="R340" s="20">
        <v>0.0</v>
      </c>
      <c r="S340" s="20">
        <v>0.0</v>
      </c>
      <c r="T340" s="20">
        <v>0.0</v>
      </c>
      <c r="U340" s="20">
        <v>0.0</v>
      </c>
    </row>
    <row r="341" ht="23.25" customHeight="1">
      <c r="A341" s="17" t="str">
        <f>IF(COUNTIF('Icon Lookup'!C:C,B341)&gt;0,LOOKUP(B341,'Icon Lookup'!C:C,'Icon Lookup'!B:B),"")</f>
        <v/>
      </c>
      <c r="B341" s="18" t="s">
        <v>174</v>
      </c>
      <c r="C341" s="17" t="s">
        <v>17</v>
      </c>
      <c r="D341" s="17">
        <v>33.0</v>
      </c>
      <c r="E341" s="17" t="s">
        <v>38</v>
      </c>
      <c r="G341" s="19"/>
      <c r="H341" s="20" t="s">
        <v>537</v>
      </c>
      <c r="I341" s="17" t="s">
        <v>40</v>
      </c>
      <c r="J341" s="17">
        <v>0.0</v>
      </c>
      <c r="K341" s="17">
        <v>0.0</v>
      </c>
      <c r="L341" s="17">
        <v>0.0</v>
      </c>
      <c r="M341" s="17">
        <v>0.0</v>
      </c>
      <c r="N341" s="17">
        <v>0.0</v>
      </c>
      <c r="O341" s="17">
        <v>0.0</v>
      </c>
      <c r="P341" s="17">
        <v>0.0</v>
      </c>
      <c r="Q341" s="17">
        <v>0.0</v>
      </c>
      <c r="R341" s="17">
        <v>0.0</v>
      </c>
      <c r="S341" s="17">
        <v>0.0</v>
      </c>
      <c r="T341" s="17">
        <v>0.0</v>
      </c>
      <c r="U341" s="17">
        <v>0.0</v>
      </c>
    </row>
    <row r="342" ht="23.25" customHeight="1">
      <c r="A342" s="20" t="str">
        <f>IF(COUNTIF('Icon Lookup'!C:C,B342)&gt;0,LOOKUP(B342,'Icon Lookup'!C:C,'Icon Lookup'!B:B),"")</f>
        <v/>
      </c>
      <c r="B342" s="21" t="s">
        <v>37</v>
      </c>
      <c r="C342" s="20" t="s">
        <v>17</v>
      </c>
      <c r="D342" s="20">
        <v>34.0</v>
      </c>
      <c r="E342" s="20" t="s">
        <v>38</v>
      </c>
      <c r="G342" s="22"/>
      <c r="H342" s="23" t="s">
        <v>536</v>
      </c>
      <c r="I342" s="20" t="s">
        <v>40</v>
      </c>
      <c r="J342" s="20">
        <v>0.0</v>
      </c>
      <c r="K342" s="20">
        <v>0.0</v>
      </c>
      <c r="L342" s="20">
        <v>0.0</v>
      </c>
      <c r="M342" s="20">
        <v>0.0</v>
      </c>
      <c r="N342" s="20">
        <v>0.0</v>
      </c>
      <c r="O342" s="20">
        <v>0.0</v>
      </c>
      <c r="P342" s="20">
        <v>0.0</v>
      </c>
      <c r="Q342" s="20">
        <v>0.0</v>
      </c>
      <c r="R342" s="20">
        <v>0.0</v>
      </c>
      <c r="S342" s="20">
        <v>0.0</v>
      </c>
      <c r="T342" s="20">
        <v>0.0</v>
      </c>
      <c r="U342" s="20">
        <v>0.0</v>
      </c>
    </row>
    <row r="343" ht="23.25" customHeight="1">
      <c r="A343" s="17" t="str">
        <f>IF(COUNTIF('Icon Lookup'!C:C,B343)&gt;0,LOOKUP(B343,'Icon Lookup'!C:C,'Icon Lookup'!B:B),"")</f>
        <v/>
      </c>
      <c r="B343" s="18" t="s">
        <v>288</v>
      </c>
      <c r="C343" s="17" t="s">
        <v>17</v>
      </c>
      <c r="D343" s="17">
        <v>36.0</v>
      </c>
      <c r="E343" s="17" t="s">
        <v>289</v>
      </c>
      <c r="G343" s="19"/>
      <c r="H343" s="20" t="s">
        <v>538</v>
      </c>
      <c r="I343" s="17" t="s">
        <v>36</v>
      </c>
      <c r="J343" s="17">
        <v>0.0</v>
      </c>
      <c r="K343" s="17">
        <v>0.0</v>
      </c>
      <c r="L343" s="17">
        <v>0.0</v>
      </c>
      <c r="M343" s="17">
        <v>0.0</v>
      </c>
      <c r="N343" s="17">
        <v>0.0</v>
      </c>
      <c r="O343" s="17">
        <v>0.0</v>
      </c>
      <c r="P343" s="17">
        <v>0.0</v>
      </c>
      <c r="Q343" s="17">
        <v>0.0</v>
      </c>
      <c r="R343" s="17">
        <v>0.0</v>
      </c>
      <c r="S343" s="17">
        <v>0.0</v>
      </c>
      <c r="T343" s="17">
        <v>0.0</v>
      </c>
      <c r="U343" s="17">
        <v>0.0</v>
      </c>
    </row>
    <row r="344" ht="23.25" customHeight="1">
      <c r="A344" s="1" t="str">
        <f>IF(COUNTIF('Icon Lookup'!C:C,B344)&gt;0,LOOKUP(B344,'Icon Lookup'!C:C,'Icon Lookup'!B:B),"")</f>
        <v/>
      </c>
      <c r="B344" s="15" t="s">
        <v>539</v>
      </c>
      <c r="C344" s="1" t="s">
        <v>17</v>
      </c>
      <c r="D344" s="1" t="s">
        <v>540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ht="23.25" customHeight="1">
      <c r="A345" s="20" t="str">
        <f>IF(COUNTIF('Icon Lookup'!C:C,B345)&gt;0,LOOKUP(B345,'Icon Lookup'!C:C,'Icon Lookup'!B:B),"")</f>
        <v/>
      </c>
      <c r="B345" s="21" t="s">
        <v>282</v>
      </c>
      <c r="C345" s="20" t="s">
        <v>17</v>
      </c>
      <c r="D345" s="20">
        <v>35.0</v>
      </c>
      <c r="E345" s="20" t="s">
        <v>283</v>
      </c>
      <c r="G345" s="22"/>
      <c r="H345" s="23" t="s">
        <v>541</v>
      </c>
      <c r="I345" s="20" t="s">
        <v>46</v>
      </c>
      <c r="J345" s="20">
        <v>0.0</v>
      </c>
      <c r="K345" s="20">
        <v>0.0</v>
      </c>
      <c r="L345" s="20">
        <v>0.0</v>
      </c>
      <c r="M345" s="20">
        <v>0.0</v>
      </c>
      <c r="N345" s="20">
        <v>0.0</v>
      </c>
      <c r="O345" s="20">
        <v>0.0</v>
      </c>
      <c r="P345" s="20">
        <v>0.0</v>
      </c>
      <c r="Q345" s="20">
        <v>0.0</v>
      </c>
      <c r="R345" s="20">
        <v>0.0</v>
      </c>
      <c r="S345" s="20">
        <v>0.0</v>
      </c>
      <c r="T345" s="20">
        <v>0.0</v>
      </c>
      <c r="U345" s="20">
        <v>0.0</v>
      </c>
    </row>
    <row r="346" ht="23.25" customHeight="1">
      <c r="A346" s="17" t="str">
        <f>IF(COUNTIF('Icon Lookup'!C:C,B346)&gt;0,LOOKUP(B346,'Icon Lookup'!C:C,'Icon Lookup'!B:B),"")</f>
        <v/>
      </c>
      <c r="B346" s="18" t="s">
        <v>174</v>
      </c>
      <c r="C346" s="17" t="s">
        <v>17</v>
      </c>
      <c r="D346" s="17">
        <v>35.0</v>
      </c>
      <c r="E346" s="17" t="s">
        <v>38</v>
      </c>
      <c r="G346" s="19"/>
      <c r="H346" s="20" t="s">
        <v>542</v>
      </c>
      <c r="I346" s="17" t="s">
        <v>40</v>
      </c>
      <c r="J346" s="17">
        <v>0.0</v>
      </c>
      <c r="K346" s="17">
        <v>0.0</v>
      </c>
      <c r="L346" s="17">
        <v>0.0</v>
      </c>
      <c r="M346" s="17">
        <v>0.0</v>
      </c>
      <c r="N346" s="17">
        <v>0.0</v>
      </c>
      <c r="O346" s="17">
        <v>0.0</v>
      </c>
      <c r="P346" s="17">
        <v>0.0</v>
      </c>
      <c r="Q346" s="17">
        <v>0.0</v>
      </c>
      <c r="R346" s="17">
        <v>0.0</v>
      </c>
      <c r="S346" s="17">
        <v>0.0</v>
      </c>
      <c r="T346" s="17">
        <v>0.0</v>
      </c>
      <c r="U346" s="17">
        <v>0.0</v>
      </c>
    </row>
    <row r="347" ht="23.25" customHeight="1">
      <c r="A347" s="1" t="str">
        <f>IF(COUNTIF('Icon Lookup'!C:C,B347)&gt;0,LOOKUP(B347,'Icon Lookup'!C:C,'Icon Lookup'!B:B),"")</f>
        <v/>
      </c>
      <c r="B347" s="15" t="s">
        <v>543</v>
      </c>
      <c r="C347" s="1" t="s">
        <v>17</v>
      </c>
      <c r="D347" s="1" t="s">
        <v>544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ht="23.25" customHeight="1">
      <c r="A348" s="20" t="str">
        <f>IF(COUNTIF('Icon Lookup'!C:C,B348)&gt;0,LOOKUP(B348,'Icon Lookup'!C:C,'Icon Lookup'!B:B),"")</f>
        <v/>
      </c>
      <c r="B348" s="21" t="s">
        <v>288</v>
      </c>
      <c r="C348" s="20" t="s">
        <v>17</v>
      </c>
      <c r="D348" s="20">
        <v>36.0</v>
      </c>
      <c r="E348" s="20" t="s">
        <v>289</v>
      </c>
      <c r="G348" s="22"/>
      <c r="H348" s="23" t="s">
        <v>538</v>
      </c>
      <c r="I348" s="20" t="s">
        <v>94</v>
      </c>
      <c r="J348" s="20">
        <v>0.0</v>
      </c>
      <c r="K348" s="20">
        <v>0.0</v>
      </c>
      <c r="L348" s="20">
        <v>0.0</v>
      </c>
      <c r="M348" s="20">
        <v>0.0</v>
      </c>
      <c r="N348" s="20">
        <v>0.0</v>
      </c>
      <c r="O348" s="20">
        <v>0.0</v>
      </c>
      <c r="P348" s="20">
        <v>0.0</v>
      </c>
      <c r="Q348" s="20">
        <v>0.0</v>
      </c>
      <c r="R348" s="20">
        <v>0.0</v>
      </c>
      <c r="S348" s="20">
        <v>0.0</v>
      </c>
      <c r="T348" s="20">
        <v>0.0</v>
      </c>
      <c r="U348" s="20">
        <v>0.0</v>
      </c>
    </row>
    <row r="349" ht="23.25" customHeight="1">
      <c r="A349" s="17" t="str">
        <f>IF(COUNTIF('Icon Lookup'!C:C,B349)&gt;0,LOOKUP(B349,'Icon Lookup'!C:C,'Icon Lookup'!B:B),"")</f>
        <v/>
      </c>
      <c r="B349" s="18" t="s">
        <v>97</v>
      </c>
      <c r="C349" s="17" t="s">
        <v>17</v>
      </c>
      <c r="D349" s="17">
        <v>35.0</v>
      </c>
      <c r="E349" s="17" t="s">
        <v>98</v>
      </c>
      <c r="G349" s="19"/>
      <c r="H349" s="20" t="s">
        <v>545</v>
      </c>
      <c r="I349" s="17" t="s">
        <v>89</v>
      </c>
      <c r="J349" s="17">
        <v>0.0</v>
      </c>
      <c r="K349" s="17">
        <v>0.0</v>
      </c>
      <c r="L349" s="17">
        <v>0.0</v>
      </c>
      <c r="M349" s="17">
        <v>0.0</v>
      </c>
      <c r="N349" s="17">
        <v>0.0</v>
      </c>
      <c r="O349" s="17">
        <v>0.0</v>
      </c>
      <c r="P349" s="17">
        <v>0.0</v>
      </c>
      <c r="Q349" s="17">
        <v>0.0</v>
      </c>
      <c r="R349" s="17">
        <v>0.0</v>
      </c>
      <c r="S349" s="17">
        <v>0.0</v>
      </c>
      <c r="T349" s="17">
        <v>0.0</v>
      </c>
      <c r="U349" s="17">
        <v>0.0</v>
      </c>
    </row>
    <row r="350" ht="23.25" customHeight="1">
      <c r="A350" s="20" t="str">
        <f>IF(COUNTIF('Icon Lookup'!C:C,B350)&gt;0,LOOKUP(B350,'Icon Lookup'!C:C,'Icon Lookup'!B:B),"")</f>
        <v/>
      </c>
      <c r="B350" s="21" t="s">
        <v>275</v>
      </c>
      <c r="C350" s="20" t="s">
        <v>17</v>
      </c>
      <c r="D350" s="20">
        <v>37.0</v>
      </c>
      <c r="E350" s="20" t="s">
        <v>91</v>
      </c>
      <c r="G350" s="22"/>
      <c r="H350" s="23" t="s">
        <v>546</v>
      </c>
      <c r="I350" s="20" t="s">
        <v>89</v>
      </c>
      <c r="J350" s="20">
        <v>0.0</v>
      </c>
      <c r="K350" s="20">
        <v>0.0</v>
      </c>
      <c r="L350" s="20">
        <v>0.0</v>
      </c>
      <c r="M350" s="20">
        <v>0.0</v>
      </c>
      <c r="N350" s="20">
        <v>0.0</v>
      </c>
      <c r="O350" s="20">
        <v>0.0</v>
      </c>
      <c r="P350" s="20">
        <v>0.0</v>
      </c>
      <c r="Q350" s="20">
        <v>0.0</v>
      </c>
      <c r="R350" s="20">
        <v>0.0</v>
      </c>
      <c r="S350" s="20">
        <v>0.0</v>
      </c>
      <c r="T350" s="20">
        <v>0.0</v>
      </c>
      <c r="U350" s="20">
        <v>0.0</v>
      </c>
    </row>
    <row r="351" ht="23.25" customHeight="1">
      <c r="A351" s="1" t="str">
        <f>IF(COUNTIF('Icon Lookup'!C:C,B351)&gt;0,LOOKUP(B351,'Icon Lookup'!C:C,'Icon Lookup'!B:B),"")</f>
        <v/>
      </c>
      <c r="B351" s="15" t="s">
        <v>547</v>
      </c>
      <c r="C351" s="1" t="s">
        <v>17</v>
      </c>
      <c r="D351" s="1" t="s">
        <v>548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ht="23.25" customHeight="1">
      <c r="A352" s="17" t="str">
        <f>IF(COUNTIF('Icon Lookup'!C:C,B352)&gt;0,LOOKUP(B352,'Icon Lookup'!C:C,'Icon Lookup'!B:B),"")</f>
        <v/>
      </c>
      <c r="B352" s="18" t="s">
        <v>190</v>
      </c>
      <c r="C352" s="17" t="s">
        <v>17</v>
      </c>
      <c r="D352" s="17">
        <v>29.0</v>
      </c>
      <c r="E352" s="17" t="s">
        <v>26</v>
      </c>
      <c r="G352" s="19"/>
      <c r="H352" s="20" t="s">
        <v>394</v>
      </c>
      <c r="I352" s="17" t="s">
        <v>52</v>
      </c>
      <c r="J352" s="17">
        <v>0.0</v>
      </c>
      <c r="K352" s="17">
        <v>0.0</v>
      </c>
      <c r="L352" s="17">
        <v>0.0</v>
      </c>
      <c r="M352" s="17">
        <v>0.0</v>
      </c>
      <c r="N352" s="17">
        <v>0.0</v>
      </c>
      <c r="O352" s="17">
        <v>0.0</v>
      </c>
      <c r="P352" s="17">
        <v>0.0</v>
      </c>
      <c r="Q352" s="17">
        <v>0.0</v>
      </c>
      <c r="R352" s="17">
        <v>0.0</v>
      </c>
      <c r="S352" s="17">
        <v>0.0</v>
      </c>
      <c r="T352" s="17">
        <v>0.0</v>
      </c>
      <c r="U352" s="17">
        <v>0.0</v>
      </c>
    </row>
    <row r="353" ht="23.25" customHeight="1">
      <c r="A353" s="20" t="str">
        <f>IF(COUNTIF('Icon Lookup'!C:C,B353)&gt;0,LOOKUP(B353,'Icon Lookup'!C:C,'Icon Lookup'!B:B),"")</f>
        <v/>
      </c>
      <c r="B353" s="21" t="s">
        <v>190</v>
      </c>
      <c r="C353" s="20" t="s">
        <v>17</v>
      </c>
      <c r="D353" s="20">
        <v>29.0</v>
      </c>
      <c r="E353" s="20" t="s">
        <v>26</v>
      </c>
      <c r="G353" s="22"/>
      <c r="H353" s="23" t="s">
        <v>549</v>
      </c>
      <c r="I353" s="20" t="s">
        <v>550</v>
      </c>
      <c r="J353" s="20">
        <v>0.0</v>
      </c>
      <c r="K353" s="20">
        <v>0.0</v>
      </c>
      <c r="L353" s="20">
        <v>0.0</v>
      </c>
      <c r="M353" s="20">
        <v>0.0</v>
      </c>
      <c r="N353" s="20">
        <v>0.0</v>
      </c>
      <c r="O353" s="20">
        <v>0.0</v>
      </c>
      <c r="P353" s="20">
        <v>0.0</v>
      </c>
      <c r="Q353" s="20">
        <v>0.0</v>
      </c>
      <c r="R353" s="20">
        <v>0.0</v>
      </c>
      <c r="S353" s="20">
        <v>0.0</v>
      </c>
      <c r="T353" s="20">
        <v>0.0</v>
      </c>
      <c r="U353" s="20">
        <v>0.0</v>
      </c>
    </row>
    <row r="354" ht="23.25" customHeight="1">
      <c r="A354" s="1" t="str">
        <f>IF(COUNTIF('Icon Lookup'!C:C,B354)&gt;0,LOOKUP(B354,'Icon Lookup'!C:C,'Icon Lookup'!B:B),"")</f>
        <v/>
      </c>
      <c r="B354" s="15" t="s">
        <v>551</v>
      </c>
      <c r="C354" s="1" t="s">
        <v>17</v>
      </c>
      <c r="D354" s="1" t="s">
        <v>552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ht="23.25" customHeight="1">
      <c r="A355" s="17" t="str">
        <f>IF(COUNTIF('Icon Lookup'!C:C,B355)&gt;0,LOOKUP(B355,'Icon Lookup'!C:C,'Icon Lookup'!B:B),"")</f>
        <v/>
      </c>
      <c r="B355" s="18" t="s">
        <v>43</v>
      </c>
      <c r="C355" s="17" t="s">
        <v>17</v>
      </c>
      <c r="D355" s="17">
        <v>26.0</v>
      </c>
      <c r="E355" s="17" t="s">
        <v>44</v>
      </c>
      <c r="G355" s="19"/>
      <c r="H355" s="20" t="s">
        <v>553</v>
      </c>
      <c r="I355" s="17" t="s">
        <v>89</v>
      </c>
      <c r="J355" s="17">
        <v>0.0</v>
      </c>
      <c r="K355" s="17">
        <v>0.0</v>
      </c>
      <c r="L355" s="17">
        <v>0.0</v>
      </c>
      <c r="M355" s="17">
        <v>0.0</v>
      </c>
      <c r="N355" s="17">
        <v>0.0</v>
      </c>
      <c r="O355" s="17">
        <v>0.0</v>
      </c>
      <c r="P355" s="17">
        <v>0.0</v>
      </c>
      <c r="Q355" s="17">
        <v>0.0</v>
      </c>
      <c r="R355" s="17">
        <v>0.0</v>
      </c>
      <c r="S355" s="17">
        <v>0.0</v>
      </c>
      <c r="T355" s="17">
        <v>0.0</v>
      </c>
      <c r="U355" s="17">
        <v>0.0</v>
      </c>
    </row>
    <row r="356" ht="23.25" customHeight="1">
      <c r="A356" s="20" t="str">
        <f>IF(COUNTIF('Icon Lookup'!C:C,B356)&gt;0,LOOKUP(B356,'Icon Lookup'!C:C,'Icon Lookup'!B:B),"")</f>
        <v/>
      </c>
      <c r="B356" s="21" t="s">
        <v>43</v>
      </c>
      <c r="C356" s="20" t="s">
        <v>17</v>
      </c>
      <c r="D356" s="20">
        <v>26.0</v>
      </c>
      <c r="E356" s="20" t="s">
        <v>44</v>
      </c>
      <c r="G356" s="22"/>
      <c r="H356" s="23" t="s">
        <v>553</v>
      </c>
      <c r="I356" s="20" t="s">
        <v>89</v>
      </c>
      <c r="J356" s="20">
        <v>0.0</v>
      </c>
      <c r="K356" s="20">
        <v>0.0</v>
      </c>
      <c r="L356" s="20">
        <v>0.0</v>
      </c>
      <c r="M356" s="20">
        <v>0.0</v>
      </c>
      <c r="N356" s="20">
        <v>0.0</v>
      </c>
      <c r="O356" s="20">
        <v>0.0</v>
      </c>
      <c r="P356" s="20">
        <v>0.0</v>
      </c>
      <c r="Q356" s="20">
        <v>0.0</v>
      </c>
      <c r="R356" s="20">
        <v>0.0</v>
      </c>
      <c r="S356" s="20">
        <v>0.0</v>
      </c>
      <c r="T356" s="20">
        <v>0.0</v>
      </c>
      <c r="U356" s="20">
        <v>0.0</v>
      </c>
    </row>
    <row r="357" ht="23.25" customHeight="1">
      <c r="A357" s="17" t="str">
        <f>IF(COUNTIF('Icon Lookup'!C:C,B357)&gt;0,LOOKUP(B357,'Icon Lookup'!C:C,'Icon Lookup'!B:B),"")</f>
        <v/>
      </c>
      <c r="B357" s="18" t="s">
        <v>43</v>
      </c>
      <c r="C357" s="17" t="s">
        <v>17</v>
      </c>
      <c r="D357" s="17">
        <v>26.0</v>
      </c>
      <c r="E357" s="17" t="s">
        <v>44</v>
      </c>
      <c r="G357" s="19"/>
      <c r="H357" s="20" t="s">
        <v>553</v>
      </c>
      <c r="I357" s="17" t="s">
        <v>89</v>
      </c>
      <c r="J357" s="17">
        <v>0.0</v>
      </c>
      <c r="K357" s="17">
        <v>0.0</v>
      </c>
      <c r="L357" s="17">
        <v>0.0</v>
      </c>
      <c r="M357" s="17">
        <v>0.0</v>
      </c>
      <c r="N357" s="17">
        <v>0.0</v>
      </c>
      <c r="O357" s="17">
        <v>0.0</v>
      </c>
      <c r="P357" s="17">
        <v>0.0</v>
      </c>
      <c r="Q357" s="17">
        <v>0.0</v>
      </c>
      <c r="R357" s="17">
        <v>0.0</v>
      </c>
      <c r="S357" s="17">
        <v>0.0</v>
      </c>
      <c r="T357" s="17">
        <v>0.0</v>
      </c>
      <c r="U357" s="17">
        <v>0.0</v>
      </c>
    </row>
    <row r="358" ht="23.25" customHeight="1">
      <c r="A358" s="20" t="str">
        <f>IF(COUNTIF('Icon Lookup'!C:C,B358)&gt;0,LOOKUP(B358,'Icon Lookup'!C:C,'Icon Lookup'!B:B),"")</f>
        <v/>
      </c>
      <c r="B358" s="21" t="s">
        <v>190</v>
      </c>
      <c r="C358" s="20" t="s">
        <v>17</v>
      </c>
      <c r="D358" s="20">
        <v>31.0</v>
      </c>
      <c r="E358" s="20" t="s">
        <v>26</v>
      </c>
      <c r="G358" s="22"/>
      <c r="H358" s="23" t="s">
        <v>191</v>
      </c>
      <c r="I358" s="20" t="s">
        <v>156</v>
      </c>
      <c r="J358" s="20">
        <v>0.0</v>
      </c>
      <c r="K358" s="20">
        <v>0.0</v>
      </c>
      <c r="L358" s="20">
        <v>0.0</v>
      </c>
      <c r="M358" s="20">
        <v>0.0</v>
      </c>
      <c r="N358" s="20">
        <v>0.0</v>
      </c>
      <c r="O358" s="20">
        <v>0.0</v>
      </c>
      <c r="P358" s="20">
        <v>0.0</v>
      </c>
      <c r="Q358" s="20">
        <v>0.0</v>
      </c>
      <c r="R358" s="20">
        <v>0.0</v>
      </c>
      <c r="S358" s="20">
        <v>0.0</v>
      </c>
      <c r="T358" s="20">
        <v>0.0</v>
      </c>
      <c r="U358" s="20">
        <v>0.0</v>
      </c>
    </row>
    <row r="359" ht="23.25" customHeight="1">
      <c r="A359" s="17" t="str">
        <f>IF(COUNTIF('Icon Lookup'!C:C,B359)&gt;0,LOOKUP(B359,'Icon Lookup'!C:C,'Icon Lookup'!B:B),"")</f>
        <v/>
      </c>
      <c r="B359" s="18" t="s">
        <v>43</v>
      </c>
      <c r="C359" s="17" t="s">
        <v>17</v>
      </c>
      <c r="D359" s="17">
        <v>26.0</v>
      </c>
      <c r="E359" s="17" t="s">
        <v>44</v>
      </c>
      <c r="G359" s="19"/>
      <c r="H359" s="20" t="s">
        <v>553</v>
      </c>
      <c r="I359" s="17" t="s">
        <v>89</v>
      </c>
      <c r="J359" s="17">
        <v>0.0</v>
      </c>
      <c r="K359" s="17">
        <v>0.0</v>
      </c>
      <c r="L359" s="17">
        <v>0.0</v>
      </c>
      <c r="M359" s="17">
        <v>0.0</v>
      </c>
      <c r="N359" s="17">
        <v>0.0</v>
      </c>
      <c r="O359" s="17">
        <v>0.0</v>
      </c>
      <c r="P359" s="17">
        <v>0.0</v>
      </c>
      <c r="Q359" s="17">
        <v>0.0</v>
      </c>
      <c r="R359" s="17">
        <v>0.0</v>
      </c>
      <c r="S359" s="17">
        <v>0.0</v>
      </c>
      <c r="T359" s="17">
        <v>0.0</v>
      </c>
      <c r="U359" s="17">
        <v>0.0</v>
      </c>
    </row>
    <row r="360" ht="23.25" customHeight="1">
      <c r="A360" s="1" t="str">
        <f>IF(COUNTIF('Icon Lookup'!C:C,B360)&gt;0,LOOKUP(B360,'Icon Lookup'!C:C,'Icon Lookup'!B:B),"")</f>
        <v/>
      </c>
      <c r="B360" s="15" t="s">
        <v>554</v>
      </c>
      <c r="C360" s="1" t="s">
        <v>17</v>
      </c>
      <c r="D360" s="1" t="s">
        <v>555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ht="23.25" customHeight="1">
      <c r="A361" s="20" t="str">
        <f>IF(COUNTIF('Icon Lookup'!C:C,B361)&gt;0,LOOKUP(B361,'Icon Lookup'!C:C,'Icon Lookup'!B:B),"")</f>
        <v/>
      </c>
      <c r="B361" s="21" t="s">
        <v>524</v>
      </c>
      <c r="C361" s="20" t="s">
        <v>17</v>
      </c>
      <c r="D361" s="20">
        <v>26.0</v>
      </c>
      <c r="E361" s="20" t="s">
        <v>525</v>
      </c>
      <c r="G361" s="22"/>
      <c r="H361" s="23" t="s">
        <v>556</v>
      </c>
      <c r="I361" s="20" t="s">
        <v>156</v>
      </c>
      <c r="J361" s="20">
        <v>0.0</v>
      </c>
      <c r="K361" s="20">
        <v>0.0</v>
      </c>
      <c r="L361" s="20">
        <v>0.0</v>
      </c>
      <c r="M361" s="20">
        <v>0.0</v>
      </c>
      <c r="N361" s="20">
        <v>0.0</v>
      </c>
      <c r="O361" s="20">
        <v>0.0</v>
      </c>
      <c r="P361" s="20">
        <v>0.0</v>
      </c>
      <c r="Q361" s="20">
        <v>0.0</v>
      </c>
      <c r="R361" s="20">
        <v>0.0</v>
      </c>
      <c r="S361" s="20">
        <v>0.0</v>
      </c>
      <c r="T361" s="20">
        <v>0.0</v>
      </c>
      <c r="U361" s="20">
        <v>0.0</v>
      </c>
    </row>
    <row r="362" ht="23.25" customHeight="1">
      <c r="A362" s="17" t="str">
        <f>IF(COUNTIF('Icon Lookup'!C:C,B362)&gt;0,LOOKUP(B362,'Icon Lookup'!C:C,'Icon Lookup'!B:B),"")</f>
        <v/>
      </c>
      <c r="B362" s="18" t="s">
        <v>427</v>
      </c>
      <c r="C362" s="17" t="s">
        <v>17</v>
      </c>
      <c r="D362" s="17">
        <v>29.0</v>
      </c>
      <c r="E362" s="17" t="s">
        <v>557</v>
      </c>
      <c r="G362" s="19"/>
      <c r="H362" s="20" t="s">
        <v>558</v>
      </c>
      <c r="I362" s="17" t="s">
        <v>94</v>
      </c>
      <c r="J362" s="17">
        <v>0.0</v>
      </c>
      <c r="K362" s="17">
        <v>0.0</v>
      </c>
      <c r="L362" s="17">
        <v>0.0</v>
      </c>
      <c r="M362" s="17">
        <v>0.0</v>
      </c>
      <c r="N362" s="17">
        <v>0.0</v>
      </c>
      <c r="O362" s="17">
        <v>0.0</v>
      </c>
      <c r="P362" s="17">
        <v>0.0</v>
      </c>
      <c r="Q362" s="17">
        <v>0.0</v>
      </c>
      <c r="R362" s="17">
        <v>0.0</v>
      </c>
      <c r="S362" s="17">
        <v>0.0</v>
      </c>
      <c r="T362" s="17">
        <v>0.0</v>
      </c>
      <c r="U362" s="17">
        <v>0.0</v>
      </c>
    </row>
    <row r="363" ht="23.25" customHeight="1">
      <c r="A363" s="20" t="str">
        <f>IF(COUNTIF('Icon Lookup'!C:C,B363)&gt;0,LOOKUP(B363,'Icon Lookup'!C:C,'Icon Lookup'!B:B),"")</f>
        <v/>
      </c>
      <c r="B363" s="21" t="s">
        <v>559</v>
      </c>
      <c r="C363" s="20" t="s">
        <v>17</v>
      </c>
      <c r="D363" s="20">
        <v>29.0</v>
      </c>
      <c r="E363" s="20" t="s">
        <v>560</v>
      </c>
      <c r="G363" s="22"/>
      <c r="H363" s="23" t="s">
        <v>561</v>
      </c>
      <c r="I363" s="20" t="s">
        <v>156</v>
      </c>
      <c r="J363" s="20">
        <v>0.0</v>
      </c>
      <c r="K363" s="20">
        <v>0.0</v>
      </c>
      <c r="L363" s="20">
        <v>0.0</v>
      </c>
      <c r="M363" s="20">
        <v>0.0</v>
      </c>
      <c r="N363" s="20">
        <v>0.0</v>
      </c>
      <c r="O363" s="20">
        <v>0.0</v>
      </c>
      <c r="P363" s="20">
        <v>0.0</v>
      </c>
      <c r="Q363" s="20">
        <v>0.0</v>
      </c>
      <c r="R363" s="20">
        <v>0.0</v>
      </c>
      <c r="S363" s="20">
        <v>0.0</v>
      </c>
      <c r="T363" s="20">
        <v>0.0</v>
      </c>
      <c r="U363" s="20">
        <v>0.0</v>
      </c>
    </row>
    <row r="364" ht="23.25" customHeight="1">
      <c r="A364" s="1" t="str">
        <f>IF(COUNTIF('Icon Lookup'!C:C,B364)&gt;0,LOOKUP(B364,'Icon Lookup'!C:C,'Icon Lookup'!B:B),"")</f>
        <v/>
      </c>
      <c r="B364" s="15" t="s">
        <v>562</v>
      </c>
      <c r="C364" s="1" t="s">
        <v>17</v>
      </c>
      <c r="D364" s="1" t="s">
        <v>563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ht="23.25" customHeight="1">
      <c r="A365" s="17" t="str">
        <f>IF(COUNTIF('Icon Lookup'!C:C,B365)&gt;0,LOOKUP(B365,'Icon Lookup'!C:C,'Icon Lookup'!B:B),"")</f>
        <v/>
      </c>
      <c r="B365" s="18" t="s">
        <v>190</v>
      </c>
      <c r="C365" s="17" t="s">
        <v>17</v>
      </c>
      <c r="D365" s="17">
        <v>31.0</v>
      </c>
      <c r="E365" s="17" t="s">
        <v>26</v>
      </c>
      <c r="G365" s="19"/>
      <c r="H365" s="20" t="s">
        <v>564</v>
      </c>
      <c r="I365" s="17" t="s">
        <v>156</v>
      </c>
      <c r="J365" s="17">
        <v>0.0</v>
      </c>
      <c r="K365" s="17">
        <v>0.0</v>
      </c>
      <c r="L365" s="17">
        <v>0.0</v>
      </c>
      <c r="M365" s="17">
        <v>0.0</v>
      </c>
      <c r="N365" s="17">
        <v>0.0</v>
      </c>
      <c r="O365" s="17">
        <v>0.0</v>
      </c>
      <c r="P365" s="17">
        <v>0.0</v>
      </c>
      <c r="Q365" s="17">
        <v>0.0</v>
      </c>
      <c r="R365" s="17">
        <v>0.0</v>
      </c>
      <c r="S365" s="17">
        <v>0.0</v>
      </c>
      <c r="T365" s="17">
        <v>0.0</v>
      </c>
      <c r="U365" s="17">
        <v>0.0</v>
      </c>
    </row>
    <row r="366" ht="23.25" customHeight="1">
      <c r="A366" s="1" t="str">
        <f>IF(COUNTIF('Icon Lookup'!C:C,B366)&gt;0,LOOKUP(B366,'Icon Lookup'!C:C,'Icon Lookup'!B:B),"")</f>
        <v/>
      </c>
      <c r="B366" s="15" t="s">
        <v>565</v>
      </c>
      <c r="C366" s="1" t="s">
        <v>17</v>
      </c>
      <c r="D366" s="1" t="s">
        <v>566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ht="23.25" customHeight="1">
      <c r="A367" s="20" t="str">
        <f>IF(COUNTIF('Icon Lookup'!C:C,B367)&gt;0,LOOKUP(B367,'Icon Lookup'!C:C,'Icon Lookup'!B:B),"")</f>
        <v/>
      </c>
      <c r="B367" s="21" t="s">
        <v>410</v>
      </c>
      <c r="C367" s="20" t="s">
        <v>17</v>
      </c>
      <c r="D367" s="20">
        <v>29.0</v>
      </c>
      <c r="E367" s="20" t="s">
        <v>411</v>
      </c>
      <c r="G367" s="22"/>
      <c r="H367" s="23" t="s">
        <v>567</v>
      </c>
      <c r="I367" s="20" t="s">
        <v>89</v>
      </c>
      <c r="J367" s="20">
        <v>0.0</v>
      </c>
      <c r="K367" s="20">
        <v>0.0</v>
      </c>
      <c r="L367" s="20">
        <v>0.0</v>
      </c>
      <c r="M367" s="20">
        <v>0.0</v>
      </c>
      <c r="N367" s="20">
        <v>0.0</v>
      </c>
      <c r="O367" s="20">
        <v>0.0</v>
      </c>
      <c r="P367" s="20">
        <v>0.0</v>
      </c>
      <c r="Q367" s="20">
        <v>0.0</v>
      </c>
      <c r="R367" s="20">
        <v>0.0</v>
      </c>
      <c r="S367" s="20">
        <v>0.0</v>
      </c>
      <c r="T367" s="20">
        <v>0.0</v>
      </c>
      <c r="U367" s="20">
        <v>0.0</v>
      </c>
    </row>
    <row r="368" ht="23.25" customHeight="1">
      <c r="A368" s="17" t="str">
        <f>IF(COUNTIF('Icon Lookup'!C:C,B368)&gt;0,LOOKUP(B368,'Icon Lookup'!C:C,'Icon Lookup'!B:B),"")</f>
        <v/>
      </c>
      <c r="B368" s="18" t="s">
        <v>568</v>
      </c>
      <c r="C368" s="17" t="s">
        <v>17</v>
      </c>
      <c r="D368" s="17">
        <v>29.0</v>
      </c>
      <c r="E368" s="17" t="s">
        <v>188</v>
      </c>
      <c r="G368" s="19"/>
      <c r="H368" s="20" t="s">
        <v>569</v>
      </c>
      <c r="I368" s="17" t="s">
        <v>89</v>
      </c>
      <c r="J368" s="17">
        <v>0.0</v>
      </c>
      <c r="K368" s="17">
        <v>0.0</v>
      </c>
      <c r="L368" s="17">
        <v>0.0</v>
      </c>
      <c r="M368" s="17">
        <v>0.0</v>
      </c>
      <c r="N368" s="17">
        <v>0.0</v>
      </c>
      <c r="O368" s="17">
        <v>0.0</v>
      </c>
      <c r="P368" s="17">
        <v>0.0</v>
      </c>
      <c r="Q368" s="17">
        <v>0.0</v>
      </c>
      <c r="R368" s="17">
        <v>0.0</v>
      </c>
      <c r="S368" s="17">
        <v>0.0</v>
      </c>
      <c r="T368" s="17">
        <v>0.0</v>
      </c>
      <c r="U368" s="17">
        <v>0.0</v>
      </c>
    </row>
    <row r="369" ht="23.25" customHeight="1">
      <c r="A369" s="1" t="str">
        <f>IF(COUNTIF('Icon Lookup'!C:C,B369)&gt;0,LOOKUP(B369,'Icon Lookup'!C:C,'Icon Lookup'!B:B),"")</f>
        <v/>
      </c>
      <c r="B369" s="15" t="s">
        <v>570</v>
      </c>
      <c r="C369" s="1" t="s">
        <v>17</v>
      </c>
      <c r="D369" s="1" t="s">
        <v>571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ht="23.25" customHeight="1">
      <c r="A370" s="20" t="str">
        <f>IF(COUNTIF('Icon Lookup'!C:C,B370)&gt;0,LOOKUP(B370,'Icon Lookup'!C:C,'Icon Lookup'!B:B),"")</f>
        <v/>
      </c>
      <c r="B370" s="21" t="s">
        <v>110</v>
      </c>
      <c r="C370" s="20" t="s">
        <v>17</v>
      </c>
      <c r="D370" s="20">
        <v>28.0</v>
      </c>
      <c r="E370" s="20" t="s">
        <v>111</v>
      </c>
      <c r="G370" s="22"/>
      <c r="H370" s="23" t="s">
        <v>572</v>
      </c>
      <c r="I370" s="20" t="s">
        <v>211</v>
      </c>
      <c r="J370" s="20">
        <v>0.0</v>
      </c>
      <c r="K370" s="20">
        <v>0.0</v>
      </c>
      <c r="L370" s="20">
        <v>0.0</v>
      </c>
      <c r="M370" s="20">
        <v>0.0</v>
      </c>
      <c r="N370" s="20">
        <v>0.0</v>
      </c>
      <c r="O370" s="20">
        <v>0.0</v>
      </c>
      <c r="P370" s="20">
        <v>0.0</v>
      </c>
      <c r="Q370" s="20">
        <v>0.0</v>
      </c>
      <c r="R370" s="20">
        <v>0.0</v>
      </c>
      <c r="S370" s="20">
        <v>0.0</v>
      </c>
      <c r="T370" s="20">
        <v>0.0</v>
      </c>
      <c r="U370" s="20">
        <v>0.0</v>
      </c>
    </row>
    <row r="371" ht="23.25" customHeight="1">
      <c r="A371" s="17" t="str">
        <f>IF(COUNTIF('Icon Lookup'!C:C,B371)&gt;0,LOOKUP(B371,'Icon Lookup'!C:C,'Icon Lookup'!B:B),"")</f>
        <v/>
      </c>
      <c r="B371" s="18" t="s">
        <v>110</v>
      </c>
      <c r="C371" s="17" t="s">
        <v>17</v>
      </c>
      <c r="D371" s="17">
        <v>28.0</v>
      </c>
      <c r="E371" s="17" t="s">
        <v>111</v>
      </c>
      <c r="G371" s="19"/>
      <c r="H371" s="20" t="s">
        <v>453</v>
      </c>
      <c r="I371" s="17" t="s">
        <v>211</v>
      </c>
      <c r="J371" s="17">
        <v>0.0</v>
      </c>
      <c r="K371" s="17">
        <v>0.0</v>
      </c>
      <c r="L371" s="17">
        <v>0.0</v>
      </c>
      <c r="M371" s="17">
        <v>0.0</v>
      </c>
      <c r="N371" s="17">
        <v>0.0</v>
      </c>
      <c r="O371" s="17">
        <v>0.0</v>
      </c>
      <c r="P371" s="17">
        <v>0.0</v>
      </c>
      <c r="Q371" s="17">
        <v>0.0</v>
      </c>
      <c r="R371" s="17">
        <v>0.0</v>
      </c>
      <c r="S371" s="17">
        <v>0.0</v>
      </c>
      <c r="T371" s="17">
        <v>0.0</v>
      </c>
      <c r="U371" s="17">
        <v>0.0</v>
      </c>
    </row>
    <row r="372" ht="23.25" customHeight="1">
      <c r="A372" s="20" t="str">
        <f>IF(COUNTIF('Icon Lookup'!C:C,B372)&gt;0,LOOKUP(B372,'Icon Lookup'!C:C,'Icon Lookup'!B:B),"")</f>
        <v/>
      </c>
      <c r="B372" s="21" t="s">
        <v>110</v>
      </c>
      <c r="C372" s="20" t="s">
        <v>17</v>
      </c>
      <c r="D372" s="20">
        <v>28.0</v>
      </c>
      <c r="E372" s="20" t="s">
        <v>111</v>
      </c>
      <c r="G372" s="22"/>
      <c r="H372" s="23" t="s">
        <v>454</v>
      </c>
      <c r="I372" s="20" t="s">
        <v>211</v>
      </c>
      <c r="J372" s="20">
        <v>0.0</v>
      </c>
      <c r="K372" s="20">
        <v>0.0</v>
      </c>
      <c r="L372" s="20">
        <v>0.0</v>
      </c>
      <c r="M372" s="20">
        <v>0.0</v>
      </c>
      <c r="N372" s="20">
        <v>0.0</v>
      </c>
      <c r="O372" s="20">
        <v>0.0</v>
      </c>
      <c r="P372" s="20">
        <v>0.0</v>
      </c>
      <c r="Q372" s="20">
        <v>0.0</v>
      </c>
      <c r="R372" s="20">
        <v>0.0</v>
      </c>
      <c r="S372" s="20">
        <v>0.0</v>
      </c>
      <c r="T372" s="20">
        <v>0.0</v>
      </c>
      <c r="U372" s="20">
        <v>0.0</v>
      </c>
    </row>
    <row r="373" ht="23.25" customHeight="1">
      <c r="A373" s="17" t="str">
        <f>IF(COUNTIF('Icon Lookup'!C:C,B373)&gt;0,LOOKUP(B373,'Icon Lookup'!C:C,'Icon Lookup'!B:B),"")</f>
        <v/>
      </c>
      <c r="B373" s="18" t="s">
        <v>110</v>
      </c>
      <c r="C373" s="17" t="s">
        <v>17</v>
      </c>
      <c r="D373" s="17">
        <v>28.0</v>
      </c>
      <c r="E373" s="17" t="s">
        <v>111</v>
      </c>
      <c r="G373" s="19"/>
      <c r="H373" s="20" t="s">
        <v>573</v>
      </c>
      <c r="I373" s="17" t="s">
        <v>211</v>
      </c>
      <c r="J373" s="17">
        <v>0.0</v>
      </c>
      <c r="K373" s="17">
        <v>0.0</v>
      </c>
      <c r="L373" s="17">
        <v>0.0</v>
      </c>
      <c r="M373" s="17">
        <v>0.0</v>
      </c>
      <c r="N373" s="17">
        <v>0.0</v>
      </c>
      <c r="O373" s="17">
        <v>0.0</v>
      </c>
      <c r="P373" s="17">
        <v>0.0</v>
      </c>
      <c r="Q373" s="17">
        <v>0.0</v>
      </c>
      <c r="R373" s="17">
        <v>0.0</v>
      </c>
      <c r="S373" s="17">
        <v>0.0</v>
      </c>
      <c r="T373" s="17">
        <v>0.0</v>
      </c>
      <c r="U373" s="17">
        <v>0.0</v>
      </c>
    </row>
    <row r="374" ht="23.25" customHeight="1">
      <c r="A374" s="1" t="str">
        <f>IF(COUNTIF('Icon Lookup'!C:C,B374)&gt;0,LOOKUP(B374,'Icon Lookup'!C:C,'Icon Lookup'!B:B),"")</f>
        <v/>
      </c>
      <c r="B374" s="15" t="s">
        <v>574</v>
      </c>
      <c r="C374" s="1" t="s">
        <v>17</v>
      </c>
      <c r="D374" s="1" t="s">
        <v>575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ht="23.25" customHeight="1">
      <c r="A375" s="20" t="str">
        <f>IF(COUNTIF('Icon Lookup'!C:C,B375)&gt;0,LOOKUP(B375,'Icon Lookup'!C:C,'Icon Lookup'!B:B),"")</f>
        <v/>
      </c>
      <c r="B375" s="21" t="s">
        <v>427</v>
      </c>
      <c r="C375" s="20" t="s">
        <v>17</v>
      </c>
      <c r="D375" s="20">
        <v>29.0</v>
      </c>
      <c r="E375" s="20" t="s">
        <v>428</v>
      </c>
      <c r="G375" s="22"/>
      <c r="H375" s="23" t="s">
        <v>576</v>
      </c>
      <c r="I375" s="20" t="s">
        <v>197</v>
      </c>
      <c r="J375" s="20">
        <v>0.0</v>
      </c>
      <c r="K375" s="20">
        <v>0.0</v>
      </c>
      <c r="L375" s="20">
        <v>0.0</v>
      </c>
      <c r="M375" s="20">
        <v>0.0</v>
      </c>
      <c r="N375" s="20">
        <v>0.0</v>
      </c>
      <c r="O375" s="20">
        <v>0.0</v>
      </c>
      <c r="P375" s="20">
        <v>0.0</v>
      </c>
      <c r="Q375" s="20">
        <v>0.0</v>
      </c>
      <c r="R375" s="20">
        <v>0.0</v>
      </c>
      <c r="S375" s="20">
        <v>0.0</v>
      </c>
      <c r="T375" s="20">
        <v>0.0</v>
      </c>
      <c r="U375" s="20">
        <v>0.0</v>
      </c>
    </row>
    <row r="376" ht="23.25" customHeight="1">
      <c r="A376" s="17" t="str">
        <f>IF(COUNTIF('Icon Lookup'!C:C,B376)&gt;0,LOOKUP(B376,'Icon Lookup'!C:C,'Icon Lookup'!B:B),"")</f>
        <v/>
      </c>
      <c r="B376" s="18" t="s">
        <v>577</v>
      </c>
      <c r="C376" s="17" t="s">
        <v>17</v>
      </c>
      <c r="D376" s="17">
        <v>29.0</v>
      </c>
      <c r="E376" s="17" t="s">
        <v>399</v>
      </c>
      <c r="G376" s="19"/>
      <c r="H376" s="20" t="s">
        <v>578</v>
      </c>
      <c r="I376" s="17" t="s">
        <v>105</v>
      </c>
      <c r="J376" s="17">
        <v>0.0</v>
      </c>
      <c r="K376" s="17">
        <v>0.0</v>
      </c>
      <c r="L376" s="17">
        <v>0.0</v>
      </c>
      <c r="M376" s="17">
        <v>0.0</v>
      </c>
      <c r="N376" s="17">
        <v>0.0</v>
      </c>
      <c r="O376" s="17">
        <v>0.0</v>
      </c>
      <c r="P376" s="17">
        <v>0.0</v>
      </c>
      <c r="Q376" s="17">
        <v>0.0</v>
      </c>
      <c r="R376" s="17">
        <v>0.0</v>
      </c>
      <c r="S376" s="17">
        <v>0.0</v>
      </c>
      <c r="T376" s="17">
        <v>0.0</v>
      </c>
      <c r="U376" s="17">
        <v>0.0</v>
      </c>
    </row>
    <row r="377" ht="23.25" customHeight="1">
      <c r="A377" s="1" t="str">
        <f>IF(COUNTIF('Icon Lookup'!C:C,B377)&gt;0,LOOKUP(B377,'Icon Lookup'!C:C,'Icon Lookup'!B:B),"")</f>
        <v/>
      </c>
      <c r="B377" s="15" t="s">
        <v>579</v>
      </c>
      <c r="C377" s="1" t="s">
        <v>17</v>
      </c>
      <c r="D377" s="1" t="s">
        <v>580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ht="23.25" customHeight="1">
      <c r="A378" s="20" t="str">
        <f>IF(COUNTIF('Icon Lookup'!C:C,B378)&gt;0,LOOKUP(B378,'Icon Lookup'!C:C,'Icon Lookup'!B:B),"")</f>
        <v/>
      </c>
      <c r="B378" s="21" t="s">
        <v>271</v>
      </c>
      <c r="C378" s="20" t="s">
        <v>17</v>
      </c>
      <c r="D378" s="20">
        <v>28.0</v>
      </c>
      <c r="E378" s="20" t="s">
        <v>44</v>
      </c>
      <c r="G378" s="22"/>
      <c r="H378" s="23" t="s">
        <v>581</v>
      </c>
      <c r="I378" s="20" t="s">
        <v>211</v>
      </c>
      <c r="J378" s="20">
        <v>0.0</v>
      </c>
      <c r="K378" s="20">
        <v>0.0</v>
      </c>
      <c r="L378" s="20">
        <v>0.0</v>
      </c>
      <c r="M378" s="20">
        <v>0.0</v>
      </c>
      <c r="N378" s="20">
        <v>0.0</v>
      </c>
      <c r="O378" s="20">
        <v>0.0</v>
      </c>
      <c r="P378" s="20">
        <v>0.0</v>
      </c>
      <c r="Q378" s="20">
        <v>0.0</v>
      </c>
      <c r="R378" s="20">
        <v>0.0</v>
      </c>
      <c r="S378" s="20">
        <v>0.0</v>
      </c>
      <c r="T378" s="20">
        <v>0.0</v>
      </c>
      <c r="U378" s="20">
        <v>0.0</v>
      </c>
    </row>
    <row r="379" ht="23.25" customHeight="1">
      <c r="A379" s="17" t="str">
        <f>IF(COUNTIF('Icon Lookup'!C:C,B379)&gt;0,LOOKUP(B379,'Icon Lookup'!C:C,'Icon Lookup'!B:B),"")</f>
        <v/>
      </c>
      <c r="B379" s="18" t="s">
        <v>582</v>
      </c>
      <c r="C379" s="17" t="s">
        <v>17</v>
      </c>
      <c r="D379" s="17">
        <v>28.0</v>
      </c>
      <c r="E379" s="17" t="s">
        <v>166</v>
      </c>
      <c r="G379" s="19"/>
      <c r="H379" s="20" t="s">
        <v>583</v>
      </c>
      <c r="I379" s="17" t="s">
        <v>197</v>
      </c>
      <c r="J379" s="17">
        <v>0.0</v>
      </c>
      <c r="K379" s="17">
        <v>0.0</v>
      </c>
      <c r="L379" s="17">
        <v>0.0</v>
      </c>
      <c r="M379" s="17">
        <v>0.0</v>
      </c>
      <c r="N379" s="17">
        <v>0.0</v>
      </c>
      <c r="O379" s="17">
        <v>0.0</v>
      </c>
      <c r="P379" s="17">
        <v>0.0</v>
      </c>
      <c r="Q379" s="17">
        <v>0.0</v>
      </c>
      <c r="R379" s="17">
        <v>0.0</v>
      </c>
      <c r="S379" s="17">
        <v>0.0</v>
      </c>
      <c r="T379" s="17">
        <v>0.0</v>
      </c>
      <c r="U379" s="17">
        <v>0.0</v>
      </c>
    </row>
    <row r="380" ht="23.25" customHeight="1">
      <c r="A380" s="20" t="str">
        <f>IF(COUNTIF('Icon Lookup'!C:C,B380)&gt;0,LOOKUP(B380,'Icon Lookup'!C:C,'Icon Lookup'!B:B),"")</f>
        <v/>
      </c>
      <c r="B380" s="21" t="s">
        <v>515</v>
      </c>
      <c r="C380" s="20" t="s">
        <v>17</v>
      </c>
      <c r="D380" s="20">
        <v>28.0</v>
      </c>
      <c r="E380" s="20" t="s">
        <v>111</v>
      </c>
      <c r="G380" s="22"/>
      <c r="H380" s="23" t="s">
        <v>573</v>
      </c>
      <c r="I380" s="20" t="s">
        <v>265</v>
      </c>
      <c r="J380" s="20">
        <v>0.0</v>
      </c>
      <c r="K380" s="20">
        <v>0.0</v>
      </c>
      <c r="L380" s="20">
        <v>0.0</v>
      </c>
      <c r="M380" s="20">
        <v>0.0</v>
      </c>
      <c r="N380" s="20">
        <v>0.0</v>
      </c>
      <c r="O380" s="20">
        <v>0.0</v>
      </c>
      <c r="P380" s="20">
        <v>0.0</v>
      </c>
      <c r="Q380" s="20">
        <v>0.0</v>
      </c>
      <c r="R380" s="20">
        <v>0.0</v>
      </c>
      <c r="S380" s="20">
        <v>0.0</v>
      </c>
      <c r="T380" s="20">
        <v>0.0</v>
      </c>
      <c r="U380" s="20">
        <v>0.0</v>
      </c>
    </row>
    <row r="381" ht="23.25" customHeight="1">
      <c r="A381" s="1" t="str">
        <f>IF(COUNTIF('Icon Lookup'!C:C,B381)&gt;0,LOOKUP(B381,'Icon Lookup'!C:C,'Icon Lookup'!B:B),"")</f>
        <v/>
      </c>
      <c r="B381" s="15" t="s">
        <v>584</v>
      </c>
      <c r="C381" s="1" t="s">
        <v>17</v>
      </c>
      <c r="D381" s="1" t="s">
        <v>585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ht="23.25" customHeight="1">
      <c r="A382" s="17" t="str">
        <f>IF(COUNTIF('Icon Lookup'!C:C,B382)&gt;0,LOOKUP(B382,'Icon Lookup'!C:C,'Icon Lookup'!B:B),"")</f>
        <v/>
      </c>
      <c r="B382" s="18" t="s">
        <v>365</v>
      </c>
      <c r="C382" s="17" t="s">
        <v>17</v>
      </c>
      <c r="D382" s="17">
        <v>30.0</v>
      </c>
      <c r="E382" s="17" t="s">
        <v>366</v>
      </c>
      <c r="G382" s="19"/>
      <c r="H382" s="20" t="s">
        <v>367</v>
      </c>
      <c r="I382" s="17" t="s">
        <v>156</v>
      </c>
      <c r="J382" s="17">
        <v>0.0</v>
      </c>
      <c r="K382" s="17">
        <v>0.0</v>
      </c>
      <c r="L382" s="17">
        <v>0.0</v>
      </c>
      <c r="M382" s="17">
        <v>0.0</v>
      </c>
      <c r="N382" s="17">
        <v>0.0</v>
      </c>
      <c r="O382" s="17">
        <v>0.0</v>
      </c>
      <c r="P382" s="17">
        <v>0.0</v>
      </c>
      <c r="Q382" s="17">
        <v>0.0</v>
      </c>
      <c r="R382" s="17">
        <v>0.0</v>
      </c>
      <c r="S382" s="17">
        <v>0.0</v>
      </c>
      <c r="T382" s="17">
        <v>0.0</v>
      </c>
      <c r="U382" s="17">
        <v>0.0</v>
      </c>
    </row>
    <row r="383" ht="23.25" customHeight="1">
      <c r="A383" s="20" t="str">
        <f>IF(COUNTIF('Icon Lookup'!C:C,B383)&gt;0,LOOKUP(B383,'Icon Lookup'!C:C,'Icon Lookup'!B:B),"")</f>
        <v/>
      </c>
      <c r="B383" s="21" t="s">
        <v>586</v>
      </c>
      <c r="C383" s="20" t="s">
        <v>17</v>
      </c>
      <c r="D383" s="20">
        <v>32.0</v>
      </c>
      <c r="E383" s="20" t="s">
        <v>366</v>
      </c>
      <c r="G383" s="22"/>
      <c r="H383" s="23" t="s">
        <v>587</v>
      </c>
      <c r="I383" s="20" t="s">
        <v>156</v>
      </c>
      <c r="J383" s="20">
        <v>0.0</v>
      </c>
      <c r="K383" s="20">
        <v>0.0</v>
      </c>
      <c r="L383" s="20">
        <v>0.0</v>
      </c>
      <c r="M383" s="20">
        <v>0.0</v>
      </c>
      <c r="N383" s="20">
        <v>0.0</v>
      </c>
      <c r="O383" s="20">
        <v>0.0</v>
      </c>
      <c r="P383" s="20">
        <v>0.0</v>
      </c>
      <c r="Q383" s="20">
        <v>0.0</v>
      </c>
      <c r="R383" s="20">
        <v>0.0</v>
      </c>
      <c r="S383" s="20">
        <v>0.0</v>
      </c>
      <c r="T383" s="20">
        <v>0.0</v>
      </c>
      <c r="U383" s="20">
        <v>0.0</v>
      </c>
    </row>
    <row r="384" ht="23.25" customHeight="1">
      <c r="A384" s="1" t="str">
        <f>IF(COUNTIF('Icon Lookup'!C:C,B384)&gt;0,LOOKUP(B384,'Icon Lookup'!C:C,'Icon Lookup'!B:B),"")</f>
        <v/>
      </c>
      <c r="B384" s="15" t="s">
        <v>588</v>
      </c>
      <c r="C384" s="1" t="s">
        <v>17</v>
      </c>
      <c r="D384" s="1" t="s">
        <v>589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ht="23.25" customHeight="1">
      <c r="A385" s="17" t="str">
        <f>IF(COUNTIF('Icon Lookup'!C:C,B385)&gt;0,LOOKUP(B385,'Icon Lookup'!C:C,'Icon Lookup'!B:B),"")</f>
        <v/>
      </c>
      <c r="B385" s="18" t="s">
        <v>398</v>
      </c>
      <c r="C385" s="17" t="s">
        <v>17</v>
      </c>
      <c r="D385" s="17">
        <v>33.0</v>
      </c>
      <c r="E385" s="17" t="s">
        <v>399</v>
      </c>
      <c r="G385" s="19"/>
      <c r="H385" s="20" t="s">
        <v>400</v>
      </c>
      <c r="I385" s="17" t="s">
        <v>105</v>
      </c>
      <c r="J385" s="17">
        <v>0.0</v>
      </c>
      <c r="K385" s="17">
        <v>0.0</v>
      </c>
      <c r="L385" s="17">
        <v>0.0</v>
      </c>
      <c r="M385" s="17">
        <v>0.0</v>
      </c>
      <c r="N385" s="17">
        <v>0.0</v>
      </c>
      <c r="O385" s="17">
        <v>0.0</v>
      </c>
      <c r="P385" s="17">
        <v>0.0</v>
      </c>
      <c r="Q385" s="17">
        <v>0.0</v>
      </c>
      <c r="R385" s="17">
        <v>0.0</v>
      </c>
      <c r="S385" s="17">
        <v>0.0</v>
      </c>
      <c r="T385" s="17">
        <v>0.0</v>
      </c>
      <c r="U385" s="17">
        <v>0.0</v>
      </c>
    </row>
    <row r="386" ht="23.25" customHeight="1">
      <c r="A386" s="1" t="str">
        <f>IF(COUNTIF('Icon Lookup'!C:C,B386)&gt;0,LOOKUP(B386,'Icon Lookup'!C:C,'Icon Lookup'!B:B),"")</f>
        <v/>
      </c>
      <c r="B386" s="15" t="s">
        <v>590</v>
      </c>
      <c r="C386" s="1" t="s">
        <v>17</v>
      </c>
      <c r="D386" s="1" t="s">
        <v>591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ht="23.25" customHeight="1">
      <c r="A387" s="20" t="str">
        <f>IF(COUNTIF('Icon Lookup'!C:C,B387)&gt;0,LOOKUP(B387,'Icon Lookup'!C:C,'Icon Lookup'!B:B),"")</f>
        <v/>
      </c>
      <c r="B387" s="21" t="s">
        <v>43</v>
      </c>
      <c r="C387" s="20" t="s">
        <v>17</v>
      </c>
      <c r="D387" s="20">
        <v>28.0</v>
      </c>
      <c r="E387" s="20" t="s">
        <v>44</v>
      </c>
      <c r="G387" s="22"/>
      <c r="H387" s="23" t="s">
        <v>553</v>
      </c>
      <c r="I387" s="20" t="s">
        <v>89</v>
      </c>
      <c r="J387" s="20">
        <v>0.0</v>
      </c>
      <c r="K387" s="20">
        <v>0.0</v>
      </c>
      <c r="L387" s="20">
        <v>0.0</v>
      </c>
      <c r="M387" s="20">
        <v>0.0</v>
      </c>
      <c r="N387" s="20">
        <v>0.0</v>
      </c>
      <c r="O387" s="20">
        <v>0.0</v>
      </c>
      <c r="P387" s="20">
        <v>0.0</v>
      </c>
      <c r="Q387" s="20">
        <v>0.0</v>
      </c>
      <c r="R387" s="20">
        <v>0.0</v>
      </c>
      <c r="S387" s="20">
        <v>0.0</v>
      </c>
      <c r="T387" s="20">
        <v>0.0</v>
      </c>
      <c r="U387" s="20">
        <v>0.0</v>
      </c>
    </row>
    <row r="388" ht="23.25" customHeight="1">
      <c r="A388" s="17" t="str">
        <f>IF(COUNTIF('Icon Lookup'!C:C,B388)&gt;0,LOOKUP(B388,'Icon Lookup'!C:C,'Icon Lookup'!B:B),"")</f>
        <v/>
      </c>
      <c r="B388" s="18" t="s">
        <v>592</v>
      </c>
      <c r="C388" s="17" t="s">
        <v>17</v>
      </c>
      <c r="D388" s="17">
        <v>30.0</v>
      </c>
      <c r="E388" s="17" t="s">
        <v>366</v>
      </c>
      <c r="G388" s="19"/>
      <c r="H388" s="20" t="s">
        <v>593</v>
      </c>
      <c r="I388" s="17" t="s">
        <v>156</v>
      </c>
      <c r="J388" s="17">
        <v>0.0</v>
      </c>
      <c r="K388" s="17">
        <v>0.0</v>
      </c>
      <c r="L388" s="17">
        <v>0.0</v>
      </c>
      <c r="M388" s="17">
        <v>0.0</v>
      </c>
      <c r="N388" s="17">
        <v>0.0</v>
      </c>
      <c r="O388" s="17">
        <v>0.0</v>
      </c>
      <c r="P388" s="17">
        <v>0.0</v>
      </c>
      <c r="Q388" s="17">
        <v>0.0</v>
      </c>
      <c r="R388" s="17">
        <v>0.0</v>
      </c>
      <c r="S388" s="17">
        <v>0.0</v>
      </c>
      <c r="T388" s="17">
        <v>0.0</v>
      </c>
      <c r="U388" s="17">
        <v>0.0</v>
      </c>
    </row>
    <row r="389" ht="23.25" customHeight="1">
      <c r="A389" s="20" t="str">
        <f>IF(COUNTIF('Icon Lookup'!C:C,B389)&gt;0,LOOKUP(B389,'Icon Lookup'!C:C,'Icon Lookup'!B:B),"")</f>
        <v/>
      </c>
      <c r="B389" s="21" t="s">
        <v>190</v>
      </c>
      <c r="C389" s="20" t="s">
        <v>17</v>
      </c>
      <c r="D389" s="20">
        <v>32.0</v>
      </c>
      <c r="E389" s="20" t="s">
        <v>26</v>
      </c>
      <c r="G389" s="22"/>
      <c r="H389" s="23" t="s">
        <v>564</v>
      </c>
      <c r="I389" s="20" t="s">
        <v>156</v>
      </c>
      <c r="J389" s="20">
        <v>0.0</v>
      </c>
      <c r="K389" s="20">
        <v>0.0</v>
      </c>
      <c r="L389" s="20">
        <v>0.0</v>
      </c>
      <c r="M389" s="20">
        <v>0.0</v>
      </c>
      <c r="N389" s="20">
        <v>0.0</v>
      </c>
      <c r="O389" s="20">
        <v>0.0</v>
      </c>
      <c r="P389" s="20">
        <v>0.0</v>
      </c>
      <c r="Q389" s="20">
        <v>0.0</v>
      </c>
      <c r="R389" s="20">
        <v>0.0</v>
      </c>
      <c r="S389" s="20">
        <v>0.0</v>
      </c>
      <c r="T389" s="20">
        <v>0.0</v>
      </c>
      <c r="U389" s="20">
        <v>0.0</v>
      </c>
    </row>
    <row r="390" ht="23.25" customHeight="1">
      <c r="A390" s="1" t="str">
        <f>IF(COUNTIF('Icon Lookup'!C:C,B390)&gt;0,LOOKUP(B390,'Icon Lookup'!C:C,'Icon Lookup'!B:B),"")</f>
        <v/>
      </c>
      <c r="B390" s="15" t="s">
        <v>594</v>
      </c>
      <c r="C390" s="1" t="s">
        <v>17</v>
      </c>
      <c r="D390" s="1" t="s">
        <v>595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ht="23.25" customHeight="1">
      <c r="A391" s="17" t="str">
        <f>IF(COUNTIF('Icon Lookup'!C:C,B391)&gt;0,LOOKUP(B391,'Icon Lookup'!C:C,'Icon Lookup'!B:B),"")</f>
        <v/>
      </c>
      <c r="B391" s="18" t="s">
        <v>117</v>
      </c>
      <c r="C391" s="17" t="s">
        <v>17</v>
      </c>
      <c r="D391" s="17">
        <v>33.0</v>
      </c>
      <c r="E391" s="17" t="s">
        <v>26</v>
      </c>
      <c r="G391" s="19"/>
      <c r="H391" s="20" t="s">
        <v>596</v>
      </c>
      <c r="I391" s="17" t="s">
        <v>211</v>
      </c>
      <c r="J391" s="17">
        <v>0.0</v>
      </c>
      <c r="K391" s="17">
        <v>0.0</v>
      </c>
      <c r="L391" s="17">
        <v>0.0</v>
      </c>
      <c r="M391" s="17">
        <v>0.0</v>
      </c>
      <c r="N391" s="17">
        <v>0.0</v>
      </c>
      <c r="O391" s="17">
        <v>0.0</v>
      </c>
      <c r="P391" s="17">
        <v>0.0</v>
      </c>
      <c r="Q391" s="17">
        <v>0.0</v>
      </c>
      <c r="R391" s="17">
        <v>0.0</v>
      </c>
      <c r="S391" s="17">
        <v>0.0</v>
      </c>
      <c r="T391" s="17">
        <v>0.0</v>
      </c>
      <c r="U391" s="17">
        <v>0.0</v>
      </c>
    </row>
    <row r="392" ht="23.25" customHeight="1">
      <c r="A392" s="20" t="str">
        <f>IF(COUNTIF('Icon Lookup'!C:C,B392)&gt;0,LOOKUP(B392,'Icon Lookup'!C:C,'Icon Lookup'!B:B),"")</f>
        <v/>
      </c>
      <c r="B392" s="21" t="s">
        <v>273</v>
      </c>
      <c r="C392" s="20" t="s">
        <v>17</v>
      </c>
      <c r="D392" s="20">
        <v>33.0</v>
      </c>
      <c r="E392" s="20" t="s">
        <v>38</v>
      </c>
      <c r="G392" s="22"/>
      <c r="H392" s="23" t="s">
        <v>597</v>
      </c>
      <c r="I392" s="20" t="s">
        <v>52</v>
      </c>
      <c r="J392" s="20">
        <v>0.0</v>
      </c>
      <c r="K392" s="20">
        <v>0.0</v>
      </c>
      <c r="L392" s="20">
        <v>0.0</v>
      </c>
      <c r="M392" s="20">
        <v>0.0</v>
      </c>
      <c r="N392" s="20">
        <v>0.0</v>
      </c>
      <c r="O392" s="20">
        <v>0.0</v>
      </c>
      <c r="P392" s="20">
        <v>0.0</v>
      </c>
      <c r="Q392" s="20">
        <v>0.0</v>
      </c>
      <c r="R392" s="20">
        <v>0.0</v>
      </c>
      <c r="S392" s="20">
        <v>0.0</v>
      </c>
      <c r="T392" s="20">
        <v>0.0</v>
      </c>
      <c r="U392" s="20">
        <v>0.0</v>
      </c>
    </row>
    <row r="393" ht="23.25" customHeight="1">
      <c r="A393" s="1" t="str">
        <f>IF(COUNTIF('Icon Lookup'!C:C,B393)&gt;0,LOOKUP(B393,'Icon Lookup'!C:C,'Icon Lookup'!B:B),"")</f>
        <v/>
      </c>
      <c r="B393" s="15" t="s">
        <v>598</v>
      </c>
      <c r="C393" s="1" t="s">
        <v>17</v>
      </c>
      <c r="D393" s="1" t="s">
        <v>599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ht="23.25" customHeight="1">
      <c r="A394" s="17" t="str">
        <f>IF(COUNTIF('Icon Lookup'!C:C,B394)&gt;0,LOOKUP(B394,'Icon Lookup'!C:C,'Icon Lookup'!B:B),"")</f>
        <v/>
      </c>
      <c r="B394" s="18" t="s">
        <v>600</v>
      </c>
      <c r="C394" s="17" t="s">
        <v>17</v>
      </c>
      <c r="D394" s="17">
        <v>30.0</v>
      </c>
      <c r="E394" s="17" t="s">
        <v>601</v>
      </c>
      <c r="G394" s="19"/>
      <c r="H394" s="20" t="s">
        <v>602</v>
      </c>
      <c r="I394" s="17" t="s">
        <v>52</v>
      </c>
      <c r="J394" s="17">
        <v>0.0</v>
      </c>
      <c r="K394" s="17">
        <v>0.0</v>
      </c>
      <c r="L394" s="17">
        <v>0.0</v>
      </c>
      <c r="M394" s="17">
        <v>0.0</v>
      </c>
      <c r="N394" s="17">
        <v>0.0</v>
      </c>
      <c r="O394" s="17">
        <v>0.0</v>
      </c>
      <c r="P394" s="17">
        <v>0.0</v>
      </c>
      <c r="Q394" s="17">
        <v>0.0</v>
      </c>
      <c r="R394" s="17">
        <v>0.0</v>
      </c>
      <c r="S394" s="17">
        <v>0.0</v>
      </c>
      <c r="T394" s="17">
        <v>0.0</v>
      </c>
      <c r="U394" s="17">
        <v>0.0</v>
      </c>
    </row>
    <row r="395" ht="23.25" customHeight="1">
      <c r="A395" s="20" t="str">
        <f>IF(COUNTIF('Icon Lookup'!C:C,B395)&gt;0,LOOKUP(B395,'Icon Lookup'!C:C,'Icon Lookup'!B:B),"")</f>
        <v/>
      </c>
      <c r="B395" s="21" t="s">
        <v>381</v>
      </c>
      <c r="C395" s="20" t="s">
        <v>17</v>
      </c>
      <c r="D395" s="20">
        <v>32.0</v>
      </c>
      <c r="E395" s="20" t="s">
        <v>603</v>
      </c>
      <c r="G395" s="22"/>
      <c r="H395" s="23" t="s">
        <v>604</v>
      </c>
      <c r="I395" s="20" t="s">
        <v>550</v>
      </c>
      <c r="J395" s="20">
        <v>0.0</v>
      </c>
      <c r="K395" s="20">
        <v>0.0</v>
      </c>
      <c r="L395" s="20">
        <v>0.0</v>
      </c>
      <c r="M395" s="20">
        <v>0.0</v>
      </c>
      <c r="N395" s="20">
        <v>0.0</v>
      </c>
      <c r="O395" s="20">
        <v>0.0</v>
      </c>
      <c r="P395" s="20">
        <v>0.0</v>
      </c>
      <c r="Q395" s="20">
        <v>0.0</v>
      </c>
      <c r="R395" s="20">
        <v>0.0</v>
      </c>
      <c r="S395" s="20">
        <v>0.0</v>
      </c>
      <c r="T395" s="20">
        <v>0.0</v>
      </c>
      <c r="U395" s="20">
        <v>0.0</v>
      </c>
    </row>
    <row r="396" ht="23.25" customHeight="1">
      <c r="A396" s="17" t="str">
        <f>IF(COUNTIF('Icon Lookup'!C:C,B396)&gt;0,LOOKUP(B396,'Icon Lookup'!C:C,'Icon Lookup'!B:B),"")</f>
        <v/>
      </c>
      <c r="B396" s="18" t="s">
        <v>482</v>
      </c>
      <c r="C396" s="17" t="s">
        <v>17</v>
      </c>
      <c r="D396" s="17">
        <v>34.0</v>
      </c>
      <c r="E396" s="17" t="s">
        <v>218</v>
      </c>
      <c r="G396" s="19"/>
      <c r="H396" s="20" t="s">
        <v>605</v>
      </c>
      <c r="I396" s="17" t="s">
        <v>22</v>
      </c>
      <c r="J396" s="17">
        <v>0.0</v>
      </c>
      <c r="K396" s="17">
        <v>0.0</v>
      </c>
      <c r="L396" s="17">
        <v>0.0</v>
      </c>
      <c r="M396" s="17">
        <v>0.0</v>
      </c>
      <c r="N396" s="17">
        <v>0.0</v>
      </c>
      <c r="O396" s="17">
        <v>0.0</v>
      </c>
      <c r="P396" s="17">
        <v>0.0</v>
      </c>
      <c r="Q396" s="17">
        <v>0.0</v>
      </c>
      <c r="R396" s="17">
        <v>0.0</v>
      </c>
      <c r="S396" s="17">
        <v>0.0</v>
      </c>
      <c r="T396" s="17">
        <v>0.0</v>
      </c>
      <c r="U396" s="17">
        <v>0.0</v>
      </c>
    </row>
    <row r="397" ht="23.25" customHeight="1">
      <c r="A397" s="1" t="str">
        <f>IF(COUNTIF('Icon Lookup'!C:C,B397)&gt;0,LOOKUP(B397,'Icon Lookup'!C:C,'Icon Lookup'!B:B),"")</f>
        <v/>
      </c>
      <c r="B397" s="15" t="s">
        <v>606</v>
      </c>
      <c r="C397" s="1" t="s">
        <v>17</v>
      </c>
      <c r="D397" s="1" t="s">
        <v>607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ht="23.25" customHeight="1">
      <c r="A398" s="20" t="str">
        <f>IF(COUNTIF('Icon Lookup'!C:C,B398)&gt;0,LOOKUP(B398,'Icon Lookup'!C:C,'Icon Lookup'!B:B),"")</f>
        <v/>
      </c>
      <c r="B398" s="21" t="s">
        <v>43</v>
      </c>
      <c r="C398" s="20" t="s">
        <v>17</v>
      </c>
      <c r="D398" s="20">
        <v>39.0</v>
      </c>
      <c r="E398" s="20" t="s">
        <v>44</v>
      </c>
      <c r="G398" s="22"/>
      <c r="H398" s="23" t="s">
        <v>553</v>
      </c>
      <c r="I398" s="20" t="s">
        <v>89</v>
      </c>
      <c r="J398" s="20">
        <v>0.0</v>
      </c>
      <c r="K398" s="20">
        <v>0.0</v>
      </c>
      <c r="L398" s="20">
        <v>0.0</v>
      </c>
      <c r="M398" s="20">
        <v>0.0</v>
      </c>
      <c r="N398" s="20">
        <v>0.0</v>
      </c>
      <c r="O398" s="20">
        <v>0.0</v>
      </c>
      <c r="P398" s="20">
        <v>0.0</v>
      </c>
      <c r="Q398" s="20">
        <v>0.0</v>
      </c>
      <c r="R398" s="20">
        <v>0.0</v>
      </c>
      <c r="S398" s="20">
        <v>0.0</v>
      </c>
      <c r="T398" s="20">
        <v>0.0</v>
      </c>
      <c r="U398" s="20">
        <v>0.0</v>
      </c>
    </row>
    <row r="399" ht="23.25" customHeight="1">
      <c r="A399" s="17" t="str">
        <f>IF(COUNTIF('Icon Lookup'!C:C,B399)&gt;0,LOOKUP(B399,'Icon Lookup'!C:C,'Icon Lookup'!B:B),"")</f>
        <v/>
      </c>
      <c r="B399" s="18" t="s">
        <v>592</v>
      </c>
      <c r="C399" s="17" t="s">
        <v>17</v>
      </c>
      <c r="D399" s="17">
        <v>42.0</v>
      </c>
      <c r="E399" s="17" t="s">
        <v>366</v>
      </c>
      <c r="G399" s="19"/>
      <c r="H399" s="20" t="s">
        <v>608</v>
      </c>
      <c r="I399" s="17" t="s">
        <v>156</v>
      </c>
      <c r="J399" s="17">
        <v>0.0</v>
      </c>
      <c r="K399" s="17">
        <v>0.0</v>
      </c>
      <c r="L399" s="17">
        <v>0.0</v>
      </c>
      <c r="M399" s="17">
        <v>0.0</v>
      </c>
      <c r="N399" s="17">
        <v>0.0</v>
      </c>
      <c r="O399" s="17">
        <v>0.0</v>
      </c>
      <c r="P399" s="17">
        <v>0.0</v>
      </c>
      <c r="Q399" s="17">
        <v>0.0</v>
      </c>
      <c r="R399" s="17">
        <v>0.0</v>
      </c>
      <c r="S399" s="17">
        <v>0.0</v>
      </c>
      <c r="T399" s="17">
        <v>0.0</v>
      </c>
      <c r="U399" s="17">
        <v>0.0</v>
      </c>
    </row>
    <row r="400" ht="23.25" customHeight="1">
      <c r="A400" s="20" t="str">
        <f>IF(COUNTIF('Icon Lookup'!C:C,B400)&gt;0,LOOKUP(B400,'Icon Lookup'!C:C,'Icon Lookup'!B:B),"")</f>
        <v/>
      </c>
      <c r="B400" s="21" t="s">
        <v>609</v>
      </c>
      <c r="C400" s="20" t="s">
        <v>17</v>
      </c>
      <c r="D400" s="20">
        <v>39.0</v>
      </c>
      <c r="E400" s="20" t="s">
        <v>188</v>
      </c>
      <c r="G400" s="22"/>
      <c r="H400" s="23" t="s">
        <v>553</v>
      </c>
      <c r="I400" s="20" t="s">
        <v>156</v>
      </c>
      <c r="J400" s="20">
        <v>0.0</v>
      </c>
      <c r="K400" s="20">
        <v>0.0</v>
      </c>
      <c r="L400" s="20">
        <v>0.0</v>
      </c>
      <c r="M400" s="20">
        <v>0.0</v>
      </c>
      <c r="N400" s="20">
        <v>0.0</v>
      </c>
      <c r="O400" s="20">
        <v>0.0</v>
      </c>
      <c r="P400" s="20">
        <v>0.0</v>
      </c>
      <c r="Q400" s="20">
        <v>0.0</v>
      </c>
      <c r="R400" s="20">
        <v>0.0</v>
      </c>
      <c r="S400" s="20">
        <v>0.0</v>
      </c>
      <c r="T400" s="20">
        <v>0.0</v>
      </c>
      <c r="U400" s="20">
        <v>0.0</v>
      </c>
    </row>
    <row r="401" ht="23.25" customHeight="1">
      <c r="A401" s="1" t="str">
        <f>IF(COUNTIF('Icon Lookup'!C:C,B401)&gt;0,LOOKUP(B401,'Icon Lookup'!C:C,'Icon Lookup'!B:B),"")</f>
        <v/>
      </c>
      <c r="B401" s="15" t="s">
        <v>610</v>
      </c>
      <c r="C401" s="1" t="s">
        <v>17</v>
      </c>
      <c r="D401" s="1" t="s">
        <v>611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ht="23.25" customHeight="1">
      <c r="A402" s="17" t="str">
        <f>IF(COUNTIF('Icon Lookup'!C:C,B402)&gt;0,LOOKUP(B402,'Icon Lookup'!C:C,'Icon Lookup'!B:B),"")</f>
        <v/>
      </c>
      <c r="B402" s="18" t="s">
        <v>43</v>
      </c>
      <c r="C402" s="17" t="s">
        <v>17</v>
      </c>
      <c r="D402" s="17">
        <v>40.0</v>
      </c>
      <c r="E402" s="17" t="s">
        <v>44</v>
      </c>
      <c r="G402" s="19"/>
      <c r="H402" s="20" t="s">
        <v>553</v>
      </c>
      <c r="I402" s="17" t="s">
        <v>612</v>
      </c>
      <c r="J402" s="17">
        <v>0.0</v>
      </c>
      <c r="K402" s="17">
        <v>0.0</v>
      </c>
      <c r="L402" s="17">
        <v>0.0</v>
      </c>
      <c r="M402" s="17">
        <v>0.0</v>
      </c>
      <c r="N402" s="17">
        <v>0.0</v>
      </c>
      <c r="O402" s="17">
        <v>0.0</v>
      </c>
      <c r="P402" s="17">
        <v>0.0</v>
      </c>
      <c r="Q402" s="17">
        <v>0.0</v>
      </c>
      <c r="R402" s="17">
        <v>0.0</v>
      </c>
      <c r="S402" s="17">
        <v>0.0</v>
      </c>
      <c r="T402" s="17">
        <v>0.0</v>
      </c>
      <c r="U402" s="17">
        <v>0.0</v>
      </c>
    </row>
    <row r="403" ht="23.25" customHeight="1">
      <c r="A403" s="20" t="str">
        <f>IF(COUNTIF('Icon Lookup'!C:C,B403)&gt;0,LOOKUP(B403,'Icon Lookup'!C:C,'Icon Lookup'!B:B),"")</f>
        <v/>
      </c>
      <c r="B403" s="21" t="s">
        <v>190</v>
      </c>
      <c r="C403" s="20" t="s">
        <v>17</v>
      </c>
      <c r="D403" s="20">
        <v>42.0</v>
      </c>
      <c r="E403" s="20" t="s">
        <v>26</v>
      </c>
      <c r="G403" s="22"/>
      <c r="H403" s="23" t="s">
        <v>613</v>
      </c>
      <c r="I403" s="20" t="s">
        <v>550</v>
      </c>
      <c r="J403" s="20">
        <v>0.0</v>
      </c>
      <c r="K403" s="20">
        <v>0.0</v>
      </c>
      <c r="L403" s="20">
        <v>0.0</v>
      </c>
      <c r="M403" s="20">
        <v>0.0</v>
      </c>
      <c r="N403" s="20">
        <v>0.0</v>
      </c>
      <c r="O403" s="20">
        <v>0.0</v>
      </c>
      <c r="P403" s="20">
        <v>0.0</v>
      </c>
      <c r="Q403" s="20">
        <v>0.0</v>
      </c>
      <c r="R403" s="20">
        <v>0.0</v>
      </c>
      <c r="S403" s="20">
        <v>0.0</v>
      </c>
      <c r="T403" s="20">
        <v>0.0</v>
      </c>
      <c r="U403" s="20">
        <v>0.0</v>
      </c>
    </row>
    <row r="404" ht="23.25" customHeight="1">
      <c r="A404" s="1" t="str">
        <f>IF(COUNTIF('Icon Lookup'!C:C,B404)&gt;0,LOOKUP(B404,'Icon Lookup'!C:C,'Icon Lookup'!B:B),"")</f>
        <v/>
      </c>
      <c r="B404" s="15" t="s">
        <v>614</v>
      </c>
      <c r="C404" s="1" t="s">
        <v>17</v>
      </c>
      <c r="D404" s="1" t="s">
        <v>615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ht="23.25" customHeight="1">
      <c r="A405" s="17" t="str">
        <f>IF(COUNTIF('Icon Lookup'!C:C,B405)&gt;0,LOOKUP(B405,'Icon Lookup'!C:C,'Icon Lookup'!B:B),"")</f>
        <v/>
      </c>
      <c r="B405" s="18" t="s">
        <v>43</v>
      </c>
      <c r="C405" s="17" t="s">
        <v>17</v>
      </c>
      <c r="D405" s="17">
        <v>38.0</v>
      </c>
      <c r="E405" s="17" t="s">
        <v>44</v>
      </c>
      <c r="G405" s="19"/>
      <c r="H405" s="20" t="s">
        <v>553</v>
      </c>
      <c r="I405" s="17" t="s">
        <v>89</v>
      </c>
      <c r="J405" s="17">
        <v>0.0</v>
      </c>
      <c r="K405" s="17">
        <v>0.0</v>
      </c>
      <c r="L405" s="17">
        <v>0.0</v>
      </c>
      <c r="M405" s="17">
        <v>0.0</v>
      </c>
      <c r="N405" s="17">
        <v>0.0</v>
      </c>
      <c r="O405" s="17">
        <v>0.0</v>
      </c>
      <c r="P405" s="17">
        <v>0.0</v>
      </c>
      <c r="Q405" s="17">
        <v>0.0</v>
      </c>
      <c r="R405" s="17">
        <v>0.0</v>
      </c>
      <c r="S405" s="17">
        <v>0.0</v>
      </c>
      <c r="T405" s="17">
        <v>0.0</v>
      </c>
      <c r="U405" s="17">
        <v>0.0</v>
      </c>
    </row>
    <row r="406" ht="23.25" customHeight="1">
      <c r="A406" s="20" t="str">
        <f>IF(COUNTIF('Icon Lookup'!C:C,B406)&gt;0,LOOKUP(B406,'Icon Lookup'!C:C,'Icon Lookup'!B:B),"")</f>
        <v/>
      </c>
      <c r="B406" s="21" t="s">
        <v>592</v>
      </c>
      <c r="C406" s="20" t="s">
        <v>17</v>
      </c>
      <c r="D406" s="20">
        <v>40.0</v>
      </c>
      <c r="E406" s="20" t="s">
        <v>366</v>
      </c>
      <c r="G406" s="22"/>
      <c r="H406" s="23" t="s">
        <v>616</v>
      </c>
      <c r="I406" s="20" t="s">
        <v>156</v>
      </c>
      <c r="J406" s="20">
        <v>0.0</v>
      </c>
      <c r="K406" s="20">
        <v>0.0</v>
      </c>
      <c r="L406" s="20">
        <v>0.0</v>
      </c>
      <c r="M406" s="20">
        <v>0.0</v>
      </c>
      <c r="N406" s="20">
        <v>0.0</v>
      </c>
      <c r="O406" s="20">
        <v>0.0</v>
      </c>
      <c r="P406" s="20">
        <v>0.0</v>
      </c>
      <c r="Q406" s="20">
        <v>0.0</v>
      </c>
      <c r="R406" s="20">
        <v>0.0</v>
      </c>
      <c r="S406" s="20">
        <v>0.0</v>
      </c>
      <c r="T406" s="20">
        <v>0.0</v>
      </c>
      <c r="U406" s="20">
        <v>0.0</v>
      </c>
    </row>
    <row r="407" ht="23.25" customHeight="1">
      <c r="A407" s="17" t="str">
        <f>IF(COUNTIF('Icon Lookup'!C:C,B407)&gt;0,LOOKUP(B407,'Icon Lookup'!C:C,'Icon Lookup'!B:B),"")</f>
        <v/>
      </c>
      <c r="B407" s="18" t="s">
        <v>427</v>
      </c>
      <c r="C407" s="17" t="s">
        <v>17</v>
      </c>
      <c r="D407" s="17">
        <v>40.0</v>
      </c>
      <c r="E407" s="17" t="s">
        <v>557</v>
      </c>
      <c r="G407" s="19"/>
      <c r="H407" s="20" t="s">
        <v>617</v>
      </c>
      <c r="I407" s="17" t="s">
        <v>94</v>
      </c>
      <c r="J407" s="17">
        <v>0.0</v>
      </c>
      <c r="K407" s="17">
        <v>0.0</v>
      </c>
      <c r="L407" s="17">
        <v>0.0</v>
      </c>
      <c r="M407" s="17">
        <v>0.0</v>
      </c>
      <c r="N407" s="17">
        <v>0.0</v>
      </c>
      <c r="O407" s="17">
        <v>0.0</v>
      </c>
      <c r="P407" s="17">
        <v>0.0</v>
      </c>
      <c r="Q407" s="17">
        <v>0.0</v>
      </c>
      <c r="R407" s="17">
        <v>0.0</v>
      </c>
      <c r="S407" s="17">
        <v>0.0</v>
      </c>
      <c r="T407" s="17">
        <v>0.0</v>
      </c>
      <c r="U407" s="17">
        <v>0.0</v>
      </c>
    </row>
    <row r="408" ht="23.25" customHeight="1">
      <c r="A408" s="20" t="str">
        <f>IF(COUNTIF('Icon Lookup'!C:C,B408)&gt;0,LOOKUP(B408,'Icon Lookup'!C:C,'Icon Lookup'!B:B),"")</f>
        <v/>
      </c>
      <c r="B408" s="21" t="s">
        <v>190</v>
      </c>
      <c r="C408" s="20" t="s">
        <v>17</v>
      </c>
      <c r="D408" s="20">
        <v>42.0</v>
      </c>
      <c r="E408" s="20" t="s">
        <v>26</v>
      </c>
      <c r="G408" s="22"/>
      <c r="H408" s="23" t="s">
        <v>564</v>
      </c>
      <c r="I408" s="20" t="s">
        <v>156</v>
      </c>
      <c r="J408" s="20">
        <v>0.0</v>
      </c>
      <c r="K408" s="20">
        <v>0.0</v>
      </c>
      <c r="L408" s="20">
        <v>0.0</v>
      </c>
      <c r="M408" s="20">
        <v>0.0</v>
      </c>
      <c r="N408" s="20">
        <v>0.0</v>
      </c>
      <c r="O408" s="20">
        <v>0.0</v>
      </c>
      <c r="P408" s="20">
        <v>0.0</v>
      </c>
      <c r="Q408" s="20">
        <v>0.0</v>
      </c>
      <c r="R408" s="20">
        <v>0.0</v>
      </c>
      <c r="S408" s="20">
        <v>0.0</v>
      </c>
      <c r="T408" s="20">
        <v>0.0</v>
      </c>
      <c r="U408" s="20">
        <v>0.0</v>
      </c>
    </row>
    <row r="409" ht="23.25" customHeight="1">
      <c r="A409" s="1" t="str">
        <f>IF(COUNTIF('Icon Lookup'!C:C,B409)&gt;0,LOOKUP(B409,'Icon Lookup'!C:C,'Icon Lookup'!B:B),"")</f>
        <v/>
      </c>
      <c r="B409" s="15" t="s">
        <v>618</v>
      </c>
      <c r="C409" s="1" t="s">
        <v>17</v>
      </c>
      <c r="D409" s="1" t="s">
        <v>619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ht="23.25" customHeight="1">
      <c r="A410" s="17" t="str">
        <f>IF(COUNTIF('Icon Lookup'!C:C,B410)&gt;0,LOOKUP(B410,'Icon Lookup'!C:C,'Icon Lookup'!B:B),"")</f>
        <v/>
      </c>
      <c r="B410" s="18" t="s">
        <v>190</v>
      </c>
      <c r="C410" s="17" t="s">
        <v>17</v>
      </c>
      <c r="D410" s="17">
        <v>41.0</v>
      </c>
      <c r="E410" s="17" t="s">
        <v>26</v>
      </c>
      <c r="G410" s="19"/>
      <c r="H410" s="20" t="s">
        <v>564</v>
      </c>
      <c r="I410" s="17" t="s">
        <v>156</v>
      </c>
      <c r="J410" s="17">
        <v>0.0</v>
      </c>
      <c r="K410" s="17">
        <v>0.0</v>
      </c>
      <c r="L410" s="17">
        <v>0.0</v>
      </c>
      <c r="M410" s="17">
        <v>0.0</v>
      </c>
      <c r="N410" s="17">
        <v>0.0</v>
      </c>
      <c r="O410" s="17">
        <v>0.0</v>
      </c>
      <c r="P410" s="17">
        <v>0.0</v>
      </c>
      <c r="Q410" s="17">
        <v>0.0</v>
      </c>
      <c r="R410" s="17">
        <v>0.0</v>
      </c>
      <c r="S410" s="17">
        <v>0.0</v>
      </c>
      <c r="T410" s="17">
        <v>0.0</v>
      </c>
      <c r="U410" s="17">
        <v>0.0</v>
      </c>
    </row>
    <row r="411" ht="23.25" customHeight="1">
      <c r="A411" s="20" t="str">
        <f>IF(COUNTIF('Icon Lookup'!C:C,B411)&gt;0,LOOKUP(B411,'Icon Lookup'!C:C,'Icon Lookup'!B:B),"")</f>
        <v/>
      </c>
      <c r="B411" s="21" t="s">
        <v>427</v>
      </c>
      <c r="C411" s="20" t="s">
        <v>17</v>
      </c>
      <c r="D411" s="20">
        <v>38.0</v>
      </c>
      <c r="E411" s="20" t="s">
        <v>557</v>
      </c>
      <c r="G411" s="22"/>
      <c r="H411" s="23" t="s">
        <v>620</v>
      </c>
      <c r="I411" s="20" t="s">
        <v>94</v>
      </c>
      <c r="J411" s="20">
        <v>0.0</v>
      </c>
      <c r="K411" s="20">
        <v>0.0</v>
      </c>
      <c r="L411" s="20">
        <v>0.0</v>
      </c>
      <c r="M411" s="20">
        <v>0.0</v>
      </c>
      <c r="N411" s="20">
        <v>0.0</v>
      </c>
      <c r="O411" s="20">
        <v>0.0</v>
      </c>
      <c r="P411" s="20">
        <v>0.0</v>
      </c>
      <c r="Q411" s="20">
        <v>0.0</v>
      </c>
      <c r="R411" s="20">
        <v>0.0</v>
      </c>
      <c r="S411" s="20">
        <v>0.0</v>
      </c>
      <c r="T411" s="20">
        <v>0.0</v>
      </c>
      <c r="U411" s="20">
        <v>0.0</v>
      </c>
    </row>
    <row r="412" ht="23.25" customHeight="1">
      <c r="A412" s="17" t="str">
        <f>IF(COUNTIF('Icon Lookup'!C:C,B412)&gt;0,LOOKUP(B412,'Icon Lookup'!C:C,'Icon Lookup'!B:B),"")</f>
        <v/>
      </c>
      <c r="B412" s="18" t="s">
        <v>190</v>
      </c>
      <c r="C412" s="17" t="s">
        <v>17</v>
      </c>
      <c r="D412" s="17">
        <v>41.0</v>
      </c>
      <c r="E412" s="17" t="s">
        <v>26</v>
      </c>
      <c r="G412" s="19"/>
      <c r="H412" s="20" t="s">
        <v>613</v>
      </c>
      <c r="I412" s="17" t="s">
        <v>156</v>
      </c>
      <c r="J412" s="17">
        <v>0.0</v>
      </c>
      <c r="K412" s="17">
        <v>0.0</v>
      </c>
      <c r="L412" s="17">
        <v>0.0</v>
      </c>
      <c r="M412" s="17">
        <v>0.0</v>
      </c>
      <c r="N412" s="17">
        <v>0.0</v>
      </c>
      <c r="O412" s="17">
        <v>0.0</v>
      </c>
      <c r="P412" s="17">
        <v>0.0</v>
      </c>
      <c r="Q412" s="17">
        <v>0.0</v>
      </c>
      <c r="R412" s="17">
        <v>0.0</v>
      </c>
      <c r="S412" s="17">
        <v>0.0</v>
      </c>
      <c r="T412" s="17">
        <v>0.0</v>
      </c>
      <c r="U412" s="17">
        <v>0.0</v>
      </c>
    </row>
    <row r="413" ht="23.25" customHeight="1">
      <c r="A413" s="1" t="str">
        <f>IF(COUNTIF('Icon Lookup'!C:C,B413)&gt;0,LOOKUP(B413,'Icon Lookup'!C:C,'Icon Lookup'!B:B),"")</f>
        <v/>
      </c>
      <c r="B413" s="15" t="s">
        <v>621</v>
      </c>
      <c r="C413" s="1" t="s">
        <v>17</v>
      </c>
      <c r="D413" s="1" t="s">
        <v>622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ht="23.25" customHeight="1">
      <c r="A414" s="20" t="str">
        <f>IF(COUNTIF('Icon Lookup'!C:C,B414)&gt;0,LOOKUP(B414,'Icon Lookup'!C:C,'Icon Lookup'!B:B),"")</f>
        <v/>
      </c>
      <c r="B414" s="21" t="s">
        <v>609</v>
      </c>
      <c r="C414" s="20" t="s">
        <v>17</v>
      </c>
      <c r="D414" s="20">
        <v>37.0</v>
      </c>
      <c r="E414" s="20" t="s">
        <v>188</v>
      </c>
      <c r="G414" s="22"/>
      <c r="H414" s="23" t="s">
        <v>553</v>
      </c>
      <c r="I414" s="20" t="s">
        <v>156</v>
      </c>
      <c r="J414" s="20">
        <v>0.0</v>
      </c>
      <c r="K414" s="20">
        <v>0.0</v>
      </c>
      <c r="L414" s="20">
        <v>0.0</v>
      </c>
      <c r="M414" s="20">
        <v>0.0</v>
      </c>
      <c r="N414" s="20">
        <v>0.0</v>
      </c>
      <c r="O414" s="20">
        <v>0.0</v>
      </c>
      <c r="P414" s="20">
        <v>0.0</v>
      </c>
      <c r="Q414" s="20">
        <v>0.0</v>
      </c>
      <c r="R414" s="20">
        <v>0.0</v>
      </c>
      <c r="S414" s="20">
        <v>0.0</v>
      </c>
      <c r="T414" s="20">
        <v>0.0</v>
      </c>
      <c r="U414" s="20">
        <v>0.0</v>
      </c>
    </row>
    <row r="415" ht="23.25" customHeight="1">
      <c r="A415" s="17" t="str">
        <f>IF(COUNTIF('Icon Lookup'!C:C,B415)&gt;0,LOOKUP(B415,'Icon Lookup'!C:C,'Icon Lookup'!B:B),"")</f>
        <v/>
      </c>
      <c r="B415" s="18" t="s">
        <v>275</v>
      </c>
      <c r="C415" s="17" t="s">
        <v>17</v>
      </c>
      <c r="D415" s="17">
        <v>40.0</v>
      </c>
      <c r="E415" s="17" t="s">
        <v>91</v>
      </c>
      <c r="G415" s="19"/>
      <c r="H415" s="20" t="s">
        <v>623</v>
      </c>
      <c r="I415" s="17" t="s">
        <v>89</v>
      </c>
      <c r="J415" s="17">
        <v>0.0</v>
      </c>
      <c r="K415" s="17">
        <v>0.0</v>
      </c>
      <c r="L415" s="17">
        <v>0.0</v>
      </c>
      <c r="M415" s="17">
        <v>0.0</v>
      </c>
      <c r="N415" s="17">
        <v>0.0</v>
      </c>
      <c r="O415" s="17">
        <v>0.0</v>
      </c>
      <c r="P415" s="17">
        <v>0.0</v>
      </c>
      <c r="Q415" s="17">
        <v>0.0</v>
      </c>
      <c r="R415" s="17">
        <v>0.0</v>
      </c>
      <c r="S415" s="17">
        <v>0.0</v>
      </c>
      <c r="T415" s="17">
        <v>0.0</v>
      </c>
      <c r="U415" s="17">
        <v>0.0</v>
      </c>
    </row>
    <row r="416" ht="23.25" customHeight="1">
      <c r="A416" s="20" t="str">
        <f>IF(COUNTIF('Icon Lookup'!C:C,B416)&gt;0,LOOKUP(B416,'Icon Lookup'!C:C,'Icon Lookup'!B:B),"")</f>
        <v/>
      </c>
      <c r="B416" s="21" t="s">
        <v>586</v>
      </c>
      <c r="C416" s="20" t="s">
        <v>17</v>
      </c>
      <c r="D416" s="20">
        <v>43.0</v>
      </c>
      <c r="E416" s="20" t="s">
        <v>366</v>
      </c>
      <c r="G416" s="22"/>
      <c r="H416" s="23" t="s">
        <v>624</v>
      </c>
      <c r="I416" s="20" t="s">
        <v>156</v>
      </c>
      <c r="J416" s="20">
        <v>0.0</v>
      </c>
      <c r="K416" s="20">
        <v>0.0</v>
      </c>
      <c r="L416" s="20">
        <v>0.0</v>
      </c>
      <c r="M416" s="20">
        <v>0.0</v>
      </c>
      <c r="N416" s="20">
        <v>0.0</v>
      </c>
      <c r="O416" s="20">
        <v>0.0</v>
      </c>
      <c r="P416" s="20">
        <v>0.0</v>
      </c>
      <c r="Q416" s="20">
        <v>0.0</v>
      </c>
      <c r="R416" s="20">
        <v>0.0</v>
      </c>
      <c r="S416" s="20">
        <v>0.0</v>
      </c>
      <c r="T416" s="20">
        <v>0.0</v>
      </c>
      <c r="U416" s="20">
        <v>0.0</v>
      </c>
    </row>
    <row r="417" ht="23.25" customHeight="1">
      <c r="A417" s="1" t="str">
        <f>IF(COUNTIF('Icon Lookup'!C:C,B417)&gt;0,LOOKUP(B417,'Icon Lookup'!C:C,'Icon Lookup'!B:B),"")</f>
        <v/>
      </c>
      <c r="B417" s="15" t="s">
        <v>625</v>
      </c>
      <c r="C417" s="1" t="s">
        <v>17</v>
      </c>
      <c r="D417" s="1" t="s">
        <v>626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ht="23.25" customHeight="1">
      <c r="A418" s="17" t="str">
        <f>IF(COUNTIF('Icon Lookup'!C:C,B418)&gt;0,LOOKUP(B418,'Icon Lookup'!C:C,'Icon Lookup'!B:B),"")</f>
        <v/>
      </c>
      <c r="B418" s="18" t="s">
        <v>271</v>
      </c>
      <c r="C418" s="17" t="s">
        <v>17</v>
      </c>
      <c r="D418" s="17">
        <v>41.0</v>
      </c>
      <c r="E418" s="17" t="s">
        <v>44</v>
      </c>
      <c r="G418" s="19"/>
      <c r="H418" s="20" t="s">
        <v>627</v>
      </c>
      <c r="I418" s="17" t="s">
        <v>22</v>
      </c>
      <c r="J418" s="17">
        <v>0.0</v>
      </c>
      <c r="K418" s="17">
        <v>0.0</v>
      </c>
      <c r="L418" s="17">
        <v>0.0</v>
      </c>
      <c r="M418" s="17">
        <v>0.0</v>
      </c>
      <c r="N418" s="17">
        <v>0.0</v>
      </c>
      <c r="O418" s="17">
        <v>0.0</v>
      </c>
      <c r="P418" s="17">
        <v>0.0</v>
      </c>
      <c r="Q418" s="17">
        <v>0.0</v>
      </c>
      <c r="R418" s="17">
        <v>0.0</v>
      </c>
      <c r="S418" s="17">
        <v>0.0</v>
      </c>
      <c r="T418" s="17">
        <v>0.0</v>
      </c>
      <c r="U418" s="17">
        <v>0.0</v>
      </c>
    </row>
    <row r="419" ht="23.25" customHeight="1">
      <c r="A419" s="20" t="str">
        <f>IF(COUNTIF('Icon Lookup'!C:C,B419)&gt;0,LOOKUP(B419,'Icon Lookup'!C:C,'Icon Lookup'!B:B),"")</f>
        <v/>
      </c>
      <c r="B419" s="21" t="s">
        <v>628</v>
      </c>
      <c r="C419" s="20" t="s">
        <v>17</v>
      </c>
      <c r="D419" s="20">
        <v>41.0</v>
      </c>
      <c r="E419" s="20" t="s">
        <v>629</v>
      </c>
      <c r="G419" s="22"/>
      <c r="H419" s="23" t="s">
        <v>630</v>
      </c>
      <c r="I419" s="20" t="s">
        <v>52</v>
      </c>
      <c r="J419" s="20">
        <v>0.0</v>
      </c>
      <c r="K419" s="20">
        <v>0.0</v>
      </c>
      <c r="L419" s="20">
        <v>0.0</v>
      </c>
      <c r="M419" s="20">
        <v>0.0</v>
      </c>
      <c r="N419" s="20">
        <v>0.0</v>
      </c>
      <c r="O419" s="20">
        <v>0.0</v>
      </c>
      <c r="P419" s="20">
        <v>0.0</v>
      </c>
      <c r="Q419" s="20">
        <v>0.0</v>
      </c>
      <c r="R419" s="20">
        <v>0.0</v>
      </c>
      <c r="S419" s="20">
        <v>0.0</v>
      </c>
      <c r="T419" s="20">
        <v>0.0</v>
      </c>
      <c r="U419" s="20">
        <v>0.0</v>
      </c>
    </row>
    <row r="420" ht="23.25" customHeight="1">
      <c r="A420" s="1" t="str">
        <f>IF(COUNTIF('Icon Lookup'!C:C,B420)&gt;0,LOOKUP(B420,'Icon Lookup'!C:C,'Icon Lookup'!B:B),"")</f>
        <v/>
      </c>
      <c r="B420" s="15" t="s">
        <v>631</v>
      </c>
      <c r="C420" s="1" t="s">
        <v>17</v>
      </c>
      <c r="D420" s="1" t="s">
        <v>632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ht="23.25" customHeight="1">
      <c r="A421" s="17" t="str">
        <f>IF(COUNTIF('Icon Lookup'!C:C,B421)&gt;0,LOOKUP(B421,'Icon Lookup'!C:C,'Icon Lookup'!B:B),"")</f>
        <v/>
      </c>
      <c r="B421" s="18" t="s">
        <v>628</v>
      </c>
      <c r="C421" s="17" t="s">
        <v>17</v>
      </c>
      <c r="D421" s="17">
        <v>43.0</v>
      </c>
      <c r="E421" s="17" t="s">
        <v>560</v>
      </c>
      <c r="G421" s="19"/>
      <c r="H421" s="20" t="s">
        <v>633</v>
      </c>
      <c r="I421" s="17" t="s">
        <v>156</v>
      </c>
      <c r="J421" s="17">
        <v>0.0</v>
      </c>
      <c r="K421" s="17">
        <v>0.0</v>
      </c>
      <c r="L421" s="17">
        <v>0.0</v>
      </c>
      <c r="M421" s="17">
        <v>0.0</v>
      </c>
      <c r="N421" s="17">
        <v>0.0</v>
      </c>
      <c r="O421" s="17">
        <v>0.0</v>
      </c>
      <c r="P421" s="17">
        <v>0.0</v>
      </c>
      <c r="Q421" s="17">
        <v>0.0</v>
      </c>
      <c r="R421" s="17">
        <v>0.0</v>
      </c>
      <c r="S421" s="17">
        <v>0.0</v>
      </c>
      <c r="T421" s="17">
        <v>0.0</v>
      </c>
      <c r="U421" s="17">
        <v>0.0</v>
      </c>
    </row>
    <row r="422" ht="23.25" customHeight="1">
      <c r="A422" s="1" t="str">
        <f>IF(COUNTIF('Icon Lookup'!C:C,B422)&gt;0,LOOKUP(B422,'Icon Lookup'!C:C,'Icon Lookup'!B:B),"")</f>
        <v/>
      </c>
      <c r="B422" s="15" t="s">
        <v>634</v>
      </c>
      <c r="C422" s="1" t="s">
        <v>17</v>
      </c>
      <c r="D422" s="1" t="s">
        <v>635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ht="23.25" customHeight="1">
      <c r="A423" s="20" t="str">
        <f>IF(COUNTIF('Icon Lookup'!C:C,B423)&gt;0,LOOKUP(B423,'Icon Lookup'!C:C,'Icon Lookup'!B:B),"")</f>
        <v/>
      </c>
      <c r="B423" s="21" t="s">
        <v>559</v>
      </c>
      <c r="C423" s="20" t="s">
        <v>17</v>
      </c>
      <c r="D423" s="20">
        <v>40.0</v>
      </c>
      <c r="E423" s="20" t="s">
        <v>560</v>
      </c>
      <c r="G423" s="22"/>
      <c r="H423" s="23" t="s">
        <v>636</v>
      </c>
      <c r="I423" s="20" t="s">
        <v>52</v>
      </c>
      <c r="J423" s="20">
        <v>0.0</v>
      </c>
      <c r="K423" s="20">
        <v>0.0</v>
      </c>
      <c r="L423" s="20">
        <v>0.0</v>
      </c>
      <c r="M423" s="20">
        <v>0.0</v>
      </c>
      <c r="N423" s="20">
        <v>0.0</v>
      </c>
      <c r="O423" s="20">
        <v>0.0</v>
      </c>
      <c r="P423" s="20">
        <v>0.0</v>
      </c>
      <c r="Q423" s="20">
        <v>0.0</v>
      </c>
      <c r="R423" s="20">
        <v>0.0</v>
      </c>
      <c r="S423" s="20">
        <v>0.0</v>
      </c>
      <c r="T423" s="20">
        <v>0.0</v>
      </c>
      <c r="U423" s="20">
        <v>0.0</v>
      </c>
    </row>
    <row r="424" ht="23.25" customHeight="1">
      <c r="A424" s="17" t="str">
        <f>IF(COUNTIF('Icon Lookup'!C:C,B424)&gt;0,LOOKUP(B424,'Icon Lookup'!C:C,'Icon Lookup'!B:B),"")</f>
        <v/>
      </c>
      <c r="B424" s="18" t="s">
        <v>398</v>
      </c>
      <c r="C424" s="17" t="s">
        <v>17</v>
      </c>
      <c r="D424" s="17">
        <v>42.0</v>
      </c>
      <c r="E424" s="17" t="s">
        <v>399</v>
      </c>
      <c r="G424" s="19"/>
      <c r="H424" s="20" t="s">
        <v>637</v>
      </c>
      <c r="I424" s="17" t="s">
        <v>22</v>
      </c>
      <c r="J424" s="17">
        <v>0.0</v>
      </c>
      <c r="K424" s="17">
        <v>0.0</v>
      </c>
      <c r="L424" s="17">
        <v>0.0</v>
      </c>
      <c r="M424" s="17">
        <v>0.0</v>
      </c>
      <c r="N424" s="17">
        <v>0.0</v>
      </c>
      <c r="O424" s="17">
        <v>0.0</v>
      </c>
      <c r="P424" s="17">
        <v>0.0</v>
      </c>
      <c r="Q424" s="17">
        <v>0.0</v>
      </c>
      <c r="R424" s="17">
        <v>0.0</v>
      </c>
      <c r="S424" s="17">
        <v>0.0</v>
      </c>
      <c r="T424" s="17">
        <v>0.0</v>
      </c>
      <c r="U424" s="17">
        <v>0.0</v>
      </c>
    </row>
    <row r="425" ht="23.25" customHeight="1">
      <c r="A425" s="1" t="str">
        <f>IF(COUNTIF('Icon Lookup'!C:C,B425)&gt;0,LOOKUP(B425,'Icon Lookup'!C:C,'Icon Lookup'!B:B),"")</f>
        <v/>
      </c>
      <c r="B425" s="15" t="s">
        <v>638</v>
      </c>
      <c r="C425" s="1" t="s">
        <v>17</v>
      </c>
      <c r="D425" s="1" t="s">
        <v>639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ht="23.25" customHeight="1">
      <c r="A426" s="20" t="str">
        <f>IF(COUNTIF('Icon Lookup'!C:C,B426)&gt;0,LOOKUP(B426,'Icon Lookup'!C:C,'Icon Lookup'!B:B),"")</f>
        <v/>
      </c>
      <c r="B426" s="21" t="s">
        <v>640</v>
      </c>
      <c r="C426" s="20" t="s">
        <v>17</v>
      </c>
      <c r="D426" s="20">
        <v>37.0</v>
      </c>
      <c r="E426" s="20" t="s">
        <v>641</v>
      </c>
      <c r="G426" s="22"/>
      <c r="H426" s="23" t="s">
        <v>642</v>
      </c>
      <c r="I426" s="20" t="s">
        <v>94</v>
      </c>
      <c r="J426" s="20">
        <v>0.0</v>
      </c>
      <c r="K426" s="20">
        <v>0.0</v>
      </c>
      <c r="L426" s="20">
        <v>0.0</v>
      </c>
      <c r="M426" s="20">
        <v>0.0</v>
      </c>
      <c r="N426" s="20">
        <v>0.0</v>
      </c>
      <c r="O426" s="20">
        <v>0.0</v>
      </c>
      <c r="P426" s="20">
        <v>0.0</v>
      </c>
      <c r="Q426" s="20">
        <v>0.0</v>
      </c>
      <c r="R426" s="20">
        <v>0.0</v>
      </c>
      <c r="S426" s="20">
        <v>0.0</v>
      </c>
      <c r="T426" s="20">
        <v>0.0</v>
      </c>
      <c r="U426" s="20">
        <v>0.0</v>
      </c>
    </row>
    <row r="427" ht="23.25" customHeight="1">
      <c r="A427" s="17" t="str">
        <f>IF(COUNTIF('Icon Lookup'!C:C,B427)&gt;0,LOOKUP(B427,'Icon Lookup'!C:C,'Icon Lookup'!B:B),"")</f>
        <v/>
      </c>
      <c r="B427" s="18" t="s">
        <v>643</v>
      </c>
      <c r="C427" s="17" t="s">
        <v>17</v>
      </c>
      <c r="D427" s="17">
        <v>42.0</v>
      </c>
      <c r="E427" s="17" t="s">
        <v>525</v>
      </c>
      <c r="G427" s="19"/>
      <c r="H427" s="20" t="s">
        <v>644</v>
      </c>
      <c r="I427" s="17" t="s">
        <v>89</v>
      </c>
      <c r="J427" s="17">
        <v>0.0</v>
      </c>
      <c r="K427" s="17">
        <v>0.0</v>
      </c>
      <c r="L427" s="17">
        <v>0.0</v>
      </c>
      <c r="M427" s="17">
        <v>0.0</v>
      </c>
      <c r="N427" s="17">
        <v>0.0</v>
      </c>
      <c r="O427" s="17">
        <v>0.0</v>
      </c>
      <c r="P427" s="17">
        <v>0.0</v>
      </c>
      <c r="Q427" s="17">
        <v>0.0</v>
      </c>
      <c r="R427" s="17">
        <v>0.0</v>
      </c>
      <c r="S427" s="17">
        <v>0.0</v>
      </c>
      <c r="T427" s="17">
        <v>0.0</v>
      </c>
      <c r="U427" s="17">
        <v>0.0</v>
      </c>
    </row>
    <row r="428" ht="23.25" customHeight="1">
      <c r="A428" s="20" t="str">
        <f>IF(COUNTIF('Icon Lookup'!C:C,B428)&gt;0,LOOKUP(B428,'Icon Lookup'!C:C,'Icon Lookup'!B:B),"")</f>
        <v/>
      </c>
      <c r="B428" s="21" t="s">
        <v>410</v>
      </c>
      <c r="C428" s="20" t="s">
        <v>17</v>
      </c>
      <c r="D428" s="20">
        <v>41.0</v>
      </c>
      <c r="E428" s="20" t="s">
        <v>411</v>
      </c>
      <c r="G428" s="22"/>
      <c r="H428" s="23" t="s">
        <v>645</v>
      </c>
      <c r="I428" s="20" t="s">
        <v>89</v>
      </c>
      <c r="J428" s="20">
        <v>0.0</v>
      </c>
      <c r="K428" s="20">
        <v>0.0</v>
      </c>
      <c r="L428" s="20">
        <v>0.0</v>
      </c>
      <c r="M428" s="20">
        <v>0.0</v>
      </c>
      <c r="N428" s="20">
        <v>0.0</v>
      </c>
      <c r="O428" s="20">
        <v>0.0</v>
      </c>
      <c r="P428" s="20">
        <v>0.0</v>
      </c>
      <c r="Q428" s="20">
        <v>0.0</v>
      </c>
      <c r="R428" s="20">
        <v>0.0</v>
      </c>
      <c r="S428" s="20">
        <v>0.0</v>
      </c>
      <c r="T428" s="20">
        <v>0.0</v>
      </c>
      <c r="U428" s="20">
        <v>0.0</v>
      </c>
    </row>
    <row r="429" ht="23.25" customHeight="1">
      <c r="A429" s="1" t="str">
        <f>IF(COUNTIF('Icon Lookup'!C:C,B429)&gt;0,LOOKUP(B429,'Icon Lookup'!C:C,'Icon Lookup'!B:B),"")</f>
        <v/>
      </c>
      <c r="B429" s="15" t="s">
        <v>646</v>
      </c>
      <c r="C429" s="1" t="s">
        <v>17</v>
      </c>
      <c r="D429" s="1" t="s">
        <v>647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ht="23.25" customHeight="1">
      <c r="A430" s="17" t="str">
        <f>IF(COUNTIF('Icon Lookup'!C:C,B430)&gt;0,LOOKUP(B430,'Icon Lookup'!C:C,'Icon Lookup'!B:B),"")</f>
        <v/>
      </c>
      <c r="B430" s="18" t="s">
        <v>190</v>
      </c>
      <c r="C430" s="17" t="s">
        <v>17</v>
      </c>
      <c r="D430" s="17">
        <v>43.0</v>
      </c>
      <c r="E430" s="17" t="s">
        <v>26</v>
      </c>
      <c r="G430" s="19"/>
      <c r="H430" s="20" t="s">
        <v>648</v>
      </c>
      <c r="I430" s="17" t="s">
        <v>156</v>
      </c>
      <c r="J430" s="17">
        <v>0.0</v>
      </c>
      <c r="K430" s="17">
        <v>0.0</v>
      </c>
      <c r="L430" s="17">
        <v>0.0</v>
      </c>
      <c r="M430" s="17">
        <v>0.0</v>
      </c>
      <c r="N430" s="17">
        <v>0.0</v>
      </c>
      <c r="O430" s="17">
        <v>0.0</v>
      </c>
      <c r="P430" s="17">
        <v>0.0</v>
      </c>
      <c r="Q430" s="17">
        <v>0.0</v>
      </c>
      <c r="R430" s="17">
        <v>0.0</v>
      </c>
      <c r="S430" s="17">
        <v>0.0</v>
      </c>
      <c r="T430" s="17">
        <v>0.0</v>
      </c>
      <c r="U430" s="17">
        <v>0.0</v>
      </c>
    </row>
    <row r="431" ht="23.25" customHeight="1">
      <c r="A431" s="1" t="str">
        <f>IF(COUNTIF('Icon Lookup'!C:C,B431)&gt;0,LOOKUP(B431,'Icon Lookup'!C:C,'Icon Lookup'!B:B),"")</f>
        <v/>
      </c>
      <c r="B431" s="15" t="s">
        <v>649</v>
      </c>
      <c r="C431" s="1" t="s">
        <v>17</v>
      </c>
      <c r="D431" s="1" t="s">
        <v>650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ht="23.25" customHeight="1">
      <c r="A432" s="20" t="str">
        <f>IF(COUNTIF('Icon Lookup'!C:C,B432)&gt;0,LOOKUP(B432,'Icon Lookup'!C:C,'Icon Lookup'!B:B),"")</f>
        <v/>
      </c>
      <c r="B432" s="21" t="s">
        <v>524</v>
      </c>
      <c r="C432" s="20" t="s">
        <v>17</v>
      </c>
      <c r="D432" s="20">
        <v>38.0</v>
      </c>
      <c r="E432" s="20" t="s">
        <v>525</v>
      </c>
      <c r="G432" s="22"/>
      <c r="H432" s="23" t="s">
        <v>651</v>
      </c>
      <c r="I432" s="20" t="s">
        <v>156</v>
      </c>
      <c r="J432" s="20">
        <v>0.0</v>
      </c>
      <c r="K432" s="20">
        <v>0.0</v>
      </c>
      <c r="L432" s="20">
        <v>0.0</v>
      </c>
      <c r="M432" s="20">
        <v>0.0</v>
      </c>
      <c r="N432" s="20">
        <v>0.0</v>
      </c>
      <c r="O432" s="20">
        <v>0.0</v>
      </c>
      <c r="P432" s="20">
        <v>0.0</v>
      </c>
      <c r="Q432" s="20">
        <v>0.0</v>
      </c>
      <c r="R432" s="20">
        <v>0.0</v>
      </c>
      <c r="S432" s="20">
        <v>0.0</v>
      </c>
      <c r="T432" s="20">
        <v>0.0</v>
      </c>
      <c r="U432" s="20">
        <v>0.0</v>
      </c>
    </row>
    <row r="433" ht="23.25" customHeight="1">
      <c r="A433" s="17" t="str">
        <f>IF(COUNTIF('Icon Lookup'!C:C,B433)&gt;0,LOOKUP(B433,'Icon Lookup'!C:C,'Icon Lookup'!B:B),"")</f>
        <v/>
      </c>
      <c r="B433" s="18" t="s">
        <v>427</v>
      </c>
      <c r="C433" s="17" t="s">
        <v>17</v>
      </c>
      <c r="D433" s="17">
        <v>40.0</v>
      </c>
      <c r="E433" s="17" t="s">
        <v>428</v>
      </c>
      <c r="G433" s="19"/>
      <c r="H433" s="20" t="s">
        <v>652</v>
      </c>
      <c r="I433" s="17" t="s">
        <v>94</v>
      </c>
      <c r="J433" s="17">
        <v>0.0</v>
      </c>
      <c r="K433" s="17">
        <v>0.0</v>
      </c>
      <c r="L433" s="17">
        <v>0.0</v>
      </c>
      <c r="M433" s="17">
        <v>0.0</v>
      </c>
      <c r="N433" s="17">
        <v>0.0</v>
      </c>
      <c r="O433" s="17">
        <v>0.0</v>
      </c>
      <c r="P433" s="17">
        <v>0.0</v>
      </c>
      <c r="Q433" s="17">
        <v>0.0</v>
      </c>
      <c r="R433" s="17">
        <v>0.0</v>
      </c>
      <c r="S433" s="17">
        <v>0.0</v>
      </c>
      <c r="T433" s="17">
        <v>0.0</v>
      </c>
      <c r="U433" s="17">
        <v>0.0</v>
      </c>
    </row>
    <row r="434" ht="23.25" customHeight="1">
      <c r="A434" s="20" t="str">
        <f>IF(COUNTIF('Icon Lookup'!C:C,B434)&gt;0,LOOKUP(B434,'Icon Lookup'!C:C,'Icon Lookup'!B:B),"")</f>
        <v/>
      </c>
      <c r="B434" s="21" t="s">
        <v>653</v>
      </c>
      <c r="C434" s="20" t="s">
        <v>17</v>
      </c>
      <c r="D434" s="20">
        <v>42.0</v>
      </c>
      <c r="E434" s="20" t="s">
        <v>525</v>
      </c>
      <c r="G434" s="22"/>
      <c r="H434" s="23" t="s">
        <v>654</v>
      </c>
      <c r="I434" s="20" t="s">
        <v>156</v>
      </c>
      <c r="J434" s="20">
        <v>0.0</v>
      </c>
      <c r="K434" s="20">
        <v>0.0</v>
      </c>
      <c r="L434" s="20">
        <v>0.0</v>
      </c>
      <c r="M434" s="20">
        <v>0.0</v>
      </c>
      <c r="N434" s="20">
        <v>0.0</v>
      </c>
      <c r="O434" s="20">
        <v>0.0</v>
      </c>
      <c r="P434" s="20">
        <v>0.0</v>
      </c>
      <c r="Q434" s="20">
        <v>0.0</v>
      </c>
      <c r="R434" s="20">
        <v>0.0</v>
      </c>
      <c r="S434" s="20">
        <v>0.0</v>
      </c>
      <c r="T434" s="20">
        <v>0.0</v>
      </c>
      <c r="U434" s="20">
        <v>0.0</v>
      </c>
    </row>
    <row r="435" ht="23.25" customHeight="1">
      <c r="A435" s="1" t="str">
        <f>IF(COUNTIF('Icon Lookup'!C:C,B435)&gt;0,LOOKUP(B435,'Icon Lookup'!C:C,'Icon Lookup'!B:B),"")</f>
        <v/>
      </c>
      <c r="B435" s="15" t="s">
        <v>655</v>
      </c>
      <c r="C435" s="1" t="s">
        <v>17</v>
      </c>
      <c r="D435" s="1" t="s">
        <v>656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ht="23.25" customHeight="1">
      <c r="A436" s="17" t="str">
        <f>IF(COUNTIF('Icon Lookup'!C:C,B436)&gt;0,LOOKUP(B436,'Icon Lookup'!C:C,'Icon Lookup'!B:B),"")</f>
        <v/>
      </c>
      <c r="B436" s="18" t="s">
        <v>657</v>
      </c>
      <c r="C436" s="17" t="s">
        <v>17</v>
      </c>
      <c r="D436" s="17">
        <v>43.0</v>
      </c>
      <c r="E436" s="17" t="s">
        <v>44</v>
      </c>
      <c r="G436" s="19"/>
      <c r="H436" s="20" t="s">
        <v>658</v>
      </c>
      <c r="I436" s="17" t="s">
        <v>52</v>
      </c>
      <c r="J436" s="17">
        <v>0.0</v>
      </c>
      <c r="K436" s="17">
        <v>0.0</v>
      </c>
      <c r="L436" s="17">
        <v>0.0</v>
      </c>
      <c r="M436" s="17">
        <v>0.0</v>
      </c>
      <c r="N436" s="17">
        <v>0.0</v>
      </c>
      <c r="O436" s="17">
        <v>0.0</v>
      </c>
      <c r="P436" s="17">
        <v>0.0</v>
      </c>
      <c r="Q436" s="17">
        <v>0.0</v>
      </c>
      <c r="R436" s="17">
        <v>0.0</v>
      </c>
      <c r="S436" s="17">
        <v>0.0</v>
      </c>
      <c r="T436" s="17">
        <v>0.0</v>
      </c>
      <c r="U436" s="17">
        <v>0.0</v>
      </c>
    </row>
    <row r="437" ht="23.25" customHeight="1">
      <c r="A437" s="1" t="str">
        <f>IF(COUNTIF('Icon Lookup'!C:C,B437)&gt;0,LOOKUP(B437,'Icon Lookup'!C:C,'Icon Lookup'!B:B),"")</f>
        <v/>
      </c>
      <c r="B437" s="15" t="s">
        <v>659</v>
      </c>
      <c r="C437" s="1" t="s">
        <v>17</v>
      </c>
      <c r="D437" s="1" t="s">
        <v>660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ht="23.25" customHeight="1">
      <c r="A438" s="20" t="str">
        <f>IF(COUNTIF('Icon Lookup'!C:C,B438)&gt;0,LOOKUP(B438,'Icon Lookup'!C:C,'Icon Lookup'!B:B),"")</f>
        <v/>
      </c>
      <c r="B438" s="21" t="s">
        <v>661</v>
      </c>
      <c r="C438" s="20" t="s">
        <v>17</v>
      </c>
      <c r="D438" s="20">
        <v>41.0</v>
      </c>
      <c r="E438" s="20" t="s">
        <v>382</v>
      </c>
      <c r="G438" s="22"/>
      <c r="H438" s="23" t="s">
        <v>662</v>
      </c>
      <c r="I438" s="20" t="s">
        <v>197</v>
      </c>
      <c r="J438" s="20">
        <v>0.0</v>
      </c>
      <c r="K438" s="20">
        <v>0.0</v>
      </c>
      <c r="L438" s="20">
        <v>0.0</v>
      </c>
      <c r="M438" s="20">
        <v>0.0</v>
      </c>
      <c r="N438" s="20">
        <v>0.0</v>
      </c>
      <c r="O438" s="20">
        <v>0.0</v>
      </c>
      <c r="P438" s="20">
        <v>0.0</v>
      </c>
      <c r="Q438" s="20">
        <v>0.0</v>
      </c>
      <c r="R438" s="20">
        <v>0.0</v>
      </c>
      <c r="S438" s="20">
        <v>0.0</v>
      </c>
      <c r="T438" s="20">
        <v>0.0</v>
      </c>
      <c r="U438" s="20">
        <v>0.0</v>
      </c>
    </row>
    <row r="439" ht="23.25" customHeight="1">
      <c r="A439" s="17" t="str">
        <f>IF(COUNTIF('Icon Lookup'!C:C,B439)&gt;0,LOOKUP(B439,'Icon Lookup'!C:C,'Icon Lookup'!B:B),"")</f>
        <v/>
      </c>
      <c r="B439" s="18" t="s">
        <v>405</v>
      </c>
      <c r="C439" s="17" t="s">
        <v>17</v>
      </c>
      <c r="D439" s="17">
        <v>41.0</v>
      </c>
      <c r="E439" s="17" t="s">
        <v>382</v>
      </c>
      <c r="G439" s="19"/>
      <c r="H439" s="20" t="s">
        <v>663</v>
      </c>
      <c r="I439" s="17" t="s">
        <v>197</v>
      </c>
      <c r="J439" s="17">
        <v>0.0</v>
      </c>
      <c r="K439" s="17">
        <v>0.0</v>
      </c>
      <c r="L439" s="17">
        <v>0.0</v>
      </c>
      <c r="M439" s="17">
        <v>0.0</v>
      </c>
      <c r="N439" s="17">
        <v>0.0</v>
      </c>
      <c r="O439" s="17">
        <v>0.0</v>
      </c>
      <c r="P439" s="17">
        <v>0.0</v>
      </c>
      <c r="Q439" s="17">
        <v>0.0</v>
      </c>
      <c r="R439" s="17">
        <v>0.0</v>
      </c>
      <c r="S439" s="17">
        <v>0.0</v>
      </c>
      <c r="T439" s="17">
        <v>0.0</v>
      </c>
      <c r="U439" s="17">
        <v>0.0</v>
      </c>
    </row>
    <row r="440" ht="23.25" customHeight="1">
      <c r="A440" s="1" t="str">
        <f>IF(COUNTIF('Icon Lookup'!C:C,B440)&gt;0,LOOKUP(B440,'Icon Lookup'!C:C,'Icon Lookup'!B:B),"")</f>
        <v/>
      </c>
      <c r="B440" s="15" t="s">
        <v>664</v>
      </c>
      <c r="C440" s="1" t="s">
        <v>17</v>
      </c>
      <c r="D440" s="1" t="s">
        <v>665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ht="23.25" customHeight="1">
      <c r="A441" s="20" t="str">
        <f>IF(COUNTIF('Icon Lookup'!C:C,B441)&gt;0,LOOKUP(B441,'Icon Lookup'!C:C,'Icon Lookup'!B:B),"")</f>
        <v/>
      </c>
      <c r="B441" s="21" t="s">
        <v>381</v>
      </c>
      <c r="C441" s="20" t="s">
        <v>17</v>
      </c>
      <c r="D441" s="20">
        <v>39.0</v>
      </c>
      <c r="E441" s="20" t="s">
        <v>382</v>
      </c>
      <c r="G441" s="22"/>
      <c r="H441" s="23" t="s">
        <v>666</v>
      </c>
      <c r="I441" s="20" t="s">
        <v>197</v>
      </c>
      <c r="J441" s="20">
        <v>0.0</v>
      </c>
      <c r="K441" s="20">
        <v>0.0</v>
      </c>
      <c r="L441" s="20">
        <v>0.0</v>
      </c>
      <c r="M441" s="20">
        <v>0.0</v>
      </c>
      <c r="N441" s="20">
        <v>0.0</v>
      </c>
      <c r="O441" s="20">
        <v>0.0</v>
      </c>
      <c r="P441" s="20">
        <v>0.0</v>
      </c>
      <c r="Q441" s="20">
        <v>0.0</v>
      </c>
      <c r="R441" s="20">
        <v>0.0</v>
      </c>
      <c r="S441" s="20">
        <v>0.0</v>
      </c>
      <c r="T441" s="20">
        <v>0.0</v>
      </c>
      <c r="U441" s="20">
        <v>0.0</v>
      </c>
    </row>
    <row r="442" ht="23.25" customHeight="1">
      <c r="A442" s="17" t="str">
        <f>IF(COUNTIF('Icon Lookup'!C:C,B442)&gt;0,LOOKUP(B442,'Icon Lookup'!C:C,'Icon Lookup'!B:B),"")</f>
        <v/>
      </c>
      <c r="B442" s="18" t="s">
        <v>640</v>
      </c>
      <c r="C442" s="17" t="s">
        <v>17</v>
      </c>
      <c r="D442" s="17">
        <v>40.0</v>
      </c>
      <c r="E442" s="17" t="s">
        <v>641</v>
      </c>
      <c r="G442" s="19"/>
      <c r="H442" s="20" t="s">
        <v>642</v>
      </c>
      <c r="I442" s="17" t="s">
        <v>197</v>
      </c>
      <c r="J442" s="17">
        <v>0.0</v>
      </c>
      <c r="K442" s="17">
        <v>0.0</v>
      </c>
      <c r="L442" s="17">
        <v>0.0</v>
      </c>
      <c r="M442" s="17">
        <v>0.0</v>
      </c>
      <c r="N442" s="17">
        <v>0.0</v>
      </c>
      <c r="O442" s="17">
        <v>0.0</v>
      </c>
      <c r="P442" s="17">
        <v>0.0</v>
      </c>
      <c r="Q442" s="17">
        <v>0.0</v>
      </c>
      <c r="R442" s="17">
        <v>0.0</v>
      </c>
      <c r="S442" s="17">
        <v>0.0</v>
      </c>
      <c r="T442" s="17">
        <v>0.0</v>
      </c>
      <c r="U442" s="17">
        <v>0.0</v>
      </c>
    </row>
    <row r="443" ht="23.25" customHeight="1">
      <c r="A443" s="20" t="str">
        <f>IF(COUNTIF('Icon Lookup'!C:C,B443)&gt;0,LOOKUP(B443,'Icon Lookup'!C:C,'Icon Lookup'!B:B),"")</f>
        <v/>
      </c>
      <c r="B443" s="21" t="s">
        <v>398</v>
      </c>
      <c r="C443" s="20" t="s">
        <v>17</v>
      </c>
      <c r="D443" s="20">
        <v>41.0</v>
      </c>
      <c r="E443" s="20" t="s">
        <v>399</v>
      </c>
      <c r="G443" s="22"/>
      <c r="H443" s="23" t="s">
        <v>667</v>
      </c>
      <c r="I443" s="20" t="s">
        <v>105</v>
      </c>
      <c r="J443" s="20">
        <v>0.0</v>
      </c>
      <c r="K443" s="20">
        <v>0.0</v>
      </c>
      <c r="L443" s="20">
        <v>0.0</v>
      </c>
      <c r="M443" s="20">
        <v>0.0</v>
      </c>
      <c r="N443" s="20">
        <v>0.0</v>
      </c>
      <c r="O443" s="20">
        <v>0.0</v>
      </c>
      <c r="P443" s="20">
        <v>0.0</v>
      </c>
      <c r="Q443" s="20">
        <v>0.0</v>
      </c>
      <c r="R443" s="20">
        <v>0.0</v>
      </c>
      <c r="S443" s="20">
        <v>0.0</v>
      </c>
      <c r="T443" s="20">
        <v>0.0</v>
      </c>
      <c r="U443" s="20">
        <v>0.0</v>
      </c>
    </row>
    <row r="444" ht="23.25" customHeight="1">
      <c r="A444" s="1" t="str">
        <f>IF(COUNTIF('Icon Lookup'!C:C,B444)&gt;0,LOOKUP(B444,'Icon Lookup'!C:C,'Icon Lookup'!B:B),"")</f>
        <v/>
      </c>
      <c r="B444" s="15" t="s">
        <v>668</v>
      </c>
      <c r="C444" s="1" t="s">
        <v>17</v>
      </c>
      <c r="D444" s="1" t="s">
        <v>669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ht="23.25" customHeight="1">
      <c r="A445" s="17" t="str">
        <f>IF(COUNTIF('Icon Lookup'!C:C,B445)&gt;0,LOOKUP(B445,'Icon Lookup'!C:C,'Icon Lookup'!B:B),"")</f>
        <v/>
      </c>
      <c r="B445" s="18" t="s">
        <v>640</v>
      </c>
      <c r="C445" s="17" t="s">
        <v>17</v>
      </c>
      <c r="D445" s="17">
        <v>41.0</v>
      </c>
      <c r="E445" s="17" t="s">
        <v>411</v>
      </c>
      <c r="G445" s="19"/>
      <c r="H445" s="20" t="s">
        <v>670</v>
      </c>
      <c r="I445" s="17" t="s">
        <v>52</v>
      </c>
      <c r="J445" s="17">
        <v>0.0</v>
      </c>
      <c r="K445" s="17">
        <v>0.0</v>
      </c>
      <c r="L445" s="17">
        <v>0.0</v>
      </c>
      <c r="M445" s="17">
        <v>0.0</v>
      </c>
      <c r="N445" s="17">
        <v>0.0</v>
      </c>
      <c r="O445" s="17">
        <v>0.0</v>
      </c>
      <c r="P445" s="17">
        <v>0.0</v>
      </c>
      <c r="Q445" s="17">
        <v>0.0</v>
      </c>
      <c r="R445" s="17">
        <v>0.0</v>
      </c>
      <c r="S445" s="17">
        <v>0.0</v>
      </c>
      <c r="T445" s="17">
        <v>0.0</v>
      </c>
      <c r="U445" s="17">
        <v>0.0</v>
      </c>
    </row>
    <row r="446" ht="23.25" customHeight="1">
      <c r="A446" s="20" t="str">
        <f>IF(COUNTIF('Icon Lookup'!C:C,B446)&gt;0,LOOKUP(B446,'Icon Lookup'!C:C,'Icon Lookup'!B:B),"")</f>
        <v/>
      </c>
      <c r="B446" s="21" t="s">
        <v>515</v>
      </c>
      <c r="C446" s="20" t="s">
        <v>17</v>
      </c>
      <c r="D446" s="20">
        <v>41.0</v>
      </c>
      <c r="E446" s="20" t="s">
        <v>44</v>
      </c>
      <c r="G446" s="22"/>
      <c r="H446" s="23" t="s">
        <v>671</v>
      </c>
      <c r="I446" s="20" t="s">
        <v>550</v>
      </c>
      <c r="J446" s="20">
        <v>0.0</v>
      </c>
      <c r="K446" s="20">
        <v>0.0</v>
      </c>
      <c r="L446" s="20">
        <v>0.0</v>
      </c>
      <c r="M446" s="20">
        <v>0.0</v>
      </c>
      <c r="N446" s="20">
        <v>0.0</v>
      </c>
      <c r="O446" s="20">
        <v>0.0</v>
      </c>
      <c r="P446" s="20">
        <v>0.0</v>
      </c>
      <c r="Q446" s="20">
        <v>0.0</v>
      </c>
      <c r="R446" s="20">
        <v>0.0</v>
      </c>
      <c r="S446" s="20">
        <v>0.0</v>
      </c>
      <c r="T446" s="20">
        <v>0.0</v>
      </c>
      <c r="U446" s="20">
        <v>0.0</v>
      </c>
    </row>
    <row r="447" ht="23.25" customHeight="1">
      <c r="A447" s="1" t="str">
        <f>IF(COUNTIF('Icon Lookup'!C:C,B447)&gt;0,LOOKUP(B447,'Icon Lookup'!C:C,'Icon Lookup'!B:B),"")</f>
        <v/>
      </c>
      <c r="B447" s="15" t="s">
        <v>672</v>
      </c>
      <c r="C447" s="1" t="s">
        <v>17</v>
      </c>
      <c r="D447" s="1" t="s">
        <v>673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ht="23.25" customHeight="1">
      <c r="A448" s="17" t="str">
        <f>IF(COUNTIF('Icon Lookup'!C:C,B448)&gt;0,LOOKUP(B448,'Icon Lookup'!C:C,'Icon Lookup'!B:B),"")</f>
        <v/>
      </c>
      <c r="B448" s="18" t="s">
        <v>592</v>
      </c>
      <c r="C448" s="17" t="s">
        <v>17</v>
      </c>
      <c r="D448" s="17">
        <v>41.0</v>
      </c>
      <c r="E448" s="17" t="s">
        <v>366</v>
      </c>
      <c r="G448" s="19"/>
      <c r="H448" s="20" t="s">
        <v>593</v>
      </c>
      <c r="I448" s="17" t="s">
        <v>197</v>
      </c>
      <c r="J448" s="17">
        <v>0.0</v>
      </c>
      <c r="K448" s="17">
        <v>0.0</v>
      </c>
      <c r="L448" s="17">
        <v>0.0</v>
      </c>
      <c r="M448" s="17">
        <v>0.0</v>
      </c>
      <c r="N448" s="17">
        <v>0.0</v>
      </c>
      <c r="O448" s="17">
        <v>0.0</v>
      </c>
      <c r="P448" s="17">
        <v>0.0</v>
      </c>
      <c r="Q448" s="17">
        <v>0.0</v>
      </c>
      <c r="R448" s="17">
        <v>0.0</v>
      </c>
      <c r="S448" s="17">
        <v>0.0</v>
      </c>
      <c r="T448" s="17">
        <v>0.0</v>
      </c>
      <c r="U448" s="17">
        <v>0.0</v>
      </c>
    </row>
    <row r="449" ht="23.25" customHeight="1">
      <c r="A449" s="20" t="str">
        <f>IF(COUNTIF('Icon Lookup'!C:C,B449)&gt;0,LOOKUP(B449,'Icon Lookup'!C:C,'Icon Lookup'!B:B),"")</f>
        <v/>
      </c>
      <c r="B449" s="21" t="s">
        <v>410</v>
      </c>
      <c r="C449" s="20" t="s">
        <v>17</v>
      </c>
      <c r="D449" s="20">
        <v>41.0</v>
      </c>
      <c r="E449" s="20" t="s">
        <v>411</v>
      </c>
      <c r="G449" s="22"/>
      <c r="H449" s="23" t="s">
        <v>674</v>
      </c>
      <c r="I449" s="20" t="s">
        <v>205</v>
      </c>
      <c r="J449" s="20">
        <v>0.0</v>
      </c>
      <c r="K449" s="20">
        <v>0.0</v>
      </c>
      <c r="L449" s="20">
        <v>0.0</v>
      </c>
      <c r="M449" s="20">
        <v>0.0</v>
      </c>
      <c r="N449" s="20">
        <v>0.0</v>
      </c>
      <c r="O449" s="20">
        <v>0.0</v>
      </c>
      <c r="P449" s="20">
        <v>0.0</v>
      </c>
      <c r="Q449" s="20">
        <v>0.0</v>
      </c>
      <c r="R449" s="20">
        <v>0.0</v>
      </c>
      <c r="S449" s="20">
        <v>0.0</v>
      </c>
      <c r="T449" s="20">
        <v>0.0</v>
      </c>
      <c r="U449" s="20">
        <v>0.0</v>
      </c>
    </row>
    <row r="450" ht="23.25" customHeight="1">
      <c r="A450" s="1" t="str">
        <f>IF(COUNTIF('Icon Lookup'!C:C,B450)&gt;0,LOOKUP(B450,'Icon Lookup'!C:C,'Icon Lookup'!B:B),"")</f>
        <v/>
      </c>
      <c r="B450" s="15" t="s">
        <v>675</v>
      </c>
      <c r="C450" s="1" t="s">
        <v>17</v>
      </c>
      <c r="D450" s="1" t="s">
        <v>676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ht="23.25" customHeight="1">
      <c r="A451" s="17" t="str">
        <f>IF(COUNTIF('Icon Lookup'!C:C,B451)&gt;0,LOOKUP(B451,'Icon Lookup'!C:C,'Icon Lookup'!B:B),"")</f>
        <v/>
      </c>
      <c r="B451" s="18" t="s">
        <v>398</v>
      </c>
      <c r="C451" s="17" t="s">
        <v>17</v>
      </c>
      <c r="D451" s="17">
        <v>43.0</v>
      </c>
      <c r="E451" s="17" t="s">
        <v>677</v>
      </c>
      <c r="G451" s="19"/>
      <c r="H451" s="20" t="s">
        <v>667</v>
      </c>
      <c r="I451" s="17" t="s">
        <v>105</v>
      </c>
      <c r="J451" s="17">
        <v>0.0</v>
      </c>
      <c r="K451" s="17">
        <v>0.0</v>
      </c>
      <c r="L451" s="17">
        <v>0.0</v>
      </c>
      <c r="M451" s="17">
        <v>0.0</v>
      </c>
      <c r="N451" s="17">
        <v>0.0</v>
      </c>
      <c r="O451" s="17">
        <v>0.0</v>
      </c>
      <c r="P451" s="17">
        <v>0.0</v>
      </c>
      <c r="Q451" s="17">
        <v>0.0</v>
      </c>
      <c r="R451" s="17">
        <v>0.0</v>
      </c>
      <c r="S451" s="17">
        <v>0.0</v>
      </c>
      <c r="T451" s="17">
        <v>0.0</v>
      </c>
      <c r="U451" s="17">
        <v>0.0</v>
      </c>
    </row>
    <row r="452" ht="23.25" customHeight="1">
      <c r="A452" s="1" t="str">
        <f>IF(COUNTIF('Icon Lookup'!C:C,B452)&gt;0,LOOKUP(B452,'Icon Lookup'!C:C,'Icon Lookup'!B:B),"")</f>
        <v/>
      </c>
      <c r="B452" s="15" t="s">
        <v>678</v>
      </c>
      <c r="C452" s="1" t="s">
        <v>17</v>
      </c>
      <c r="D452" s="1" t="s">
        <v>679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ht="23.25" customHeight="1">
      <c r="A453" s="20" t="str">
        <f>IF(COUNTIF('Icon Lookup'!C:C,B453)&gt;0,LOOKUP(B453,'Icon Lookup'!C:C,'Icon Lookup'!B:B),"")</f>
        <v/>
      </c>
      <c r="B453" s="21" t="s">
        <v>86</v>
      </c>
      <c r="C453" s="20" t="s">
        <v>17</v>
      </c>
      <c r="D453" s="20">
        <v>7.0</v>
      </c>
      <c r="E453" s="20" t="s">
        <v>87</v>
      </c>
      <c r="G453" s="22"/>
      <c r="H453" s="23" t="s">
        <v>680</v>
      </c>
      <c r="I453" s="20" t="s">
        <v>73</v>
      </c>
      <c r="J453" s="20">
        <v>0.0</v>
      </c>
      <c r="K453" s="20">
        <v>0.0</v>
      </c>
      <c r="L453" s="20">
        <v>0.0</v>
      </c>
      <c r="M453" s="20">
        <v>0.0</v>
      </c>
      <c r="N453" s="20">
        <v>0.0</v>
      </c>
      <c r="O453" s="20">
        <v>0.0</v>
      </c>
      <c r="P453" s="20">
        <v>0.0</v>
      </c>
      <c r="Q453" s="20">
        <v>0.0</v>
      </c>
      <c r="R453" s="20">
        <v>0.0</v>
      </c>
      <c r="S453" s="20">
        <v>0.0</v>
      </c>
      <c r="T453" s="20">
        <v>0.0</v>
      </c>
      <c r="U453" s="20">
        <v>0.0</v>
      </c>
    </row>
    <row r="454" ht="23.25" customHeight="1">
      <c r="A454" s="17" t="str">
        <f>IF(COUNTIF('Icon Lookup'!C:C,B454)&gt;0,LOOKUP(B454,'Icon Lookup'!C:C,'Icon Lookup'!B:B),"")</f>
        <v/>
      </c>
      <c r="B454" s="18" t="s">
        <v>97</v>
      </c>
      <c r="C454" s="17" t="s">
        <v>17</v>
      </c>
      <c r="D454" s="17">
        <v>7.0</v>
      </c>
      <c r="E454" s="17" t="s">
        <v>87</v>
      </c>
      <c r="G454" s="19"/>
      <c r="H454" s="20" t="s">
        <v>99</v>
      </c>
      <c r="I454" s="17" t="s">
        <v>205</v>
      </c>
      <c r="J454" s="17">
        <v>0.0</v>
      </c>
      <c r="K454" s="17">
        <v>0.0</v>
      </c>
      <c r="L454" s="17">
        <v>0.0</v>
      </c>
      <c r="M454" s="17">
        <v>0.0</v>
      </c>
      <c r="N454" s="17">
        <v>0.0</v>
      </c>
      <c r="O454" s="17">
        <v>0.0</v>
      </c>
      <c r="P454" s="17">
        <v>0.0</v>
      </c>
      <c r="Q454" s="17">
        <v>0.0</v>
      </c>
      <c r="R454" s="17">
        <v>0.0</v>
      </c>
      <c r="S454" s="17">
        <v>0.0</v>
      </c>
      <c r="T454" s="17">
        <v>0.0</v>
      </c>
      <c r="U454" s="17">
        <v>0.0</v>
      </c>
    </row>
    <row r="455" ht="23.25" customHeight="1">
      <c r="A455" s="1" t="str">
        <f>IF(COUNTIF('Icon Lookup'!C:C,B455)&gt;0,LOOKUP(B455,'Icon Lookup'!C:C,'Icon Lookup'!B:B),"")</f>
        <v/>
      </c>
      <c r="B455" s="15" t="s">
        <v>681</v>
      </c>
      <c r="C455" s="1" t="s">
        <v>17</v>
      </c>
      <c r="D455" s="1" t="s">
        <v>682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ht="23.25" customHeight="1">
      <c r="A456" s="20" t="str">
        <f>IF(COUNTIF('Icon Lookup'!C:C,B456)&gt;0,LOOKUP(B456,'Icon Lookup'!C:C,'Icon Lookup'!B:B),"")</f>
        <v/>
      </c>
      <c r="B456" s="21" t="s">
        <v>90</v>
      </c>
      <c r="C456" s="20" t="s">
        <v>17</v>
      </c>
      <c r="D456" s="20">
        <v>9.0</v>
      </c>
      <c r="E456" s="20" t="s">
        <v>276</v>
      </c>
      <c r="G456" s="22"/>
      <c r="H456" s="23" t="s">
        <v>92</v>
      </c>
      <c r="I456" s="20" t="s">
        <v>46</v>
      </c>
      <c r="J456" s="20">
        <v>0.0</v>
      </c>
      <c r="K456" s="20">
        <v>0.0</v>
      </c>
      <c r="L456" s="20">
        <v>0.0</v>
      </c>
      <c r="M456" s="20">
        <v>0.0</v>
      </c>
      <c r="N456" s="20">
        <v>0.0</v>
      </c>
      <c r="O456" s="20">
        <v>0.0</v>
      </c>
      <c r="P456" s="20">
        <v>0.0</v>
      </c>
      <c r="Q456" s="20">
        <v>0.0</v>
      </c>
      <c r="R456" s="20">
        <v>0.0</v>
      </c>
      <c r="S456" s="20">
        <v>0.0</v>
      </c>
      <c r="T456" s="20">
        <v>0.0</v>
      </c>
      <c r="U456" s="20">
        <v>0.0</v>
      </c>
    </row>
    <row r="457" ht="23.25" customHeight="1">
      <c r="A457" s="1" t="str">
        <f>IF(COUNTIF('Icon Lookup'!C:C,B457)&gt;0,LOOKUP(B457,'Icon Lookup'!C:C,'Icon Lookup'!B:B),"")</f>
        <v/>
      </c>
      <c r="B457" s="15" t="s">
        <v>683</v>
      </c>
      <c r="C457" s="1" t="s">
        <v>17</v>
      </c>
      <c r="D457" s="1" t="s">
        <v>684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ht="23.25" customHeight="1">
      <c r="A458" s="17" t="str">
        <f>IF(COUNTIF('Icon Lookup'!C:C,B458)&gt;0,LOOKUP(B458,'Icon Lookup'!C:C,'Icon Lookup'!B:B),"")</f>
        <v/>
      </c>
      <c r="B458" s="18" t="s">
        <v>60</v>
      </c>
      <c r="C458" s="17" t="s">
        <v>17</v>
      </c>
      <c r="D458" s="17">
        <v>9.0</v>
      </c>
      <c r="E458" s="17" t="s">
        <v>61</v>
      </c>
      <c r="G458" s="19"/>
      <c r="H458" s="20" t="s">
        <v>62</v>
      </c>
      <c r="I458" s="17" t="s">
        <v>46</v>
      </c>
      <c r="J458" s="17">
        <v>0.0</v>
      </c>
      <c r="K458" s="17">
        <v>0.0</v>
      </c>
      <c r="L458" s="17">
        <v>0.0</v>
      </c>
      <c r="M458" s="17">
        <v>0.0</v>
      </c>
      <c r="N458" s="17">
        <v>0.0</v>
      </c>
      <c r="O458" s="17">
        <v>0.0</v>
      </c>
      <c r="P458" s="17">
        <v>0.0</v>
      </c>
      <c r="Q458" s="17">
        <v>0.0</v>
      </c>
      <c r="R458" s="17">
        <v>0.0</v>
      </c>
      <c r="S458" s="17">
        <v>0.0</v>
      </c>
      <c r="T458" s="17">
        <v>0.0</v>
      </c>
      <c r="U458" s="17">
        <v>0.0</v>
      </c>
    </row>
    <row r="459" ht="23.25" customHeight="1">
      <c r="A459" s="20" t="str">
        <f>IF(COUNTIF('Icon Lookup'!C:C,B459)&gt;0,LOOKUP(B459,'Icon Lookup'!C:C,'Icon Lookup'!B:B),"")</f>
        <v/>
      </c>
      <c r="B459" s="21" t="s">
        <v>685</v>
      </c>
      <c r="C459" s="20" t="s">
        <v>17</v>
      </c>
      <c r="D459" s="20">
        <v>11.0</v>
      </c>
      <c r="E459" s="20" t="s">
        <v>58</v>
      </c>
      <c r="G459" s="22"/>
      <c r="H459" s="23" t="s">
        <v>686</v>
      </c>
      <c r="I459" s="20" t="s">
        <v>46</v>
      </c>
      <c r="J459" s="20">
        <v>0.0</v>
      </c>
      <c r="K459" s="20">
        <v>0.0</v>
      </c>
      <c r="L459" s="20">
        <v>0.0</v>
      </c>
      <c r="M459" s="20">
        <v>0.0</v>
      </c>
      <c r="N459" s="20">
        <v>0.0</v>
      </c>
      <c r="O459" s="20">
        <v>0.0</v>
      </c>
      <c r="P459" s="20">
        <v>0.0</v>
      </c>
      <c r="Q459" s="20">
        <v>0.0</v>
      </c>
      <c r="R459" s="20">
        <v>0.0</v>
      </c>
      <c r="S459" s="20">
        <v>0.0</v>
      </c>
      <c r="T459" s="20">
        <v>0.0</v>
      </c>
      <c r="U459" s="20">
        <v>0.0</v>
      </c>
    </row>
    <row r="460" ht="23.25" customHeight="1">
      <c r="A460" s="17" t="str">
        <f>IF(COUNTIF('Icon Lookup'!C:C,B460)&gt;0,LOOKUP(B460,'Icon Lookup'!C:C,'Icon Lookup'!B:B),"")</f>
        <v/>
      </c>
      <c r="B460" s="18" t="s">
        <v>687</v>
      </c>
      <c r="C460" s="17" t="s">
        <v>17</v>
      </c>
      <c r="D460" s="17">
        <v>13.0</v>
      </c>
      <c r="E460" s="17" t="s">
        <v>258</v>
      </c>
      <c r="G460" s="19"/>
      <c r="H460" s="20" t="s">
        <v>688</v>
      </c>
      <c r="I460" s="17" t="s">
        <v>36</v>
      </c>
      <c r="J460" s="17">
        <v>0.0</v>
      </c>
      <c r="K460" s="17">
        <v>0.0</v>
      </c>
      <c r="L460" s="17">
        <v>0.0</v>
      </c>
      <c r="M460" s="17">
        <v>0.0</v>
      </c>
      <c r="N460" s="17">
        <v>0.0</v>
      </c>
      <c r="O460" s="17">
        <v>0.0</v>
      </c>
      <c r="P460" s="17">
        <v>0.0</v>
      </c>
      <c r="Q460" s="17">
        <v>0.0</v>
      </c>
      <c r="R460" s="17">
        <v>0.0</v>
      </c>
      <c r="S460" s="17">
        <v>0.0</v>
      </c>
      <c r="T460" s="17">
        <v>0.0</v>
      </c>
      <c r="U460" s="17">
        <v>0.0</v>
      </c>
    </row>
    <row r="461" ht="23.25" customHeight="1">
      <c r="A461" s="1" t="str">
        <f>IF(COUNTIF('Icon Lookup'!C:C,B461)&gt;0,LOOKUP(B461,'Icon Lookup'!C:C,'Icon Lookup'!B:B),"")</f>
        <v/>
      </c>
      <c r="B461" s="15" t="s">
        <v>689</v>
      </c>
      <c r="C461" s="1" t="s">
        <v>17</v>
      </c>
      <c r="D461" s="1" t="s">
        <v>690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ht="23.25" customHeight="1">
      <c r="A462" s="20" t="str">
        <f>IF(COUNTIF('Icon Lookup'!C:C,B462)&gt;0,LOOKUP(B462,'Icon Lookup'!C:C,'Icon Lookup'!B:B),"")</f>
        <v/>
      </c>
      <c r="B462" s="21" t="s">
        <v>60</v>
      </c>
      <c r="C462" s="20" t="s">
        <v>17</v>
      </c>
      <c r="D462" s="20">
        <v>9.0</v>
      </c>
      <c r="E462" s="20" t="s">
        <v>61</v>
      </c>
      <c r="G462" s="22"/>
      <c r="H462" s="23" t="s">
        <v>62</v>
      </c>
      <c r="I462" s="20" t="s">
        <v>46</v>
      </c>
      <c r="J462" s="20">
        <v>0.0</v>
      </c>
      <c r="K462" s="20">
        <v>0.0</v>
      </c>
      <c r="L462" s="20">
        <v>0.0</v>
      </c>
      <c r="M462" s="20">
        <v>0.0</v>
      </c>
      <c r="N462" s="20">
        <v>0.0</v>
      </c>
      <c r="O462" s="20">
        <v>0.0</v>
      </c>
      <c r="P462" s="20">
        <v>0.0</v>
      </c>
      <c r="Q462" s="20">
        <v>0.0</v>
      </c>
      <c r="R462" s="20">
        <v>0.0</v>
      </c>
      <c r="S462" s="20">
        <v>0.0</v>
      </c>
      <c r="T462" s="20">
        <v>0.0</v>
      </c>
      <c r="U462" s="20">
        <v>0.0</v>
      </c>
    </row>
    <row r="463" ht="23.25" customHeight="1">
      <c r="A463" s="17" t="str">
        <f>IF(COUNTIF('Icon Lookup'!C:C,B463)&gt;0,LOOKUP(B463,'Icon Lookup'!C:C,'Icon Lookup'!B:B),"")</f>
        <v/>
      </c>
      <c r="B463" s="18" t="s">
        <v>691</v>
      </c>
      <c r="C463" s="17" t="s">
        <v>17</v>
      </c>
      <c r="D463" s="17">
        <v>11.0</v>
      </c>
      <c r="E463" s="17" t="s">
        <v>58</v>
      </c>
      <c r="G463" s="19"/>
      <c r="H463" s="20" t="s">
        <v>686</v>
      </c>
      <c r="I463" s="17" t="s">
        <v>46</v>
      </c>
      <c r="J463" s="17">
        <v>0.0</v>
      </c>
      <c r="K463" s="17">
        <v>0.0</v>
      </c>
      <c r="L463" s="17">
        <v>0.0</v>
      </c>
      <c r="M463" s="17">
        <v>0.0</v>
      </c>
      <c r="N463" s="17">
        <v>0.0</v>
      </c>
      <c r="O463" s="17">
        <v>0.0</v>
      </c>
      <c r="P463" s="17">
        <v>0.0</v>
      </c>
      <c r="Q463" s="17">
        <v>0.0</v>
      </c>
      <c r="R463" s="17">
        <v>0.0</v>
      </c>
      <c r="S463" s="17">
        <v>0.0</v>
      </c>
      <c r="T463" s="17">
        <v>0.0</v>
      </c>
      <c r="U463" s="17">
        <v>0.0</v>
      </c>
    </row>
    <row r="464" ht="23.25" customHeight="1">
      <c r="A464" s="20" t="str">
        <f>IF(COUNTIF('Icon Lookup'!C:C,B464)&gt;0,LOOKUP(B464,'Icon Lookup'!C:C,'Icon Lookup'!B:B),"")</f>
        <v/>
      </c>
      <c r="B464" s="21" t="s">
        <v>293</v>
      </c>
      <c r="C464" s="20" t="s">
        <v>17</v>
      </c>
      <c r="D464" s="20">
        <v>13.0</v>
      </c>
      <c r="E464" s="20" t="s">
        <v>61</v>
      </c>
      <c r="G464" s="22"/>
      <c r="H464" s="23" t="s">
        <v>692</v>
      </c>
      <c r="I464" s="20" t="s">
        <v>40</v>
      </c>
      <c r="J464" s="20">
        <v>0.0</v>
      </c>
      <c r="K464" s="20">
        <v>0.0</v>
      </c>
      <c r="L464" s="20">
        <v>0.0</v>
      </c>
      <c r="M464" s="20">
        <v>0.0</v>
      </c>
      <c r="N464" s="20">
        <v>0.0</v>
      </c>
      <c r="O464" s="20">
        <v>0.0</v>
      </c>
      <c r="P464" s="20">
        <v>0.0</v>
      </c>
      <c r="Q464" s="20">
        <v>0.0</v>
      </c>
      <c r="R464" s="20">
        <v>0.0</v>
      </c>
      <c r="S464" s="20">
        <v>0.0</v>
      </c>
      <c r="T464" s="20">
        <v>0.0</v>
      </c>
      <c r="U464" s="20">
        <v>0.0</v>
      </c>
    </row>
    <row r="465" ht="23.25" customHeight="1">
      <c r="A465" s="1" t="str">
        <f>IF(COUNTIF('Icon Lookup'!C:C,B465)&gt;0,LOOKUP(B465,'Icon Lookup'!C:C,'Icon Lookup'!B:B),"")</f>
        <v/>
      </c>
      <c r="B465" s="15" t="s">
        <v>693</v>
      </c>
      <c r="C465" s="1" t="s">
        <v>17</v>
      </c>
      <c r="D465" s="1" t="s">
        <v>694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ht="23.25" customHeight="1">
      <c r="A466" s="17" t="str">
        <f>IF(COUNTIF('Icon Lookup'!C:C,B466)&gt;0,LOOKUP(B466,'Icon Lookup'!C:C,'Icon Lookup'!B:B),"")</f>
        <v/>
      </c>
      <c r="B466" s="18" t="s">
        <v>695</v>
      </c>
      <c r="C466" s="17" t="s">
        <v>17</v>
      </c>
      <c r="D466" s="17">
        <v>12.0</v>
      </c>
      <c r="E466" s="17" t="s">
        <v>58</v>
      </c>
      <c r="G466" s="19"/>
      <c r="H466" s="20" t="s">
        <v>696</v>
      </c>
      <c r="I466" s="17" t="s">
        <v>36</v>
      </c>
      <c r="J466" s="17">
        <v>0.0</v>
      </c>
      <c r="K466" s="17">
        <v>0.0</v>
      </c>
      <c r="L466" s="17">
        <v>0.0</v>
      </c>
      <c r="M466" s="17">
        <v>0.0</v>
      </c>
      <c r="N466" s="17">
        <v>0.0</v>
      </c>
      <c r="O466" s="17">
        <v>0.0</v>
      </c>
      <c r="P466" s="17">
        <v>0.0</v>
      </c>
      <c r="Q466" s="17">
        <v>0.0</v>
      </c>
      <c r="R466" s="17">
        <v>0.0</v>
      </c>
      <c r="S466" s="17">
        <v>0.0</v>
      </c>
      <c r="T466" s="17">
        <v>0.0</v>
      </c>
      <c r="U466" s="17">
        <v>0.0</v>
      </c>
    </row>
    <row r="467" ht="23.25" customHeight="1">
      <c r="A467" s="20" t="str">
        <f>IF(COUNTIF('Icon Lookup'!C:C,B467)&gt;0,LOOKUP(B467,'Icon Lookup'!C:C,'Icon Lookup'!B:B),"")</f>
        <v/>
      </c>
      <c r="B467" s="21" t="s">
        <v>697</v>
      </c>
      <c r="C467" s="20" t="s">
        <v>17</v>
      </c>
      <c r="D467" s="20">
        <v>12.0</v>
      </c>
      <c r="E467" s="20" t="s">
        <v>258</v>
      </c>
      <c r="G467" s="22"/>
      <c r="H467" s="23" t="s">
        <v>698</v>
      </c>
      <c r="I467" s="20" t="s">
        <v>36</v>
      </c>
      <c r="J467" s="20">
        <v>0.0</v>
      </c>
      <c r="K467" s="20">
        <v>0.0</v>
      </c>
      <c r="L467" s="20">
        <v>0.0</v>
      </c>
      <c r="M467" s="20">
        <v>0.0</v>
      </c>
      <c r="N467" s="20">
        <v>0.0</v>
      </c>
      <c r="O467" s="20">
        <v>0.0</v>
      </c>
      <c r="P467" s="20">
        <v>0.0</v>
      </c>
      <c r="Q467" s="20">
        <v>0.0</v>
      </c>
      <c r="R467" s="20">
        <v>0.0</v>
      </c>
      <c r="S467" s="20">
        <v>0.0</v>
      </c>
      <c r="T467" s="20">
        <v>0.0</v>
      </c>
      <c r="U467" s="20">
        <v>0.0</v>
      </c>
    </row>
    <row r="468" ht="23.25" customHeight="1">
      <c r="A468" s="1" t="str">
        <f>IF(COUNTIF('Icon Lookup'!C:C,B468)&gt;0,LOOKUP(B468,'Icon Lookup'!C:C,'Icon Lookup'!B:B),"")</f>
        <v/>
      </c>
      <c r="B468" s="15" t="s">
        <v>699</v>
      </c>
      <c r="C468" s="1" t="s">
        <v>17</v>
      </c>
      <c r="D468" s="1" t="s">
        <v>700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ht="23.25" customHeight="1">
      <c r="A469" s="17" t="str">
        <f>IF(COUNTIF('Icon Lookup'!C:C,B469)&gt;0,LOOKUP(B469,'Icon Lookup'!C:C,'Icon Lookup'!B:B),"")</f>
        <v/>
      </c>
      <c r="B469" s="18" t="s">
        <v>70</v>
      </c>
      <c r="C469" s="17" t="s">
        <v>17</v>
      </c>
      <c r="D469" s="17">
        <v>14.0</v>
      </c>
      <c r="E469" s="17" t="s">
        <v>71</v>
      </c>
      <c r="G469" s="19"/>
      <c r="H469" s="20" t="s">
        <v>701</v>
      </c>
      <c r="I469" s="17" t="s">
        <v>73</v>
      </c>
      <c r="J469" s="17">
        <v>0.0</v>
      </c>
      <c r="K469" s="17">
        <v>0.0</v>
      </c>
      <c r="L469" s="17">
        <v>0.0</v>
      </c>
      <c r="M469" s="17">
        <v>0.0</v>
      </c>
      <c r="N469" s="17">
        <v>0.0</v>
      </c>
      <c r="O469" s="17">
        <v>0.0</v>
      </c>
      <c r="P469" s="17">
        <v>0.0</v>
      </c>
      <c r="Q469" s="17">
        <v>0.0</v>
      </c>
      <c r="R469" s="17">
        <v>0.0</v>
      </c>
      <c r="S469" s="17">
        <v>0.0</v>
      </c>
      <c r="T469" s="17">
        <v>0.0</v>
      </c>
      <c r="U469" s="17">
        <v>0.0</v>
      </c>
    </row>
    <row r="470" ht="23.25" customHeight="1">
      <c r="A470" s="1" t="str">
        <f>IF(COUNTIF('Icon Lookup'!C:C,B470)&gt;0,LOOKUP(B470,'Icon Lookup'!C:C,'Icon Lookup'!B:B),"")</f>
        <v/>
      </c>
      <c r="B470" s="15" t="s">
        <v>702</v>
      </c>
      <c r="C470" s="1" t="s">
        <v>17</v>
      </c>
      <c r="D470" s="1" t="s">
        <v>703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ht="23.25" customHeight="1">
      <c r="A471" s="20" t="str">
        <f>IF(COUNTIF('Icon Lookup'!C:C,B471)&gt;0,LOOKUP(B471,'Icon Lookup'!C:C,'Icon Lookup'!B:B),"")</f>
        <v/>
      </c>
      <c r="B471" s="21" t="s">
        <v>704</v>
      </c>
      <c r="C471" s="20" t="s">
        <v>17</v>
      </c>
      <c r="D471" s="20">
        <v>15.0</v>
      </c>
      <c r="E471" s="20" t="s">
        <v>387</v>
      </c>
      <c r="G471" s="22"/>
      <c r="H471" s="23" t="s">
        <v>705</v>
      </c>
      <c r="I471" s="20" t="s">
        <v>156</v>
      </c>
      <c r="J471" s="20">
        <v>0.0</v>
      </c>
      <c r="K471" s="20">
        <v>0.0</v>
      </c>
      <c r="L471" s="20">
        <v>0.0</v>
      </c>
      <c r="M471" s="20">
        <v>0.0</v>
      </c>
      <c r="N471" s="20">
        <v>0.0</v>
      </c>
      <c r="O471" s="20">
        <v>0.0</v>
      </c>
      <c r="P471" s="20">
        <v>0.0</v>
      </c>
      <c r="Q471" s="20">
        <v>0.0</v>
      </c>
      <c r="R471" s="20">
        <v>0.0</v>
      </c>
      <c r="S471" s="20">
        <v>0.0</v>
      </c>
      <c r="T471" s="20">
        <v>0.0</v>
      </c>
      <c r="U471" s="20">
        <v>0.0</v>
      </c>
    </row>
    <row r="472" ht="23.25" customHeight="1">
      <c r="A472" s="1" t="str">
        <f>IF(COUNTIF('Icon Lookup'!C:C,B472)&gt;0,LOOKUP(B472,'Icon Lookup'!C:C,'Icon Lookup'!B:B),"")</f>
        <v/>
      </c>
      <c r="B472" s="15" t="s">
        <v>706</v>
      </c>
      <c r="C472" s="1" t="s">
        <v>17</v>
      </c>
      <c r="D472" s="1" t="s">
        <v>707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ht="23.25" customHeight="1">
      <c r="A473" s="17" t="str">
        <f>IF(COUNTIF('Icon Lookup'!C:C,B473)&gt;0,LOOKUP(B473,'Icon Lookup'!C:C,'Icon Lookup'!B:B),"")</f>
        <v/>
      </c>
      <c r="B473" s="18" t="s">
        <v>704</v>
      </c>
      <c r="C473" s="17" t="s">
        <v>17</v>
      </c>
      <c r="D473" s="17">
        <v>15.0</v>
      </c>
      <c r="E473" s="17" t="s">
        <v>387</v>
      </c>
      <c r="G473" s="19"/>
      <c r="H473" s="20" t="s">
        <v>705</v>
      </c>
      <c r="I473" s="17" t="s">
        <v>105</v>
      </c>
      <c r="J473" s="17">
        <v>0.0</v>
      </c>
      <c r="K473" s="17">
        <v>0.0</v>
      </c>
      <c r="L473" s="17">
        <v>0.0</v>
      </c>
      <c r="M473" s="17">
        <v>0.0</v>
      </c>
      <c r="N473" s="17">
        <v>0.0</v>
      </c>
      <c r="O473" s="17">
        <v>0.0</v>
      </c>
      <c r="P473" s="17">
        <v>0.0</v>
      </c>
      <c r="Q473" s="17">
        <v>0.0</v>
      </c>
      <c r="R473" s="17">
        <v>0.0</v>
      </c>
      <c r="S473" s="17">
        <v>0.0</v>
      </c>
      <c r="T473" s="17">
        <v>0.0</v>
      </c>
      <c r="U473" s="17">
        <v>0.0</v>
      </c>
    </row>
    <row r="474" ht="23.25" customHeight="1">
      <c r="A474" s="1" t="str">
        <f>IF(COUNTIF('Icon Lookup'!C:C,B474)&gt;0,LOOKUP(B474,'Icon Lookup'!C:C,'Icon Lookup'!B:B),"")</f>
        <v/>
      </c>
      <c r="B474" s="15" t="s">
        <v>708</v>
      </c>
      <c r="C474" s="1" t="s">
        <v>17</v>
      </c>
      <c r="D474" s="1" t="s">
        <v>709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ht="23.25" customHeight="1">
      <c r="A475" s="20" t="str">
        <f>IF(COUNTIF('Icon Lookup'!C:C,B475)&gt;0,LOOKUP(B475,'Icon Lookup'!C:C,'Icon Lookup'!B:B),"")</f>
        <v/>
      </c>
      <c r="B475" s="21" t="s">
        <v>710</v>
      </c>
      <c r="C475" s="20" t="s">
        <v>17</v>
      </c>
      <c r="D475" s="20">
        <v>45.0</v>
      </c>
      <c r="E475" s="20" t="s">
        <v>121</v>
      </c>
      <c r="G475" s="22"/>
      <c r="H475" s="23" t="s">
        <v>711</v>
      </c>
      <c r="I475" s="20" t="s">
        <v>156</v>
      </c>
      <c r="J475" s="20">
        <v>0.0</v>
      </c>
      <c r="K475" s="20">
        <v>0.0</v>
      </c>
      <c r="L475" s="20">
        <v>0.0</v>
      </c>
      <c r="M475" s="20">
        <v>0.0</v>
      </c>
      <c r="N475" s="20">
        <v>0.0</v>
      </c>
      <c r="O475" s="20">
        <v>0.0</v>
      </c>
      <c r="P475" s="20">
        <v>0.0</v>
      </c>
      <c r="Q475" s="20">
        <v>0.0</v>
      </c>
      <c r="R475" s="20">
        <v>0.0</v>
      </c>
      <c r="S475" s="20">
        <v>0.0</v>
      </c>
      <c r="T475" s="20">
        <v>0.0</v>
      </c>
      <c r="U475" s="20">
        <v>0.0</v>
      </c>
    </row>
    <row r="476" ht="23.25" customHeight="1">
      <c r="A476" s="17" t="str">
        <f>IF(COUNTIF('Icon Lookup'!C:C,B476)&gt;0,LOOKUP(B476,'Icon Lookup'!C:C,'Icon Lookup'!B:B),"")</f>
        <v/>
      </c>
      <c r="B476" s="18" t="s">
        <v>712</v>
      </c>
      <c r="C476" s="17" t="s">
        <v>17</v>
      </c>
      <c r="D476" s="17">
        <v>45.0</v>
      </c>
      <c r="E476" s="17" t="s">
        <v>161</v>
      </c>
      <c r="G476" s="19"/>
      <c r="H476" s="20" t="s">
        <v>713</v>
      </c>
      <c r="I476" s="17" t="s">
        <v>94</v>
      </c>
      <c r="J476" s="17">
        <v>0.0</v>
      </c>
      <c r="K476" s="17">
        <v>0.0</v>
      </c>
      <c r="L476" s="17">
        <v>0.0</v>
      </c>
      <c r="M476" s="17">
        <v>0.0</v>
      </c>
      <c r="N476" s="17">
        <v>0.0</v>
      </c>
      <c r="O476" s="17">
        <v>0.0</v>
      </c>
      <c r="P476" s="17">
        <v>0.0</v>
      </c>
      <c r="Q476" s="17">
        <v>0.0</v>
      </c>
      <c r="R476" s="17">
        <v>0.0</v>
      </c>
      <c r="S476" s="17">
        <v>0.0</v>
      </c>
      <c r="T476" s="17">
        <v>0.0</v>
      </c>
      <c r="U476" s="17">
        <v>0.0</v>
      </c>
    </row>
    <row r="477" ht="23.25" customHeight="1">
      <c r="A477" s="20" t="str">
        <f>IF(COUNTIF('Icon Lookup'!C:C,B477)&gt;0,LOOKUP(B477,'Icon Lookup'!C:C,'Icon Lookup'!B:B),"")</f>
        <v/>
      </c>
      <c r="B477" s="21" t="s">
        <v>714</v>
      </c>
      <c r="C477" s="20" t="s">
        <v>17</v>
      </c>
      <c r="D477" s="20">
        <v>48.0</v>
      </c>
      <c r="E477" s="20" t="s">
        <v>434</v>
      </c>
      <c r="G477" s="22"/>
      <c r="H477" s="23" t="s">
        <v>715</v>
      </c>
      <c r="I477" s="20" t="s">
        <v>89</v>
      </c>
      <c r="J477" s="20">
        <v>0.0</v>
      </c>
      <c r="K477" s="20">
        <v>0.0</v>
      </c>
      <c r="L477" s="20">
        <v>0.0</v>
      </c>
      <c r="M477" s="20">
        <v>0.0</v>
      </c>
      <c r="N477" s="20">
        <v>0.0</v>
      </c>
      <c r="O477" s="20">
        <v>0.0</v>
      </c>
      <c r="P477" s="20">
        <v>0.0</v>
      </c>
      <c r="Q477" s="20">
        <v>0.0</v>
      </c>
      <c r="R477" s="20">
        <v>0.0</v>
      </c>
      <c r="S477" s="20">
        <v>0.0</v>
      </c>
      <c r="T477" s="20">
        <v>0.0</v>
      </c>
      <c r="U477" s="20">
        <v>0.0</v>
      </c>
    </row>
    <row r="478" ht="23.25" customHeight="1">
      <c r="A478" s="1" t="str">
        <f>IF(COUNTIF('Icon Lookup'!C:C,B478)&gt;0,LOOKUP(B478,'Icon Lookup'!C:C,'Icon Lookup'!B:B),"")</f>
        <v/>
      </c>
      <c r="B478" s="15" t="s">
        <v>716</v>
      </c>
      <c r="C478" s="1" t="s">
        <v>17</v>
      </c>
      <c r="D478" s="1" t="s">
        <v>717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ht="23.25" customHeight="1">
      <c r="A479" s="17" t="str">
        <f>IF(COUNTIF('Icon Lookup'!C:C,B479)&gt;0,LOOKUP(B479,'Icon Lookup'!C:C,'Icon Lookup'!B:B),"")</f>
        <v/>
      </c>
      <c r="B479" s="18" t="s">
        <v>718</v>
      </c>
      <c r="C479" s="17" t="s">
        <v>17</v>
      </c>
      <c r="D479" s="17">
        <v>49.0</v>
      </c>
      <c r="E479" s="17" t="s">
        <v>719</v>
      </c>
      <c r="G479" s="19"/>
      <c r="H479" s="20" t="s">
        <v>720</v>
      </c>
      <c r="I479" s="17" t="s">
        <v>94</v>
      </c>
      <c r="J479" s="17">
        <v>0.0</v>
      </c>
      <c r="K479" s="17">
        <v>0.0</v>
      </c>
      <c r="L479" s="17">
        <v>0.0</v>
      </c>
      <c r="M479" s="17">
        <v>0.0</v>
      </c>
      <c r="N479" s="17">
        <v>0.0</v>
      </c>
      <c r="O479" s="17">
        <v>0.0</v>
      </c>
      <c r="P479" s="17">
        <v>0.0</v>
      </c>
      <c r="Q479" s="17">
        <v>0.0</v>
      </c>
      <c r="R479" s="17">
        <v>0.0</v>
      </c>
      <c r="S479" s="17">
        <v>0.0</v>
      </c>
      <c r="T479" s="17">
        <v>0.0</v>
      </c>
      <c r="U479" s="17">
        <v>0.0</v>
      </c>
    </row>
    <row r="480" ht="23.25" customHeight="1">
      <c r="A480" s="1" t="str">
        <f>IF(COUNTIF('Icon Lookup'!C:C,B480)&gt;0,LOOKUP(B480,'Icon Lookup'!C:C,'Icon Lookup'!B:B),"")</f>
        <v/>
      </c>
      <c r="B480" s="15" t="s">
        <v>721</v>
      </c>
      <c r="C480" s="1" t="s">
        <v>17</v>
      </c>
      <c r="D480" s="1" t="s">
        <v>722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ht="23.25" customHeight="1">
      <c r="A481" s="20" t="str">
        <f>IF(COUNTIF('Icon Lookup'!C:C,B481)&gt;0,LOOKUP(B481,'Icon Lookup'!C:C,'Icon Lookup'!B:B),"")</f>
        <v/>
      </c>
      <c r="B481" s="21" t="s">
        <v>398</v>
      </c>
      <c r="C481" s="20" t="s">
        <v>17</v>
      </c>
      <c r="D481" s="20">
        <v>46.0</v>
      </c>
      <c r="E481" s="20" t="s">
        <v>677</v>
      </c>
      <c r="G481" s="22"/>
      <c r="H481" s="23" t="s">
        <v>723</v>
      </c>
      <c r="I481" s="20" t="s">
        <v>105</v>
      </c>
      <c r="J481" s="20">
        <v>0.0</v>
      </c>
      <c r="K481" s="20">
        <v>0.0</v>
      </c>
      <c r="L481" s="20">
        <v>0.0</v>
      </c>
      <c r="M481" s="20">
        <v>0.0</v>
      </c>
      <c r="N481" s="20">
        <v>0.0</v>
      </c>
      <c r="O481" s="20">
        <v>0.0</v>
      </c>
      <c r="P481" s="20">
        <v>0.0</v>
      </c>
      <c r="Q481" s="20">
        <v>0.0</v>
      </c>
      <c r="R481" s="20">
        <v>0.0</v>
      </c>
      <c r="S481" s="20">
        <v>0.0</v>
      </c>
      <c r="T481" s="20">
        <v>0.0</v>
      </c>
      <c r="U481" s="20">
        <v>0.0</v>
      </c>
    </row>
    <row r="482" ht="23.25" customHeight="1">
      <c r="A482" s="17" t="str">
        <f>IF(COUNTIF('Icon Lookup'!C:C,B482)&gt;0,LOOKUP(B482,'Icon Lookup'!C:C,'Icon Lookup'!B:B),"")</f>
        <v/>
      </c>
      <c r="B482" s="18" t="s">
        <v>724</v>
      </c>
      <c r="C482" s="17" t="s">
        <v>17</v>
      </c>
      <c r="D482" s="17">
        <v>48.0</v>
      </c>
      <c r="E482" s="17" t="s">
        <v>240</v>
      </c>
      <c r="G482" s="19"/>
      <c r="H482" s="20" t="s">
        <v>725</v>
      </c>
      <c r="I482" s="17" t="s">
        <v>105</v>
      </c>
      <c r="J482" s="17">
        <v>0.0</v>
      </c>
      <c r="K482" s="17">
        <v>0.0</v>
      </c>
      <c r="L482" s="17">
        <v>0.0</v>
      </c>
      <c r="M482" s="17">
        <v>0.0</v>
      </c>
      <c r="N482" s="17">
        <v>0.0</v>
      </c>
      <c r="O482" s="17">
        <v>0.0</v>
      </c>
      <c r="P482" s="17">
        <v>0.0</v>
      </c>
      <c r="Q482" s="17">
        <v>0.0</v>
      </c>
      <c r="R482" s="17">
        <v>0.0</v>
      </c>
      <c r="S482" s="17">
        <v>0.0</v>
      </c>
      <c r="T482" s="17">
        <v>0.0</v>
      </c>
      <c r="U482" s="17">
        <v>0.0</v>
      </c>
    </row>
    <row r="483" ht="23.25" customHeight="1">
      <c r="A483" s="1" t="str">
        <f>IF(COUNTIF('Icon Lookup'!C:C,B483)&gt;0,LOOKUP(B483,'Icon Lookup'!C:C,'Icon Lookup'!B:B),"")</f>
        <v/>
      </c>
      <c r="B483" s="15" t="s">
        <v>726</v>
      </c>
      <c r="C483" s="1" t="s">
        <v>17</v>
      </c>
      <c r="D483" s="1" t="s">
        <v>727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ht="23.25" customHeight="1">
      <c r="A484" s="20" t="str">
        <f>IF(COUNTIF('Icon Lookup'!C:C,B484)&gt;0,LOOKUP(B484,'Icon Lookup'!C:C,'Icon Lookup'!B:B),"")</f>
        <v/>
      </c>
      <c r="B484" s="21" t="s">
        <v>728</v>
      </c>
      <c r="C484" s="20" t="s">
        <v>17</v>
      </c>
      <c r="D484" s="20">
        <v>46.0</v>
      </c>
      <c r="E484" s="20" t="s">
        <v>218</v>
      </c>
      <c r="G484" s="22"/>
      <c r="H484" s="23" t="s">
        <v>729</v>
      </c>
      <c r="I484" s="20" t="s">
        <v>105</v>
      </c>
      <c r="J484" s="20">
        <v>0.0</v>
      </c>
      <c r="K484" s="20">
        <v>0.0</v>
      </c>
      <c r="L484" s="20">
        <v>0.0</v>
      </c>
      <c r="M484" s="20">
        <v>0.0</v>
      </c>
      <c r="N484" s="20">
        <v>0.0</v>
      </c>
      <c r="O484" s="20">
        <v>0.0</v>
      </c>
      <c r="P484" s="20">
        <v>0.0</v>
      </c>
      <c r="Q484" s="20">
        <v>0.0</v>
      </c>
      <c r="R484" s="20">
        <v>0.0</v>
      </c>
      <c r="S484" s="20">
        <v>0.0</v>
      </c>
      <c r="T484" s="20">
        <v>0.0</v>
      </c>
      <c r="U484" s="20">
        <v>0.0</v>
      </c>
    </row>
    <row r="485" ht="23.25" customHeight="1">
      <c r="A485" s="17" t="str">
        <f>IF(COUNTIF('Icon Lookup'!C:C,B485)&gt;0,LOOKUP(B485,'Icon Lookup'!C:C,'Icon Lookup'!B:B),"")</f>
        <v/>
      </c>
      <c r="B485" s="18" t="s">
        <v>730</v>
      </c>
      <c r="C485" s="17" t="s">
        <v>17</v>
      </c>
      <c r="D485" s="17">
        <v>48.0</v>
      </c>
      <c r="E485" s="17" t="s">
        <v>267</v>
      </c>
      <c r="G485" s="19"/>
      <c r="H485" s="20" t="s">
        <v>731</v>
      </c>
      <c r="I485" s="17" t="s">
        <v>211</v>
      </c>
      <c r="J485" s="17">
        <v>0.0</v>
      </c>
      <c r="K485" s="17">
        <v>0.0</v>
      </c>
      <c r="L485" s="17">
        <v>0.0</v>
      </c>
      <c r="M485" s="17">
        <v>0.0</v>
      </c>
      <c r="N485" s="17">
        <v>0.0</v>
      </c>
      <c r="O485" s="17">
        <v>0.0</v>
      </c>
      <c r="P485" s="17">
        <v>0.0</v>
      </c>
      <c r="Q485" s="17">
        <v>0.0</v>
      </c>
      <c r="R485" s="17">
        <v>0.0</v>
      </c>
      <c r="S485" s="17">
        <v>0.0</v>
      </c>
      <c r="T485" s="17">
        <v>0.0</v>
      </c>
      <c r="U485" s="17">
        <v>0.0</v>
      </c>
    </row>
    <row r="486" ht="23.25" customHeight="1">
      <c r="A486" s="1" t="str">
        <f>IF(COUNTIF('Icon Lookup'!C:C,B486)&gt;0,LOOKUP(B486,'Icon Lookup'!C:C,'Icon Lookup'!B:B),"")</f>
        <v/>
      </c>
      <c r="B486" s="15" t="s">
        <v>732</v>
      </c>
      <c r="C486" s="1" t="s">
        <v>17</v>
      </c>
      <c r="D486" s="1" t="s">
        <v>733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ht="23.25" customHeight="1">
      <c r="A487" s="20" t="str">
        <f>IF(COUNTIF('Icon Lookup'!C:C,B487)&gt;0,LOOKUP(B487,'Icon Lookup'!C:C,'Icon Lookup'!B:B),"")</f>
        <v/>
      </c>
      <c r="B487" s="21" t="s">
        <v>628</v>
      </c>
      <c r="C487" s="20" t="s">
        <v>17</v>
      </c>
      <c r="D487" s="20">
        <v>45.0</v>
      </c>
      <c r="E487" s="20" t="s">
        <v>560</v>
      </c>
      <c r="G487" s="22"/>
      <c r="H487" s="23" t="s">
        <v>734</v>
      </c>
      <c r="I487" s="20" t="s">
        <v>156</v>
      </c>
      <c r="J487" s="20">
        <v>0.0</v>
      </c>
      <c r="K487" s="20">
        <v>0.0</v>
      </c>
      <c r="L487" s="20">
        <v>0.0</v>
      </c>
      <c r="M487" s="20">
        <v>0.0</v>
      </c>
      <c r="N487" s="20">
        <v>0.0</v>
      </c>
      <c r="O487" s="20">
        <v>0.0</v>
      </c>
      <c r="P487" s="20">
        <v>0.0</v>
      </c>
      <c r="Q487" s="20">
        <v>0.0</v>
      </c>
      <c r="R487" s="20">
        <v>0.0</v>
      </c>
      <c r="S487" s="20">
        <v>0.0</v>
      </c>
      <c r="T487" s="20">
        <v>0.0</v>
      </c>
      <c r="U487" s="20">
        <v>0.0</v>
      </c>
    </row>
    <row r="488" ht="23.25" customHeight="1">
      <c r="A488" s="17" t="str">
        <f>IF(COUNTIF('Icon Lookup'!C:C,B488)&gt;0,LOOKUP(B488,'Icon Lookup'!C:C,'Icon Lookup'!B:B),"")</f>
        <v/>
      </c>
      <c r="B488" s="18" t="s">
        <v>735</v>
      </c>
      <c r="C488" s="17" t="s">
        <v>17</v>
      </c>
      <c r="D488" s="17">
        <v>45.0</v>
      </c>
      <c r="E488" s="17" t="s">
        <v>98</v>
      </c>
      <c r="G488" s="19"/>
      <c r="H488" s="20" t="s">
        <v>736</v>
      </c>
      <c r="I488" s="17" t="s">
        <v>89</v>
      </c>
      <c r="J488" s="17">
        <v>0.0</v>
      </c>
      <c r="K488" s="17">
        <v>0.0</v>
      </c>
      <c r="L488" s="17">
        <v>0.0</v>
      </c>
      <c r="M488" s="17">
        <v>0.0</v>
      </c>
      <c r="N488" s="17">
        <v>0.0</v>
      </c>
      <c r="O488" s="17">
        <v>0.0</v>
      </c>
      <c r="P488" s="17">
        <v>0.0</v>
      </c>
      <c r="Q488" s="17">
        <v>0.0</v>
      </c>
      <c r="R488" s="17">
        <v>0.0</v>
      </c>
      <c r="S488" s="17">
        <v>0.0</v>
      </c>
      <c r="T488" s="17">
        <v>0.0</v>
      </c>
      <c r="U488" s="17">
        <v>0.0</v>
      </c>
    </row>
    <row r="489" ht="23.25" customHeight="1">
      <c r="A489" s="20" t="str">
        <f>IF(COUNTIF('Icon Lookup'!C:C,B489)&gt;0,LOOKUP(B489,'Icon Lookup'!C:C,'Icon Lookup'!B:B),"")</f>
        <v/>
      </c>
      <c r="B489" s="21" t="s">
        <v>737</v>
      </c>
      <c r="C489" s="20" t="s">
        <v>17</v>
      </c>
      <c r="D489" s="20">
        <v>48.0</v>
      </c>
      <c r="E489" s="20" t="s">
        <v>374</v>
      </c>
      <c r="G489" s="22"/>
      <c r="H489" s="23" t="s">
        <v>738</v>
      </c>
      <c r="I489" s="20" t="s">
        <v>156</v>
      </c>
      <c r="J489" s="20">
        <v>0.0</v>
      </c>
      <c r="K489" s="20">
        <v>0.0</v>
      </c>
      <c r="L489" s="20">
        <v>0.0</v>
      </c>
      <c r="M489" s="20">
        <v>0.0</v>
      </c>
      <c r="N489" s="20">
        <v>0.0</v>
      </c>
      <c r="O489" s="20">
        <v>0.0</v>
      </c>
      <c r="P489" s="20">
        <v>0.0</v>
      </c>
      <c r="Q489" s="20">
        <v>0.0</v>
      </c>
      <c r="R489" s="20">
        <v>0.0</v>
      </c>
      <c r="S489" s="20">
        <v>0.0</v>
      </c>
      <c r="T489" s="20">
        <v>0.0</v>
      </c>
      <c r="U489" s="20">
        <v>0.0</v>
      </c>
    </row>
    <row r="490" ht="23.25" customHeight="1">
      <c r="A490" s="1" t="str">
        <f>IF(COUNTIF('Icon Lookup'!C:C,B490)&gt;0,LOOKUP(B490,'Icon Lookup'!C:C,'Icon Lookup'!B:B),"")</f>
        <v/>
      </c>
      <c r="B490" s="15" t="s">
        <v>739</v>
      </c>
      <c r="C490" s="1" t="s">
        <v>17</v>
      </c>
      <c r="D490" s="1" t="s">
        <v>740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ht="23.25" customHeight="1">
      <c r="A491" s="17" t="str">
        <f>IF(COUNTIF('Icon Lookup'!C:C,B491)&gt;0,LOOKUP(B491,'Icon Lookup'!C:C,'Icon Lookup'!B:B),"")</f>
        <v/>
      </c>
      <c r="B491" s="18" t="s">
        <v>741</v>
      </c>
      <c r="C491" s="17" t="s">
        <v>17</v>
      </c>
      <c r="D491" s="17">
        <v>47.0</v>
      </c>
      <c r="E491" s="17" t="s">
        <v>26</v>
      </c>
      <c r="G491" s="19"/>
      <c r="H491" s="20" t="s">
        <v>742</v>
      </c>
      <c r="I491" s="17" t="s">
        <v>89</v>
      </c>
      <c r="J491" s="17">
        <v>0.0</v>
      </c>
      <c r="K491" s="17">
        <v>0.0</v>
      </c>
      <c r="L491" s="17">
        <v>0.0</v>
      </c>
      <c r="M491" s="17">
        <v>0.0</v>
      </c>
      <c r="N491" s="17">
        <v>0.0</v>
      </c>
      <c r="O491" s="17">
        <v>0.0</v>
      </c>
      <c r="P491" s="17">
        <v>0.0</v>
      </c>
      <c r="Q491" s="17">
        <v>0.0</v>
      </c>
      <c r="R491" s="17">
        <v>0.0</v>
      </c>
      <c r="S491" s="17">
        <v>0.0</v>
      </c>
      <c r="T491" s="17">
        <v>0.0</v>
      </c>
      <c r="U491" s="17">
        <v>0.0</v>
      </c>
    </row>
    <row r="492" ht="23.25" customHeight="1">
      <c r="A492" s="20" t="str">
        <f>IF(COUNTIF('Icon Lookup'!C:C,B492)&gt;0,LOOKUP(B492,'Icon Lookup'!C:C,'Icon Lookup'!B:B),"")</f>
        <v/>
      </c>
      <c r="B492" s="21" t="s">
        <v>743</v>
      </c>
      <c r="C492" s="20" t="s">
        <v>17</v>
      </c>
      <c r="D492" s="20">
        <v>47.0</v>
      </c>
      <c r="E492" s="20" t="s">
        <v>511</v>
      </c>
      <c r="G492" s="22"/>
      <c r="H492" s="23" t="s">
        <v>744</v>
      </c>
      <c r="I492" s="20" t="s">
        <v>89</v>
      </c>
      <c r="J492" s="20">
        <v>0.0</v>
      </c>
      <c r="K492" s="20">
        <v>0.0</v>
      </c>
      <c r="L492" s="20">
        <v>0.0</v>
      </c>
      <c r="M492" s="20">
        <v>0.0</v>
      </c>
      <c r="N492" s="20">
        <v>0.0</v>
      </c>
      <c r="O492" s="20">
        <v>0.0</v>
      </c>
      <c r="P492" s="20">
        <v>0.0</v>
      </c>
      <c r="Q492" s="20">
        <v>0.0</v>
      </c>
      <c r="R492" s="20">
        <v>0.0</v>
      </c>
      <c r="S492" s="20">
        <v>0.0</v>
      </c>
      <c r="T492" s="20">
        <v>0.0</v>
      </c>
      <c r="U492" s="20">
        <v>0.0</v>
      </c>
    </row>
    <row r="493" ht="23.25" customHeight="1">
      <c r="A493" s="1" t="str">
        <f>IF(COUNTIF('Icon Lookup'!C:C,B493)&gt;0,LOOKUP(B493,'Icon Lookup'!C:C,'Icon Lookup'!B:B),"")</f>
        <v/>
      </c>
      <c r="B493" s="15" t="s">
        <v>745</v>
      </c>
      <c r="C493" s="1" t="s">
        <v>17</v>
      </c>
      <c r="D493" s="1" t="s">
        <v>746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ht="23.25" customHeight="1">
      <c r="A494" s="17" t="str">
        <f>IF(COUNTIF('Icon Lookup'!C:C,B494)&gt;0,LOOKUP(B494,'Icon Lookup'!C:C,'Icon Lookup'!B:B),"")</f>
        <v/>
      </c>
      <c r="B494" s="18" t="s">
        <v>747</v>
      </c>
      <c r="C494" s="17" t="s">
        <v>17</v>
      </c>
      <c r="D494" s="17">
        <v>49.0</v>
      </c>
      <c r="E494" s="17" t="s">
        <v>298</v>
      </c>
      <c r="G494" s="19"/>
      <c r="H494" s="20" t="s">
        <v>748</v>
      </c>
      <c r="I494" s="17" t="s">
        <v>89</v>
      </c>
      <c r="J494" s="17">
        <v>0.0</v>
      </c>
      <c r="K494" s="17">
        <v>0.0</v>
      </c>
      <c r="L494" s="17">
        <v>0.0</v>
      </c>
      <c r="M494" s="17">
        <v>0.0</v>
      </c>
      <c r="N494" s="17">
        <v>0.0</v>
      </c>
      <c r="O494" s="17">
        <v>0.0</v>
      </c>
      <c r="P494" s="17">
        <v>0.0</v>
      </c>
      <c r="Q494" s="17">
        <v>0.0</v>
      </c>
      <c r="R494" s="17">
        <v>0.0</v>
      </c>
      <c r="S494" s="17">
        <v>0.0</v>
      </c>
      <c r="T494" s="17">
        <v>0.0</v>
      </c>
      <c r="U494" s="17">
        <v>0.0</v>
      </c>
    </row>
    <row r="495" ht="23.25" customHeight="1">
      <c r="A495" s="1" t="str">
        <f>IF(COUNTIF('Icon Lookup'!C:C,B495)&gt;0,LOOKUP(B495,'Icon Lookup'!C:C,'Icon Lookup'!B:B),"")</f>
        <v/>
      </c>
      <c r="B495" s="15" t="s">
        <v>749</v>
      </c>
      <c r="C495" s="1" t="s">
        <v>17</v>
      </c>
      <c r="D495" s="1" t="s">
        <v>750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ht="23.25" customHeight="1">
      <c r="A496" s="20" t="str">
        <f>IF(COUNTIF('Icon Lookup'!C:C,B496)&gt;0,LOOKUP(B496,'Icon Lookup'!C:C,'Icon Lookup'!B:B),"")</f>
        <v/>
      </c>
      <c r="B496" s="21" t="s">
        <v>297</v>
      </c>
      <c r="C496" s="20" t="s">
        <v>17</v>
      </c>
      <c r="D496" s="20">
        <v>46.0</v>
      </c>
      <c r="E496" s="20" t="s">
        <v>298</v>
      </c>
      <c r="G496" s="22"/>
      <c r="H496" s="23" t="s">
        <v>751</v>
      </c>
      <c r="I496" s="20" t="s">
        <v>94</v>
      </c>
      <c r="J496" s="20">
        <v>0.0</v>
      </c>
      <c r="K496" s="20">
        <v>0.0</v>
      </c>
      <c r="L496" s="20">
        <v>0.0</v>
      </c>
      <c r="M496" s="20">
        <v>0.0</v>
      </c>
      <c r="N496" s="20">
        <v>0.0</v>
      </c>
      <c r="O496" s="20">
        <v>0.0</v>
      </c>
      <c r="P496" s="20">
        <v>0.0</v>
      </c>
      <c r="Q496" s="20">
        <v>0.0</v>
      </c>
      <c r="R496" s="20">
        <v>0.0</v>
      </c>
      <c r="S496" s="20">
        <v>0.0</v>
      </c>
      <c r="T496" s="20">
        <v>0.0</v>
      </c>
      <c r="U496" s="20">
        <v>0.0</v>
      </c>
    </row>
    <row r="497" ht="23.25" customHeight="1">
      <c r="A497" s="17" t="str">
        <f>IF(COUNTIF('Icon Lookup'!C:C,B497)&gt;0,LOOKUP(B497,'Icon Lookup'!C:C,'Icon Lookup'!B:B),"")</f>
        <v/>
      </c>
      <c r="B497" s="18" t="s">
        <v>190</v>
      </c>
      <c r="C497" s="17" t="s">
        <v>17</v>
      </c>
      <c r="D497" s="17">
        <v>49.0</v>
      </c>
      <c r="E497" s="17" t="s">
        <v>26</v>
      </c>
      <c r="G497" s="19"/>
      <c r="H497" s="20" t="s">
        <v>613</v>
      </c>
      <c r="I497" s="17" t="s">
        <v>156</v>
      </c>
      <c r="J497" s="17">
        <v>0.0</v>
      </c>
      <c r="K497" s="17">
        <v>0.0</v>
      </c>
      <c r="L497" s="17">
        <v>0.0</v>
      </c>
      <c r="M497" s="17">
        <v>0.0</v>
      </c>
      <c r="N497" s="17">
        <v>0.0</v>
      </c>
      <c r="O497" s="17">
        <v>0.0</v>
      </c>
      <c r="P497" s="17">
        <v>0.0</v>
      </c>
      <c r="Q497" s="17">
        <v>0.0</v>
      </c>
      <c r="R497" s="17">
        <v>0.0</v>
      </c>
      <c r="S497" s="17">
        <v>0.0</v>
      </c>
      <c r="T497" s="17">
        <v>0.0</v>
      </c>
      <c r="U497" s="17">
        <v>0.0</v>
      </c>
    </row>
    <row r="498" ht="23.25" customHeight="1">
      <c r="A498" s="20" t="str">
        <f>IF(COUNTIF('Icon Lookup'!C:C,B498)&gt;0,LOOKUP(B498,'Icon Lookup'!C:C,'Icon Lookup'!B:B),"")</f>
        <v/>
      </c>
      <c r="B498" s="21" t="s">
        <v>297</v>
      </c>
      <c r="C498" s="20" t="s">
        <v>17</v>
      </c>
      <c r="D498" s="20">
        <v>46.0</v>
      </c>
      <c r="E498" s="20" t="s">
        <v>298</v>
      </c>
      <c r="G498" s="22"/>
      <c r="H498" s="23" t="s">
        <v>752</v>
      </c>
      <c r="I498" s="20" t="s">
        <v>94</v>
      </c>
      <c r="J498" s="20">
        <v>0.0</v>
      </c>
      <c r="K498" s="20">
        <v>0.0</v>
      </c>
      <c r="L498" s="20">
        <v>0.0</v>
      </c>
      <c r="M498" s="20">
        <v>0.0</v>
      </c>
      <c r="N498" s="20">
        <v>0.0</v>
      </c>
      <c r="O498" s="20">
        <v>0.0</v>
      </c>
      <c r="P498" s="20">
        <v>0.0</v>
      </c>
      <c r="Q498" s="20">
        <v>0.0</v>
      </c>
      <c r="R498" s="20">
        <v>0.0</v>
      </c>
      <c r="S498" s="20">
        <v>0.0</v>
      </c>
      <c r="T498" s="20">
        <v>0.0</v>
      </c>
      <c r="U498" s="20">
        <v>0.0</v>
      </c>
    </row>
    <row r="499" ht="23.25" customHeight="1">
      <c r="A499" s="1" t="str">
        <f>IF(COUNTIF('Icon Lookup'!C:C,B499)&gt;0,LOOKUP(B499,'Icon Lookup'!C:C,'Icon Lookup'!B:B),"")</f>
        <v/>
      </c>
      <c r="B499" s="15" t="s">
        <v>753</v>
      </c>
      <c r="C499" s="1" t="s">
        <v>17</v>
      </c>
      <c r="D499" s="1" t="s">
        <v>754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ht="23.25" customHeight="1">
      <c r="A500" s="17" t="str">
        <f>IF(COUNTIF('Icon Lookup'!C:C,B500)&gt;0,LOOKUP(B500,'Icon Lookup'!C:C,'Icon Lookup'!B:B),"")</f>
        <v/>
      </c>
      <c r="B500" s="18" t="s">
        <v>97</v>
      </c>
      <c r="C500" s="17" t="s">
        <v>17</v>
      </c>
      <c r="D500" s="17">
        <v>30.0</v>
      </c>
      <c r="E500" s="17" t="s">
        <v>87</v>
      </c>
      <c r="G500" s="19"/>
      <c r="H500" s="20" t="s">
        <v>755</v>
      </c>
      <c r="I500" s="17" t="s">
        <v>89</v>
      </c>
      <c r="J500" s="17">
        <v>0.0</v>
      </c>
      <c r="K500" s="17">
        <v>0.0</v>
      </c>
      <c r="L500" s="17">
        <v>0.0</v>
      </c>
      <c r="M500" s="17">
        <v>0.0</v>
      </c>
      <c r="N500" s="17">
        <v>0.0</v>
      </c>
      <c r="O500" s="17">
        <v>0.0</v>
      </c>
      <c r="P500" s="17">
        <v>0.0</v>
      </c>
      <c r="Q500" s="17">
        <v>0.0</v>
      </c>
      <c r="R500" s="17">
        <v>0.0</v>
      </c>
      <c r="S500" s="17">
        <v>0.0</v>
      </c>
      <c r="T500" s="17">
        <v>0.0</v>
      </c>
      <c r="U500" s="17">
        <v>0.0</v>
      </c>
    </row>
    <row r="501" ht="23.25" customHeight="1">
      <c r="A501" s="20" t="str">
        <f>IF(COUNTIF('Icon Lookup'!C:C,B501)&gt;0,LOOKUP(B501,'Icon Lookup'!C:C,'Icon Lookup'!B:B),"")</f>
        <v/>
      </c>
      <c r="B501" s="21" t="s">
        <v>756</v>
      </c>
      <c r="C501" s="20" t="s">
        <v>17</v>
      </c>
      <c r="D501" s="20">
        <v>32.0</v>
      </c>
      <c r="E501" s="20" t="s">
        <v>87</v>
      </c>
      <c r="G501" s="22"/>
      <c r="H501" s="23" t="s">
        <v>757</v>
      </c>
      <c r="I501" s="20" t="s">
        <v>89</v>
      </c>
      <c r="J501" s="20">
        <v>0.0</v>
      </c>
      <c r="K501" s="20">
        <v>0.0</v>
      </c>
      <c r="L501" s="20">
        <v>0.0</v>
      </c>
      <c r="M501" s="20">
        <v>0.0</v>
      </c>
      <c r="N501" s="20">
        <v>0.0</v>
      </c>
      <c r="O501" s="20">
        <v>0.0</v>
      </c>
      <c r="P501" s="20">
        <v>0.0</v>
      </c>
      <c r="Q501" s="20">
        <v>0.0</v>
      </c>
      <c r="R501" s="20">
        <v>0.0</v>
      </c>
      <c r="S501" s="20">
        <v>0.0</v>
      </c>
      <c r="T501" s="20">
        <v>0.0</v>
      </c>
      <c r="U501" s="20">
        <v>0.0</v>
      </c>
    </row>
    <row r="502" ht="23.25" customHeight="1">
      <c r="A502" s="1" t="str">
        <f>IF(COUNTIF('Icon Lookup'!C:C,B502)&gt;0,LOOKUP(B502,'Icon Lookup'!C:C,'Icon Lookup'!B:B),"")</f>
        <v/>
      </c>
      <c r="B502" s="15" t="s">
        <v>758</v>
      </c>
      <c r="C502" s="1" t="s">
        <v>17</v>
      </c>
      <c r="D502" s="1" t="s">
        <v>759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ht="23.25" customHeight="1">
      <c r="A503" s="17" t="str">
        <f>IF(COUNTIF('Icon Lookup'!C:C,B503)&gt;0,LOOKUP(B503,'Icon Lookup'!C:C,'Icon Lookup'!B:B),"")</f>
        <v/>
      </c>
      <c r="B503" s="18" t="s">
        <v>304</v>
      </c>
      <c r="C503" s="17" t="s">
        <v>17</v>
      </c>
      <c r="D503" s="17">
        <v>46.0</v>
      </c>
      <c r="E503" s="17" t="s">
        <v>20</v>
      </c>
      <c r="G503" s="19"/>
      <c r="H503" s="20" t="s">
        <v>760</v>
      </c>
      <c r="I503" s="17" t="s">
        <v>105</v>
      </c>
      <c r="J503" s="17">
        <v>0.0</v>
      </c>
      <c r="K503" s="17">
        <v>0.0</v>
      </c>
      <c r="L503" s="17">
        <v>0.0</v>
      </c>
      <c r="M503" s="17">
        <v>0.0</v>
      </c>
      <c r="N503" s="17">
        <v>0.0</v>
      </c>
      <c r="O503" s="17">
        <v>0.0</v>
      </c>
      <c r="P503" s="17">
        <v>0.0</v>
      </c>
      <c r="Q503" s="17">
        <v>0.0</v>
      </c>
      <c r="R503" s="17">
        <v>0.0</v>
      </c>
      <c r="S503" s="17">
        <v>0.0</v>
      </c>
      <c r="T503" s="17">
        <v>0.0</v>
      </c>
      <c r="U503" s="17">
        <v>0.0</v>
      </c>
    </row>
    <row r="504" ht="23.25" customHeight="1">
      <c r="A504" s="20" t="str">
        <f>IF(COUNTIF('Icon Lookup'!C:C,B504)&gt;0,LOOKUP(B504,'Icon Lookup'!C:C,'Icon Lookup'!B:B),"")</f>
        <v/>
      </c>
      <c r="B504" s="21" t="s">
        <v>741</v>
      </c>
      <c r="C504" s="20" t="s">
        <v>17</v>
      </c>
      <c r="D504" s="20">
        <v>48.0</v>
      </c>
      <c r="E504" s="20" t="s">
        <v>26</v>
      </c>
      <c r="G504" s="22"/>
      <c r="H504" s="23" t="s">
        <v>761</v>
      </c>
      <c r="I504" s="20" t="s">
        <v>211</v>
      </c>
      <c r="J504" s="20">
        <v>0.0</v>
      </c>
      <c r="K504" s="20">
        <v>0.0</v>
      </c>
      <c r="L504" s="20">
        <v>0.0</v>
      </c>
      <c r="M504" s="20">
        <v>0.0</v>
      </c>
      <c r="N504" s="20">
        <v>0.0</v>
      </c>
      <c r="O504" s="20">
        <v>0.0</v>
      </c>
      <c r="P504" s="20">
        <v>0.0</v>
      </c>
      <c r="Q504" s="20">
        <v>0.0</v>
      </c>
      <c r="R504" s="20">
        <v>0.0</v>
      </c>
      <c r="S504" s="20">
        <v>0.0</v>
      </c>
      <c r="T504" s="20">
        <v>0.0</v>
      </c>
      <c r="U504" s="20">
        <v>0.0</v>
      </c>
    </row>
    <row r="505" ht="23.25" customHeight="1">
      <c r="A505" s="1" t="str">
        <f>IF(COUNTIF('Icon Lookup'!C:C,B505)&gt;0,LOOKUP(B505,'Icon Lookup'!C:C,'Icon Lookup'!B:B),"")</f>
        <v/>
      </c>
      <c r="B505" s="15" t="s">
        <v>762</v>
      </c>
      <c r="C505" s="1" t="s">
        <v>17</v>
      </c>
      <c r="D505" s="1" t="s">
        <v>763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ht="23.25" customHeight="1">
      <c r="A506" s="17" t="str">
        <f>IF(COUNTIF('Icon Lookup'!C:C,B506)&gt;0,LOOKUP(B506,'Icon Lookup'!C:C,'Icon Lookup'!B:B),"")</f>
        <v/>
      </c>
      <c r="B506" s="18" t="s">
        <v>442</v>
      </c>
      <c r="C506" s="17" t="s">
        <v>17</v>
      </c>
      <c r="D506" s="17">
        <v>43.0</v>
      </c>
      <c r="E506" s="17" t="s">
        <v>161</v>
      </c>
      <c r="G506" s="19"/>
      <c r="H506" s="20" t="s">
        <v>764</v>
      </c>
      <c r="I506" s="17" t="s">
        <v>156</v>
      </c>
      <c r="J506" s="17">
        <v>0.0</v>
      </c>
      <c r="K506" s="17">
        <v>0.0</v>
      </c>
      <c r="L506" s="17">
        <v>0.0</v>
      </c>
      <c r="M506" s="17">
        <v>0.0</v>
      </c>
      <c r="N506" s="17">
        <v>0.0</v>
      </c>
      <c r="O506" s="17">
        <v>0.0</v>
      </c>
      <c r="P506" s="17">
        <v>0.0</v>
      </c>
      <c r="Q506" s="17">
        <v>0.0</v>
      </c>
      <c r="R506" s="17">
        <v>0.0</v>
      </c>
      <c r="S506" s="17">
        <v>0.0</v>
      </c>
      <c r="T506" s="17">
        <v>0.0</v>
      </c>
      <c r="U506" s="17">
        <v>0.0</v>
      </c>
    </row>
    <row r="507" ht="23.25" customHeight="1">
      <c r="A507" s="20" t="str">
        <f>IF(COUNTIF('Icon Lookup'!C:C,B507)&gt;0,LOOKUP(B507,'Icon Lookup'!C:C,'Icon Lookup'!B:B),"")</f>
        <v/>
      </c>
      <c r="B507" s="21" t="s">
        <v>765</v>
      </c>
      <c r="C507" s="20" t="s">
        <v>17</v>
      </c>
      <c r="D507" s="20">
        <v>46.0</v>
      </c>
      <c r="E507" s="20" t="s">
        <v>38</v>
      </c>
      <c r="G507" s="22"/>
      <c r="H507" s="23" t="s">
        <v>766</v>
      </c>
      <c r="I507" s="20" t="s">
        <v>156</v>
      </c>
      <c r="J507" s="20">
        <v>0.0</v>
      </c>
      <c r="K507" s="20">
        <v>0.0</v>
      </c>
      <c r="L507" s="20">
        <v>0.0</v>
      </c>
      <c r="M507" s="20">
        <v>0.0</v>
      </c>
      <c r="N507" s="20">
        <v>0.0</v>
      </c>
      <c r="O507" s="20">
        <v>0.0</v>
      </c>
      <c r="P507" s="20">
        <v>0.0</v>
      </c>
      <c r="Q507" s="20">
        <v>0.0</v>
      </c>
      <c r="R507" s="20">
        <v>0.0</v>
      </c>
      <c r="S507" s="20">
        <v>0.0</v>
      </c>
      <c r="T507" s="20">
        <v>0.0</v>
      </c>
      <c r="U507" s="20">
        <v>0.0</v>
      </c>
    </row>
    <row r="508" ht="23.25" customHeight="1">
      <c r="A508" s="17" t="str">
        <f>IF(COUNTIF('Icon Lookup'!C:C,B508)&gt;0,LOOKUP(B508,'Icon Lookup'!C:C,'Icon Lookup'!B:B),"")</f>
        <v/>
      </c>
      <c r="B508" s="18" t="s">
        <v>767</v>
      </c>
      <c r="C508" s="17" t="s">
        <v>17</v>
      </c>
      <c r="D508" s="17">
        <v>46.0</v>
      </c>
      <c r="E508" s="17" t="s">
        <v>768</v>
      </c>
      <c r="G508" s="19"/>
      <c r="H508" s="20" t="s">
        <v>769</v>
      </c>
      <c r="I508" s="17" t="s">
        <v>156</v>
      </c>
      <c r="J508" s="17">
        <v>0.0</v>
      </c>
      <c r="K508" s="17">
        <v>0.0</v>
      </c>
      <c r="L508" s="17">
        <v>0.0</v>
      </c>
      <c r="M508" s="17">
        <v>0.0</v>
      </c>
      <c r="N508" s="17">
        <v>0.0</v>
      </c>
      <c r="O508" s="17">
        <v>0.0</v>
      </c>
      <c r="P508" s="17">
        <v>0.0</v>
      </c>
      <c r="Q508" s="17">
        <v>0.0</v>
      </c>
      <c r="R508" s="17">
        <v>0.0</v>
      </c>
      <c r="S508" s="17">
        <v>0.0</v>
      </c>
      <c r="T508" s="17">
        <v>0.0</v>
      </c>
      <c r="U508" s="17">
        <v>0.0</v>
      </c>
    </row>
    <row r="509" ht="23.25" customHeight="1">
      <c r="A509" s="1" t="str">
        <f>IF(COUNTIF('Icon Lookup'!C:C,B509)&gt;0,LOOKUP(B509,'Icon Lookup'!C:C,'Icon Lookup'!B:B),"")</f>
        <v/>
      </c>
      <c r="B509" s="15" t="s">
        <v>770</v>
      </c>
      <c r="C509" s="1" t="s">
        <v>17</v>
      </c>
      <c r="D509" s="1" t="s">
        <v>771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ht="23.25" customHeight="1">
      <c r="A510" s="20" t="str">
        <f>IF(COUNTIF('Icon Lookup'!C:C,B510)&gt;0,LOOKUP(B510,'Icon Lookup'!C:C,'Icon Lookup'!B:B),"")</f>
        <v/>
      </c>
      <c r="B510" s="21" t="s">
        <v>772</v>
      </c>
      <c r="C510" s="20" t="s">
        <v>17</v>
      </c>
      <c r="D510" s="20">
        <v>44.0</v>
      </c>
      <c r="E510" s="20" t="s">
        <v>161</v>
      </c>
      <c r="G510" s="22"/>
      <c r="H510" s="23" t="s">
        <v>773</v>
      </c>
      <c r="I510" s="20" t="s">
        <v>197</v>
      </c>
      <c r="J510" s="20">
        <v>0.0</v>
      </c>
      <c r="K510" s="20">
        <v>0.0</v>
      </c>
      <c r="L510" s="20">
        <v>0.0</v>
      </c>
      <c r="M510" s="20">
        <v>0.0</v>
      </c>
      <c r="N510" s="20">
        <v>0.0</v>
      </c>
      <c r="O510" s="20">
        <v>0.0</v>
      </c>
      <c r="P510" s="20">
        <v>0.0</v>
      </c>
      <c r="Q510" s="20">
        <v>0.0</v>
      </c>
      <c r="R510" s="20">
        <v>0.0</v>
      </c>
      <c r="S510" s="20">
        <v>0.0</v>
      </c>
      <c r="T510" s="20">
        <v>0.0</v>
      </c>
      <c r="U510" s="20">
        <v>0.0</v>
      </c>
    </row>
    <row r="511" ht="23.25" customHeight="1">
      <c r="A511" s="17" t="str">
        <f>IF(COUNTIF('Icon Lookup'!C:C,B511)&gt;0,LOOKUP(B511,'Icon Lookup'!C:C,'Icon Lookup'!B:B),"")</f>
        <v/>
      </c>
      <c r="B511" s="18" t="s">
        <v>774</v>
      </c>
      <c r="C511" s="17" t="s">
        <v>17</v>
      </c>
      <c r="D511" s="17">
        <v>48.0</v>
      </c>
      <c r="E511" s="17" t="s">
        <v>161</v>
      </c>
      <c r="G511" s="19"/>
      <c r="H511" s="20" t="s">
        <v>775</v>
      </c>
      <c r="I511" s="17" t="s">
        <v>105</v>
      </c>
      <c r="J511" s="17">
        <v>0.0</v>
      </c>
      <c r="K511" s="17">
        <v>0.0</v>
      </c>
      <c r="L511" s="17">
        <v>0.0</v>
      </c>
      <c r="M511" s="17">
        <v>0.0</v>
      </c>
      <c r="N511" s="17">
        <v>0.0</v>
      </c>
      <c r="O511" s="17">
        <v>0.0</v>
      </c>
      <c r="P511" s="17">
        <v>0.0</v>
      </c>
      <c r="Q511" s="17">
        <v>0.0</v>
      </c>
      <c r="R511" s="17">
        <v>0.0</v>
      </c>
      <c r="S511" s="17">
        <v>0.0</v>
      </c>
      <c r="T511" s="17">
        <v>0.0</v>
      </c>
      <c r="U511" s="17">
        <v>0.0</v>
      </c>
    </row>
    <row r="512" ht="23.25" customHeight="1">
      <c r="A512" s="1" t="str">
        <f>IF(COUNTIF('Icon Lookup'!C:C,B512)&gt;0,LOOKUP(B512,'Icon Lookup'!C:C,'Icon Lookup'!B:B),"")</f>
        <v/>
      </c>
      <c r="B512" s="15" t="s">
        <v>776</v>
      </c>
      <c r="C512" s="1" t="s">
        <v>17</v>
      </c>
      <c r="D512" s="1" t="s">
        <v>777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ht="23.25" customHeight="1">
      <c r="A513" s="20" t="str">
        <f>IF(COUNTIF('Icon Lookup'!C:C,B513)&gt;0,LOOKUP(B513,'Icon Lookup'!C:C,'Icon Lookup'!B:B),"")</f>
        <v/>
      </c>
      <c r="B513" s="21" t="s">
        <v>190</v>
      </c>
      <c r="C513" s="20" t="s">
        <v>17</v>
      </c>
      <c r="D513" s="20">
        <v>47.0</v>
      </c>
      <c r="E513" s="20" t="s">
        <v>26</v>
      </c>
      <c r="G513" s="22"/>
      <c r="H513" s="23" t="s">
        <v>613</v>
      </c>
      <c r="I513" s="20" t="s">
        <v>156</v>
      </c>
      <c r="J513" s="20">
        <v>0.0</v>
      </c>
      <c r="K513" s="20">
        <v>0.0</v>
      </c>
      <c r="L513" s="20">
        <v>0.0</v>
      </c>
      <c r="M513" s="20">
        <v>0.0</v>
      </c>
      <c r="N513" s="20">
        <v>0.0</v>
      </c>
      <c r="O513" s="20">
        <v>0.0</v>
      </c>
      <c r="P513" s="20">
        <v>0.0</v>
      </c>
      <c r="Q513" s="20">
        <v>0.0</v>
      </c>
      <c r="R513" s="20">
        <v>0.0</v>
      </c>
      <c r="S513" s="20">
        <v>0.0</v>
      </c>
      <c r="T513" s="20">
        <v>0.0</v>
      </c>
      <c r="U513" s="20">
        <v>0.0</v>
      </c>
    </row>
    <row r="514" ht="23.25" customHeight="1">
      <c r="A514" s="1" t="str">
        <f>IF(COUNTIF('Icon Lookup'!C:C,B514)&gt;0,LOOKUP(B514,'Icon Lookup'!C:C,'Icon Lookup'!B:B),"")</f>
        <v/>
      </c>
      <c r="B514" s="15" t="s">
        <v>778</v>
      </c>
      <c r="C514" s="1" t="s">
        <v>17</v>
      </c>
      <c r="D514" s="1" t="s">
        <v>779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ht="23.25" customHeight="1">
      <c r="A515" s="17" t="str">
        <f>IF(COUNTIF('Icon Lookup'!C:C,B515)&gt;0,LOOKUP(B515,'Icon Lookup'!C:C,'Icon Lookup'!B:B),"")</f>
        <v/>
      </c>
      <c r="B515" s="18" t="s">
        <v>582</v>
      </c>
      <c r="C515" s="17" t="s">
        <v>17</v>
      </c>
      <c r="D515" s="17">
        <v>47.0</v>
      </c>
      <c r="E515" s="17" t="s">
        <v>166</v>
      </c>
      <c r="G515" s="19"/>
      <c r="H515" s="20" t="s">
        <v>780</v>
      </c>
      <c r="I515" s="17" t="s">
        <v>197</v>
      </c>
      <c r="J515" s="17">
        <v>0.0</v>
      </c>
      <c r="K515" s="17">
        <v>0.0</v>
      </c>
      <c r="L515" s="17">
        <v>0.0</v>
      </c>
      <c r="M515" s="17">
        <v>0.0</v>
      </c>
      <c r="N515" s="17">
        <v>0.0</v>
      </c>
      <c r="O515" s="17">
        <v>0.0</v>
      </c>
      <c r="P515" s="17">
        <v>0.0</v>
      </c>
      <c r="Q515" s="17">
        <v>0.0</v>
      </c>
      <c r="R515" s="17">
        <v>0.0</v>
      </c>
      <c r="S515" s="17">
        <v>0.0</v>
      </c>
      <c r="T515" s="17">
        <v>0.0</v>
      </c>
      <c r="U515" s="17">
        <v>0.0</v>
      </c>
    </row>
    <row r="516" ht="23.25" customHeight="1">
      <c r="A516" s="1" t="str">
        <f>IF(COUNTIF('Icon Lookup'!C:C,B516)&gt;0,LOOKUP(B516,'Icon Lookup'!C:C,'Icon Lookup'!B:B),"")</f>
        <v/>
      </c>
      <c r="B516" s="15" t="s">
        <v>781</v>
      </c>
      <c r="C516" s="1" t="s">
        <v>17</v>
      </c>
      <c r="D516" s="1" t="s">
        <v>782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ht="23.25" customHeight="1">
      <c r="A517" s="20" t="str">
        <f>IF(COUNTIF('Icon Lookup'!C:C,B517)&gt;0,LOOKUP(B517,'Icon Lookup'!C:C,'Icon Lookup'!B:B),"")</f>
        <v/>
      </c>
      <c r="B517" s="21" t="s">
        <v>741</v>
      </c>
      <c r="C517" s="20" t="s">
        <v>17</v>
      </c>
      <c r="D517" s="20">
        <v>47.0</v>
      </c>
      <c r="E517" s="20" t="s">
        <v>26</v>
      </c>
      <c r="G517" s="22"/>
      <c r="H517" s="23" t="s">
        <v>783</v>
      </c>
      <c r="I517" s="20" t="s">
        <v>89</v>
      </c>
      <c r="J517" s="20">
        <v>0.0</v>
      </c>
      <c r="K517" s="20">
        <v>0.0</v>
      </c>
      <c r="L517" s="20">
        <v>0.0</v>
      </c>
      <c r="M517" s="20">
        <v>0.0</v>
      </c>
      <c r="N517" s="20">
        <v>0.0</v>
      </c>
      <c r="O517" s="20">
        <v>0.0</v>
      </c>
      <c r="P517" s="20">
        <v>0.0</v>
      </c>
      <c r="Q517" s="20">
        <v>0.0</v>
      </c>
      <c r="R517" s="20">
        <v>0.0</v>
      </c>
      <c r="S517" s="20">
        <v>0.0</v>
      </c>
      <c r="T517" s="20">
        <v>0.0</v>
      </c>
      <c r="U517" s="20">
        <v>0.0</v>
      </c>
    </row>
    <row r="518" ht="23.25" customHeight="1">
      <c r="A518" s="1" t="str">
        <f>IF(COUNTIF('Icon Lookup'!C:C,B518)&gt;0,LOOKUP(B518,'Icon Lookup'!C:C,'Icon Lookup'!B:B),"")</f>
        <v/>
      </c>
      <c r="B518" s="15" t="s">
        <v>784</v>
      </c>
      <c r="C518" s="1" t="s">
        <v>17</v>
      </c>
      <c r="D518" s="1" t="s">
        <v>785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ht="23.25" customHeight="1">
      <c r="A519" s="17" t="str">
        <f>IF(COUNTIF('Icon Lookup'!C:C,B519)&gt;0,LOOKUP(B519,'Icon Lookup'!C:C,'Icon Lookup'!B:B),"")</f>
        <v/>
      </c>
      <c r="B519" s="18" t="s">
        <v>568</v>
      </c>
      <c r="C519" s="17" t="s">
        <v>17</v>
      </c>
      <c r="D519" s="17">
        <v>47.0</v>
      </c>
      <c r="E519" s="17" t="s">
        <v>188</v>
      </c>
      <c r="G519" s="19"/>
      <c r="H519" s="20" t="s">
        <v>786</v>
      </c>
      <c r="I519" s="17" t="s">
        <v>211</v>
      </c>
      <c r="J519" s="17">
        <v>0.0</v>
      </c>
      <c r="K519" s="17">
        <v>0.0</v>
      </c>
      <c r="L519" s="17">
        <v>0.0</v>
      </c>
      <c r="M519" s="17">
        <v>0.0</v>
      </c>
      <c r="N519" s="17">
        <v>0.0</v>
      </c>
      <c r="O519" s="17">
        <v>0.0</v>
      </c>
      <c r="P519" s="17">
        <v>0.0</v>
      </c>
      <c r="Q519" s="17">
        <v>0.0</v>
      </c>
      <c r="R519" s="17">
        <v>0.0</v>
      </c>
      <c r="S519" s="17">
        <v>0.0</v>
      </c>
      <c r="T519" s="17">
        <v>0.0</v>
      </c>
      <c r="U519" s="17">
        <v>0.0</v>
      </c>
    </row>
    <row r="520" ht="23.25" customHeight="1">
      <c r="A520" s="1" t="str">
        <f>IF(COUNTIF('Icon Lookup'!C:C,B520)&gt;0,LOOKUP(B520,'Icon Lookup'!C:C,'Icon Lookup'!B:B),"")</f>
        <v/>
      </c>
      <c r="B520" s="15" t="s">
        <v>787</v>
      </c>
      <c r="C520" s="1" t="s">
        <v>17</v>
      </c>
      <c r="D520" s="1" t="s">
        <v>788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ht="23.25" customHeight="1">
      <c r="A521" s="20" t="str">
        <f>IF(COUNTIF('Icon Lookup'!C:C,B521)&gt;0,LOOKUP(B521,'Icon Lookup'!C:C,'Icon Lookup'!B:B),"")</f>
        <v/>
      </c>
      <c r="B521" s="21" t="s">
        <v>789</v>
      </c>
      <c r="C521" s="20" t="s">
        <v>17</v>
      </c>
      <c r="D521" s="20">
        <v>33.0</v>
      </c>
      <c r="E521" s="20" t="s">
        <v>38</v>
      </c>
      <c r="G521" s="22"/>
      <c r="H521" s="23" t="s">
        <v>790</v>
      </c>
      <c r="I521" s="20" t="s">
        <v>94</v>
      </c>
      <c r="J521" s="20">
        <v>0.0</v>
      </c>
      <c r="K521" s="20">
        <v>0.0</v>
      </c>
      <c r="L521" s="20">
        <v>0.0</v>
      </c>
      <c r="M521" s="20">
        <v>0.0</v>
      </c>
      <c r="N521" s="20">
        <v>0.0</v>
      </c>
      <c r="O521" s="20">
        <v>0.0</v>
      </c>
      <c r="P521" s="20">
        <v>0.0</v>
      </c>
      <c r="Q521" s="20">
        <v>0.0</v>
      </c>
      <c r="R521" s="20">
        <v>0.0</v>
      </c>
      <c r="S521" s="20">
        <v>0.0</v>
      </c>
      <c r="T521" s="20">
        <v>0.0</v>
      </c>
      <c r="U521" s="20">
        <v>0.0</v>
      </c>
    </row>
    <row r="522" ht="23.25" customHeight="1">
      <c r="A522" s="17" t="str">
        <f>IF(COUNTIF('Icon Lookup'!C:C,B522)&gt;0,LOOKUP(B522,'Icon Lookup'!C:C,'Icon Lookup'!B:B),"")</f>
        <v/>
      </c>
      <c r="B522" s="18" t="s">
        <v>741</v>
      </c>
      <c r="C522" s="17" t="s">
        <v>17</v>
      </c>
      <c r="D522" s="17">
        <v>34.0</v>
      </c>
      <c r="E522" s="17" t="s">
        <v>26</v>
      </c>
      <c r="G522" s="19"/>
      <c r="H522" s="20" t="s">
        <v>791</v>
      </c>
      <c r="I522" s="17" t="s">
        <v>89</v>
      </c>
      <c r="J522" s="17">
        <v>0.0</v>
      </c>
      <c r="K522" s="17">
        <v>0.0</v>
      </c>
      <c r="L522" s="17">
        <v>0.0</v>
      </c>
      <c r="M522" s="17">
        <v>0.0</v>
      </c>
      <c r="N522" s="17">
        <v>0.0</v>
      </c>
      <c r="O522" s="17">
        <v>0.0</v>
      </c>
      <c r="P522" s="17">
        <v>0.0</v>
      </c>
      <c r="Q522" s="17">
        <v>0.0</v>
      </c>
      <c r="R522" s="17">
        <v>0.0</v>
      </c>
      <c r="S522" s="17">
        <v>0.0</v>
      </c>
      <c r="T522" s="17">
        <v>0.0</v>
      </c>
      <c r="U522" s="17">
        <v>0.0</v>
      </c>
    </row>
    <row r="523" ht="23.25" customHeight="1">
      <c r="A523" s="20" t="str">
        <f>IF(COUNTIF('Icon Lookup'!C:C,B523)&gt;0,LOOKUP(B523,'Icon Lookup'!C:C,'Icon Lookup'!B:B),"")</f>
        <v/>
      </c>
      <c r="B523" s="21" t="s">
        <v>176</v>
      </c>
      <c r="C523" s="20" t="s">
        <v>17</v>
      </c>
      <c r="D523" s="20">
        <v>35.0</v>
      </c>
      <c r="E523" s="20" t="s">
        <v>98</v>
      </c>
      <c r="G523" s="22"/>
      <c r="H523" s="23" t="s">
        <v>792</v>
      </c>
      <c r="I523" s="20" t="s">
        <v>89</v>
      </c>
      <c r="J523" s="20">
        <v>0.0</v>
      </c>
      <c r="K523" s="20">
        <v>0.0</v>
      </c>
      <c r="L523" s="20">
        <v>0.0</v>
      </c>
      <c r="M523" s="20">
        <v>0.0</v>
      </c>
      <c r="N523" s="20">
        <v>0.0</v>
      </c>
      <c r="O523" s="20">
        <v>0.0</v>
      </c>
      <c r="P523" s="20">
        <v>0.0</v>
      </c>
      <c r="Q523" s="20">
        <v>0.0</v>
      </c>
      <c r="R523" s="20">
        <v>0.0</v>
      </c>
      <c r="S523" s="20">
        <v>0.0</v>
      </c>
      <c r="T523" s="20">
        <v>0.0</v>
      </c>
      <c r="U523" s="20">
        <v>0.0</v>
      </c>
    </row>
    <row r="524" ht="23.25" customHeight="1">
      <c r="A524" s="1" t="str">
        <f>IF(COUNTIF('Icon Lookup'!C:C,B524)&gt;0,LOOKUP(B524,'Icon Lookup'!C:C,'Icon Lookup'!B:B),"")</f>
        <v/>
      </c>
      <c r="B524" s="15" t="s">
        <v>793</v>
      </c>
      <c r="C524" s="1" t="s">
        <v>17</v>
      </c>
      <c r="D524" s="1" t="s">
        <v>794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ht="23.25" customHeight="1">
      <c r="A525" s="17" t="str">
        <f>IF(COUNTIF('Icon Lookup'!C:C,B525)&gt;0,LOOKUP(B525,'Icon Lookup'!C:C,'Icon Lookup'!B:B),"")</f>
        <v/>
      </c>
      <c r="B525" s="18" t="s">
        <v>86</v>
      </c>
      <c r="C525" s="17" t="s">
        <v>17</v>
      </c>
      <c r="D525" s="17">
        <v>10.0</v>
      </c>
      <c r="E525" s="17" t="s">
        <v>87</v>
      </c>
      <c r="G525" s="19"/>
      <c r="H525" s="20" t="s">
        <v>795</v>
      </c>
      <c r="I525" s="17" t="s">
        <v>211</v>
      </c>
      <c r="J525" s="17">
        <v>0.0</v>
      </c>
      <c r="K525" s="17">
        <v>0.0</v>
      </c>
      <c r="L525" s="17">
        <v>0.0</v>
      </c>
      <c r="M525" s="17">
        <v>0.0</v>
      </c>
      <c r="N525" s="17">
        <v>0.0</v>
      </c>
      <c r="O525" s="17">
        <v>0.0</v>
      </c>
      <c r="P525" s="17">
        <v>0.0</v>
      </c>
      <c r="Q525" s="17">
        <v>0.0</v>
      </c>
      <c r="R525" s="17">
        <v>0.0</v>
      </c>
      <c r="S525" s="17">
        <v>0.0</v>
      </c>
      <c r="T525" s="17">
        <v>0.0</v>
      </c>
      <c r="U525" s="17">
        <v>0.0</v>
      </c>
    </row>
    <row r="526" ht="23.25" customHeight="1">
      <c r="A526" s="1" t="str">
        <f>IF(COUNTIF('Icon Lookup'!C:C,B526)&gt;0,LOOKUP(B526,'Icon Lookup'!C:C,'Icon Lookup'!B:B),"")</f>
        <v/>
      </c>
      <c r="B526" s="15" t="s">
        <v>796</v>
      </c>
      <c r="C526" s="1" t="s">
        <v>17</v>
      </c>
      <c r="D526" s="1" t="s">
        <v>797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ht="23.25" customHeight="1">
      <c r="A527" s="20" t="str">
        <f>IF(COUNTIF('Icon Lookup'!C:C,B527)&gt;0,LOOKUP(B527,'Icon Lookup'!C:C,'Icon Lookup'!B:B),"")</f>
        <v/>
      </c>
      <c r="B527" s="21" t="s">
        <v>86</v>
      </c>
      <c r="C527" s="20" t="s">
        <v>17</v>
      </c>
      <c r="D527" s="20">
        <v>8.0</v>
      </c>
      <c r="E527" s="20" t="s">
        <v>87</v>
      </c>
      <c r="G527" s="22"/>
      <c r="H527" s="23" t="s">
        <v>798</v>
      </c>
      <c r="I527" s="20" t="s">
        <v>211</v>
      </c>
      <c r="J527" s="20">
        <v>0.0</v>
      </c>
      <c r="K527" s="20">
        <v>0.0</v>
      </c>
      <c r="L527" s="20">
        <v>0.0</v>
      </c>
      <c r="M527" s="20">
        <v>0.0</v>
      </c>
      <c r="N527" s="20">
        <v>0.0</v>
      </c>
      <c r="O527" s="20">
        <v>0.0</v>
      </c>
      <c r="P527" s="20">
        <v>0.0</v>
      </c>
      <c r="Q527" s="20">
        <v>0.0</v>
      </c>
      <c r="R527" s="20">
        <v>0.0</v>
      </c>
      <c r="S527" s="20">
        <v>0.0</v>
      </c>
      <c r="T527" s="20">
        <v>0.0</v>
      </c>
      <c r="U527" s="20">
        <v>0.0</v>
      </c>
    </row>
    <row r="528" ht="23.25" customHeight="1">
      <c r="A528" s="17" t="str">
        <f>IF(COUNTIF('Icon Lookup'!C:C,B528)&gt;0,LOOKUP(B528,'Icon Lookup'!C:C,'Icon Lookup'!B:B),"")</f>
        <v/>
      </c>
      <c r="B528" s="18" t="s">
        <v>97</v>
      </c>
      <c r="C528" s="17" t="s">
        <v>17</v>
      </c>
      <c r="D528" s="17">
        <v>8.0</v>
      </c>
      <c r="E528" s="17" t="s">
        <v>87</v>
      </c>
      <c r="G528" s="19"/>
      <c r="H528" s="20" t="s">
        <v>799</v>
      </c>
      <c r="I528" s="17" t="s">
        <v>211</v>
      </c>
      <c r="J528" s="17">
        <v>0.0</v>
      </c>
      <c r="K528" s="17">
        <v>0.0</v>
      </c>
      <c r="L528" s="17">
        <v>0.0</v>
      </c>
      <c r="M528" s="17">
        <v>0.0</v>
      </c>
      <c r="N528" s="17">
        <v>0.0</v>
      </c>
      <c r="O528" s="17">
        <v>0.0</v>
      </c>
      <c r="P528" s="17">
        <v>0.0</v>
      </c>
      <c r="Q528" s="17">
        <v>0.0</v>
      </c>
      <c r="R528" s="17">
        <v>0.0</v>
      </c>
      <c r="S528" s="17">
        <v>0.0</v>
      </c>
      <c r="T528" s="17">
        <v>0.0</v>
      </c>
      <c r="U528" s="17">
        <v>0.0</v>
      </c>
    </row>
    <row r="529" ht="23.25" customHeight="1">
      <c r="A529" s="1" t="str">
        <f>IF(COUNTIF('Icon Lookup'!C:C,B529)&gt;0,LOOKUP(B529,'Icon Lookup'!C:C,'Icon Lookup'!B:B),"")</f>
        <v/>
      </c>
      <c r="B529" s="15" t="s">
        <v>800</v>
      </c>
      <c r="C529" s="1" t="s">
        <v>17</v>
      </c>
      <c r="D529" s="1" t="s">
        <v>801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ht="23.25" customHeight="1">
      <c r="A530" s="20" t="str">
        <f>IF(COUNTIF('Icon Lookup'!C:C,B530)&gt;0,LOOKUP(B530,'Icon Lookup'!C:C,'Icon Lookup'!B:B),"")</f>
        <v/>
      </c>
      <c r="B530" s="21" t="s">
        <v>86</v>
      </c>
      <c r="C530" s="20" t="s">
        <v>17</v>
      </c>
      <c r="D530" s="20">
        <v>12.0</v>
      </c>
      <c r="E530" s="20" t="s">
        <v>87</v>
      </c>
      <c r="G530" s="22"/>
      <c r="H530" s="23" t="s">
        <v>802</v>
      </c>
      <c r="I530" s="20" t="s">
        <v>211</v>
      </c>
      <c r="J530" s="20">
        <v>0.0</v>
      </c>
      <c r="K530" s="20">
        <v>0.0</v>
      </c>
      <c r="L530" s="20">
        <v>0.0</v>
      </c>
      <c r="M530" s="20">
        <v>0.0</v>
      </c>
      <c r="N530" s="20">
        <v>0.0</v>
      </c>
      <c r="O530" s="20">
        <v>0.0</v>
      </c>
      <c r="P530" s="20">
        <v>0.0</v>
      </c>
      <c r="Q530" s="20">
        <v>0.0</v>
      </c>
      <c r="R530" s="20">
        <v>0.0</v>
      </c>
      <c r="S530" s="20">
        <v>0.0</v>
      </c>
      <c r="T530" s="20">
        <v>0.0</v>
      </c>
      <c r="U530" s="20">
        <v>0.0</v>
      </c>
    </row>
    <row r="531" ht="23.25" customHeight="1">
      <c r="A531" s="17" t="str">
        <f>IF(COUNTIF('Icon Lookup'!C:C,B531)&gt;0,LOOKUP(B531,'Icon Lookup'!C:C,'Icon Lookup'!B:B),"")</f>
        <v/>
      </c>
      <c r="B531" s="18" t="s">
        <v>97</v>
      </c>
      <c r="C531" s="17" t="s">
        <v>17</v>
      </c>
      <c r="D531" s="17">
        <v>12.0</v>
      </c>
      <c r="E531" s="17" t="s">
        <v>98</v>
      </c>
      <c r="G531" s="19"/>
      <c r="H531" s="20" t="s">
        <v>803</v>
      </c>
      <c r="I531" s="17" t="s">
        <v>550</v>
      </c>
      <c r="J531" s="17">
        <v>0.0</v>
      </c>
      <c r="K531" s="17">
        <v>0.0</v>
      </c>
      <c r="L531" s="17">
        <v>0.0</v>
      </c>
      <c r="M531" s="17">
        <v>0.0</v>
      </c>
      <c r="N531" s="17">
        <v>0.0</v>
      </c>
      <c r="O531" s="17">
        <v>0.0</v>
      </c>
      <c r="P531" s="17">
        <v>0.0</v>
      </c>
      <c r="Q531" s="17">
        <v>0.0</v>
      </c>
      <c r="R531" s="17">
        <v>0.0</v>
      </c>
      <c r="S531" s="17">
        <v>0.0</v>
      </c>
      <c r="T531" s="17">
        <v>0.0</v>
      </c>
      <c r="U531" s="17">
        <v>0.0</v>
      </c>
    </row>
    <row r="532" ht="23.25" customHeight="1">
      <c r="A532" s="24" t="str">
        <f>IF(COUNTIF('Icon Lookup'!C:C,B532)&gt;0,LOOKUP(B532,'Icon Lookup'!C:C,'Icon Lookup'!B:B),"")</f>
        <v/>
      </c>
      <c r="B532" s="25" t="s">
        <v>433</v>
      </c>
      <c r="C532" s="24" t="s">
        <v>804</v>
      </c>
      <c r="D532" s="24">
        <v>14.0</v>
      </c>
      <c r="E532" s="24" t="s">
        <v>434</v>
      </c>
      <c r="G532" s="22"/>
      <c r="H532" s="23" t="s">
        <v>805</v>
      </c>
      <c r="I532" s="24" t="s">
        <v>22</v>
      </c>
      <c r="J532" s="24">
        <v>0.0</v>
      </c>
      <c r="K532" s="24">
        <v>0.0</v>
      </c>
      <c r="L532" s="24">
        <v>0.0</v>
      </c>
      <c r="M532" s="24">
        <v>0.0</v>
      </c>
      <c r="N532" s="24">
        <v>0.0</v>
      </c>
      <c r="O532" s="24">
        <v>0.0</v>
      </c>
      <c r="P532" s="24">
        <v>0.0</v>
      </c>
      <c r="Q532" s="24">
        <v>0.0</v>
      </c>
      <c r="R532" s="24">
        <v>0.0</v>
      </c>
      <c r="S532" s="24">
        <v>0.0</v>
      </c>
      <c r="T532" s="24">
        <v>0.0</v>
      </c>
      <c r="U532" s="24">
        <v>0.0</v>
      </c>
    </row>
    <row r="533" ht="23.25" customHeight="1">
      <c r="A533" s="1" t="str">
        <f>IF(COUNTIF('Icon Lookup'!C:C,B533)&gt;0,LOOKUP(B533,'Icon Lookup'!C:C,'Icon Lookup'!B:B),"")</f>
        <v/>
      </c>
      <c r="B533" s="15" t="s">
        <v>806</v>
      </c>
      <c r="C533" s="1" t="s">
        <v>17</v>
      </c>
      <c r="D533" s="1" t="s">
        <v>807</v>
      </c>
      <c r="G533" s="16"/>
      <c r="H533" s="26" t="s">
        <v>808</v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ht="23.25" customHeight="1">
      <c r="A534" s="17" t="str">
        <f>IF(COUNTIF('Icon Lookup'!C:C,B534)&gt;0,LOOKUP(B534,'Icon Lookup'!C:C,'Icon Lookup'!B:B),"")</f>
        <v/>
      </c>
      <c r="B534" s="18" t="s">
        <v>19</v>
      </c>
      <c r="C534" s="17" t="s">
        <v>17</v>
      </c>
      <c r="D534" s="17">
        <v>7.0</v>
      </c>
      <c r="E534" s="17" t="s">
        <v>20</v>
      </c>
      <c r="G534" s="19"/>
      <c r="H534" s="20" t="s">
        <v>809</v>
      </c>
      <c r="I534" s="17" t="s">
        <v>22</v>
      </c>
      <c r="J534" s="17">
        <v>0.0</v>
      </c>
      <c r="K534" s="17">
        <v>0.0</v>
      </c>
      <c r="L534" s="17">
        <v>0.0</v>
      </c>
      <c r="M534" s="17">
        <v>0.0</v>
      </c>
      <c r="N534" s="17">
        <v>0.0</v>
      </c>
      <c r="O534" s="17">
        <v>0.0</v>
      </c>
      <c r="P534" s="17">
        <v>5.0</v>
      </c>
      <c r="Q534" s="17">
        <v>5.0</v>
      </c>
      <c r="R534" s="17">
        <v>5.0</v>
      </c>
      <c r="S534" s="17">
        <v>5.0</v>
      </c>
      <c r="T534" s="17">
        <v>5.0</v>
      </c>
      <c r="U534" s="17">
        <v>5.0</v>
      </c>
    </row>
    <row r="535" ht="23.25" customHeight="1">
      <c r="A535" s="20" t="str">
        <f>IF(COUNTIF('Icon Lookup'!C:C,B535)&gt;0,LOOKUP(B535,'Icon Lookup'!C:C,'Icon Lookup'!B:B),"")</f>
        <v/>
      </c>
      <c r="B535" s="21" t="s">
        <v>810</v>
      </c>
      <c r="C535" s="20" t="s">
        <v>17</v>
      </c>
      <c r="D535" s="20">
        <v>9.0</v>
      </c>
      <c r="E535" s="20" t="s">
        <v>267</v>
      </c>
      <c r="G535" s="22"/>
      <c r="H535" s="23" t="s">
        <v>811</v>
      </c>
      <c r="I535" s="20" t="s">
        <v>265</v>
      </c>
      <c r="J535" s="20">
        <v>0.0</v>
      </c>
      <c r="K535" s="20">
        <v>0.0</v>
      </c>
      <c r="L535" s="20">
        <v>0.0</v>
      </c>
      <c r="M535" s="20">
        <v>0.0</v>
      </c>
      <c r="N535" s="20">
        <v>0.0</v>
      </c>
      <c r="O535" s="20">
        <v>0.0</v>
      </c>
      <c r="P535" s="20">
        <v>11.0</v>
      </c>
      <c r="Q535" s="20">
        <v>11.0</v>
      </c>
      <c r="R535" s="20">
        <v>11.0</v>
      </c>
      <c r="S535" s="20">
        <v>11.0</v>
      </c>
      <c r="T535" s="20">
        <v>11.0</v>
      </c>
      <c r="U535" s="20">
        <v>11.0</v>
      </c>
    </row>
    <row r="536" ht="23.25" customHeight="1">
      <c r="A536" s="1" t="str">
        <f>IF(COUNTIF('Icon Lookup'!C:C,B536)&gt;0,LOOKUP(B536,'Icon Lookup'!C:C,'Icon Lookup'!B:B),"")</f>
        <v/>
      </c>
      <c r="B536" s="15" t="s">
        <v>812</v>
      </c>
      <c r="C536" s="1" t="s">
        <v>17</v>
      </c>
      <c r="D536" s="1" t="s">
        <v>807</v>
      </c>
      <c r="G536" s="16"/>
      <c r="H536" s="26" t="s">
        <v>808</v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ht="23.25" customHeight="1">
      <c r="A537" s="17" t="str">
        <f>IF(COUNTIF('Icon Lookup'!C:C,B537)&gt;0,LOOKUP(B537,'Icon Lookup'!C:C,'Icon Lookup'!B:B),"")</f>
        <v/>
      </c>
      <c r="B537" s="18" t="s">
        <v>19</v>
      </c>
      <c r="C537" s="17" t="s">
        <v>17</v>
      </c>
      <c r="D537" s="17">
        <v>7.0</v>
      </c>
      <c r="E537" s="17" t="s">
        <v>20</v>
      </c>
      <c r="G537" s="19"/>
      <c r="H537" s="20" t="s">
        <v>809</v>
      </c>
      <c r="I537" s="17" t="s">
        <v>22</v>
      </c>
      <c r="J537" s="17">
        <v>0.0</v>
      </c>
      <c r="K537" s="17">
        <v>0.0</v>
      </c>
      <c r="L537" s="17">
        <v>0.0</v>
      </c>
      <c r="M537" s="17">
        <v>0.0</v>
      </c>
      <c r="N537" s="17">
        <v>0.0</v>
      </c>
      <c r="O537" s="17">
        <v>0.0</v>
      </c>
      <c r="P537" s="17">
        <v>5.0</v>
      </c>
      <c r="Q537" s="17">
        <v>5.0</v>
      </c>
      <c r="R537" s="17">
        <v>5.0</v>
      </c>
      <c r="S537" s="17">
        <v>5.0</v>
      </c>
      <c r="T537" s="17">
        <v>5.0</v>
      </c>
      <c r="U537" s="17">
        <v>5.0</v>
      </c>
    </row>
    <row r="538" ht="23.25" customHeight="1">
      <c r="A538" s="20" t="str">
        <f>IF(COUNTIF('Icon Lookup'!C:C,B538)&gt;0,LOOKUP(B538,'Icon Lookup'!C:C,'Icon Lookup'!B:B),"")</f>
        <v/>
      </c>
      <c r="B538" s="21" t="s">
        <v>144</v>
      </c>
      <c r="C538" s="20" t="s">
        <v>17</v>
      </c>
      <c r="D538" s="20">
        <v>9.0</v>
      </c>
      <c r="E538" s="20" t="s">
        <v>145</v>
      </c>
      <c r="G538" s="22"/>
      <c r="H538" s="23" t="s">
        <v>813</v>
      </c>
      <c r="I538" s="20" t="s">
        <v>22</v>
      </c>
      <c r="J538" s="20">
        <v>0.0</v>
      </c>
      <c r="K538" s="20">
        <v>0.0</v>
      </c>
      <c r="L538" s="20">
        <v>0.0</v>
      </c>
      <c r="M538" s="20">
        <v>0.0</v>
      </c>
      <c r="N538" s="20">
        <v>0.0</v>
      </c>
      <c r="O538" s="20">
        <v>0.0</v>
      </c>
      <c r="P538" s="20">
        <v>11.0</v>
      </c>
      <c r="Q538" s="20">
        <v>11.0</v>
      </c>
      <c r="R538" s="20">
        <v>11.0</v>
      </c>
      <c r="S538" s="20">
        <v>11.0</v>
      </c>
      <c r="T538" s="20">
        <v>11.0</v>
      </c>
      <c r="U538" s="20">
        <v>11.0</v>
      </c>
    </row>
    <row r="539" ht="23.25" customHeight="1">
      <c r="A539" s="1" t="str">
        <f>IF(COUNTIF('Icon Lookup'!C:C,B539)&gt;0,LOOKUP(B539,'Icon Lookup'!C:C,'Icon Lookup'!B:B),"")</f>
        <v/>
      </c>
      <c r="B539" s="15" t="s">
        <v>814</v>
      </c>
      <c r="C539" s="1" t="s">
        <v>17</v>
      </c>
      <c r="D539" s="1" t="s">
        <v>807</v>
      </c>
      <c r="G539" s="16"/>
      <c r="H539" s="26" t="s">
        <v>808</v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ht="23.25" customHeight="1">
      <c r="A540" s="17" t="str">
        <f>IF(COUNTIF('Icon Lookup'!C:C,B540)&gt;0,LOOKUP(B540,'Icon Lookup'!C:C,'Icon Lookup'!B:B),"")</f>
        <v/>
      </c>
      <c r="B540" s="18" t="s">
        <v>19</v>
      </c>
      <c r="C540" s="17" t="s">
        <v>17</v>
      </c>
      <c r="D540" s="17">
        <v>7.0</v>
      </c>
      <c r="E540" s="17" t="s">
        <v>20</v>
      </c>
      <c r="G540" s="19"/>
      <c r="H540" s="20" t="s">
        <v>809</v>
      </c>
      <c r="I540" s="17" t="s">
        <v>22</v>
      </c>
      <c r="J540" s="17">
        <v>0.0</v>
      </c>
      <c r="K540" s="17">
        <v>0.0</v>
      </c>
      <c r="L540" s="17">
        <v>0.0</v>
      </c>
      <c r="M540" s="17">
        <v>0.0</v>
      </c>
      <c r="N540" s="17">
        <v>0.0</v>
      </c>
      <c r="O540" s="17">
        <v>0.0</v>
      </c>
      <c r="P540" s="17">
        <v>5.0</v>
      </c>
      <c r="Q540" s="17">
        <v>5.0</v>
      </c>
      <c r="R540" s="17">
        <v>5.0</v>
      </c>
      <c r="S540" s="17">
        <v>5.0</v>
      </c>
      <c r="T540" s="17">
        <v>5.0</v>
      </c>
      <c r="U540" s="17">
        <v>5.0</v>
      </c>
    </row>
    <row r="541" ht="23.25" customHeight="1">
      <c r="A541" s="20" t="str">
        <f>IF(COUNTIF('Icon Lookup'!C:C,B541)&gt;0,LOOKUP(B541,'Icon Lookup'!C:C,'Icon Lookup'!B:B),"")</f>
        <v/>
      </c>
      <c r="B541" s="21" t="s">
        <v>815</v>
      </c>
      <c r="C541" s="20" t="s">
        <v>17</v>
      </c>
      <c r="D541" s="20">
        <v>9.0</v>
      </c>
      <c r="E541" s="20" t="s">
        <v>374</v>
      </c>
      <c r="G541" s="22"/>
      <c r="H541" s="23" t="s">
        <v>816</v>
      </c>
      <c r="I541" s="20" t="s">
        <v>52</v>
      </c>
      <c r="J541" s="20">
        <v>0.0</v>
      </c>
      <c r="K541" s="20">
        <v>0.0</v>
      </c>
      <c r="L541" s="20">
        <v>0.0</v>
      </c>
      <c r="M541" s="20">
        <v>0.0</v>
      </c>
      <c r="N541" s="20">
        <v>0.0</v>
      </c>
      <c r="O541" s="20">
        <v>0.0</v>
      </c>
      <c r="P541" s="20">
        <v>11.0</v>
      </c>
      <c r="Q541" s="20">
        <v>11.0</v>
      </c>
      <c r="R541" s="20">
        <v>11.0</v>
      </c>
      <c r="S541" s="20">
        <v>11.0</v>
      </c>
      <c r="T541" s="20">
        <v>11.0</v>
      </c>
      <c r="U541" s="20">
        <v>11.0</v>
      </c>
    </row>
    <row r="542" ht="23.25" customHeight="1">
      <c r="A542" s="1" t="str">
        <f>IF(COUNTIF('Icon Lookup'!C:C,B542)&gt;0,LOOKUP(B542,'Icon Lookup'!C:C,'Icon Lookup'!B:B),"")</f>
        <v/>
      </c>
      <c r="B542" s="15" t="s">
        <v>817</v>
      </c>
      <c r="C542" s="1" t="s">
        <v>17</v>
      </c>
      <c r="D542" s="1" t="s">
        <v>818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ht="23.25" customHeight="1">
      <c r="A543" s="17" t="str">
        <f>IF(COUNTIF('Icon Lookup'!C:C,B543)&gt;0,LOOKUP(B543,'Icon Lookup'!C:C,'Icon Lookup'!B:B),"")</f>
        <v/>
      </c>
      <c r="B543" s="18" t="s">
        <v>160</v>
      </c>
      <c r="C543" s="17" t="s">
        <v>17</v>
      </c>
      <c r="D543" s="17">
        <v>36.0</v>
      </c>
      <c r="E543" s="17" t="s">
        <v>161</v>
      </c>
      <c r="G543" s="19"/>
      <c r="H543" s="20" t="s">
        <v>819</v>
      </c>
      <c r="I543" s="17" t="s">
        <v>89</v>
      </c>
      <c r="J543" s="17">
        <v>68.0</v>
      </c>
      <c r="K543" s="17">
        <v>0.0</v>
      </c>
      <c r="L543" s="17">
        <v>68.0</v>
      </c>
      <c r="M543" s="17">
        <v>44.0</v>
      </c>
      <c r="N543" s="17">
        <v>68.0</v>
      </c>
      <c r="O543" s="17">
        <v>0.0</v>
      </c>
      <c r="P543" s="17">
        <v>17.0</v>
      </c>
      <c r="Q543" s="17">
        <v>0.0</v>
      </c>
      <c r="R543" s="17">
        <v>17.0</v>
      </c>
      <c r="S543" s="17">
        <v>17.0</v>
      </c>
      <c r="T543" s="17">
        <v>17.0</v>
      </c>
      <c r="U543" s="17">
        <v>0.0</v>
      </c>
    </row>
    <row r="544" ht="23.25" customHeight="1">
      <c r="A544" s="20" t="str">
        <f>IF(COUNTIF('Icon Lookup'!C:C,B544)&gt;0,LOOKUP(B544,'Icon Lookup'!C:C,'Icon Lookup'!B:B),"")</f>
        <v/>
      </c>
      <c r="B544" s="21" t="s">
        <v>756</v>
      </c>
      <c r="C544" s="20" t="s">
        <v>17</v>
      </c>
      <c r="D544" s="20">
        <v>36.0</v>
      </c>
      <c r="E544" s="20" t="str">
        <f>IMAGE("https://www.serebii.net/itemdex/sprites/softsand.png")</f>
        <v/>
      </c>
      <c r="F544" s="20" t="s">
        <v>98</v>
      </c>
      <c r="G544" s="20" t="s">
        <v>820</v>
      </c>
      <c r="H544" s="23" t="s">
        <v>821</v>
      </c>
      <c r="I544" s="20" t="s">
        <v>822</v>
      </c>
      <c r="J544" s="20">
        <v>0.0</v>
      </c>
      <c r="K544" s="20">
        <v>100.0</v>
      </c>
      <c r="L544" s="20">
        <v>68.0</v>
      </c>
      <c r="M544" s="20">
        <v>0.0</v>
      </c>
      <c r="N544" s="20">
        <v>68.0</v>
      </c>
      <c r="O544" s="20">
        <v>0.0</v>
      </c>
      <c r="P544" s="20">
        <v>0.0</v>
      </c>
      <c r="Q544" s="20">
        <v>23.0</v>
      </c>
      <c r="R544" s="20">
        <v>17.0</v>
      </c>
      <c r="S544" s="20">
        <v>0.0</v>
      </c>
      <c r="T544" s="20">
        <v>17.0</v>
      </c>
      <c r="U544" s="20">
        <v>0.0</v>
      </c>
    </row>
    <row r="545" ht="23.25" customHeight="1">
      <c r="A545" s="24" t="str">
        <f>IF(COUNTIF('Icon Lookup'!C:C,B545)&gt;0,LOOKUP(B545,'Icon Lookup'!C:C,'Icon Lookup'!B:B),"")</f>
        <v/>
      </c>
      <c r="B545" s="25" t="s">
        <v>823</v>
      </c>
      <c r="C545" s="24" t="s">
        <v>804</v>
      </c>
      <c r="D545" s="24">
        <v>39.0</v>
      </c>
      <c r="E545" s="24" t="str">
        <f>IMAGE("https://www.serebii.net/itemdex/sprites/sitrusberry.png")</f>
        <v/>
      </c>
      <c r="F545" s="24" t="s">
        <v>98</v>
      </c>
      <c r="G545" s="17" t="s">
        <v>824</v>
      </c>
      <c r="H545" s="20" t="s">
        <v>825</v>
      </c>
      <c r="I545" s="24" t="s">
        <v>89</v>
      </c>
      <c r="J545" s="24">
        <v>0.0</v>
      </c>
      <c r="K545" s="24">
        <v>0.0</v>
      </c>
      <c r="L545" s="24">
        <v>68.0</v>
      </c>
      <c r="M545" s="24">
        <v>100.0</v>
      </c>
      <c r="N545" s="24">
        <v>68.0</v>
      </c>
      <c r="O545" s="24">
        <v>0.0</v>
      </c>
      <c r="P545" s="24">
        <v>0.0</v>
      </c>
      <c r="Q545" s="24">
        <v>0.0</v>
      </c>
      <c r="R545" s="24">
        <v>17.0</v>
      </c>
      <c r="S545" s="24">
        <v>23.0</v>
      </c>
      <c r="T545" s="24">
        <v>17.0</v>
      </c>
      <c r="U545" s="24">
        <v>0.0</v>
      </c>
    </row>
    <row r="546" ht="23.25" customHeight="1">
      <c r="A546" s="1" t="str">
        <f>IF(COUNTIF('Icon Lookup'!C:C,B546)&gt;0,LOOKUP(B546,'Icon Lookup'!C:C,'Icon Lookup'!B:B),"")</f>
        <v/>
      </c>
      <c r="B546" s="15" t="s">
        <v>826</v>
      </c>
      <c r="C546" s="1" t="s">
        <v>17</v>
      </c>
      <c r="D546" s="1" t="s">
        <v>827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ht="23.25" customHeight="1">
      <c r="A547" s="20" t="str">
        <f>IF(COUNTIF('Icon Lookup'!C:C,B547)&gt;0,LOOKUP(B547,'Icon Lookup'!C:C,'Icon Lookup'!B:B),"")</f>
        <v/>
      </c>
      <c r="B547" s="21" t="s">
        <v>97</v>
      </c>
      <c r="C547" s="20" t="s">
        <v>17</v>
      </c>
      <c r="D547" s="20">
        <v>28.0</v>
      </c>
      <c r="E547" s="20" t="s">
        <v>87</v>
      </c>
      <c r="G547" s="22"/>
      <c r="H547" s="23" t="s">
        <v>828</v>
      </c>
      <c r="I547" s="20" t="s">
        <v>89</v>
      </c>
      <c r="J547" s="20">
        <v>0.0</v>
      </c>
      <c r="K547" s="20">
        <v>0.0</v>
      </c>
      <c r="L547" s="20">
        <v>0.0</v>
      </c>
      <c r="M547" s="20">
        <v>0.0</v>
      </c>
      <c r="N547" s="20">
        <v>0.0</v>
      </c>
      <c r="O547" s="20">
        <v>0.0</v>
      </c>
      <c r="P547" s="20">
        <v>0.0</v>
      </c>
      <c r="Q547" s="20">
        <v>0.0</v>
      </c>
      <c r="R547" s="20">
        <v>0.0</v>
      </c>
      <c r="S547" s="20">
        <v>0.0</v>
      </c>
      <c r="T547" s="20">
        <v>0.0</v>
      </c>
      <c r="U547" s="20">
        <v>0.0</v>
      </c>
    </row>
    <row r="548" ht="23.25" customHeight="1">
      <c r="A548" s="17" t="str">
        <f>IF(COUNTIF('Icon Lookup'!C:C,B548)&gt;0,LOOKUP(B548,'Icon Lookup'!C:C,'Icon Lookup'!B:B),"")</f>
        <v/>
      </c>
      <c r="B548" s="18" t="s">
        <v>97</v>
      </c>
      <c r="C548" s="17" t="s">
        <v>17</v>
      </c>
      <c r="D548" s="17">
        <v>28.0</v>
      </c>
      <c r="E548" s="17" t="s">
        <v>87</v>
      </c>
      <c r="G548" s="19"/>
      <c r="H548" s="20" t="s">
        <v>829</v>
      </c>
      <c r="I548" s="17" t="s">
        <v>89</v>
      </c>
      <c r="J548" s="17">
        <v>0.0</v>
      </c>
      <c r="K548" s="17">
        <v>0.0</v>
      </c>
      <c r="L548" s="17">
        <v>0.0</v>
      </c>
      <c r="M548" s="17">
        <v>0.0</v>
      </c>
      <c r="N548" s="17">
        <v>0.0</v>
      </c>
      <c r="O548" s="17">
        <v>0.0</v>
      </c>
      <c r="P548" s="17">
        <v>0.0</v>
      </c>
      <c r="Q548" s="17">
        <v>0.0</v>
      </c>
      <c r="R548" s="17">
        <v>0.0</v>
      </c>
      <c r="S548" s="17">
        <v>0.0</v>
      </c>
      <c r="T548" s="17">
        <v>0.0</v>
      </c>
      <c r="U548" s="17">
        <v>0.0</v>
      </c>
    </row>
    <row r="549" ht="23.25" customHeight="1">
      <c r="A549" s="20" t="str">
        <f>IF(COUNTIF('Icon Lookup'!C:C,B549)&gt;0,LOOKUP(B549,'Icon Lookup'!C:C,'Icon Lookup'!B:B),"")</f>
        <v/>
      </c>
      <c r="B549" s="21" t="s">
        <v>97</v>
      </c>
      <c r="C549" s="20" t="s">
        <v>17</v>
      </c>
      <c r="D549" s="20">
        <v>28.0</v>
      </c>
      <c r="E549" s="20" t="s">
        <v>87</v>
      </c>
      <c r="G549" s="22"/>
      <c r="H549" s="23" t="s">
        <v>829</v>
      </c>
      <c r="I549" s="20" t="s">
        <v>89</v>
      </c>
      <c r="J549" s="20">
        <v>0.0</v>
      </c>
      <c r="K549" s="20">
        <v>0.0</v>
      </c>
      <c r="L549" s="20">
        <v>0.0</v>
      </c>
      <c r="M549" s="20">
        <v>0.0</v>
      </c>
      <c r="N549" s="20">
        <v>0.0</v>
      </c>
      <c r="O549" s="20">
        <v>0.0</v>
      </c>
      <c r="P549" s="20">
        <v>0.0</v>
      </c>
      <c r="Q549" s="20">
        <v>0.0</v>
      </c>
      <c r="R549" s="20">
        <v>0.0</v>
      </c>
      <c r="S549" s="20">
        <v>0.0</v>
      </c>
      <c r="T549" s="20">
        <v>0.0</v>
      </c>
      <c r="U549" s="20">
        <v>0.0</v>
      </c>
    </row>
    <row r="550" ht="23.25" customHeight="1">
      <c r="A550" s="1" t="str">
        <f>IF(COUNTIF('Icon Lookup'!C:C,B550)&gt;0,LOOKUP(B550,'Icon Lookup'!C:C,'Icon Lookup'!B:B),"")</f>
        <v/>
      </c>
      <c r="B550" s="15" t="s">
        <v>830</v>
      </c>
      <c r="C550" s="1" t="s">
        <v>17</v>
      </c>
      <c r="D550" s="1" t="s">
        <v>831</v>
      </c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ht="23.25" customHeight="1">
      <c r="A551" s="17" t="str">
        <f>IF(COUNTIF('Icon Lookup'!C:C,B551)&gt;0,LOOKUP(B551,'Icon Lookup'!C:C,'Icon Lookup'!B:B),"")</f>
        <v/>
      </c>
      <c r="B551" s="18" t="s">
        <v>97</v>
      </c>
      <c r="C551" s="17" t="s">
        <v>17</v>
      </c>
      <c r="D551" s="17">
        <v>31.0</v>
      </c>
      <c r="E551" s="17" t="s">
        <v>87</v>
      </c>
      <c r="G551" s="19"/>
      <c r="H551" s="20" t="s">
        <v>832</v>
      </c>
      <c r="I551" s="17" t="s">
        <v>89</v>
      </c>
      <c r="J551" s="17">
        <v>0.0</v>
      </c>
      <c r="K551" s="17">
        <v>0.0</v>
      </c>
      <c r="L551" s="17">
        <v>0.0</v>
      </c>
      <c r="M551" s="17">
        <v>0.0</v>
      </c>
      <c r="N551" s="17">
        <v>0.0</v>
      </c>
      <c r="O551" s="17">
        <v>0.0</v>
      </c>
      <c r="P551" s="17">
        <v>0.0</v>
      </c>
      <c r="Q551" s="17">
        <v>0.0</v>
      </c>
      <c r="R551" s="17">
        <v>0.0</v>
      </c>
      <c r="S551" s="17">
        <v>0.0</v>
      </c>
      <c r="T551" s="17">
        <v>0.0</v>
      </c>
      <c r="U551" s="17">
        <v>0.0</v>
      </c>
    </row>
    <row r="552" ht="23.25" customHeight="1">
      <c r="A552" s="1" t="str">
        <f>IF(COUNTIF('Icon Lookup'!C:C,B552)&gt;0,LOOKUP(B552,'Icon Lookup'!C:C,'Icon Lookup'!B:B),"")</f>
        <v/>
      </c>
      <c r="B552" s="15" t="s">
        <v>833</v>
      </c>
      <c r="C552" s="1" t="s">
        <v>17</v>
      </c>
      <c r="D552" s="1" t="s">
        <v>834</v>
      </c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ht="23.25" customHeight="1">
      <c r="A553" s="20" t="str">
        <f>IF(COUNTIF('Icon Lookup'!C:C,B553)&gt;0,LOOKUP(B553,'Icon Lookup'!C:C,'Icon Lookup'!B:B),"")</f>
        <v/>
      </c>
      <c r="B553" s="21" t="s">
        <v>275</v>
      </c>
      <c r="C553" s="20" t="s">
        <v>17</v>
      </c>
      <c r="D553" s="20">
        <v>40.0</v>
      </c>
      <c r="E553" s="20" t="s">
        <v>91</v>
      </c>
      <c r="G553" s="22"/>
      <c r="H553" s="23" t="s">
        <v>835</v>
      </c>
      <c r="I553" s="20" t="s">
        <v>22</v>
      </c>
      <c r="J553" s="20">
        <v>0.0</v>
      </c>
      <c r="K553" s="20">
        <v>0.0</v>
      </c>
      <c r="L553" s="20">
        <v>0.0</v>
      </c>
      <c r="M553" s="20">
        <v>0.0</v>
      </c>
      <c r="N553" s="20">
        <v>0.0</v>
      </c>
      <c r="O553" s="20">
        <v>0.0</v>
      </c>
      <c r="P553" s="20">
        <v>0.0</v>
      </c>
      <c r="Q553" s="20">
        <v>0.0</v>
      </c>
      <c r="R553" s="20">
        <v>0.0</v>
      </c>
      <c r="S553" s="20">
        <v>0.0</v>
      </c>
      <c r="T553" s="20">
        <v>0.0</v>
      </c>
      <c r="U553" s="20">
        <v>0.0</v>
      </c>
    </row>
    <row r="554" ht="23.25" customHeight="1">
      <c r="A554" s="1" t="str">
        <f>IF(COUNTIF('Icon Lookup'!C:C,B554)&gt;0,LOOKUP(B554,'Icon Lookup'!C:C,'Icon Lookup'!B:B),"")</f>
        <v/>
      </c>
      <c r="B554" s="15" t="s">
        <v>836</v>
      </c>
      <c r="C554" s="1" t="s">
        <v>17</v>
      </c>
      <c r="D554" s="1" t="s">
        <v>837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ht="23.25" customHeight="1">
      <c r="A555" s="17" t="str">
        <f>IF(COUNTIF('Icon Lookup'!C:C,B555)&gt;0,LOOKUP(B555,'Icon Lookup'!C:C,'Icon Lookup'!B:B),"")</f>
        <v/>
      </c>
      <c r="B555" s="18" t="s">
        <v>49</v>
      </c>
      <c r="C555" s="17" t="s">
        <v>17</v>
      </c>
      <c r="D555" s="17">
        <v>14.0</v>
      </c>
      <c r="E555" s="17" t="s">
        <v>50</v>
      </c>
      <c r="G555" s="19"/>
      <c r="H555" s="20" t="s">
        <v>838</v>
      </c>
      <c r="I555" s="17" t="s">
        <v>205</v>
      </c>
      <c r="J555" s="17">
        <v>0.0</v>
      </c>
      <c r="K555" s="17">
        <v>0.0</v>
      </c>
      <c r="L555" s="17">
        <v>0.0</v>
      </c>
      <c r="M555" s="17">
        <v>0.0</v>
      </c>
      <c r="N555" s="17">
        <v>0.0</v>
      </c>
      <c r="O555" s="17">
        <v>0.0</v>
      </c>
      <c r="P555" s="17">
        <v>0.0</v>
      </c>
      <c r="Q555" s="17">
        <v>0.0</v>
      </c>
      <c r="R555" s="17">
        <v>0.0</v>
      </c>
      <c r="S555" s="17">
        <v>0.0</v>
      </c>
      <c r="T555" s="17">
        <v>0.0</v>
      </c>
      <c r="U555" s="17">
        <v>0.0</v>
      </c>
    </row>
    <row r="556" ht="23.25" customHeight="1">
      <c r="A556" s="20" t="str">
        <f>IF(COUNTIF('Icon Lookup'!C:C,B556)&gt;0,LOOKUP(B556,'Icon Lookup'!C:C,'Icon Lookup'!B:B),"")</f>
        <v/>
      </c>
      <c r="B556" s="21" t="s">
        <v>49</v>
      </c>
      <c r="C556" s="20" t="s">
        <v>17</v>
      </c>
      <c r="D556" s="20">
        <v>13.0</v>
      </c>
      <c r="E556" s="20" t="s">
        <v>50</v>
      </c>
      <c r="G556" s="22"/>
      <c r="H556" s="23" t="s">
        <v>838</v>
      </c>
      <c r="I556" s="20" t="s">
        <v>205</v>
      </c>
      <c r="J556" s="20">
        <v>0.0</v>
      </c>
      <c r="K556" s="20">
        <v>0.0</v>
      </c>
      <c r="L556" s="20">
        <v>0.0</v>
      </c>
      <c r="M556" s="20">
        <v>0.0</v>
      </c>
      <c r="N556" s="20">
        <v>0.0</v>
      </c>
      <c r="O556" s="20">
        <v>0.0</v>
      </c>
      <c r="P556" s="20">
        <v>0.0</v>
      </c>
      <c r="Q556" s="20">
        <v>0.0</v>
      </c>
      <c r="R556" s="20">
        <v>0.0</v>
      </c>
      <c r="S556" s="20">
        <v>0.0</v>
      </c>
      <c r="T556" s="20">
        <v>0.0</v>
      </c>
      <c r="U556" s="20">
        <v>0.0</v>
      </c>
    </row>
    <row r="557" ht="23.25" customHeight="1">
      <c r="A557" s="17" t="str">
        <f>IF(COUNTIF('Icon Lookup'!C:C,B557)&gt;0,LOOKUP(B557,'Icon Lookup'!C:C,'Icon Lookup'!B:B),"")</f>
        <v/>
      </c>
      <c r="B557" s="18" t="s">
        <v>49</v>
      </c>
      <c r="C557" s="17" t="s">
        <v>17</v>
      </c>
      <c r="D557" s="17">
        <v>15.0</v>
      </c>
      <c r="E557" s="17" t="s">
        <v>50</v>
      </c>
      <c r="G557" s="19"/>
      <c r="H557" s="20" t="s">
        <v>838</v>
      </c>
      <c r="I557" s="17" t="s">
        <v>205</v>
      </c>
      <c r="J557" s="17">
        <v>0.0</v>
      </c>
      <c r="K557" s="17">
        <v>0.0</v>
      </c>
      <c r="L557" s="17">
        <v>0.0</v>
      </c>
      <c r="M557" s="17">
        <v>0.0</v>
      </c>
      <c r="N557" s="17">
        <v>0.0</v>
      </c>
      <c r="O557" s="17">
        <v>0.0</v>
      </c>
      <c r="P557" s="17">
        <v>0.0</v>
      </c>
      <c r="Q557" s="17">
        <v>0.0</v>
      </c>
      <c r="R557" s="17">
        <v>0.0</v>
      </c>
      <c r="S557" s="17">
        <v>0.0</v>
      </c>
      <c r="T557" s="17">
        <v>0.0</v>
      </c>
      <c r="U557" s="17">
        <v>0.0</v>
      </c>
    </row>
    <row r="558" ht="23.25" customHeight="1">
      <c r="A558" s="1" t="str">
        <f>IF(COUNTIF('Icon Lookup'!C:C,B558)&gt;0,LOOKUP(B558,'Icon Lookup'!C:C,'Icon Lookup'!B:B),"")</f>
        <v/>
      </c>
      <c r="B558" s="15" t="s">
        <v>839</v>
      </c>
      <c r="C558" s="1" t="s">
        <v>17</v>
      </c>
      <c r="D558" s="1" t="s">
        <v>840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ht="23.25" customHeight="1">
      <c r="A559" s="20" t="str">
        <f>IF(COUNTIF('Icon Lookup'!C:C,B559)&gt;0,LOOKUP(B559,'Icon Lookup'!C:C,'Icon Lookup'!B:B),"")</f>
        <v/>
      </c>
      <c r="B559" s="21" t="s">
        <v>810</v>
      </c>
      <c r="C559" s="20" t="s">
        <v>17</v>
      </c>
      <c r="D559" s="20">
        <v>17.0</v>
      </c>
      <c r="E559" s="20" t="s">
        <v>267</v>
      </c>
      <c r="G559" s="22"/>
      <c r="H559" s="23" t="s">
        <v>841</v>
      </c>
      <c r="I559" s="20" t="s">
        <v>550</v>
      </c>
      <c r="J559" s="20">
        <v>0.0</v>
      </c>
      <c r="K559" s="20">
        <v>0.0</v>
      </c>
      <c r="L559" s="20">
        <v>0.0</v>
      </c>
      <c r="M559" s="20">
        <v>0.0</v>
      </c>
      <c r="N559" s="20">
        <v>0.0</v>
      </c>
      <c r="O559" s="20">
        <v>0.0</v>
      </c>
      <c r="P559" s="20">
        <v>0.0</v>
      </c>
      <c r="Q559" s="20">
        <v>0.0</v>
      </c>
      <c r="R559" s="20">
        <v>0.0</v>
      </c>
      <c r="S559" s="20">
        <v>0.0</v>
      </c>
      <c r="T559" s="20">
        <v>0.0</v>
      </c>
      <c r="U559" s="20">
        <v>0.0</v>
      </c>
    </row>
    <row r="560" ht="23.25" customHeight="1">
      <c r="A560" s="1" t="str">
        <f>IF(COUNTIF('Icon Lookup'!C:C,B560)&gt;0,LOOKUP(B560,'Icon Lookup'!C:C,'Icon Lookup'!B:B),"")</f>
        <v/>
      </c>
      <c r="B560" s="15" t="s">
        <v>842</v>
      </c>
      <c r="C560" s="1" t="s">
        <v>17</v>
      </c>
      <c r="D560" s="1" t="s">
        <v>843</v>
      </c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ht="23.25" customHeight="1">
      <c r="A561" s="17" t="str">
        <f>IF(COUNTIF('Icon Lookup'!C:C,B561)&gt;0,LOOKUP(B561,'Icon Lookup'!C:C,'Icon Lookup'!B:B),"")</f>
        <v/>
      </c>
      <c r="B561" s="18" t="s">
        <v>293</v>
      </c>
      <c r="C561" s="17" t="s">
        <v>17</v>
      </c>
      <c r="D561" s="17">
        <v>53.0</v>
      </c>
      <c r="E561" s="17" t="str">
        <f>IMAGE("https://www.serebii.net/itemdex/sprites/blacksludge.png")</f>
        <v/>
      </c>
      <c r="F561" s="17" t="s">
        <v>61</v>
      </c>
      <c r="G561" s="17" t="s">
        <v>844</v>
      </c>
      <c r="H561" s="20" t="s">
        <v>845</v>
      </c>
      <c r="I561" s="17" t="s">
        <v>205</v>
      </c>
      <c r="J561" s="17">
        <v>252.0</v>
      </c>
      <c r="K561" s="17">
        <v>0.0</v>
      </c>
      <c r="L561" s="17">
        <v>12.0</v>
      </c>
      <c r="M561" s="17">
        <v>12.0</v>
      </c>
      <c r="N561" s="17">
        <v>12.0</v>
      </c>
      <c r="O561" s="17">
        <v>12.0</v>
      </c>
      <c r="P561" s="17">
        <v>31.0</v>
      </c>
      <c r="Q561" s="17">
        <v>0.0</v>
      </c>
      <c r="R561" s="17">
        <v>21.0</v>
      </c>
      <c r="S561" s="17">
        <v>21.0</v>
      </c>
      <c r="T561" s="17">
        <v>21.0</v>
      </c>
      <c r="U561" s="17">
        <v>31.0</v>
      </c>
    </row>
    <row r="562" ht="23.25" customHeight="1">
      <c r="A562" s="20" t="str">
        <f>IF(COUNTIF('Icon Lookup'!C:C,B562)&gt;0,LOOKUP(B562,'Icon Lookup'!C:C,'Icon Lookup'!B:B),"")</f>
        <v/>
      </c>
      <c r="B562" s="21" t="s">
        <v>687</v>
      </c>
      <c r="C562" s="20" t="s">
        <v>17</v>
      </c>
      <c r="D562" s="20">
        <v>53.0</v>
      </c>
      <c r="E562" s="20" t="str">
        <f>IMAGE("https://www.serebii.net/itemdex/sprites/wiseglasses.png")</f>
        <v/>
      </c>
      <c r="F562" s="20" t="s">
        <v>258</v>
      </c>
      <c r="G562" s="20" t="s">
        <v>846</v>
      </c>
      <c r="H562" s="23" t="s">
        <v>847</v>
      </c>
      <c r="I562" s="20" t="s">
        <v>612</v>
      </c>
      <c r="J562" s="20">
        <v>12.0</v>
      </c>
      <c r="K562" s="20">
        <v>0.0</v>
      </c>
      <c r="L562" s="20">
        <v>12.0</v>
      </c>
      <c r="M562" s="20">
        <v>60.0</v>
      </c>
      <c r="N562" s="20">
        <v>12.0</v>
      </c>
      <c r="O562" s="20">
        <v>204.0</v>
      </c>
      <c r="P562" s="20">
        <v>21.0</v>
      </c>
      <c r="Q562" s="20">
        <v>0.0</v>
      </c>
      <c r="R562" s="20">
        <v>21.0</v>
      </c>
      <c r="S562" s="20">
        <v>31.0</v>
      </c>
      <c r="T562" s="20">
        <v>21.0</v>
      </c>
      <c r="U562" s="20">
        <v>31.0</v>
      </c>
    </row>
    <row r="563" ht="23.25" customHeight="1">
      <c r="A563" s="17" t="str">
        <f>IF(COUNTIF('Icon Lookup'!C:C,B563)&gt;0,LOOKUP(B563,'Icon Lookup'!C:C,'Icon Lookup'!B:B),"")</f>
        <v/>
      </c>
      <c r="B563" s="18" t="s">
        <v>848</v>
      </c>
      <c r="C563" s="17" t="s">
        <v>17</v>
      </c>
      <c r="D563" s="17">
        <v>54.0</v>
      </c>
      <c r="E563" s="17" t="str">
        <f>IMAGE("https://www.serebii.net/itemdex/sprites/sitrusberry.png")</f>
        <v/>
      </c>
      <c r="F563" s="17" t="s">
        <v>849</v>
      </c>
      <c r="G563" s="17" t="s">
        <v>824</v>
      </c>
      <c r="H563" s="20" t="s">
        <v>850</v>
      </c>
      <c r="I563" s="17" t="s">
        <v>550</v>
      </c>
      <c r="J563" s="17">
        <v>252.0</v>
      </c>
      <c r="K563" s="17">
        <v>0.0</v>
      </c>
      <c r="L563" s="17">
        <v>0.0</v>
      </c>
      <c r="M563" s="17">
        <v>0.0</v>
      </c>
      <c r="N563" s="17">
        <v>0.0</v>
      </c>
      <c r="O563" s="17">
        <v>0.0</v>
      </c>
      <c r="P563" s="17">
        <v>31.0</v>
      </c>
      <c r="Q563" s="17">
        <v>31.0</v>
      </c>
      <c r="R563" s="17">
        <v>31.0</v>
      </c>
      <c r="S563" s="17">
        <v>0.0</v>
      </c>
      <c r="T563" s="17">
        <v>31.0</v>
      </c>
      <c r="U563" s="17">
        <v>31.0</v>
      </c>
    </row>
    <row r="564" ht="23.25" customHeight="1">
      <c r="A564" s="20" t="str">
        <f>IF(COUNTIF('Icon Lookup'!C:C,B564)&gt;0,LOOKUP(B564,'Icon Lookup'!C:C,'Icon Lookup'!B:B),"")</f>
        <v/>
      </c>
      <c r="B564" s="21" t="s">
        <v>851</v>
      </c>
      <c r="C564" s="20" t="s">
        <v>17</v>
      </c>
      <c r="D564" s="20">
        <v>54.0</v>
      </c>
      <c r="E564" s="20" t="str">
        <f>IMAGE("https://www.serebii.net/itemdex/sprites/flameorb.png")</f>
        <v/>
      </c>
      <c r="F564" s="20" t="s">
        <v>276</v>
      </c>
      <c r="G564" s="20" t="s">
        <v>852</v>
      </c>
      <c r="H564" s="23" t="s">
        <v>853</v>
      </c>
      <c r="I564" s="20" t="s">
        <v>22</v>
      </c>
      <c r="J564" s="20">
        <v>12.0</v>
      </c>
      <c r="K564" s="20">
        <v>60.0</v>
      </c>
      <c r="L564" s="20">
        <v>12.0</v>
      </c>
      <c r="M564" s="20">
        <v>0.0</v>
      </c>
      <c r="N564" s="20">
        <v>12.0</v>
      </c>
      <c r="O564" s="20">
        <v>204.0</v>
      </c>
      <c r="P564" s="20">
        <v>21.0</v>
      </c>
      <c r="Q564" s="20">
        <v>31.0</v>
      </c>
      <c r="R564" s="20">
        <v>21.0</v>
      </c>
      <c r="S564" s="20">
        <v>0.0</v>
      </c>
      <c r="T564" s="20">
        <v>21.0</v>
      </c>
      <c r="U564" s="20">
        <v>31.0</v>
      </c>
    </row>
    <row r="565" ht="23.25" customHeight="1">
      <c r="A565" s="24" t="str">
        <f>IF(COUNTIF('Icon Lookup'!C:C,B565)&gt;0,LOOKUP(B565,'Icon Lookup'!C:C,'Icon Lookup'!B:B),"")</f>
        <v/>
      </c>
      <c r="B565" s="25" t="s">
        <v>854</v>
      </c>
      <c r="C565" s="24" t="s">
        <v>804</v>
      </c>
      <c r="D565" s="24">
        <v>57.0</v>
      </c>
      <c r="E565" s="24" t="str">
        <f>IMAGE("https://www.serebii.net/itemdex/sprites/scopelens.png")</f>
        <v/>
      </c>
      <c r="F565" s="24" t="s">
        <v>557</v>
      </c>
      <c r="G565" s="17" t="s">
        <v>855</v>
      </c>
      <c r="H565" s="20" t="s">
        <v>856</v>
      </c>
      <c r="I565" s="24" t="s">
        <v>22</v>
      </c>
      <c r="J565" s="24">
        <v>12.0</v>
      </c>
      <c r="K565" s="24">
        <v>60.0</v>
      </c>
      <c r="L565" s="24">
        <v>0.0</v>
      </c>
      <c r="M565" s="24">
        <v>0.0</v>
      </c>
      <c r="N565" s="24">
        <v>0.0</v>
      </c>
      <c r="O565" s="24">
        <v>204.0</v>
      </c>
      <c r="P565" s="24">
        <v>31.0</v>
      </c>
      <c r="Q565" s="24">
        <v>31.0</v>
      </c>
      <c r="R565" s="24">
        <v>31.0</v>
      </c>
      <c r="S565" s="24">
        <v>0.0</v>
      </c>
      <c r="T565" s="24">
        <v>31.0</v>
      </c>
      <c r="U565" s="24">
        <v>31.0</v>
      </c>
    </row>
    <row r="566" ht="23.25" customHeight="1">
      <c r="A566" s="1" t="str">
        <f>IF(COUNTIF('Icon Lookup'!C:C,B566)&gt;0,LOOKUP(B566,'Icon Lookup'!C:C,'Icon Lookup'!B:B),"")</f>
        <v/>
      </c>
      <c r="B566" s="15" t="s">
        <v>857</v>
      </c>
      <c r="C566" s="1" t="s">
        <v>17</v>
      </c>
      <c r="D566" s="1" t="s">
        <v>858</v>
      </c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ht="23.25" customHeight="1">
      <c r="A567" s="20" t="str">
        <f>IF(COUNTIF('Icon Lookup'!C:C,B567)&gt;0,LOOKUP(B567,'Icon Lookup'!C:C,'Icon Lookup'!B:B),"")</f>
        <v/>
      </c>
      <c r="B567" s="21" t="s">
        <v>643</v>
      </c>
      <c r="C567" s="20" t="s">
        <v>17</v>
      </c>
      <c r="D567" s="20">
        <v>55.0</v>
      </c>
      <c r="E567" s="20" t="str">
        <f>IMAGE("https://www.serebii.net/itemdex/sprites/leftovers.png")</f>
        <v/>
      </c>
      <c r="F567" s="20" t="s">
        <v>525</v>
      </c>
      <c r="G567" s="20" t="s">
        <v>859</v>
      </c>
      <c r="H567" s="23" t="s">
        <v>860</v>
      </c>
      <c r="I567" s="20" t="s">
        <v>211</v>
      </c>
      <c r="J567" s="20">
        <v>12.0</v>
      </c>
      <c r="K567" s="20">
        <v>0.0</v>
      </c>
      <c r="L567" s="20">
        <v>252.0</v>
      </c>
      <c r="M567" s="20">
        <v>12.0</v>
      </c>
      <c r="N567" s="20">
        <v>12.0</v>
      </c>
      <c r="O567" s="20">
        <v>12.0</v>
      </c>
      <c r="P567" s="20">
        <v>23.0</v>
      </c>
      <c r="Q567" s="20">
        <v>31.0</v>
      </c>
      <c r="R567" s="20">
        <v>31.0</v>
      </c>
      <c r="S567" s="20">
        <v>0.0</v>
      </c>
      <c r="T567" s="20">
        <v>13.0</v>
      </c>
      <c r="U567" s="20">
        <v>31.0</v>
      </c>
    </row>
    <row r="568" ht="23.25" customHeight="1">
      <c r="A568" s="17" t="str">
        <f>IF(COUNTIF('Icon Lookup'!C:C,B568)&gt;0,LOOKUP(B568,'Icon Lookup'!C:C,'Icon Lookup'!B:B),"")</f>
        <v/>
      </c>
      <c r="B568" s="18" t="s">
        <v>488</v>
      </c>
      <c r="C568" s="17" t="s">
        <v>17</v>
      </c>
      <c r="D568" s="17">
        <v>56.0</v>
      </c>
      <c r="E568" s="17" t="str">
        <f>IMAGE("https://www.serebii.net/itemdex/sprites/sitrusberry.png")</f>
        <v/>
      </c>
      <c r="F568" s="17" t="s">
        <v>87</v>
      </c>
      <c r="G568" s="17" t="s">
        <v>824</v>
      </c>
      <c r="H568" s="20" t="s">
        <v>861</v>
      </c>
      <c r="I568" s="17" t="s">
        <v>550</v>
      </c>
      <c r="J568" s="17">
        <v>0.0</v>
      </c>
      <c r="K568" s="17">
        <v>252.0</v>
      </c>
      <c r="L568" s="17">
        <v>12.0</v>
      </c>
      <c r="M568" s="17">
        <v>0.0</v>
      </c>
      <c r="N568" s="17">
        <v>12.0</v>
      </c>
      <c r="O568" s="17">
        <v>12.0</v>
      </c>
      <c r="P568" s="17">
        <v>21.0</v>
      </c>
      <c r="Q568" s="17">
        <v>31.0</v>
      </c>
      <c r="R568" s="17">
        <v>31.0</v>
      </c>
      <c r="S568" s="17">
        <v>0.0</v>
      </c>
      <c r="T568" s="17">
        <v>11.0</v>
      </c>
      <c r="U568" s="17">
        <v>31.0</v>
      </c>
    </row>
    <row r="569" ht="23.25" customHeight="1">
      <c r="A569" s="20" t="str">
        <f>IF(COUNTIF('Icon Lookup'!C:C,B569)&gt;0,LOOKUP(B569,'Icon Lookup'!C:C,'Icon Lookup'!B:B),"")</f>
        <v/>
      </c>
      <c r="B569" s="21" t="s">
        <v>735</v>
      </c>
      <c r="C569" s="20" t="s">
        <v>17</v>
      </c>
      <c r="D569" s="20">
        <v>56.0</v>
      </c>
      <c r="E569" s="20" t="str">
        <f>IMAGE("https://www.serebii.net/itemdex/sprites/softsand.png")</f>
        <v/>
      </c>
      <c r="F569" s="20" t="s">
        <v>98</v>
      </c>
      <c r="G569" s="20" t="s">
        <v>820</v>
      </c>
      <c r="H569" s="23" t="s">
        <v>862</v>
      </c>
      <c r="I569" s="20" t="s">
        <v>22</v>
      </c>
      <c r="J569" s="20">
        <v>12.0</v>
      </c>
      <c r="K569" s="20">
        <v>60.0</v>
      </c>
      <c r="L569" s="20">
        <v>12.0</v>
      </c>
      <c r="M569" s="20">
        <v>0.0</v>
      </c>
      <c r="N569" s="20">
        <v>12.0</v>
      </c>
      <c r="O569" s="20">
        <v>204.0</v>
      </c>
      <c r="P569" s="20">
        <v>21.0</v>
      </c>
      <c r="Q569" s="20">
        <v>31.0</v>
      </c>
      <c r="R569" s="20">
        <v>21.0</v>
      </c>
      <c r="S569" s="20">
        <v>0.0</v>
      </c>
      <c r="T569" s="20">
        <v>21.0</v>
      </c>
      <c r="U569" s="20">
        <v>31.0</v>
      </c>
    </row>
    <row r="570" ht="23.25" customHeight="1">
      <c r="A570" s="17" t="str">
        <f>IF(COUNTIF('Icon Lookup'!C:C,B570)&gt;0,LOOKUP(B570,'Icon Lookup'!C:C,'Icon Lookup'!B:B),"")</f>
        <v/>
      </c>
      <c r="B570" s="18" t="s">
        <v>568</v>
      </c>
      <c r="C570" s="17" t="s">
        <v>17</v>
      </c>
      <c r="D570" s="17">
        <v>55.0</v>
      </c>
      <c r="E570" s="17" t="str">
        <f>IMAGE("https://www.serebii.net/itemdex/sprites/rindoberry.png")</f>
        <v/>
      </c>
      <c r="F570" s="17" t="s">
        <v>641</v>
      </c>
      <c r="G570" s="17" t="s">
        <v>863</v>
      </c>
      <c r="H570" s="20" t="s">
        <v>864</v>
      </c>
      <c r="I570" s="17" t="s">
        <v>612</v>
      </c>
      <c r="J570" s="17">
        <v>12.0</v>
      </c>
      <c r="K570" s="17">
        <v>12.0</v>
      </c>
      <c r="L570" s="17">
        <v>12.0</v>
      </c>
      <c r="M570" s="17">
        <v>252.0</v>
      </c>
      <c r="N570" s="17">
        <v>12.0</v>
      </c>
      <c r="O570" s="17">
        <v>0.0</v>
      </c>
      <c r="P570" s="17">
        <v>21.0</v>
      </c>
      <c r="Q570" s="17">
        <v>31.0</v>
      </c>
      <c r="R570" s="17">
        <v>21.0</v>
      </c>
      <c r="S570" s="17">
        <v>31.0</v>
      </c>
      <c r="T570" s="17">
        <v>21.0</v>
      </c>
      <c r="U570" s="17">
        <v>0.0</v>
      </c>
    </row>
    <row r="571" ht="23.25" customHeight="1">
      <c r="A571" s="24" t="str">
        <f>IF(COUNTIF('Icon Lookup'!C:C,B571)&gt;0,LOOKUP(B571,'Icon Lookup'!C:C,'Icon Lookup'!B:B),"")</f>
        <v/>
      </c>
      <c r="B571" s="25" t="s">
        <v>743</v>
      </c>
      <c r="C571" s="24" t="s">
        <v>804</v>
      </c>
      <c r="D571" s="24">
        <v>59.0</v>
      </c>
      <c r="E571" s="24" t="str">
        <f>IMAGE("https://www.serebii.net/itemdex/sprites/chestoberry.png")</f>
        <v/>
      </c>
      <c r="F571" s="24" t="s">
        <v>511</v>
      </c>
      <c r="G571" s="20" t="s">
        <v>865</v>
      </c>
      <c r="H571" s="23" t="s">
        <v>866</v>
      </c>
      <c r="I571" s="24" t="s">
        <v>550</v>
      </c>
      <c r="J571" s="24">
        <v>12.0</v>
      </c>
      <c r="K571" s="24">
        <v>252.0</v>
      </c>
      <c r="L571" s="24">
        <v>0.0</v>
      </c>
      <c r="M571" s="24">
        <v>0.0</v>
      </c>
      <c r="N571" s="24">
        <v>0.0</v>
      </c>
      <c r="O571" s="24">
        <v>0.0</v>
      </c>
      <c r="P571" s="24">
        <v>31.0</v>
      </c>
      <c r="Q571" s="24">
        <v>31.0</v>
      </c>
      <c r="R571" s="24">
        <v>31.0</v>
      </c>
      <c r="S571" s="24">
        <v>0.0</v>
      </c>
      <c r="T571" s="24">
        <v>31.0</v>
      </c>
      <c r="U571" s="24">
        <v>31.0</v>
      </c>
    </row>
    <row r="572" ht="23.25" customHeight="1">
      <c r="A572" s="1" t="str">
        <f>IF(COUNTIF('Icon Lookup'!C:C,B572)&gt;0,LOOKUP(B572,'Icon Lookup'!C:C,'Icon Lookup'!B:B),"")</f>
        <v/>
      </c>
      <c r="B572" s="15" t="s">
        <v>867</v>
      </c>
      <c r="C572" s="1" t="s">
        <v>17</v>
      </c>
      <c r="D572" s="1" t="s">
        <v>868</v>
      </c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ht="23.25" customHeight="1">
      <c r="A573" s="17" t="str">
        <f>IF(COUNTIF('Icon Lookup'!C:C,B573)&gt;0,LOOKUP(B573,'Icon Lookup'!C:C,'Icon Lookup'!B:B),"")</f>
        <v/>
      </c>
      <c r="B573" s="18" t="s">
        <v>710</v>
      </c>
      <c r="C573" s="17" t="s">
        <v>17</v>
      </c>
      <c r="D573" s="17">
        <v>58.0</v>
      </c>
      <c r="E573" s="17" t="str">
        <f>IMAGE("https://www.serebii.net/itemdex/sprites/widelens.png")</f>
        <v/>
      </c>
      <c r="F573" s="17" t="s">
        <v>869</v>
      </c>
      <c r="G573" s="17" t="s">
        <v>870</v>
      </c>
      <c r="H573" s="20" t="s">
        <v>871</v>
      </c>
      <c r="I573" s="17" t="s">
        <v>22</v>
      </c>
      <c r="J573" s="17">
        <v>12.0</v>
      </c>
      <c r="K573" s="17">
        <v>60.0</v>
      </c>
      <c r="L573" s="17">
        <v>12.0</v>
      </c>
      <c r="M573" s="17">
        <v>0.0</v>
      </c>
      <c r="N573" s="17">
        <v>12.0</v>
      </c>
      <c r="O573" s="17">
        <v>204.0</v>
      </c>
      <c r="P573" s="17">
        <v>25.0</v>
      </c>
      <c r="Q573" s="17">
        <v>31.0</v>
      </c>
      <c r="R573" s="17">
        <v>25.0</v>
      </c>
      <c r="S573" s="17">
        <v>0.0</v>
      </c>
      <c r="T573" s="17">
        <v>25.0</v>
      </c>
      <c r="U573" s="17">
        <v>31.0</v>
      </c>
    </row>
    <row r="574" ht="23.25" customHeight="1">
      <c r="A574" s="20" t="str">
        <f>IF(COUNTIF('Icon Lookup'!C:C,B574)&gt;0,LOOKUP(B574,'Icon Lookup'!C:C,'Icon Lookup'!B:B),"")</f>
        <v/>
      </c>
      <c r="B574" s="21" t="s">
        <v>756</v>
      </c>
      <c r="C574" s="20" t="s">
        <v>17</v>
      </c>
      <c r="D574" s="20">
        <v>57.0</v>
      </c>
      <c r="E574" s="20" t="str">
        <f>IMAGE("https://www.serebii.net/itemdex/sprites/lifeorb.png")</f>
        <v/>
      </c>
      <c r="F574" s="20" t="s">
        <v>872</v>
      </c>
      <c r="G574" s="20" t="s">
        <v>873</v>
      </c>
      <c r="H574" s="23" t="s">
        <v>874</v>
      </c>
      <c r="I574" s="20" t="s">
        <v>550</v>
      </c>
      <c r="J574" s="20">
        <v>12.0</v>
      </c>
      <c r="K574" s="20">
        <v>252.0</v>
      </c>
      <c r="L574" s="20">
        <v>0.0</v>
      </c>
      <c r="M574" s="20">
        <v>12.0</v>
      </c>
      <c r="N574" s="20">
        <v>12.0</v>
      </c>
      <c r="O574" s="20">
        <v>0.0</v>
      </c>
      <c r="P574" s="20">
        <v>31.0</v>
      </c>
      <c r="Q574" s="20">
        <v>31.0</v>
      </c>
      <c r="R574" s="20">
        <v>31.0</v>
      </c>
      <c r="S574" s="20">
        <v>0.0</v>
      </c>
      <c r="T574" s="20">
        <v>31.0</v>
      </c>
      <c r="U574" s="20">
        <v>31.0</v>
      </c>
    </row>
    <row r="575" ht="23.25" customHeight="1">
      <c r="A575" s="17" t="str">
        <f>IF(COUNTIF('Icon Lookup'!C:C,B575)&gt;0,LOOKUP(B575,'Icon Lookup'!C:C,'Icon Lookup'!B:B),"")</f>
        <v/>
      </c>
      <c r="B575" s="18" t="s">
        <v>875</v>
      </c>
      <c r="C575" s="17" t="s">
        <v>17</v>
      </c>
      <c r="D575" s="17">
        <v>58.0</v>
      </c>
      <c r="E575" s="17" t="str">
        <f>IMAGE("https://www.serebii.net/itemdex/sprites/sitrusberry.png")</f>
        <v/>
      </c>
      <c r="F575" s="17" t="s">
        <v>876</v>
      </c>
      <c r="G575" s="17" t="s">
        <v>824</v>
      </c>
      <c r="H575" s="20" t="s">
        <v>877</v>
      </c>
      <c r="I575" s="17" t="s">
        <v>52</v>
      </c>
      <c r="J575" s="17">
        <v>12.0</v>
      </c>
      <c r="K575" s="17">
        <v>60.0</v>
      </c>
      <c r="L575" s="17">
        <v>12.0</v>
      </c>
      <c r="M575" s="17">
        <v>0.0</v>
      </c>
      <c r="N575" s="17">
        <v>12.0</v>
      </c>
      <c r="O575" s="17">
        <v>204.0</v>
      </c>
      <c r="P575" s="17">
        <v>31.0</v>
      </c>
      <c r="Q575" s="17">
        <v>0.0</v>
      </c>
      <c r="R575" s="17">
        <v>31.0</v>
      </c>
      <c r="S575" s="17">
        <v>0.0</v>
      </c>
      <c r="T575" s="17">
        <v>31.0</v>
      </c>
      <c r="U575" s="17">
        <v>31.0</v>
      </c>
    </row>
    <row r="576" ht="23.25" customHeight="1">
      <c r="A576" s="20" t="str">
        <f>IF(COUNTIF('Icon Lookup'!C:C,B576)&gt;0,LOOKUP(B576,'Icon Lookup'!C:C,'Icon Lookup'!B:B),"")</f>
        <v/>
      </c>
      <c r="B576" s="21" t="s">
        <v>482</v>
      </c>
      <c r="C576" s="20" t="s">
        <v>17</v>
      </c>
      <c r="D576" s="20">
        <v>57.0</v>
      </c>
      <c r="E576" s="20" t="str">
        <f>IMAGE("https://www.serebii.net/itemdex/sprites/leftovers.png")</f>
        <v/>
      </c>
      <c r="F576" s="20" t="s">
        <v>218</v>
      </c>
      <c r="G576" s="20" t="s">
        <v>859</v>
      </c>
      <c r="H576" s="23" t="s">
        <v>878</v>
      </c>
      <c r="I576" s="20" t="s">
        <v>22</v>
      </c>
      <c r="J576" s="20">
        <v>252.0</v>
      </c>
      <c r="K576" s="20">
        <v>0.0</v>
      </c>
      <c r="L576" s="20">
        <v>0.0</v>
      </c>
      <c r="M576" s="20">
        <v>0.0</v>
      </c>
      <c r="N576" s="20">
        <v>0.0</v>
      </c>
      <c r="O576" s="20">
        <v>0.0</v>
      </c>
      <c r="P576" s="20">
        <v>31.0</v>
      </c>
      <c r="Q576" s="20">
        <v>31.0</v>
      </c>
      <c r="R576" s="20">
        <v>31.0</v>
      </c>
      <c r="S576" s="20">
        <v>0.0</v>
      </c>
      <c r="T576" s="20">
        <v>31.0</v>
      </c>
      <c r="U576" s="20">
        <v>31.0</v>
      </c>
    </row>
    <row r="577" ht="23.25" customHeight="1">
      <c r="A577" s="24" t="str">
        <f>IF(COUNTIF('Icon Lookup'!C:C,B577)&gt;0,LOOKUP(B577,'Icon Lookup'!C:C,'Icon Lookup'!B:B),"")</f>
        <v/>
      </c>
      <c r="B577" s="25" t="s">
        <v>879</v>
      </c>
      <c r="C577" s="24" t="s">
        <v>804</v>
      </c>
      <c r="D577" s="24">
        <v>61.0</v>
      </c>
      <c r="E577" s="24" t="str">
        <f>IMAGE("https://www.serebii.net/itemdex/sprites/focussash.png")</f>
        <v/>
      </c>
      <c r="F577" s="24" t="s">
        <v>880</v>
      </c>
      <c r="G577" s="17" t="s">
        <v>881</v>
      </c>
      <c r="H577" s="20" t="s">
        <v>882</v>
      </c>
      <c r="I577" s="24" t="s">
        <v>22</v>
      </c>
      <c r="J577" s="24">
        <v>12.0</v>
      </c>
      <c r="K577" s="24">
        <v>60.0</v>
      </c>
      <c r="L577" s="24">
        <v>0.0</v>
      </c>
      <c r="M577" s="24">
        <v>0.0</v>
      </c>
      <c r="N577" s="24">
        <v>0.0</v>
      </c>
      <c r="O577" s="24">
        <v>204.0</v>
      </c>
      <c r="P577" s="24">
        <v>31.0</v>
      </c>
      <c r="Q577" s="24">
        <v>31.0</v>
      </c>
      <c r="R577" s="24">
        <v>31.0</v>
      </c>
      <c r="S577" s="24">
        <v>0.0</v>
      </c>
      <c r="T577" s="24">
        <v>31.0</v>
      </c>
      <c r="U577" s="24">
        <v>31.0</v>
      </c>
    </row>
    <row r="578" ht="23.25" customHeight="1">
      <c r="A578" s="1" t="str">
        <f>IF(COUNTIF('Icon Lookup'!C:C,B578)&gt;0,LOOKUP(B578,'Icon Lookup'!C:C,'Icon Lookup'!B:B),"")</f>
        <v/>
      </c>
      <c r="B578" s="15" t="s">
        <v>883</v>
      </c>
      <c r="C578" s="1" t="s">
        <v>17</v>
      </c>
      <c r="D578" s="1" t="s">
        <v>884</v>
      </c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ht="23.25" customHeight="1">
      <c r="A579" s="20" t="str">
        <f>IF(COUNTIF('Icon Lookup'!C:C,B579)&gt;0,LOOKUP(B579,'Icon Lookup'!C:C,'Icon Lookup'!B:B),"")</f>
        <v/>
      </c>
      <c r="B579" s="21" t="s">
        <v>476</v>
      </c>
      <c r="C579" s="20" t="s">
        <v>17</v>
      </c>
      <c r="D579" s="20">
        <v>59.0</v>
      </c>
      <c r="E579" s="20" t="str">
        <f>IMAGE("https://www.serebii.net/itemdex/sprites/lightclay.png")</f>
        <v/>
      </c>
      <c r="F579" s="20" t="s">
        <v>203</v>
      </c>
      <c r="G579" s="20" t="s">
        <v>885</v>
      </c>
      <c r="H579" s="23" t="s">
        <v>886</v>
      </c>
      <c r="I579" s="20" t="s">
        <v>205</v>
      </c>
      <c r="J579" s="20">
        <v>252.0</v>
      </c>
      <c r="K579" s="20">
        <v>0.0</v>
      </c>
      <c r="L579" s="20">
        <v>12.0</v>
      </c>
      <c r="M579" s="20">
        <v>12.0</v>
      </c>
      <c r="N579" s="20">
        <v>12.0</v>
      </c>
      <c r="O579" s="20">
        <v>12.0</v>
      </c>
      <c r="P579" s="20">
        <v>31.0</v>
      </c>
      <c r="Q579" s="20">
        <v>0.0</v>
      </c>
      <c r="R579" s="20">
        <v>31.0</v>
      </c>
      <c r="S579" s="20">
        <v>31.0</v>
      </c>
      <c r="T579" s="20">
        <v>31.0</v>
      </c>
      <c r="U579" s="20">
        <v>31.0</v>
      </c>
    </row>
    <row r="580" ht="23.25" customHeight="1">
      <c r="A580" s="17" t="str">
        <f>IF(COUNTIF('Icon Lookup'!C:C,B580)&gt;0,LOOKUP(B580,'Icon Lookup'!C:C,'Icon Lookup'!B:B),"")</f>
        <v/>
      </c>
      <c r="B580" s="18" t="s">
        <v>273</v>
      </c>
      <c r="C580" s="17" t="s">
        <v>17</v>
      </c>
      <c r="D580" s="17">
        <v>59.0</v>
      </c>
      <c r="E580" s="17" t="str">
        <f>IMAGE("https://www.serebii.net/itemdex/sprites/mentalherb.png")</f>
        <v/>
      </c>
      <c r="F580" s="17" t="s">
        <v>887</v>
      </c>
      <c r="G580" s="17" t="s">
        <v>888</v>
      </c>
      <c r="H580" s="20" t="s">
        <v>889</v>
      </c>
      <c r="I580" s="17" t="s">
        <v>105</v>
      </c>
      <c r="J580" s="17">
        <v>252.0</v>
      </c>
      <c r="K580" s="17">
        <v>0.0</v>
      </c>
      <c r="L580" s="17">
        <v>12.0</v>
      </c>
      <c r="M580" s="17">
        <v>12.0</v>
      </c>
      <c r="N580" s="17">
        <v>12.0</v>
      </c>
      <c r="O580" s="17">
        <v>0.0</v>
      </c>
      <c r="P580" s="17">
        <v>31.0</v>
      </c>
      <c r="Q580" s="17">
        <v>0.0</v>
      </c>
      <c r="R580" s="17">
        <v>31.0</v>
      </c>
      <c r="S580" s="17">
        <v>31.0</v>
      </c>
      <c r="T580" s="17">
        <v>31.0</v>
      </c>
      <c r="U580" s="17">
        <v>0.0</v>
      </c>
    </row>
    <row r="581" ht="23.25" customHeight="1">
      <c r="A581" s="20" t="str">
        <f>IF(COUNTIF('Icon Lookup'!C:C,B581)&gt;0,LOOKUP(B581,'Icon Lookup'!C:C,'Icon Lookup'!B:B),"")</f>
        <v/>
      </c>
      <c r="B581" s="21" t="s">
        <v>582</v>
      </c>
      <c r="C581" s="20" t="s">
        <v>17</v>
      </c>
      <c r="D581" s="20">
        <v>60.0</v>
      </c>
      <c r="E581" s="20" t="str">
        <f>IMAGE("https://www.serebii.net/itemdex/sprites/muscleband.png")</f>
        <v/>
      </c>
      <c r="F581" s="20" t="s">
        <v>166</v>
      </c>
      <c r="G581" s="20" t="s">
        <v>890</v>
      </c>
      <c r="H581" s="23" t="s">
        <v>891</v>
      </c>
      <c r="I581" s="20" t="s">
        <v>822</v>
      </c>
      <c r="J581" s="20">
        <v>0.0</v>
      </c>
      <c r="K581" s="20">
        <v>252.0</v>
      </c>
      <c r="L581" s="20">
        <v>0.0</v>
      </c>
      <c r="M581" s="20">
        <v>0.0</v>
      </c>
      <c r="N581" s="20">
        <v>0.0</v>
      </c>
      <c r="O581" s="20">
        <v>0.0</v>
      </c>
      <c r="P581" s="20">
        <v>31.0</v>
      </c>
      <c r="Q581" s="20">
        <v>31.0</v>
      </c>
      <c r="R581" s="20">
        <v>31.0</v>
      </c>
      <c r="S581" s="20">
        <v>0.0</v>
      </c>
      <c r="T581" s="20">
        <v>31.0</v>
      </c>
      <c r="U581" s="20">
        <v>0.0</v>
      </c>
    </row>
    <row r="582" ht="23.25" customHeight="1">
      <c r="A582" s="17" t="str">
        <f>IF(COUNTIF('Icon Lookup'!C:C,B582)&gt;0,LOOKUP(B582,'Icon Lookup'!C:C,'Icon Lookup'!B:B),"")</f>
        <v/>
      </c>
      <c r="B582" s="18" t="s">
        <v>765</v>
      </c>
      <c r="C582" s="17" t="s">
        <v>17</v>
      </c>
      <c r="D582" s="17">
        <v>60.0</v>
      </c>
      <c r="E582" s="17" t="str">
        <f>IMAGE("https://www.serebii.net/itemdex/sprites/lifeorb.png")</f>
        <v/>
      </c>
      <c r="F582" s="17" t="s">
        <v>253</v>
      </c>
      <c r="G582" s="17" t="s">
        <v>873</v>
      </c>
      <c r="H582" s="20" t="s">
        <v>892</v>
      </c>
      <c r="I582" s="17" t="s">
        <v>52</v>
      </c>
      <c r="J582" s="17">
        <v>0.0</v>
      </c>
      <c r="K582" s="17">
        <v>0.0</v>
      </c>
      <c r="L582" s="17">
        <v>0.0</v>
      </c>
      <c r="M582" s="17">
        <v>0.0</v>
      </c>
      <c r="N582" s="17">
        <v>0.0</v>
      </c>
      <c r="O582" s="17">
        <v>252.0</v>
      </c>
      <c r="P582" s="17">
        <v>31.0</v>
      </c>
      <c r="Q582" s="17">
        <v>0.0</v>
      </c>
      <c r="R582" s="17">
        <v>31.0</v>
      </c>
      <c r="S582" s="17">
        <v>31.0</v>
      </c>
      <c r="T582" s="17">
        <v>31.0</v>
      </c>
      <c r="U582" s="17">
        <v>31.0</v>
      </c>
    </row>
    <row r="583" ht="23.25" customHeight="1">
      <c r="A583" s="24" t="str">
        <f>IF(COUNTIF('Icon Lookup'!C:C,B583)&gt;0,LOOKUP(B583,'Icon Lookup'!C:C,'Icon Lookup'!B:B),"")</f>
        <v/>
      </c>
      <c r="B583" s="25" t="s">
        <v>893</v>
      </c>
      <c r="C583" s="24" t="s">
        <v>804</v>
      </c>
      <c r="D583" s="24">
        <v>63.0</v>
      </c>
      <c r="E583" s="24" t="str">
        <f>IMAGE("https://www.serebii.net/itemdex/sprites/sitrusberry.png")</f>
        <v/>
      </c>
      <c r="F583" s="24" t="s">
        <v>161</v>
      </c>
      <c r="G583" s="20" t="s">
        <v>824</v>
      </c>
      <c r="H583" s="23" t="s">
        <v>894</v>
      </c>
      <c r="I583" s="24" t="s">
        <v>822</v>
      </c>
      <c r="J583" s="24">
        <v>12.0</v>
      </c>
      <c r="K583" s="24">
        <v>252.0</v>
      </c>
      <c r="L583" s="24">
        <v>0.0</v>
      </c>
      <c r="M583" s="24">
        <v>0.0</v>
      </c>
      <c r="N583" s="24">
        <v>0.0</v>
      </c>
      <c r="O583" s="24">
        <v>0.0</v>
      </c>
      <c r="P583" s="24">
        <v>31.0</v>
      </c>
      <c r="Q583" s="24">
        <v>31.0</v>
      </c>
      <c r="R583" s="24">
        <v>31.0</v>
      </c>
      <c r="S583" s="24">
        <v>0.0</v>
      </c>
      <c r="T583" s="24">
        <v>31.0</v>
      </c>
      <c r="U583" s="24">
        <v>0.0</v>
      </c>
    </row>
    <row r="584" ht="23.25" customHeight="1">
      <c r="A584" s="1" t="str">
        <f>IF(COUNTIF('Icon Lookup'!C:C,B584)&gt;0,LOOKUP(B584,'Icon Lookup'!C:C,'Icon Lookup'!B:B),"")</f>
        <v/>
      </c>
      <c r="B584" s="15" t="s">
        <v>895</v>
      </c>
      <c r="C584" s="1" t="s">
        <v>17</v>
      </c>
      <c r="D584" s="1" t="s">
        <v>896</v>
      </c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ht="23.25" customHeight="1">
      <c r="A585" s="17" t="str">
        <f>IF(COUNTIF('Icon Lookup'!C:C,B585)&gt;0,LOOKUP(B585,'Icon Lookup'!C:C,'Icon Lookup'!B:B),"")</f>
        <v/>
      </c>
      <c r="B585" s="18" t="s">
        <v>25</v>
      </c>
      <c r="C585" s="17" t="s">
        <v>17</v>
      </c>
      <c r="D585" s="17">
        <v>7.0</v>
      </c>
      <c r="E585" s="17" t="s">
        <v>26</v>
      </c>
      <c r="G585" s="19"/>
      <c r="H585" s="20" t="s">
        <v>27</v>
      </c>
      <c r="I585" s="17" t="s">
        <v>36</v>
      </c>
      <c r="J585" s="17">
        <v>0.0</v>
      </c>
      <c r="K585" s="17">
        <v>0.0</v>
      </c>
      <c r="L585" s="17">
        <v>0.0</v>
      </c>
      <c r="M585" s="17">
        <v>0.0</v>
      </c>
      <c r="N585" s="17">
        <v>0.0</v>
      </c>
      <c r="O585" s="17">
        <v>0.0</v>
      </c>
      <c r="P585" s="17">
        <v>0.0</v>
      </c>
      <c r="Q585" s="17">
        <v>0.0</v>
      </c>
      <c r="R585" s="17">
        <v>0.0</v>
      </c>
      <c r="S585" s="17">
        <v>0.0</v>
      </c>
      <c r="T585" s="17">
        <v>0.0</v>
      </c>
      <c r="U585" s="17">
        <v>0.0</v>
      </c>
    </row>
    <row r="586" ht="23.25" customHeight="1">
      <c r="A586" s="1" t="str">
        <f>IF(COUNTIF('Icon Lookup'!C:C,B586)&gt;0,LOOKUP(B586,'Icon Lookup'!C:C,'Icon Lookup'!B:B),"")</f>
        <v/>
      </c>
      <c r="B586" s="15" t="s">
        <v>897</v>
      </c>
      <c r="C586" s="1" t="s">
        <v>17</v>
      </c>
      <c r="D586" s="1" t="s">
        <v>898</v>
      </c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ht="23.25" customHeight="1">
      <c r="A587" s="20" t="str">
        <f>IF(COUNTIF('Icon Lookup'!C:C,B587)&gt;0,LOOKUP(B587,'Icon Lookup'!C:C,'Icon Lookup'!B:B),"")</f>
        <v/>
      </c>
      <c r="B587" s="21" t="s">
        <v>447</v>
      </c>
      <c r="C587" s="20" t="s">
        <v>17</v>
      </c>
      <c r="D587" s="20">
        <v>27.0</v>
      </c>
      <c r="E587" s="20" t="s">
        <v>161</v>
      </c>
      <c r="G587" s="22"/>
      <c r="H587" s="23" t="s">
        <v>899</v>
      </c>
      <c r="I587" s="20" t="s">
        <v>52</v>
      </c>
      <c r="J587" s="20">
        <v>0.0</v>
      </c>
      <c r="K587" s="20">
        <v>0.0</v>
      </c>
      <c r="L587" s="20">
        <v>0.0</v>
      </c>
      <c r="M587" s="20">
        <v>0.0</v>
      </c>
      <c r="N587" s="20">
        <v>0.0</v>
      </c>
      <c r="O587" s="20">
        <v>0.0</v>
      </c>
      <c r="P587" s="20">
        <v>0.0</v>
      </c>
      <c r="Q587" s="20">
        <v>0.0</v>
      </c>
      <c r="R587" s="20">
        <v>0.0</v>
      </c>
      <c r="S587" s="20">
        <v>0.0</v>
      </c>
      <c r="T587" s="20">
        <v>0.0</v>
      </c>
      <c r="U587" s="20">
        <v>0.0</v>
      </c>
    </row>
    <row r="588" ht="23.25" customHeight="1">
      <c r="A588" s="17" t="str">
        <f>IF(COUNTIF('Icon Lookup'!C:C,B588)&gt;0,LOOKUP(B588,'Icon Lookup'!C:C,'Icon Lookup'!B:B),"")</f>
        <v/>
      </c>
      <c r="B588" s="18" t="s">
        <v>447</v>
      </c>
      <c r="C588" s="17" t="s">
        <v>17</v>
      </c>
      <c r="D588" s="17">
        <v>27.0</v>
      </c>
      <c r="E588" s="17" t="s">
        <v>161</v>
      </c>
      <c r="G588" s="19"/>
      <c r="H588" s="20" t="s">
        <v>899</v>
      </c>
      <c r="I588" s="17" t="s">
        <v>52</v>
      </c>
      <c r="J588" s="17">
        <v>0.0</v>
      </c>
      <c r="K588" s="17">
        <v>0.0</v>
      </c>
      <c r="L588" s="17">
        <v>0.0</v>
      </c>
      <c r="M588" s="17">
        <v>0.0</v>
      </c>
      <c r="N588" s="17">
        <v>0.0</v>
      </c>
      <c r="O588" s="17">
        <v>0.0</v>
      </c>
      <c r="P588" s="17">
        <v>0.0</v>
      </c>
      <c r="Q588" s="17">
        <v>0.0</v>
      </c>
      <c r="R588" s="17">
        <v>0.0</v>
      </c>
      <c r="S588" s="17">
        <v>0.0</v>
      </c>
      <c r="T588" s="17">
        <v>0.0</v>
      </c>
      <c r="U588" s="17">
        <v>0.0</v>
      </c>
    </row>
    <row r="589" ht="23.25" customHeight="1">
      <c r="A589" s="20" t="str">
        <f>IF(COUNTIF('Icon Lookup'!C:C,B589)&gt;0,LOOKUP(B589,'Icon Lookup'!C:C,'Icon Lookup'!B:B),"")</f>
        <v/>
      </c>
      <c r="B589" s="21" t="s">
        <v>447</v>
      </c>
      <c r="C589" s="20" t="s">
        <v>17</v>
      </c>
      <c r="D589" s="20">
        <v>27.0</v>
      </c>
      <c r="E589" s="20" t="s">
        <v>161</v>
      </c>
      <c r="G589" s="22"/>
      <c r="H589" s="23" t="s">
        <v>899</v>
      </c>
      <c r="I589" s="20" t="s">
        <v>52</v>
      </c>
      <c r="J589" s="20">
        <v>0.0</v>
      </c>
      <c r="K589" s="20">
        <v>0.0</v>
      </c>
      <c r="L589" s="20">
        <v>0.0</v>
      </c>
      <c r="M589" s="20">
        <v>0.0</v>
      </c>
      <c r="N589" s="20">
        <v>0.0</v>
      </c>
      <c r="O589" s="20">
        <v>0.0</v>
      </c>
      <c r="P589" s="20">
        <v>0.0</v>
      </c>
      <c r="Q589" s="20">
        <v>0.0</v>
      </c>
      <c r="R589" s="20">
        <v>0.0</v>
      </c>
      <c r="S589" s="20">
        <v>0.0</v>
      </c>
      <c r="T589" s="20">
        <v>0.0</v>
      </c>
      <c r="U589" s="20">
        <v>0.0</v>
      </c>
    </row>
    <row r="590" ht="23.25" customHeight="1">
      <c r="A590" s="1" t="str">
        <f>IF(COUNTIF('Icon Lookup'!C:C,B590)&gt;0,LOOKUP(B590,'Icon Lookup'!C:C,'Icon Lookup'!B:B),"")</f>
        <v/>
      </c>
      <c r="B590" s="15" t="s">
        <v>900</v>
      </c>
      <c r="C590" s="1" t="s">
        <v>17</v>
      </c>
      <c r="D590" s="1" t="s">
        <v>901</v>
      </c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ht="23.25" customHeight="1">
      <c r="A591" s="17" t="str">
        <f>IF(COUNTIF('Icon Lookup'!C:C,B591)&gt;0,LOOKUP(B591,'Icon Lookup'!C:C,'Icon Lookup'!B:B),"")</f>
        <v/>
      </c>
      <c r="B591" s="18" t="s">
        <v>902</v>
      </c>
      <c r="C591" s="17" t="s">
        <v>17</v>
      </c>
      <c r="D591" s="17">
        <v>61.0</v>
      </c>
      <c r="E591" s="17" t="str">
        <f>IMAGE("https://www.serebii.net/itemdex/sprites/sitrusberry.png")</f>
        <v/>
      </c>
      <c r="F591" s="17" t="s">
        <v>903</v>
      </c>
      <c r="G591" s="17" t="s">
        <v>824</v>
      </c>
      <c r="H591" s="20" t="s">
        <v>904</v>
      </c>
      <c r="I591" s="17" t="s">
        <v>905</v>
      </c>
      <c r="J591" s="17">
        <v>252.0</v>
      </c>
      <c r="K591" s="17">
        <v>6.0</v>
      </c>
      <c r="L591" s="17">
        <v>0.0</v>
      </c>
      <c r="M591" s="17">
        <v>252.0</v>
      </c>
      <c r="N591" s="17">
        <v>0.0</v>
      </c>
      <c r="O591" s="17">
        <v>0.0</v>
      </c>
      <c r="P591" s="17">
        <v>31.0</v>
      </c>
      <c r="Q591" s="17">
        <v>31.0</v>
      </c>
      <c r="R591" s="17">
        <v>31.0</v>
      </c>
      <c r="S591" s="17">
        <v>31.0</v>
      </c>
      <c r="T591" s="17">
        <v>31.0</v>
      </c>
      <c r="U591" s="17">
        <v>31.0</v>
      </c>
    </row>
    <row r="592" ht="23.25" customHeight="1">
      <c r="A592" s="20" t="str">
        <f>IF(COUNTIF('Icon Lookup'!C:C,B592)&gt;0,LOOKUP(B592,'Icon Lookup'!C:C,'Icon Lookup'!B:B),"")</f>
        <v/>
      </c>
      <c r="B592" s="21" t="s">
        <v>906</v>
      </c>
      <c r="C592" s="20" t="s">
        <v>17</v>
      </c>
      <c r="D592" s="20">
        <v>60.0</v>
      </c>
      <c r="E592" s="20" t="str">
        <f>IMAGE("https://www.serebii.net/itemdex/sprites/expertbelt.png")</f>
        <v/>
      </c>
      <c r="F592" s="20" t="s">
        <v>50</v>
      </c>
      <c r="G592" s="20" t="s">
        <v>907</v>
      </c>
      <c r="H592" s="23" t="s">
        <v>908</v>
      </c>
      <c r="I592" s="20" t="s">
        <v>52</v>
      </c>
      <c r="J592" s="20">
        <v>52.0</v>
      </c>
      <c r="K592" s="20">
        <v>0.0</v>
      </c>
      <c r="L592" s="20">
        <v>0.0</v>
      </c>
      <c r="M592" s="20">
        <v>252.0</v>
      </c>
      <c r="N592" s="20">
        <v>0.0</v>
      </c>
      <c r="O592" s="20">
        <v>204.0</v>
      </c>
      <c r="P592" s="20">
        <v>31.0</v>
      </c>
      <c r="Q592" s="20">
        <v>0.0</v>
      </c>
      <c r="R592" s="20">
        <v>31.0</v>
      </c>
      <c r="S592" s="20">
        <v>31.0</v>
      </c>
      <c r="T592" s="20">
        <v>31.0</v>
      </c>
      <c r="U592" s="20">
        <v>31.0</v>
      </c>
    </row>
    <row r="593" ht="23.25" customHeight="1">
      <c r="A593" s="17" t="str">
        <f>IF(COUNTIF('Icon Lookup'!C:C,B593)&gt;0,LOOKUP(B593,'Icon Lookup'!C:C,'Icon Lookup'!B:B),"")</f>
        <v/>
      </c>
      <c r="B593" s="18" t="s">
        <v>586</v>
      </c>
      <c r="C593" s="17" t="s">
        <v>17</v>
      </c>
      <c r="D593" s="17">
        <v>60.0</v>
      </c>
      <c r="E593" s="17" t="str">
        <f>IMAGE("https://www.serebii.net/itemdex/sprites/leftovers.png")</f>
        <v/>
      </c>
      <c r="F593" s="17" t="s">
        <v>366</v>
      </c>
      <c r="G593" s="17" t="s">
        <v>859</v>
      </c>
      <c r="H593" s="20" t="s">
        <v>909</v>
      </c>
      <c r="I593" s="17" t="s">
        <v>89</v>
      </c>
      <c r="J593" s="17">
        <v>252.0</v>
      </c>
      <c r="K593" s="17">
        <v>0.0</v>
      </c>
      <c r="L593" s="17">
        <v>252.0</v>
      </c>
      <c r="M593" s="17">
        <v>0.0</v>
      </c>
      <c r="N593" s="17">
        <v>6.0</v>
      </c>
      <c r="O593" s="17">
        <v>0.0</v>
      </c>
      <c r="P593" s="17">
        <v>31.0</v>
      </c>
      <c r="Q593" s="17">
        <v>31.0</v>
      </c>
      <c r="R593" s="17">
        <v>31.0</v>
      </c>
      <c r="S593" s="17">
        <v>31.0</v>
      </c>
      <c r="T593" s="17">
        <v>31.0</v>
      </c>
      <c r="U593" s="17">
        <v>0.0</v>
      </c>
    </row>
    <row r="594" ht="23.25" customHeight="1">
      <c r="A594" s="20" t="str">
        <f>IF(COUNTIF('Icon Lookup'!C:C,B594)&gt;0,LOOKUP(B594,'Icon Lookup'!C:C,'Icon Lookup'!B:B),"")</f>
        <v/>
      </c>
      <c r="B594" s="21" t="s">
        <v>910</v>
      </c>
      <c r="C594" s="20" t="s">
        <v>17</v>
      </c>
      <c r="D594" s="20">
        <v>63.0</v>
      </c>
      <c r="E594" s="20" t="str">
        <f>IMAGE("https://www.serebii.net/itemdex/sprites/wiseglasses.png")</f>
        <v/>
      </c>
      <c r="F594" s="20" t="s">
        <v>38</v>
      </c>
      <c r="G594" s="20" t="s">
        <v>846</v>
      </c>
      <c r="H594" s="23" t="s">
        <v>911</v>
      </c>
      <c r="I594" s="20" t="s">
        <v>52</v>
      </c>
      <c r="J594" s="20">
        <v>52.0</v>
      </c>
      <c r="K594" s="20">
        <v>0.0</v>
      </c>
      <c r="L594" s="20">
        <v>0.0</v>
      </c>
      <c r="M594" s="20">
        <v>252.0</v>
      </c>
      <c r="N594" s="20">
        <v>0.0</v>
      </c>
      <c r="O594" s="20">
        <v>204.0</v>
      </c>
      <c r="P594" s="20">
        <v>31.0</v>
      </c>
      <c r="Q594" s="20">
        <v>0.0</v>
      </c>
      <c r="R594" s="20">
        <v>31.0</v>
      </c>
      <c r="S594" s="20">
        <v>31.0</v>
      </c>
      <c r="T594" s="20">
        <v>31.0</v>
      </c>
      <c r="U594" s="20">
        <v>31.0</v>
      </c>
    </row>
    <row r="595" ht="23.25" customHeight="1">
      <c r="A595" s="17" t="str">
        <f>IF(COUNTIF('Icon Lookup'!C:C,B595)&gt;0,LOOKUP(B595,'Icon Lookup'!C:C,'Icon Lookup'!B:B),"")</f>
        <v/>
      </c>
      <c r="B595" s="18" t="s">
        <v>912</v>
      </c>
      <c r="C595" s="17" t="s">
        <v>17</v>
      </c>
      <c r="D595" s="17">
        <v>63.0</v>
      </c>
      <c r="E595" s="17" t="str">
        <f>IMAGE("https://www.serebii.net/itemdex/sprites/flameorb.png")</f>
        <v/>
      </c>
      <c r="F595" s="17" t="s">
        <v>913</v>
      </c>
      <c r="G595" s="17" t="s">
        <v>852</v>
      </c>
      <c r="H595" s="20" t="s">
        <v>914</v>
      </c>
      <c r="I595" s="17" t="s">
        <v>205</v>
      </c>
      <c r="J595" s="17">
        <v>252.0</v>
      </c>
      <c r="K595" s="17">
        <v>0.0</v>
      </c>
      <c r="L595" s="17">
        <v>252.0</v>
      </c>
      <c r="M595" s="17">
        <v>6.0</v>
      </c>
      <c r="N595" s="17">
        <v>0.0</v>
      </c>
      <c r="O595" s="17">
        <v>0.0</v>
      </c>
      <c r="P595" s="17">
        <v>31.0</v>
      </c>
      <c r="Q595" s="17">
        <v>0.0</v>
      </c>
      <c r="R595" s="17">
        <v>31.0</v>
      </c>
      <c r="S595" s="17">
        <v>31.0</v>
      </c>
      <c r="T595" s="17">
        <v>31.0</v>
      </c>
      <c r="U595" s="17">
        <v>31.0</v>
      </c>
    </row>
    <row r="596" ht="23.25" customHeight="1">
      <c r="A596" s="24" t="str">
        <f>IF(COUNTIF('Icon Lookup'!C:C,B596)&gt;0,LOOKUP(B596,'Icon Lookup'!C:C,'Icon Lookup'!B:B),"")</f>
        <v/>
      </c>
      <c r="B596" s="25" t="s">
        <v>915</v>
      </c>
      <c r="C596" s="24" t="s">
        <v>804</v>
      </c>
      <c r="D596" s="24">
        <v>66.0</v>
      </c>
      <c r="E596" s="24" t="str">
        <f>IMAGE("https://www.serebii.net/itemdex/sprites/yacheberry.png")</f>
        <v/>
      </c>
      <c r="F596" s="24" t="s">
        <v>916</v>
      </c>
      <c r="G596" s="20" t="s">
        <v>917</v>
      </c>
      <c r="H596" s="23" t="s">
        <v>918</v>
      </c>
      <c r="I596" s="24" t="s">
        <v>22</v>
      </c>
      <c r="J596" s="24">
        <v>52.0</v>
      </c>
      <c r="K596" s="24">
        <v>252.0</v>
      </c>
      <c r="L596" s="24">
        <v>0.0</v>
      </c>
      <c r="M596" s="24">
        <v>0.0</v>
      </c>
      <c r="N596" s="24">
        <v>0.0</v>
      </c>
      <c r="O596" s="24">
        <v>204.0</v>
      </c>
      <c r="P596" s="24">
        <v>31.0</v>
      </c>
      <c r="Q596" s="24">
        <v>31.0</v>
      </c>
      <c r="R596" s="24">
        <v>31.0</v>
      </c>
      <c r="S596" s="24">
        <v>0.0</v>
      </c>
      <c r="T596" s="24">
        <v>31.0</v>
      </c>
      <c r="U596" s="24">
        <v>31.0</v>
      </c>
    </row>
    <row r="597" ht="23.25" customHeight="1">
      <c r="A597" s="1" t="str">
        <f>IF(COUNTIF('Icon Lookup'!C:C,B597)&gt;0,LOOKUP(B597,'Icon Lookup'!C:C,'Icon Lookup'!B:B),"")</f>
        <v/>
      </c>
      <c r="B597" s="15" t="s">
        <v>919</v>
      </c>
      <c r="C597" s="1" t="s">
        <v>17</v>
      </c>
      <c r="D597" s="1" t="s">
        <v>920</v>
      </c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ht="23.25" customHeight="1">
      <c r="A598" s="17" t="str">
        <f>IF(COUNTIF('Icon Lookup'!C:C,B598)&gt;0,LOOKUP(B598,'Icon Lookup'!C:C,'Icon Lookup'!B:B),"")</f>
        <v/>
      </c>
      <c r="B598" s="18" t="s">
        <v>921</v>
      </c>
      <c r="C598" s="17" t="s">
        <v>17</v>
      </c>
      <c r="D598" s="17">
        <v>37.0</v>
      </c>
      <c r="E598" s="17" t="s">
        <v>44</v>
      </c>
      <c r="G598" s="19"/>
      <c r="H598" s="20" t="s">
        <v>922</v>
      </c>
      <c r="I598" s="17" t="s">
        <v>22</v>
      </c>
      <c r="J598" s="17">
        <v>0.0</v>
      </c>
      <c r="K598" s="17">
        <v>0.0</v>
      </c>
      <c r="L598" s="17">
        <v>0.0</v>
      </c>
      <c r="M598" s="17">
        <v>0.0</v>
      </c>
      <c r="N598" s="17">
        <v>0.0</v>
      </c>
      <c r="O598" s="17">
        <v>0.0</v>
      </c>
      <c r="P598" s="17">
        <v>0.0</v>
      </c>
      <c r="Q598" s="17">
        <v>0.0</v>
      </c>
      <c r="R598" s="17">
        <v>0.0</v>
      </c>
      <c r="S598" s="17">
        <v>0.0</v>
      </c>
      <c r="T598" s="17">
        <v>0.0</v>
      </c>
      <c r="U598" s="17">
        <v>0.0</v>
      </c>
    </row>
    <row r="599" ht="23.25" customHeight="1">
      <c r="A599" s="20" t="str">
        <f>IF(COUNTIF('Icon Lookup'!C:C,B599)&gt;0,LOOKUP(B599,'Icon Lookup'!C:C,'Icon Lookup'!B:B),"")</f>
        <v/>
      </c>
      <c r="B599" s="21" t="s">
        <v>478</v>
      </c>
      <c r="C599" s="20" t="s">
        <v>17</v>
      </c>
      <c r="D599" s="20">
        <v>37.0</v>
      </c>
      <c r="E599" s="20" t="s">
        <v>38</v>
      </c>
      <c r="G599" s="22"/>
      <c r="H599" s="23" t="s">
        <v>923</v>
      </c>
      <c r="I599" s="20" t="s">
        <v>22</v>
      </c>
      <c r="J599" s="20">
        <v>0.0</v>
      </c>
      <c r="K599" s="20">
        <v>0.0</v>
      </c>
      <c r="L599" s="20">
        <v>0.0</v>
      </c>
      <c r="M599" s="20">
        <v>0.0</v>
      </c>
      <c r="N599" s="20">
        <v>0.0</v>
      </c>
      <c r="O599" s="20">
        <v>0.0</v>
      </c>
      <c r="P599" s="20">
        <v>0.0</v>
      </c>
      <c r="Q599" s="20">
        <v>0.0</v>
      </c>
      <c r="R599" s="20">
        <v>0.0</v>
      </c>
      <c r="S599" s="20">
        <v>0.0</v>
      </c>
      <c r="T599" s="20">
        <v>0.0</v>
      </c>
      <c r="U599" s="20">
        <v>0.0</v>
      </c>
    </row>
    <row r="600" ht="23.25" customHeight="1">
      <c r="A600" s="1" t="str">
        <f>IF(COUNTIF('Icon Lookup'!C:C,B600)&gt;0,LOOKUP(B600,'Icon Lookup'!C:C,'Icon Lookup'!B:B),"")</f>
        <v/>
      </c>
      <c r="B600" s="15" t="s">
        <v>924</v>
      </c>
      <c r="C600" s="1" t="s">
        <v>17</v>
      </c>
      <c r="D600" s="1" t="s">
        <v>925</v>
      </c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ht="23.25" customHeight="1">
      <c r="A601" s="17" t="str">
        <f>IF(COUNTIF('Icon Lookup'!C:C,B601)&gt;0,LOOKUP(B601,'Icon Lookup'!C:C,'Icon Lookup'!B:B),"")</f>
        <v/>
      </c>
      <c r="B601" s="18" t="s">
        <v>643</v>
      </c>
      <c r="C601" s="17" t="s">
        <v>17</v>
      </c>
      <c r="D601" s="17">
        <v>39.0</v>
      </c>
      <c r="E601" s="17" t="s">
        <v>399</v>
      </c>
      <c r="G601" s="19"/>
      <c r="H601" s="20" t="s">
        <v>926</v>
      </c>
      <c r="I601" s="17" t="s">
        <v>22</v>
      </c>
      <c r="J601" s="17">
        <v>0.0</v>
      </c>
      <c r="K601" s="17">
        <v>0.0</v>
      </c>
      <c r="L601" s="17">
        <v>0.0</v>
      </c>
      <c r="M601" s="17">
        <v>0.0</v>
      </c>
      <c r="N601" s="17">
        <v>0.0</v>
      </c>
      <c r="O601" s="17">
        <v>0.0</v>
      </c>
      <c r="P601" s="17">
        <v>0.0</v>
      </c>
      <c r="Q601" s="17">
        <v>0.0</v>
      </c>
      <c r="R601" s="17">
        <v>0.0</v>
      </c>
      <c r="S601" s="17">
        <v>0.0</v>
      </c>
      <c r="T601" s="17">
        <v>0.0</v>
      </c>
      <c r="U601" s="17">
        <v>0.0</v>
      </c>
    </row>
    <row r="602" ht="23.25" customHeight="1">
      <c r="A602" s="1" t="str">
        <f>IF(COUNTIF('Icon Lookup'!C:C,B602)&gt;0,LOOKUP(B602,'Icon Lookup'!C:C,'Icon Lookup'!B:B),"")</f>
        <v/>
      </c>
      <c r="B602" s="15" t="s">
        <v>927</v>
      </c>
      <c r="C602" s="1" t="s">
        <v>17</v>
      </c>
      <c r="D602" s="1" t="s">
        <v>928</v>
      </c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ht="23.25" customHeight="1">
      <c r="A603" s="20" t="str">
        <f>IF(COUNTIF('Icon Lookup'!C:C,B603)&gt;0,LOOKUP(B603,'Icon Lookup'!C:C,'Icon Lookup'!B:B),"")</f>
        <v/>
      </c>
      <c r="B603" s="21" t="s">
        <v>410</v>
      </c>
      <c r="C603" s="20" t="s">
        <v>17</v>
      </c>
      <c r="D603" s="20">
        <v>35.0</v>
      </c>
      <c r="E603" s="20" t="s">
        <v>411</v>
      </c>
      <c r="G603" s="22"/>
      <c r="H603" s="23" t="s">
        <v>929</v>
      </c>
      <c r="I603" s="20" t="s">
        <v>22</v>
      </c>
      <c r="J603" s="20">
        <v>0.0</v>
      </c>
      <c r="K603" s="20">
        <v>0.0</v>
      </c>
      <c r="L603" s="20">
        <v>0.0</v>
      </c>
      <c r="M603" s="20">
        <v>0.0</v>
      </c>
      <c r="N603" s="20">
        <v>0.0</v>
      </c>
      <c r="O603" s="20">
        <v>0.0</v>
      </c>
      <c r="P603" s="20">
        <v>0.0</v>
      </c>
      <c r="Q603" s="20">
        <v>0.0</v>
      </c>
      <c r="R603" s="20">
        <v>0.0</v>
      </c>
      <c r="S603" s="20">
        <v>0.0</v>
      </c>
      <c r="T603" s="20">
        <v>0.0</v>
      </c>
      <c r="U603" s="20">
        <v>0.0</v>
      </c>
    </row>
    <row r="604" ht="23.25" customHeight="1">
      <c r="A604" s="17" t="str">
        <f>IF(COUNTIF('Icon Lookup'!C:C,B604)&gt;0,LOOKUP(B604,'Icon Lookup'!C:C,'Icon Lookup'!B:B),"")</f>
        <v/>
      </c>
      <c r="B604" s="18" t="s">
        <v>398</v>
      </c>
      <c r="C604" s="17" t="s">
        <v>17</v>
      </c>
      <c r="D604" s="17">
        <v>36.0</v>
      </c>
      <c r="E604" s="17" t="s">
        <v>399</v>
      </c>
      <c r="G604" s="19"/>
      <c r="H604" s="20" t="s">
        <v>930</v>
      </c>
      <c r="I604" s="17" t="s">
        <v>22</v>
      </c>
      <c r="J604" s="17">
        <v>0.0</v>
      </c>
      <c r="K604" s="17">
        <v>0.0</v>
      </c>
      <c r="L604" s="17">
        <v>0.0</v>
      </c>
      <c r="M604" s="17">
        <v>0.0</v>
      </c>
      <c r="N604" s="17">
        <v>0.0</v>
      </c>
      <c r="O604" s="17">
        <v>0.0</v>
      </c>
      <c r="P604" s="17">
        <v>0.0</v>
      </c>
      <c r="Q604" s="17">
        <v>0.0</v>
      </c>
      <c r="R604" s="17">
        <v>0.0</v>
      </c>
      <c r="S604" s="17">
        <v>0.0</v>
      </c>
      <c r="T604" s="17">
        <v>0.0</v>
      </c>
      <c r="U604" s="17">
        <v>0.0</v>
      </c>
    </row>
    <row r="605" ht="23.25" customHeight="1">
      <c r="A605" s="20" t="str">
        <f>IF(COUNTIF('Icon Lookup'!C:C,B605)&gt;0,LOOKUP(B605,'Icon Lookup'!C:C,'Icon Lookup'!B:B),"")</f>
        <v/>
      </c>
      <c r="B605" s="21" t="s">
        <v>756</v>
      </c>
      <c r="C605" s="20" t="s">
        <v>17</v>
      </c>
      <c r="D605" s="20">
        <v>37.0</v>
      </c>
      <c r="E605" s="20" t="s">
        <v>98</v>
      </c>
      <c r="G605" s="22"/>
      <c r="H605" s="23" t="s">
        <v>931</v>
      </c>
      <c r="I605" s="20" t="s">
        <v>89</v>
      </c>
      <c r="J605" s="20">
        <v>0.0</v>
      </c>
      <c r="K605" s="20">
        <v>0.0</v>
      </c>
      <c r="L605" s="20">
        <v>0.0</v>
      </c>
      <c r="M605" s="20">
        <v>0.0</v>
      </c>
      <c r="N605" s="20">
        <v>0.0</v>
      </c>
      <c r="O605" s="20">
        <v>0.0</v>
      </c>
      <c r="P605" s="20">
        <v>0.0</v>
      </c>
      <c r="Q605" s="20">
        <v>0.0</v>
      </c>
      <c r="R605" s="20">
        <v>0.0</v>
      </c>
      <c r="S605" s="20">
        <v>0.0</v>
      </c>
      <c r="T605" s="20">
        <v>0.0</v>
      </c>
      <c r="U605" s="20">
        <v>0.0</v>
      </c>
    </row>
    <row r="606" ht="23.25" customHeight="1">
      <c r="A606" s="1" t="str">
        <f>IF(COUNTIF('Icon Lookup'!C:C,B606)&gt;0,LOOKUP(B606,'Icon Lookup'!C:C,'Icon Lookup'!B:B),"")</f>
        <v/>
      </c>
      <c r="B606" s="15" t="s">
        <v>932</v>
      </c>
      <c r="C606" s="1" t="s">
        <v>17</v>
      </c>
      <c r="D606" s="1" t="s">
        <v>933</v>
      </c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ht="23.25" customHeight="1">
      <c r="A607" s="17" t="str">
        <f>IF(COUNTIF('Icon Lookup'!C:C,B607)&gt;0,LOOKUP(B607,'Icon Lookup'!C:C,'Icon Lookup'!B:B),"")</f>
        <v/>
      </c>
      <c r="B607" s="18" t="s">
        <v>478</v>
      </c>
      <c r="C607" s="17" t="s">
        <v>17</v>
      </c>
      <c r="D607" s="17">
        <v>37.0</v>
      </c>
      <c r="E607" s="17" t="s">
        <v>38</v>
      </c>
      <c r="G607" s="19"/>
      <c r="H607" s="20" t="s">
        <v>934</v>
      </c>
      <c r="I607" s="17" t="s">
        <v>22</v>
      </c>
      <c r="J607" s="17">
        <v>0.0</v>
      </c>
      <c r="K607" s="17">
        <v>0.0</v>
      </c>
      <c r="L607" s="17">
        <v>0.0</v>
      </c>
      <c r="M607" s="17">
        <v>0.0</v>
      </c>
      <c r="N607" s="17">
        <v>0.0</v>
      </c>
      <c r="O607" s="17">
        <v>0.0</v>
      </c>
      <c r="P607" s="17">
        <v>0.0</v>
      </c>
      <c r="Q607" s="17">
        <v>0.0</v>
      </c>
      <c r="R607" s="17">
        <v>0.0</v>
      </c>
      <c r="S607" s="17">
        <v>0.0</v>
      </c>
      <c r="T607" s="17">
        <v>0.0</v>
      </c>
      <c r="U607" s="17">
        <v>0.0</v>
      </c>
    </row>
    <row r="608" ht="23.25" customHeight="1">
      <c r="A608" s="20" t="str">
        <f>IF(COUNTIF('Icon Lookup'!C:C,B608)&gt;0,LOOKUP(B608,'Icon Lookup'!C:C,'Icon Lookup'!B:B),"")</f>
        <v/>
      </c>
      <c r="B608" s="21" t="s">
        <v>628</v>
      </c>
      <c r="C608" s="20" t="s">
        <v>17</v>
      </c>
      <c r="D608" s="20">
        <v>37.0</v>
      </c>
      <c r="E608" s="20" t="s">
        <v>560</v>
      </c>
      <c r="G608" s="22"/>
      <c r="H608" s="23" t="s">
        <v>935</v>
      </c>
      <c r="I608" s="20" t="s">
        <v>612</v>
      </c>
      <c r="J608" s="20">
        <v>0.0</v>
      </c>
      <c r="K608" s="20">
        <v>0.0</v>
      </c>
      <c r="L608" s="20">
        <v>0.0</v>
      </c>
      <c r="M608" s="20">
        <v>0.0</v>
      </c>
      <c r="N608" s="20">
        <v>0.0</v>
      </c>
      <c r="O608" s="20">
        <v>0.0</v>
      </c>
      <c r="P608" s="20">
        <v>0.0</v>
      </c>
      <c r="Q608" s="20">
        <v>0.0</v>
      </c>
      <c r="R608" s="20">
        <v>0.0</v>
      </c>
      <c r="S608" s="20">
        <v>0.0</v>
      </c>
      <c r="T608" s="20">
        <v>0.0</v>
      </c>
      <c r="U608" s="20">
        <v>0.0</v>
      </c>
    </row>
    <row r="609" ht="23.25" customHeight="1">
      <c r="A609" s="1" t="str">
        <f>IF(COUNTIF('Icon Lookup'!C:C,B609)&gt;0,LOOKUP(B609,'Icon Lookup'!C:C,'Icon Lookup'!B:B),"")</f>
        <v/>
      </c>
      <c r="B609" s="15" t="s">
        <v>936</v>
      </c>
      <c r="C609" s="1" t="s">
        <v>17</v>
      </c>
      <c r="D609" s="1" t="s">
        <v>937</v>
      </c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ht="23.25" customHeight="1">
      <c r="A610" s="17" t="str">
        <f>IF(COUNTIF('Icon Lookup'!C:C,B610)&gt;0,LOOKUP(B610,'Icon Lookup'!C:C,'Icon Lookup'!B:B),"")</f>
        <v/>
      </c>
      <c r="B610" s="18" t="s">
        <v>198</v>
      </c>
      <c r="C610" s="17" t="s">
        <v>17</v>
      </c>
      <c r="D610" s="17">
        <v>20.0</v>
      </c>
      <c r="E610" s="17" t="s">
        <v>50</v>
      </c>
      <c r="G610" s="19"/>
      <c r="H610" s="20" t="s">
        <v>938</v>
      </c>
      <c r="I610" s="17" t="s">
        <v>105</v>
      </c>
      <c r="J610" s="17">
        <v>0.0</v>
      </c>
      <c r="K610" s="17">
        <v>0.0</v>
      </c>
      <c r="L610" s="17">
        <v>0.0</v>
      </c>
      <c r="M610" s="17">
        <v>0.0</v>
      </c>
      <c r="N610" s="17">
        <v>0.0</v>
      </c>
      <c r="O610" s="17">
        <v>0.0</v>
      </c>
      <c r="P610" s="17">
        <v>0.0</v>
      </c>
      <c r="Q610" s="17">
        <v>0.0</v>
      </c>
      <c r="R610" s="17">
        <v>0.0</v>
      </c>
      <c r="S610" s="17">
        <v>0.0</v>
      </c>
      <c r="T610" s="17">
        <v>0.0</v>
      </c>
      <c r="U610" s="17">
        <v>0.0</v>
      </c>
    </row>
    <row r="611" ht="23.25" customHeight="1">
      <c r="A611" s="20" t="str">
        <f>IF(COUNTIF('Icon Lookup'!C:C,B611)&gt;0,LOOKUP(B611,'Icon Lookup'!C:C,'Icon Lookup'!B:B),"")</f>
        <v/>
      </c>
      <c r="B611" s="21" t="s">
        <v>198</v>
      </c>
      <c r="C611" s="20" t="s">
        <v>17</v>
      </c>
      <c r="D611" s="20">
        <v>22.0</v>
      </c>
      <c r="E611" s="20" t="s">
        <v>50</v>
      </c>
      <c r="G611" s="22"/>
      <c r="H611" s="23" t="s">
        <v>199</v>
      </c>
      <c r="I611" s="20" t="s">
        <v>105</v>
      </c>
      <c r="J611" s="20">
        <v>0.0</v>
      </c>
      <c r="K611" s="20">
        <v>0.0</v>
      </c>
      <c r="L611" s="20">
        <v>0.0</v>
      </c>
      <c r="M611" s="20">
        <v>0.0</v>
      </c>
      <c r="N611" s="20">
        <v>0.0</v>
      </c>
      <c r="O611" s="20">
        <v>0.0</v>
      </c>
      <c r="P611" s="20">
        <v>0.0</v>
      </c>
      <c r="Q611" s="20">
        <v>0.0</v>
      </c>
      <c r="R611" s="20">
        <v>0.0</v>
      </c>
      <c r="S611" s="20">
        <v>0.0</v>
      </c>
      <c r="T611" s="20">
        <v>0.0</v>
      </c>
      <c r="U611" s="20">
        <v>0.0</v>
      </c>
    </row>
    <row r="612" ht="23.25" customHeight="1">
      <c r="A612" s="17" t="str">
        <f>IF(COUNTIF('Icon Lookup'!C:C,B612)&gt;0,LOOKUP(B612,'Icon Lookup'!C:C,'Icon Lookup'!B:B),"")</f>
        <v/>
      </c>
      <c r="B612" s="18" t="s">
        <v>198</v>
      </c>
      <c r="C612" s="17" t="s">
        <v>17</v>
      </c>
      <c r="D612" s="17">
        <v>24.0</v>
      </c>
      <c r="E612" s="17" t="s">
        <v>50</v>
      </c>
      <c r="G612" s="19"/>
      <c r="H612" s="20" t="s">
        <v>199</v>
      </c>
      <c r="I612" s="17" t="s">
        <v>105</v>
      </c>
      <c r="J612" s="17">
        <v>0.0</v>
      </c>
      <c r="K612" s="17">
        <v>0.0</v>
      </c>
      <c r="L612" s="17">
        <v>0.0</v>
      </c>
      <c r="M612" s="17">
        <v>0.0</v>
      </c>
      <c r="N612" s="17">
        <v>0.0</v>
      </c>
      <c r="O612" s="17">
        <v>0.0</v>
      </c>
      <c r="P612" s="17">
        <v>0.0</v>
      </c>
      <c r="Q612" s="17">
        <v>0.0</v>
      </c>
      <c r="R612" s="17">
        <v>0.0</v>
      </c>
      <c r="S612" s="17">
        <v>0.0</v>
      </c>
      <c r="T612" s="17">
        <v>0.0</v>
      </c>
      <c r="U612" s="17">
        <v>0.0</v>
      </c>
    </row>
    <row r="613" ht="23.25" customHeight="1">
      <c r="A613" s="1" t="str">
        <f>IF(COUNTIF('Icon Lookup'!C:C,B613)&gt;0,LOOKUP(B613,'Icon Lookup'!C:C,'Icon Lookup'!B:B),"")</f>
        <v/>
      </c>
      <c r="B613" s="15" t="s">
        <v>939</v>
      </c>
      <c r="C613" s="1" t="s">
        <v>17</v>
      </c>
      <c r="D613" s="1" t="s">
        <v>940</v>
      </c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ht="23.25" customHeight="1">
      <c r="A614" s="20" t="str">
        <f>IF(COUNTIF('Icon Lookup'!C:C,B614)&gt;0,LOOKUP(B614,'Icon Lookup'!C:C,'Icon Lookup'!B:B),"")</f>
        <v/>
      </c>
      <c r="B614" s="21" t="s">
        <v>78</v>
      </c>
      <c r="C614" s="20" t="s">
        <v>17</v>
      </c>
      <c r="D614" s="20">
        <v>22.0</v>
      </c>
      <c r="E614" s="20" t="s">
        <v>121</v>
      </c>
      <c r="G614" s="22"/>
      <c r="H614" s="23" t="s">
        <v>941</v>
      </c>
      <c r="I614" s="20" t="s">
        <v>156</v>
      </c>
      <c r="J614" s="20">
        <v>0.0</v>
      </c>
      <c r="K614" s="20">
        <v>0.0</v>
      </c>
      <c r="L614" s="20">
        <v>0.0</v>
      </c>
      <c r="M614" s="20">
        <v>0.0</v>
      </c>
      <c r="N614" s="20">
        <v>0.0</v>
      </c>
      <c r="O614" s="20">
        <v>0.0</v>
      </c>
      <c r="P614" s="20">
        <v>0.0</v>
      </c>
      <c r="Q614" s="20">
        <v>0.0</v>
      </c>
      <c r="R614" s="20">
        <v>0.0</v>
      </c>
      <c r="S614" s="20">
        <v>0.0</v>
      </c>
      <c r="T614" s="20">
        <v>0.0</v>
      </c>
      <c r="U614" s="20">
        <v>0.0</v>
      </c>
    </row>
    <row r="615" ht="23.25" customHeight="1">
      <c r="A615" s="17" t="str">
        <f>IF(COUNTIF('Icon Lookup'!C:C,B615)&gt;0,LOOKUP(B615,'Icon Lookup'!C:C,'Icon Lookup'!B:B),"")</f>
        <v/>
      </c>
      <c r="B615" s="18" t="s">
        <v>78</v>
      </c>
      <c r="C615" s="17" t="s">
        <v>17</v>
      </c>
      <c r="D615" s="17">
        <v>20.0</v>
      </c>
      <c r="E615" s="17" t="s">
        <v>121</v>
      </c>
      <c r="G615" s="19"/>
      <c r="H615" s="20" t="s">
        <v>942</v>
      </c>
      <c r="I615" s="17" t="s">
        <v>156</v>
      </c>
      <c r="J615" s="17">
        <v>0.0</v>
      </c>
      <c r="K615" s="17">
        <v>0.0</v>
      </c>
      <c r="L615" s="17">
        <v>0.0</v>
      </c>
      <c r="M615" s="17">
        <v>0.0</v>
      </c>
      <c r="N615" s="17">
        <v>0.0</v>
      </c>
      <c r="O615" s="17">
        <v>0.0</v>
      </c>
      <c r="P615" s="17">
        <v>0.0</v>
      </c>
      <c r="Q615" s="17">
        <v>0.0</v>
      </c>
      <c r="R615" s="17">
        <v>0.0</v>
      </c>
      <c r="S615" s="17">
        <v>0.0</v>
      </c>
      <c r="T615" s="17">
        <v>0.0</v>
      </c>
      <c r="U615" s="17">
        <v>0.0</v>
      </c>
    </row>
    <row r="616" ht="23.25" customHeight="1">
      <c r="A616" s="20" t="str">
        <f>IF(COUNTIF('Icon Lookup'!C:C,B616)&gt;0,LOOKUP(B616,'Icon Lookup'!C:C,'Icon Lookup'!B:B),"")</f>
        <v/>
      </c>
      <c r="B616" s="21" t="s">
        <v>78</v>
      </c>
      <c r="C616" s="20" t="s">
        <v>17</v>
      </c>
      <c r="D616" s="20">
        <v>24.0</v>
      </c>
      <c r="E616" s="20" t="s">
        <v>121</v>
      </c>
      <c r="G616" s="22"/>
      <c r="H616" s="23" t="s">
        <v>943</v>
      </c>
      <c r="I616" s="20" t="s">
        <v>156</v>
      </c>
      <c r="J616" s="20">
        <v>0.0</v>
      </c>
      <c r="K616" s="20">
        <v>0.0</v>
      </c>
      <c r="L616" s="20">
        <v>0.0</v>
      </c>
      <c r="M616" s="20">
        <v>0.0</v>
      </c>
      <c r="N616" s="20">
        <v>0.0</v>
      </c>
      <c r="O616" s="20">
        <v>0.0</v>
      </c>
      <c r="P616" s="20">
        <v>0.0</v>
      </c>
      <c r="Q616" s="20">
        <v>0.0</v>
      </c>
      <c r="R616" s="20">
        <v>0.0</v>
      </c>
      <c r="S616" s="20">
        <v>0.0</v>
      </c>
      <c r="T616" s="20">
        <v>0.0</v>
      </c>
      <c r="U616" s="20">
        <v>0.0</v>
      </c>
    </row>
    <row r="617" ht="23.25" customHeight="1">
      <c r="A617" s="1" t="str">
        <f>IF(COUNTIF('Icon Lookup'!C:C,B617)&gt;0,LOOKUP(B617,'Icon Lookup'!C:C,'Icon Lookup'!B:B),"")</f>
        <v/>
      </c>
      <c r="B617" s="15" t="s">
        <v>944</v>
      </c>
      <c r="C617" s="1" t="s">
        <v>17</v>
      </c>
      <c r="D617" s="1" t="s">
        <v>945</v>
      </c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ht="23.25" customHeight="1">
      <c r="A618" s="17" t="str">
        <f>IF(COUNTIF('Icon Lookup'!C:C,B618)&gt;0,LOOKUP(B618,'Icon Lookup'!C:C,'Icon Lookup'!B:B),"")</f>
        <v/>
      </c>
      <c r="B618" s="18" t="s">
        <v>510</v>
      </c>
      <c r="C618" s="17" t="s">
        <v>17</v>
      </c>
      <c r="D618" s="17">
        <v>28.0</v>
      </c>
      <c r="E618" s="17" t="s">
        <v>511</v>
      </c>
      <c r="G618" s="19"/>
      <c r="H618" s="20" t="s">
        <v>946</v>
      </c>
      <c r="I618" s="17" t="s">
        <v>211</v>
      </c>
      <c r="J618" s="17">
        <v>0.0</v>
      </c>
      <c r="K618" s="17">
        <v>0.0</v>
      </c>
      <c r="L618" s="17">
        <v>0.0</v>
      </c>
      <c r="M618" s="17">
        <v>0.0</v>
      </c>
      <c r="N618" s="17">
        <v>0.0</v>
      </c>
      <c r="O618" s="17">
        <v>0.0</v>
      </c>
      <c r="P618" s="17">
        <v>0.0</v>
      </c>
      <c r="Q618" s="17">
        <v>0.0</v>
      </c>
      <c r="R618" s="17">
        <v>0.0</v>
      </c>
      <c r="S618" s="17">
        <v>0.0</v>
      </c>
      <c r="T618" s="17">
        <v>0.0</v>
      </c>
      <c r="U618" s="17">
        <v>0.0</v>
      </c>
    </row>
    <row r="619" ht="23.25" customHeight="1">
      <c r="A619" s="20" t="str">
        <f>IF(COUNTIF('Icon Lookup'!C:C,B619)&gt;0,LOOKUP(B619,'Icon Lookup'!C:C,'Icon Lookup'!B:B),"")</f>
        <v/>
      </c>
      <c r="B619" s="21" t="s">
        <v>510</v>
      </c>
      <c r="C619" s="20" t="s">
        <v>17</v>
      </c>
      <c r="D619" s="20">
        <v>28.0</v>
      </c>
      <c r="E619" s="20" t="s">
        <v>511</v>
      </c>
      <c r="G619" s="22"/>
      <c r="H619" s="23" t="s">
        <v>946</v>
      </c>
      <c r="I619" s="20" t="s">
        <v>22</v>
      </c>
      <c r="J619" s="20">
        <v>0.0</v>
      </c>
      <c r="K619" s="20">
        <v>0.0</v>
      </c>
      <c r="L619" s="20">
        <v>0.0</v>
      </c>
      <c r="M619" s="20">
        <v>0.0</v>
      </c>
      <c r="N619" s="20">
        <v>0.0</v>
      </c>
      <c r="O619" s="20">
        <v>0.0</v>
      </c>
      <c r="P619" s="20">
        <v>0.0</v>
      </c>
      <c r="Q619" s="20">
        <v>0.0</v>
      </c>
      <c r="R619" s="20">
        <v>0.0</v>
      </c>
      <c r="S619" s="20">
        <v>0.0</v>
      </c>
      <c r="T619" s="20">
        <v>0.0</v>
      </c>
      <c r="U619" s="20">
        <v>0.0</v>
      </c>
    </row>
    <row r="620" ht="23.25" customHeight="1">
      <c r="A620" s="17" t="str">
        <f>IF(COUNTIF('Icon Lookup'!C:C,B620)&gt;0,LOOKUP(B620,'Icon Lookup'!C:C,'Icon Lookup'!B:B),"")</f>
        <v/>
      </c>
      <c r="B620" s="18" t="s">
        <v>510</v>
      </c>
      <c r="C620" s="17" t="s">
        <v>17</v>
      </c>
      <c r="D620" s="17">
        <v>34.0</v>
      </c>
      <c r="E620" s="17" t="s">
        <v>511</v>
      </c>
      <c r="G620" s="19"/>
      <c r="H620" s="20" t="s">
        <v>946</v>
      </c>
      <c r="I620" s="17" t="s">
        <v>22</v>
      </c>
      <c r="J620" s="17">
        <v>0.0</v>
      </c>
      <c r="K620" s="17">
        <v>0.0</v>
      </c>
      <c r="L620" s="17">
        <v>0.0</v>
      </c>
      <c r="M620" s="17">
        <v>0.0</v>
      </c>
      <c r="N620" s="17">
        <v>0.0</v>
      </c>
      <c r="O620" s="17">
        <v>0.0</v>
      </c>
      <c r="P620" s="17">
        <v>0.0</v>
      </c>
      <c r="Q620" s="17">
        <v>0.0</v>
      </c>
      <c r="R620" s="17">
        <v>0.0</v>
      </c>
      <c r="S620" s="17">
        <v>0.0</v>
      </c>
      <c r="T620" s="17">
        <v>0.0</v>
      </c>
      <c r="U620" s="17">
        <v>0.0</v>
      </c>
    </row>
    <row r="621" ht="23.25" customHeight="1">
      <c r="A621" s="1" t="str">
        <f>IF(COUNTIF('Icon Lookup'!C:C,B621)&gt;0,LOOKUP(B621,'Icon Lookup'!C:C,'Icon Lookup'!B:B),"")</f>
        <v/>
      </c>
      <c r="B621" s="15" t="s">
        <v>947</v>
      </c>
      <c r="C621" s="1" t="s">
        <v>17</v>
      </c>
      <c r="D621" s="1" t="s">
        <v>948</v>
      </c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ht="23.25" customHeight="1">
      <c r="A622" s="20" t="str">
        <f>IF(COUNTIF('Icon Lookup'!C:C,B622)&gt;0,LOOKUP(B622,'Icon Lookup'!C:C,'Icon Lookup'!B:B),"")</f>
        <v/>
      </c>
      <c r="B622" s="21" t="s">
        <v>476</v>
      </c>
      <c r="C622" s="20" t="s">
        <v>17</v>
      </c>
      <c r="D622" s="20">
        <v>17.0</v>
      </c>
      <c r="E622" s="20" t="s">
        <v>203</v>
      </c>
      <c r="G622" s="22"/>
      <c r="H622" s="23" t="s">
        <v>949</v>
      </c>
      <c r="I622" s="20" t="s">
        <v>156</v>
      </c>
      <c r="J622" s="20">
        <v>0.0</v>
      </c>
      <c r="K622" s="20">
        <v>0.0</v>
      </c>
      <c r="L622" s="20">
        <v>0.0</v>
      </c>
      <c r="M622" s="20">
        <v>0.0</v>
      </c>
      <c r="N622" s="20">
        <v>0.0</v>
      </c>
      <c r="O622" s="20">
        <v>0.0</v>
      </c>
      <c r="P622" s="20">
        <v>0.0</v>
      </c>
      <c r="Q622" s="20">
        <v>0.0</v>
      </c>
      <c r="R622" s="20">
        <v>0.0</v>
      </c>
      <c r="S622" s="20">
        <v>0.0</v>
      </c>
      <c r="T622" s="20">
        <v>0.0</v>
      </c>
      <c r="U622" s="20">
        <v>0.0</v>
      </c>
    </row>
    <row r="623" ht="23.25" customHeight="1">
      <c r="A623" s="17" t="str">
        <f>IF(COUNTIF('Icon Lookup'!C:C,B623)&gt;0,LOOKUP(B623,'Icon Lookup'!C:C,'Icon Lookup'!B:B),"")</f>
        <v/>
      </c>
      <c r="B623" s="18" t="s">
        <v>476</v>
      </c>
      <c r="C623" s="17" t="s">
        <v>17</v>
      </c>
      <c r="D623" s="17">
        <v>20.0</v>
      </c>
      <c r="E623" s="17" t="s">
        <v>950</v>
      </c>
      <c r="G623" s="19"/>
      <c r="H623" s="20" t="s">
        <v>204</v>
      </c>
      <c r="I623" s="17" t="s">
        <v>156</v>
      </c>
      <c r="J623" s="17">
        <v>0.0</v>
      </c>
      <c r="K623" s="17">
        <v>0.0</v>
      </c>
      <c r="L623" s="17">
        <v>0.0</v>
      </c>
      <c r="M623" s="17">
        <v>0.0</v>
      </c>
      <c r="N623" s="17">
        <v>0.0</v>
      </c>
      <c r="O623" s="17">
        <v>0.0</v>
      </c>
      <c r="P623" s="17">
        <v>0.0</v>
      </c>
      <c r="Q623" s="17">
        <v>0.0</v>
      </c>
      <c r="R623" s="17">
        <v>0.0</v>
      </c>
      <c r="S623" s="17">
        <v>0.0</v>
      </c>
      <c r="T623" s="17">
        <v>0.0</v>
      </c>
      <c r="U623" s="17">
        <v>0.0</v>
      </c>
    </row>
    <row r="624" ht="23.25" customHeight="1">
      <c r="A624" s="20" t="str">
        <f>IF(COUNTIF('Icon Lookup'!C:C,B624)&gt;0,LOOKUP(B624,'Icon Lookup'!C:C,'Icon Lookup'!B:B),"")</f>
        <v/>
      </c>
      <c r="B624" s="21" t="s">
        <v>476</v>
      </c>
      <c r="C624" s="20" t="s">
        <v>17</v>
      </c>
      <c r="D624" s="20">
        <v>20.0</v>
      </c>
      <c r="E624" s="20" t="s">
        <v>950</v>
      </c>
      <c r="G624" s="22"/>
      <c r="H624" s="23" t="s">
        <v>204</v>
      </c>
      <c r="I624" s="20" t="s">
        <v>156</v>
      </c>
      <c r="J624" s="20">
        <v>0.0</v>
      </c>
      <c r="K624" s="20">
        <v>0.0</v>
      </c>
      <c r="L624" s="20">
        <v>0.0</v>
      </c>
      <c r="M624" s="20">
        <v>0.0</v>
      </c>
      <c r="N624" s="20">
        <v>0.0</v>
      </c>
      <c r="O624" s="20">
        <v>0.0</v>
      </c>
      <c r="P624" s="20">
        <v>0.0</v>
      </c>
      <c r="Q624" s="20">
        <v>0.0</v>
      </c>
      <c r="R624" s="20">
        <v>0.0</v>
      </c>
      <c r="S624" s="20">
        <v>0.0</v>
      </c>
      <c r="T624" s="20">
        <v>0.0</v>
      </c>
      <c r="U624" s="20">
        <v>0.0</v>
      </c>
    </row>
    <row r="625" ht="23.25" customHeight="1">
      <c r="A625" s="1" t="str">
        <f>IF(COUNTIF('Icon Lookup'!C:C,B625)&gt;0,LOOKUP(B625,'Icon Lookup'!C:C,'Icon Lookup'!B:B),"")</f>
        <v/>
      </c>
      <c r="B625" s="15" t="s">
        <v>951</v>
      </c>
      <c r="C625" s="1" t="s">
        <v>17</v>
      </c>
      <c r="D625" s="1" t="s">
        <v>952</v>
      </c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ht="23.25" customHeight="1">
      <c r="A626" s="17" t="str">
        <f>IF(COUNTIF('Icon Lookup'!C:C,B626)&gt;0,LOOKUP(B626,'Icon Lookup'!C:C,'Icon Lookup'!B:B),"")</f>
        <v/>
      </c>
      <c r="B626" s="18" t="s">
        <v>488</v>
      </c>
      <c r="C626" s="17" t="s">
        <v>17</v>
      </c>
      <c r="D626" s="17">
        <v>19.0</v>
      </c>
      <c r="E626" s="17" t="s">
        <v>87</v>
      </c>
      <c r="G626" s="19"/>
      <c r="H626" s="20" t="s">
        <v>953</v>
      </c>
      <c r="I626" s="17" t="s">
        <v>89</v>
      </c>
      <c r="J626" s="17">
        <v>0.0</v>
      </c>
      <c r="K626" s="17">
        <v>0.0</v>
      </c>
      <c r="L626" s="17">
        <v>0.0</v>
      </c>
      <c r="M626" s="17">
        <v>0.0</v>
      </c>
      <c r="N626" s="17">
        <v>0.0</v>
      </c>
      <c r="O626" s="17">
        <v>0.0</v>
      </c>
      <c r="P626" s="17">
        <v>0.0</v>
      </c>
      <c r="Q626" s="17">
        <v>0.0</v>
      </c>
      <c r="R626" s="17">
        <v>0.0</v>
      </c>
      <c r="S626" s="17">
        <v>0.0</v>
      </c>
      <c r="T626" s="17">
        <v>0.0</v>
      </c>
      <c r="U626" s="17">
        <v>0.0</v>
      </c>
    </row>
    <row r="627" ht="23.25" customHeight="1">
      <c r="A627" s="20" t="str">
        <f>IF(COUNTIF('Icon Lookup'!C:C,B627)&gt;0,LOOKUP(B627,'Icon Lookup'!C:C,'Icon Lookup'!B:B),"")</f>
        <v/>
      </c>
      <c r="B627" s="21" t="s">
        <v>488</v>
      </c>
      <c r="C627" s="20" t="s">
        <v>17</v>
      </c>
      <c r="D627" s="20">
        <v>19.0</v>
      </c>
      <c r="E627" s="20" t="s">
        <v>87</v>
      </c>
      <c r="G627" s="22"/>
      <c r="H627" s="23" t="s">
        <v>954</v>
      </c>
      <c r="I627" s="20" t="s">
        <v>89</v>
      </c>
      <c r="J627" s="20">
        <v>0.0</v>
      </c>
      <c r="K627" s="20">
        <v>0.0</v>
      </c>
      <c r="L627" s="20">
        <v>0.0</v>
      </c>
      <c r="M627" s="20">
        <v>0.0</v>
      </c>
      <c r="N627" s="20">
        <v>0.0</v>
      </c>
      <c r="O627" s="20">
        <v>0.0</v>
      </c>
      <c r="P627" s="20">
        <v>0.0</v>
      </c>
      <c r="Q627" s="20">
        <v>0.0</v>
      </c>
      <c r="R627" s="20">
        <v>0.0</v>
      </c>
      <c r="S627" s="20">
        <v>0.0</v>
      </c>
      <c r="T627" s="20">
        <v>0.0</v>
      </c>
      <c r="U627" s="20">
        <v>0.0</v>
      </c>
    </row>
    <row r="628" ht="23.25" customHeight="1">
      <c r="A628" s="17" t="str">
        <f>IF(COUNTIF('Icon Lookup'!C:C,B628)&gt;0,LOOKUP(B628,'Icon Lookup'!C:C,'Icon Lookup'!B:B),"")</f>
        <v/>
      </c>
      <c r="B628" s="18" t="s">
        <v>488</v>
      </c>
      <c r="C628" s="17" t="s">
        <v>17</v>
      </c>
      <c r="D628" s="17">
        <v>19.0</v>
      </c>
      <c r="E628" s="17" t="s">
        <v>87</v>
      </c>
      <c r="G628" s="19"/>
      <c r="H628" s="20" t="s">
        <v>955</v>
      </c>
      <c r="I628" s="17" t="s">
        <v>89</v>
      </c>
      <c r="J628" s="17">
        <v>0.0</v>
      </c>
      <c r="K628" s="17">
        <v>0.0</v>
      </c>
      <c r="L628" s="17">
        <v>0.0</v>
      </c>
      <c r="M628" s="17">
        <v>0.0</v>
      </c>
      <c r="N628" s="17">
        <v>0.0</v>
      </c>
      <c r="O628" s="17">
        <v>0.0</v>
      </c>
      <c r="P628" s="17">
        <v>0.0</v>
      </c>
      <c r="Q628" s="17">
        <v>0.0</v>
      </c>
      <c r="R628" s="17">
        <v>0.0</v>
      </c>
      <c r="S628" s="17">
        <v>0.0</v>
      </c>
      <c r="T628" s="17">
        <v>0.0</v>
      </c>
      <c r="U628" s="17">
        <v>0.0</v>
      </c>
    </row>
    <row r="629" ht="23.25" customHeight="1">
      <c r="A629" s="1" t="str">
        <f>IF(COUNTIF('Icon Lookup'!C:C,B629)&gt;0,LOOKUP(B629,'Icon Lookup'!C:C,'Icon Lookup'!B:B),"")</f>
        <v/>
      </c>
      <c r="B629" s="15" t="s">
        <v>956</v>
      </c>
      <c r="C629" s="1" t="s">
        <v>17</v>
      </c>
      <c r="D629" s="1" t="s">
        <v>957</v>
      </c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ht="23.25" customHeight="1">
      <c r="A630" s="20" t="str">
        <f>IF(COUNTIF('Icon Lookup'!C:C,B630)&gt;0,LOOKUP(B630,'Icon Lookup'!C:C,'Icon Lookup'!B:B),"")</f>
        <v/>
      </c>
      <c r="B630" s="21" t="s">
        <v>958</v>
      </c>
      <c r="C630" s="20" t="s">
        <v>17</v>
      </c>
      <c r="D630" s="20">
        <v>53.0</v>
      </c>
      <c r="E630" s="20" t="s">
        <v>959</v>
      </c>
      <c r="G630" s="22"/>
      <c r="H630" s="23" t="s">
        <v>960</v>
      </c>
      <c r="I630" s="20" t="s">
        <v>612</v>
      </c>
      <c r="J630" s="20">
        <v>0.0</v>
      </c>
      <c r="K630" s="20">
        <v>0.0</v>
      </c>
      <c r="L630" s="20">
        <v>0.0</v>
      </c>
      <c r="M630" s="20">
        <v>0.0</v>
      </c>
      <c r="N630" s="20">
        <v>0.0</v>
      </c>
      <c r="O630" s="20">
        <v>0.0</v>
      </c>
      <c r="P630" s="20">
        <v>0.0</v>
      </c>
      <c r="Q630" s="20">
        <v>0.0</v>
      </c>
      <c r="R630" s="20">
        <v>0.0</v>
      </c>
      <c r="S630" s="20">
        <v>0.0</v>
      </c>
      <c r="T630" s="20">
        <v>0.0</v>
      </c>
      <c r="U630" s="20">
        <v>0.0</v>
      </c>
    </row>
    <row r="631" ht="23.25" customHeight="1">
      <c r="A631" s="17" t="str">
        <f>IF(COUNTIF('Icon Lookup'!C:C,B631)&gt;0,LOOKUP(B631,'Icon Lookup'!C:C,'Icon Lookup'!B:B),"")</f>
        <v/>
      </c>
      <c r="B631" s="18" t="s">
        <v>961</v>
      </c>
      <c r="C631" s="17" t="s">
        <v>17</v>
      </c>
      <c r="D631" s="17">
        <v>57.0</v>
      </c>
      <c r="E631" s="17" t="s">
        <v>959</v>
      </c>
      <c r="G631" s="19"/>
      <c r="H631" s="20" t="s">
        <v>962</v>
      </c>
      <c r="I631" s="17" t="s">
        <v>550</v>
      </c>
      <c r="J631" s="17">
        <v>0.0</v>
      </c>
      <c r="K631" s="17">
        <v>0.0</v>
      </c>
      <c r="L631" s="17">
        <v>0.0</v>
      </c>
      <c r="M631" s="17">
        <v>0.0</v>
      </c>
      <c r="N631" s="17">
        <v>0.0</v>
      </c>
      <c r="O631" s="17">
        <v>0.0</v>
      </c>
      <c r="P631" s="17">
        <v>0.0</v>
      </c>
      <c r="Q631" s="17">
        <v>0.0</v>
      </c>
      <c r="R631" s="17">
        <v>0.0</v>
      </c>
      <c r="S631" s="17">
        <v>0.0</v>
      </c>
      <c r="T631" s="17">
        <v>0.0</v>
      </c>
      <c r="U631" s="17">
        <v>0.0</v>
      </c>
    </row>
    <row r="632" ht="23.25" customHeight="1">
      <c r="A632" s="1" t="str">
        <f>IF(COUNTIF('Icon Lookup'!C:C,B632)&gt;0,LOOKUP(B632,'Icon Lookup'!C:C,'Icon Lookup'!B:B),"")</f>
        <v/>
      </c>
      <c r="B632" s="15" t="s">
        <v>963</v>
      </c>
      <c r="C632" s="1" t="s">
        <v>17</v>
      </c>
      <c r="D632" s="1" t="s">
        <v>964</v>
      </c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ht="23.25" customHeight="1">
      <c r="A633" s="20" t="str">
        <f>IF(COUNTIF('Icon Lookup'!C:C,B633)&gt;0,LOOKUP(B633,'Icon Lookup'!C:C,'Icon Lookup'!B:B),"")</f>
        <v/>
      </c>
      <c r="B633" s="21" t="s">
        <v>965</v>
      </c>
      <c r="C633" s="20" t="s">
        <v>17</v>
      </c>
      <c r="D633" s="20">
        <v>23.0</v>
      </c>
      <c r="E633" s="20" t="s">
        <v>145</v>
      </c>
      <c r="G633" s="22"/>
      <c r="H633" s="23" t="s">
        <v>146</v>
      </c>
      <c r="I633" s="20" t="s">
        <v>22</v>
      </c>
      <c r="J633" s="20">
        <v>0.0</v>
      </c>
      <c r="K633" s="20">
        <v>0.0</v>
      </c>
      <c r="L633" s="20">
        <v>0.0</v>
      </c>
      <c r="M633" s="20">
        <v>0.0</v>
      </c>
      <c r="N633" s="20">
        <v>0.0</v>
      </c>
      <c r="O633" s="20">
        <v>0.0</v>
      </c>
      <c r="P633" s="20">
        <v>0.0</v>
      </c>
      <c r="Q633" s="20">
        <v>0.0</v>
      </c>
      <c r="R633" s="20">
        <v>0.0</v>
      </c>
      <c r="S633" s="20">
        <v>0.0</v>
      </c>
      <c r="T633" s="20">
        <v>0.0</v>
      </c>
      <c r="U633" s="20">
        <v>0.0</v>
      </c>
    </row>
    <row r="634" ht="23.25" customHeight="1">
      <c r="A634" s="17" t="str">
        <f>IF(COUNTIF('Icon Lookup'!C:C,B634)&gt;0,LOOKUP(B634,'Icon Lookup'!C:C,'Icon Lookup'!B:B),"")</f>
        <v/>
      </c>
      <c r="B634" s="18" t="s">
        <v>190</v>
      </c>
      <c r="C634" s="17" t="s">
        <v>17</v>
      </c>
      <c r="D634" s="17">
        <v>23.0</v>
      </c>
      <c r="E634" s="17" t="s">
        <v>26</v>
      </c>
      <c r="G634" s="19"/>
      <c r="H634" s="20" t="s">
        <v>966</v>
      </c>
      <c r="I634" s="17" t="s">
        <v>40</v>
      </c>
      <c r="J634" s="17">
        <v>0.0</v>
      </c>
      <c r="K634" s="17">
        <v>0.0</v>
      </c>
      <c r="L634" s="17">
        <v>0.0</v>
      </c>
      <c r="M634" s="17">
        <v>0.0</v>
      </c>
      <c r="N634" s="17">
        <v>0.0</v>
      </c>
      <c r="O634" s="17">
        <v>0.0</v>
      </c>
      <c r="P634" s="17">
        <v>0.0</v>
      </c>
      <c r="Q634" s="17">
        <v>0.0</v>
      </c>
      <c r="R634" s="17">
        <v>0.0</v>
      </c>
      <c r="S634" s="17">
        <v>0.0</v>
      </c>
      <c r="T634" s="17">
        <v>0.0</v>
      </c>
      <c r="U634" s="17">
        <v>0.0</v>
      </c>
    </row>
    <row r="635" ht="23.25" customHeight="1">
      <c r="A635" s="1" t="str">
        <f>IF(COUNTIF('Icon Lookup'!C:C,B635)&gt;0,LOOKUP(B635,'Icon Lookup'!C:C,'Icon Lookup'!B:B),"")</f>
        <v/>
      </c>
      <c r="B635" s="15" t="s">
        <v>967</v>
      </c>
      <c r="C635" s="1" t="s">
        <v>17</v>
      </c>
      <c r="D635" s="1" t="s">
        <v>968</v>
      </c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ht="23.25" customHeight="1">
      <c r="A636" s="20" t="str">
        <f>IF(COUNTIF('Icon Lookup'!C:C,B636)&gt;0,LOOKUP(B636,'Icon Lookup'!C:C,'Icon Lookup'!B:B),"")</f>
        <v/>
      </c>
      <c r="B636" s="21" t="s">
        <v>282</v>
      </c>
      <c r="C636" s="20" t="s">
        <v>17</v>
      </c>
      <c r="D636" s="20">
        <v>30.0</v>
      </c>
      <c r="E636" s="20" t="s">
        <v>283</v>
      </c>
      <c r="G636" s="22"/>
      <c r="H636" s="23" t="s">
        <v>969</v>
      </c>
      <c r="I636" s="20" t="s">
        <v>89</v>
      </c>
      <c r="J636" s="20">
        <v>0.0</v>
      </c>
      <c r="K636" s="20">
        <v>0.0</v>
      </c>
      <c r="L636" s="20">
        <v>0.0</v>
      </c>
      <c r="M636" s="20">
        <v>0.0</v>
      </c>
      <c r="N636" s="20">
        <v>0.0</v>
      </c>
      <c r="O636" s="20">
        <v>0.0</v>
      </c>
      <c r="P636" s="20">
        <v>0.0</v>
      </c>
      <c r="Q636" s="20">
        <v>0.0</v>
      </c>
      <c r="R636" s="20">
        <v>0.0</v>
      </c>
      <c r="S636" s="20">
        <v>0.0</v>
      </c>
      <c r="T636" s="20">
        <v>0.0</v>
      </c>
      <c r="U636" s="20">
        <v>0.0</v>
      </c>
    </row>
    <row r="637" ht="23.25" customHeight="1">
      <c r="A637" s="17" t="str">
        <f>IF(COUNTIF('Icon Lookup'!C:C,B637)&gt;0,LOOKUP(B637,'Icon Lookup'!C:C,'Icon Lookup'!B:B),"")</f>
        <v/>
      </c>
      <c r="B637" s="18" t="s">
        <v>756</v>
      </c>
      <c r="C637" s="17" t="s">
        <v>17</v>
      </c>
      <c r="D637" s="17">
        <v>32.0</v>
      </c>
      <c r="E637" s="17" t="s">
        <v>87</v>
      </c>
      <c r="G637" s="19"/>
      <c r="H637" s="20" t="s">
        <v>970</v>
      </c>
      <c r="I637" s="17" t="s">
        <v>89</v>
      </c>
      <c r="J637" s="17">
        <v>0.0</v>
      </c>
      <c r="K637" s="17">
        <v>0.0</v>
      </c>
      <c r="L637" s="17">
        <v>0.0</v>
      </c>
      <c r="M637" s="17">
        <v>0.0</v>
      </c>
      <c r="N637" s="17">
        <v>0.0</v>
      </c>
      <c r="O637" s="17">
        <v>0.0</v>
      </c>
      <c r="P637" s="17">
        <v>0.0</v>
      </c>
      <c r="Q637" s="17">
        <v>0.0</v>
      </c>
      <c r="R637" s="17">
        <v>0.0</v>
      </c>
      <c r="S637" s="17">
        <v>0.0</v>
      </c>
      <c r="T637" s="17">
        <v>0.0</v>
      </c>
      <c r="U637" s="17">
        <v>0.0</v>
      </c>
    </row>
    <row r="638" ht="23.25" customHeight="1">
      <c r="A638" s="1" t="str">
        <f>IF(COUNTIF('Icon Lookup'!C:C,B638)&gt;0,LOOKUP(B638,'Icon Lookup'!C:C,'Icon Lookup'!B:B),"")</f>
        <v/>
      </c>
      <c r="B638" s="15" t="s">
        <v>971</v>
      </c>
      <c r="C638" s="1" t="s">
        <v>17</v>
      </c>
      <c r="D638" s="1" t="s">
        <v>972</v>
      </c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ht="23.25" customHeight="1">
      <c r="A639" s="20" t="str">
        <f>IF(COUNTIF('Icon Lookup'!C:C,B639)&gt;0,LOOKUP(B639,'Icon Lookup'!C:C,'Icon Lookup'!B:B),"")</f>
        <v/>
      </c>
      <c r="B639" s="21" t="s">
        <v>447</v>
      </c>
      <c r="C639" s="20" t="s">
        <v>17</v>
      </c>
      <c r="D639" s="20">
        <v>26.0</v>
      </c>
      <c r="E639" s="20" t="s">
        <v>161</v>
      </c>
      <c r="G639" s="22"/>
      <c r="H639" s="23" t="s">
        <v>973</v>
      </c>
      <c r="I639" s="20" t="s">
        <v>52</v>
      </c>
      <c r="J639" s="20">
        <v>0.0</v>
      </c>
      <c r="K639" s="20">
        <v>0.0</v>
      </c>
      <c r="L639" s="20">
        <v>0.0</v>
      </c>
      <c r="M639" s="20">
        <v>0.0</v>
      </c>
      <c r="N639" s="20">
        <v>0.0</v>
      </c>
      <c r="O639" s="20">
        <v>0.0</v>
      </c>
      <c r="P639" s="20">
        <v>0.0</v>
      </c>
      <c r="Q639" s="20">
        <v>0.0</v>
      </c>
      <c r="R639" s="20">
        <v>0.0</v>
      </c>
      <c r="S639" s="20">
        <v>0.0</v>
      </c>
      <c r="T639" s="20">
        <v>0.0</v>
      </c>
      <c r="U639" s="20">
        <v>0.0</v>
      </c>
    </row>
    <row r="640" ht="23.25" customHeight="1">
      <c r="A640" s="17" t="str">
        <f>IF(COUNTIF('Icon Lookup'!C:C,B640)&gt;0,LOOKUP(B640,'Icon Lookup'!C:C,'Icon Lookup'!B:B),"")</f>
        <v/>
      </c>
      <c r="B640" s="18" t="s">
        <v>442</v>
      </c>
      <c r="C640" s="17" t="s">
        <v>17</v>
      </c>
      <c r="D640" s="17">
        <v>28.0</v>
      </c>
      <c r="E640" s="17" t="s">
        <v>161</v>
      </c>
      <c r="G640" s="19"/>
      <c r="H640" s="20" t="s">
        <v>974</v>
      </c>
      <c r="I640" s="17" t="s">
        <v>52</v>
      </c>
      <c r="J640" s="17">
        <v>0.0</v>
      </c>
      <c r="K640" s="17">
        <v>0.0</v>
      </c>
      <c r="L640" s="17">
        <v>0.0</v>
      </c>
      <c r="M640" s="17">
        <v>0.0</v>
      </c>
      <c r="N640" s="17">
        <v>0.0</v>
      </c>
      <c r="O640" s="17">
        <v>0.0</v>
      </c>
      <c r="P640" s="17">
        <v>0.0</v>
      </c>
      <c r="Q640" s="17">
        <v>0.0</v>
      </c>
      <c r="R640" s="17">
        <v>0.0</v>
      </c>
      <c r="S640" s="17">
        <v>0.0</v>
      </c>
      <c r="T640" s="17">
        <v>0.0</v>
      </c>
      <c r="U640" s="17">
        <v>0.0</v>
      </c>
    </row>
    <row r="641" ht="23.25" customHeight="1">
      <c r="A641" s="20" t="str">
        <f>IF(COUNTIF('Icon Lookup'!C:C,B641)&gt;0,LOOKUP(B641,'Icon Lookup'!C:C,'Icon Lookup'!B:B),"")</f>
        <v/>
      </c>
      <c r="B641" s="21" t="s">
        <v>767</v>
      </c>
      <c r="C641" s="20" t="s">
        <v>17</v>
      </c>
      <c r="D641" s="20">
        <v>30.0</v>
      </c>
      <c r="E641" s="20" t="s">
        <v>768</v>
      </c>
      <c r="G641" s="22"/>
      <c r="H641" s="23" t="s">
        <v>975</v>
      </c>
      <c r="I641" s="20" t="s">
        <v>52</v>
      </c>
      <c r="J641" s="20">
        <v>0.0</v>
      </c>
      <c r="K641" s="20">
        <v>0.0</v>
      </c>
      <c r="L641" s="20">
        <v>0.0</v>
      </c>
      <c r="M641" s="20">
        <v>0.0</v>
      </c>
      <c r="N641" s="20">
        <v>0.0</v>
      </c>
      <c r="O641" s="20">
        <v>0.0</v>
      </c>
      <c r="P641" s="20">
        <v>0.0</v>
      </c>
      <c r="Q641" s="20">
        <v>0.0</v>
      </c>
      <c r="R641" s="20">
        <v>0.0</v>
      </c>
      <c r="S641" s="20">
        <v>0.0</v>
      </c>
      <c r="T641" s="20">
        <v>0.0</v>
      </c>
      <c r="U641" s="20">
        <v>0.0</v>
      </c>
    </row>
    <row r="642" ht="23.25" customHeight="1">
      <c r="A642" s="1" t="str">
        <f>IF(COUNTIF('Icon Lookup'!C:C,B642)&gt;0,LOOKUP(B642,'Icon Lookup'!C:C,'Icon Lookup'!B:B),"")</f>
        <v/>
      </c>
      <c r="B642" s="15" t="s">
        <v>976</v>
      </c>
      <c r="C642" s="1" t="s">
        <v>17</v>
      </c>
      <c r="D642" s="1" t="s">
        <v>977</v>
      </c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ht="23.25" customHeight="1">
      <c r="A643" s="17" t="str">
        <f>IF(COUNTIF('Icon Lookup'!C:C,B643)&gt;0,LOOKUP(B643,'Icon Lookup'!C:C,'Icon Lookup'!B:B),"")</f>
        <v/>
      </c>
      <c r="B643" s="18" t="s">
        <v>756</v>
      </c>
      <c r="C643" s="17" t="s">
        <v>17</v>
      </c>
      <c r="D643" s="17">
        <v>44.0</v>
      </c>
      <c r="E643" s="17" t="s">
        <v>98</v>
      </c>
      <c r="G643" s="19"/>
      <c r="H643" s="20" t="s">
        <v>978</v>
      </c>
      <c r="I643" s="17" t="s">
        <v>89</v>
      </c>
      <c r="J643" s="17">
        <v>0.0</v>
      </c>
      <c r="K643" s="17">
        <v>0.0</v>
      </c>
      <c r="L643" s="17">
        <v>0.0</v>
      </c>
      <c r="M643" s="17">
        <v>0.0</v>
      </c>
      <c r="N643" s="17">
        <v>0.0</v>
      </c>
      <c r="O643" s="17">
        <v>0.0</v>
      </c>
      <c r="P643" s="17">
        <v>0.0</v>
      </c>
      <c r="Q643" s="17">
        <v>0.0</v>
      </c>
      <c r="R643" s="17">
        <v>0.0</v>
      </c>
      <c r="S643" s="17">
        <v>0.0</v>
      </c>
      <c r="T643" s="17">
        <v>0.0</v>
      </c>
      <c r="U643" s="17">
        <v>0.0</v>
      </c>
    </row>
    <row r="644" ht="23.25" customHeight="1">
      <c r="A644" s="20" t="str">
        <f>IF(COUNTIF('Icon Lookup'!C:C,B644)&gt;0,LOOKUP(B644,'Icon Lookup'!C:C,'Icon Lookup'!B:B),"")</f>
        <v/>
      </c>
      <c r="B644" s="21" t="s">
        <v>582</v>
      </c>
      <c r="C644" s="20" t="s">
        <v>17</v>
      </c>
      <c r="D644" s="20">
        <v>44.0</v>
      </c>
      <c r="E644" s="20" t="s">
        <v>166</v>
      </c>
      <c r="G644" s="22"/>
      <c r="H644" s="23" t="s">
        <v>979</v>
      </c>
      <c r="I644" s="20" t="s">
        <v>22</v>
      </c>
      <c r="J644" s="20">
        <v>0.0</v>
      </c>
      <c r="K644" s="20">
        <v>0.0</v>
      </c>
      <c r="L644" s="20">
        <v>0.0</v>
      </c>
      <c r="M644" s="20">
        <v>0.0</v>
      </c>
      <c r="N644" s="20">
        <v>0.0</v>
      </c>
      <c r="O644" s="20">
        <v>0.0</v>
      </c>
      <c r="P644" s="20">
        <v>0.0</v>
      </c>
      <c r="Q644" s="20">
        <v>0.0</v>
      </c>
      <c r="R644" s="20">
        <v>0.0</v>
      </c>
      <c r="S644" s="20">
        <v>0.0</v>
      </c>
      <c r="T644" s="20">
        <v>0.0</v>
      </c>
      <c r="U644" s="20">
        <v>0.0</v>
      </c>
    </row>
    <row r="645" ht="23.25" customHeight="1">
      <c r="A645" s="1" t="str">
        <f>IF(COUNTIF('Icon Lookup'!C:C,B645)&gt;0,LOOKUP(B645,'Icon Lookup'!C:C,'Icon Lookup'!B:B),"")</f>
        <v/>
      </c>
      <c r="B645" s="15" t="s">
        <v>980</v>
      </c>
      <c r="C645" s="1" t="s">
        <v>17</v>
      </c>
      <c r="D645" s="1" t="s">
        <v>981</v>
      </c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ht="23.25" customHeight="1">
      <c r="A646" s="17" t="str">
        <f>IF(COUNTIF('Icon Lookup'!C:C,B646)&gt;0,LOOKUP(B646,'Icon Lookup'!C:C,'Icon Lookup'!B:B),"")</f>
        <v/>
      </c>
      <c r="B646" s="18" t="s">
        <v>982</v>
      </c>
      <c r="C646" s="17" t="s">
        <v>17</v>
      </c>
      <c r="D646" s="17">
        <v>54.0</v>
      </c>
      <c r="E646" s="17" t="s">
        <v>399</v>
      </c>
      <c r="G646" s="19"/>
      <c r="H646" s="20" t="s">
        <v>983</v>
      </c>
      <c r="I646" s="17" t="s">
        <v>89</v>
      </c>
      <c r="J646" s="17">
        <v>0.0</v>
      </c>
      <c r="K646" s="17">
        <v>0.0</v>
      </c>
      <c r="L646" s="17">
        <v>0.0</v>
      </c>
      <c r="M646" s="17">
        <v>0.0</v>
      </c>
      <c r="N646" s="17">
        <v>0.0</v>
      </c>
      <c r="O646" s="17">
        <v>0.0</v>
      </c>
      <c r="P646" s="17">
        <v>0.0</v>
      </c>
      <c r="Q646" s="17">
        <v>0.0</v>
      </c>
      <c r="R646" s="17">
        <v>0.0</v>
      </c>
      <c r="S646" s="17">
        <v>0.0</v>
      </c>
      <c r="T646" s="17">
        <v>0.0</v>
      </c>
      <c r="U646" s="17">
        <v>0.0</v>
      </c>
    </row>
    <row r="647" ht="23.25" customHeight="1">
      <c r="A647" s="20" t="str">
        <f>IF(COUNTIF('Icon Lookup'!C:C,B647)&gt;0,LOOKUP(B647,'Icon Lookup'!C:C,'Icon Lookup'!B:B),"")</f>
        <v/>
      </c>
      <c r="B647" s="21" t="s">
        <v>190</v>
      </c>
      <c r="C647" s="20" t="s">
        <v>17</v>
      </c>
      <c r="D647" s="20">
        <v>54.0</v>
      </c>
      <c r="E647" s="20" t="s">
        <v>26</v>
      </c>
      <c r="G647" s="22"/>
      <c r="H647" s="23" t="s">
        <v>984</v>
      </c>
      <c r="I647" s="20" t="s">
        <v>89</v>
      </c>
      <c r="J647" s="20">
        <v>0.0</v>
      </c>
      <c r="K647" s="20">
        <v>0.0</v>
      </c>
      <c r="L647" s="20">
        <v>0.0</v>
      </c>
      <c r="M647" s="20">
        <v>0.0</v>
      </c>
      <c r="N647" s="20">
        <v>0.0</v>
      </c>
      <c r="O647" s="20">
        <v>0.0</v>
      </c>
      <c r="P647" s="20">
        <v>0.0</v>
      </c>
      <c r="Q647" s="20">
        <v>0.0</v>
      </c>
      <c r="R647" s="20">
        <v>0.0</v>
      </c>
      <c r="S647" s="20">
        <v>0.0</v>
      </c>
      <c r="T647" s="20">
        <v>0.0</v>
      </c>
      <c r="U647" s="20">
        <v>0.0</v>
      </c>
    </row>
    <row r="648" ht="23.25" customHeight="1">
      <c r="A648" s="1" t="str">
        <f>IF(COUNTIF('Icon Lookup'!C:C,B648)&gt;0,LOOKUP(B648,'Icon Lookup'!C:C,'Icon Lookup'!B:B),"")</f>
        <v/>
      </c>
      <c r="B648" s="15" t="s">
        <v>985</v>
      </c>
      <c r="C648" s="1" t="s">
        <v>17</v>
      </c>
      <c r="D648" s="1" t="s">
        <v>986</v>
      </c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ht="23.25" customHeight="1">
      <c r="A649" s="17" t="str">
        <f>IF(COUNTIF('Icon Lookup'!C:C,B649)&gt;0,LOOKUP(B649,'Icon Lookup'!C:C,'Icon Lookup'!B:B),"")</f>
        <v/>
      </c>
      <c r="B649" s="18" t="s">
        <v>405</v>
      </c>
      <c r="C649" s="17" t="s">
        <v>17</v>
      </c>
      <c r="D649" s="17">
        <v>33.0</v>
      </c>
      <c r="E649" s="17" t="s">
        <v>603</v>
      </c>
      <c r="G649" s="19"/>
      <c r="H649" s="20" t="s">
        <v>987</v>
      </c>
      <c r="I649" s="17" t="s">
        <v>22</v>
      </c>
      <c r="J649" s="17">
        <v>0.0</v>
      </c>
      <c r="K649" s="17">
        <v>0.0</v>
      </c>
      <c r="L649" s="17">
        <v>0.0</v>
      </c>
      <c r="M649" s="17">
        <v>0.0</v>
      </c>
      <c r="N649" s="17">
        <v>0.0</v>
      </c>
      <c r="O649" s="17">
        <v>0.0</v>
      </c>
      <c r="P649" s="17">
        <v>0.0</v>
      </c>
      <c r="Q649" s="17">
        <v>0.0</v>
      </c>
      <c r="R649" s="17">
        <v>0.0</v>
      </c>
      <c r="S649" s="17">
        <v>0.0</v>
      </c>
      <c r="T649" s="17">
        <v>0.0</v>
      </c>
      <c r="U649" s="17">
        <v>0.0</v>
      </c>
    </row>
    <row r="650" ht="23.25" customHeight="1">
      <c r="A650" s="1" t="str">
        <f>IF(COUNTIF('Icon Lookup'!C:C,B650)&gt;0,LOOKUP(B650,'Icon Lookup'!C:C,'Icon Lookup'!B:B),"")</f>
        <v/>
      </c>
      <c r="B650" s="15" t="s">
        <v>988</v>
      </c>
      <c r="C650" s="1" t="s">
        <v>17</v>
      </c>
      <c r="D650" s="1" t="s">
        <v>989</v>
      </c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ht="23.25" customHeight="1">
      <c r="A651" s="20" t="str">
        <f>IF(COUNTIF('Icon Lookup'!C:C,B651)&gt;0,LOOKUP(B651,'Icon Lookup'!C:C,'Icon Lookup'!B:B),"")</f>
        <v/>
      </c>
      <c r="B651" s="21" t="s">
        <v>449</v>
      </c>
      <c r="C651" s="20" t="s">
        <v>17</v>
      </c>
      <c r="D651" s="20">
        <v>30.0</v>
      </c>
      <c r="E651" s="20" t="s">
        <v>161</v>
      </c>
      <c r="G651" s="22"/>
      <c r="H651" s="23" t="s">
        <v>990</v>
      </c>
      <c r="I651" s="20" t="s">
        <v>52</v>
      </c>
      <c r="J651" s="20">
        <v>0.0</v>
      </c>
      <c r="K651" s="20">
        <v>0.0</v>
      </c>
      <c r="L651" s="20">
        <v>0.0</v>
      </c>
      <c r="M651" s="20">
        <v>0.0</v>
      </c>
      <c r="N651" s="20">
        <v>0.0</v>
      </c>
      <c r="O651" s="20">
        <v>0.0</v>
      </c>
      <c r="P651" s="20">
        <v>0.0</v>
      </c>
      <c r="Q651" s="20">
        <v>0.0</v>
      </c>
      <c r="R651" s="20">
        <v>0.0</v>
      </c>
      <c r="S651" s="20">
        <v>0.0</v>
      </c>
      <c r="T651" s="20">
        <v>0.0</v>
      </c>
      <c r="U651" s="20">
        <v>0.0</v>
      </c>
    </row>
    <row r="652" ht="23.25" customHeight="1">
      <c r="A652" s="17" t="str">
        <f>IF(COUNTIF('Icon Lookup'!C:C,B652)&gt;0,LOOKUP(B652,'Icon Lookup'!C:C,'Icon Lookup'!B:B),"")</f>
        <v/>
      </c>
      <c r="B652" s="18" t="s">
        <v>875</v>
      </c>
      <c r="C652" s="17" t="s">
        <v>17</v>
      </c>
      <c r="D652" s="17">
        <v>30.0</v>
      </c>
      <c r="E652" s="17" t="s">
        <v>991</v>
      </c>
      <c r="G652" s="19"/>
      <c r="H652" s="20" t="s">
        <v>992</v>
      </c>
      <c r="I652" s="17" t="s">
        <v>22</v>
      </c>
      <c r="J652" s="17">
        <v>0.0</v>
      </c>
      <c r="K652" s="17">
        <v>0.0</v>
      </c>
      <c r="L652" s="17">
        <v>0.0</v>
      </c>
      <c r="M652" s="17">
        <v>0.0</v>
      </c>
      <c r="N652" s="17">
        <v>0.0</v>
      </c>
      <c r="O652" s="17">
        <v>0.0</v>
      </c>
      <c r="P652" s="17">
        <v>0.0</v>
      </c>
      <c r="Q652" s="17">
        <v>0.0</v>
      </c>
      <c r="R652" s="17">
        <v>0.0</v>
      </c>
      <c r="S652" s="17">
        <v>0.0</v>
      </c>
      <c r="T652" s="17">
        <v>0.0</v>
      </c>
      <c r="U652" s="17">
        <v>0.0</v>
      </c>
    </row>
    <row r="653" ht="23.25" customHeight="1">
      <c r="A653" s="1" t="str">
        <f>IF(COUNTIF('Icon Lookup'!C:C,B653)&gt;0,LOOKUP(B653,'Icon Lookup'!C:C,'Icon Lookup'!B:B),"")</f>
        <v/>
      </c>
      <c r="B653" s="15" t="s">
        <v>993</v>
      </c>
      <c r="C653" s="1" t="s">
        <v>17</v>
      </c>
      <c r="D653" s="1" t="s">
        <v>994</v>
      </c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ht="23.25" customHeight="1">
      <c r="A654" s="20" t="str">
        <f>IF(COUNTIF('Icon Lookup'!C:C,B654)&gt;0,LOOKUP(B654,'Icon Lookup'!C:C,'Icon Lookup'!B:B),"")</f>
        <v/>
      </c>
      <c r="B654" s="21" t="s">
        <v>386</v>
      </c>
      <c r="C654" s="20" t="s">
        <v>17</v>
      </c>
      <c r="D654" s="20">
        <v>44.0</v>
      </c>
      <c r="E654" s="20" t="s">
        <v>38</v>
      </c>
      <c r="G654" s="22"/>
      <c r="H654" s="23" t="s">
        <v>995</v>
      </c>
      <c r="I654" s="20" t="s">
        <v>52</v>
      </c>
      <c r="J654" s="20">
        <v>0.0</v>
      </c>
      <c r="K654" s="20">
        <v>0.0</v>
      </c>
      <c r="L654" s="20">
        <v>0.0</v>
      </c>
      <c r="M654" s="20">
        <v>0.0</v>
      </c>
      <c r="N654" s="20">
        <v>0.0</v>
      </c>
      <c r="O654" s="20">
        <v>0.0</v>
      </c>
      <c r="P654" s="20">
        <v>0.0</v>
      </c>
      <c r="Q654" s="20">
        <v>0.0</v>
      </c>
      <c r="R654" s="20">
        <v>0.0</v>
      </c>
      <c r="S654" s="20">
        <v>0.0</v>
      </c>
      <c r="T654" s="20">
        <v>0.0</v>
      </c>
      <c r="U654" s="20">
        <v>0.0</v>
      </c>
    </row>
    <row r="655" ht="23.25" customHeight="1">
      <c r="A655" s="17" t="str">
        <f>IF(COUNTIF('Icon Lookup'!C:C,B655)&gt;0,LOOKUP(B655,'Icon Lookup'!C:C,'Icon Lookup'!B:B),"")</f>
        <v/>
      </c>
      <c r="B655" s="18" t="s">
        <v>311</v>
      </c>
      <c r="C655" s="17" t="s">
        <v>17</v>
      </c>
      <c r="D655" s="17">
        <v>44.0</v>
      </c>
      <c r="E655" s="17" t="s">
        <v>137</v>
      </c>
      <c r="G655" s="19"/>
      <c r="H655" s="20" t="s">
        <v>996</v>
      </c>
      <c r="I655" s="17" t="s">
        <v>22</v>
      </c>
      <c r="J655" s="17">
        <v>0.0</v>
      </c>
      <c r="K655" s="17">
        <v>0.0</v>
      </c>
      <c r="L655" s="17">
        <v>0.0</v>
      </c>
      <c r="M655" s="17">
        <v>0.0</v>
      </c>
      <c r="N655" s="17">
        <v>0.0</v>
      </c>
      <c r="O655" s="17">
        <v>0.0</v>
      </c>
      <c r="P655" s="17">
        <v>0.0</v>
      </c>
      <c r="Q655" s="17">
        <v>0.0</v>
      </c>
      <c r="R655" s="17">
        <v>0.0</v>
      </c>
      <c r="S655" s="17">
        <v>0.0</v>
      </c>
      <c r="T655" s="17">
        <v>0.0</v>
      </c>
      <c r="U655" s="17">
        <v>0.0</v>
      </c>
    </row>
    <row r="656" ht="23.25" customHeight="1">
      <c r="A656" s="1" t="str">
        <f>IF(COUNTIF('Icon Lookup'!C:C,B656)&gt;0,LOOKUP(B656,'Icon Lookup'!C:C,'Icon Lookup'!B:B),"")</f>
        <v/>
      </c>
      <c r="B656" s="15" t="s">
        <v>997</v>
      </c>
      <c r="C656" s="1" t="s">
        <v>17</v>
      </c>
      <c r="D656" s="1" t="s">
        <v>998</v>
      </c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ht="23.25" customHeight="1">
      <c r="A657" s="20" t="str">
        <f>IF(COUNTIF('Icon Lookup'!C:C,B657)&gt;0,LOOKUP(B657,'Icon Lookup'!C:C,'Icon Lookup'!B:B),"")</f>
        <v/>
      </c>
      <c r="B657" s="21" t="s">
        <v>999</v>
      </c>
      <c r="C657" s="20" t="s">
        <v>17</v>
      </c>
      <c r="D657" s="20">
        <v>56.0</v>
      </c>
      <c r="E657" s="20" t="s">
        <v>560</v>
      </c>
      <c r="G657" s="22"/>
      <c r="H657" s="23" t="s">
        <v>1000</v>
      </c>
      <c r="I657" s="20" t="s">
        <v>22</v>
      </c>
      <c r="J657" s="20">
        <v>0.0</v>
      </c>
      <c r="K657" s="20">
        <v>0.0</v>
      </c>
      <c r="L657" s="20">
        <v>0.0</v>
      </c>
      <c r="M657" s="20">
        <v>0.0</v>
      </c>
      <c r="N657" s="20">
        <v>0.0</v>
      </c>
      <c r="O657" s="20">
        <v>0.0</v>
      </c>
      <c r="P657" s="20">
        <v>0.0</v>
      </c>
      <c r="Q657" s="20">
        <v>0.0</v>
      </c>
      <c r="R657" s="20">
        <v>0.0</v>
      </c>
      <c r="S657" s="20">
        <v>0.0</v>
      </c>
      <c r="T657" s="20">
        <v>0.0</v>
      </c>
      <c r="U657" s="20">
        <v>0.0</v>
      </c>
    </row>
    <row r="658" ht="23.25" customHeight="1">
      <c r="A658" s="1" t="str">
        <f>IF(COUNTIF('Icon Lookup'!C:C,B658)&gt;0,LOOKUP(B658,'Icon Lookup'!C:C,'Icon Lookup'!B:B),"")</f>
        <v/>
      </c>
      <c r="B658" s="15" t="s">
        <v>1001</v>
      </c>
      <c r="C658" s="1" t="s">
        <v>17</v>
      </c>
      <c r="D658" s="1" t="s">
        <v>1002</v>
      </c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ht="23.25" customHeight="1">
      <c r="A659" s="17" t="str">
        <f>IF(COUNTIF('Icon Lookup'!C:C,B659)&gt;0,LOOKUP(B659,'Icon Lookup'!C:C,'Icon Lookup'!B:B),"")</f>
        <v/>
      </c>
      <c r="B659" s="18" t="s">
        <v>1003</v>
      </c>
      <c r="C659" s="17" t="s">
        <v>17</v>
      </c>
      <c r="D659" s="17">
        <v>23.0</v>
      </c>
      <c r="E659" s="17" t="s">
        <v>1004</v>
      </c>
      <c r="G659" s="19"/>
      <c r="H659" s="20" t="s">
        <v>1005</v>
      </c>
      <c r="I659" s="17" t="s">
        <v>22</v>
      </c>
      <c r="J659" s="17">
        <v>0.0</v>
      </c>
      <c r="K659" s="17">
        <v>0.0</v>
      </c>
      <c r="L659" s="17">
        <v>0.0</v>
      </c>
      <c r="M659" s="17">
        <v>0.0</v>
      </c>
      <c r="N659" s="17">
        <v>0.0</v>
      </c>
      <c r="O659" s="17">
        <v>0.0</v>
      </c>
      <c r="P659" s="17">
        <v>0.0</v>
      </c>
      <c r="Q659" s="17">
        <v>0.0</v>
      </c>
      <c r="R659" s="17">
        <v>0.0</v>
      </c>
      <c r="S659" s="17">
        <v>0.0</v>
      </c>
      <c r="T659" s="17">
        <v>0.0</v>
      </c>
      <c r="U659" s="17">
        <v>0.0</v>
      </c>
    </row>
    <row r="660" ht="23.25" customHeight="1">
      <c r="A660" s="20" t="str">
        <f>IF(COUNTIF('Icon Lookup'!C:C,B660)&gt;0,LOOKUP(B660,'Icon Lookup'!C:C,'Icon Lookup'!B:B),"")</f>
        <v/>
      </c>
      <c r="B660" s="21" t="s">
        <v>386</v>
      </c>
      <c r="C660" s="20" t="s">
        <v>17</v>
      </c>
      <c r="D660" s="20">
        <v>23.0</v>
      </c>
      <c r="E660" s="20" t="s">
        <v>387</v>
      </c>
      <c r="G660" s="22"/>
      <c r="H660" s="23" t="s">
        <v>1006</v>
      </c>
      <c r="I660" s="20" t="s">
        <v>52</v>
      </c>
      <c r="J660" s="20">
        <v>0.0</v>
      </c>
      <c r="K660" s="20">
        <v>0.0</v>
      </c>
      <c r="L660" s="20">
        <v>0.0</v>
      </c>
      <c r="M660" s="20">
        <v>0.0</v>
      </c>
      <c r="N660" s="20">
        <v>0.0</v>
      </c>
      <c r="O660" s="20">
        <v>0.0</v>
      </c>
      <c r="P660" s="20">
        <v>0.0</v>
      </c>
      <c r="Q660" s="20">
        <v>0.0</v>
      </c>
      <c r="R660" s="20">
        <v>0.0</v>
      </c>
      <c r="S660" s="20">
        <v>0.0</v>
      </c>
      <c r="T660" s="20">
        <v>0.0</v>
      </c>
      <c r="U660" s="20">
        <v>0.0</v>
      </c>
    </row>
    <row r="661" ht="23.25" customHeight="1">
      <c r="A661" s="1" t="str">
        <f>IF(COUNTIF('Icon Lookup'!C:C,B661)&gt;0,LOOKUP(B661,'Icon Lookup'!C:C,'Icon Lookup'!B:B),"")</f>
        <v/>
      </c>
      <c r="B661" s="15" t="s">
        <v>1007</v>
      </c>
      <c r="C661" s="1" t="s">
        <v>17</v>
      </c>
      <c r="D661" s="1" t="s">
        <v>1008</v>
      </c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ht="23.25" customHeight="1">
      <c r="A662" s="17" t="str">
        <f>IF(COUNTIF('Icon Lookup'!C:C,B662)&gt;0,LOOKUP(B662,'Icon Lookup'!C:C,'Icon Lookup'!B:B),"")</f>
        <v/>
      </c>
      <c r="B662" s="18" t="s">
        <v>449</v>
      </c>
      <c r="C662" s="17" t="s">
        <v>17</v>
      </c>
      <c r="D662" s="17">
        <v>52.0</v>
      </c>
      <c r="E662" s="17" t="s">
        <v>161</v>
      </c>
      <c r="G662" s="19"/>
      <c r="H662" s="20" t="s">
        <v>1009</v>
      </c>
      <c r="I662" s="17" t="s">
        <v>105</v>
      </c>
      <c r="J662" s="17">
        <v>0.0</v>
      </c>
      <c r="K662" s="17">
        <v>0.0</v>
      </c>
      <c r="L662" s="17">
        <v>0.0</v>
      </c>
      <c r="M662" s="17">
        <v>0.0</v>
      </c>
      <c r="N662" s="17">
        <v>0.0</v>
      </c>
      <c r="O662" s="17">
        <v>0.0</v>
      </c>
      <c r="P662" s="17">
        <v>0.0</v>
      </c>
      <c r="Q662" s="17">
        <v>0.0</v>
      </c>
      <c r="R662" s="17">
        <v>0.0</v>
      </c>
      <c r="S662" s="17">
        <v>0.0</v>
      </c>
      <c r="T662" s="17">
        <v>0.0</v>
      </c>
      <c r="U662" s="17">
        <v>0.0</v>
      </c>
    </row>
    <row r="663" ht="23.25" customHeight="1">
      <c r="A663" s="20" t="str">
        <f>IF(COUNTIF('Icon Lookup'!C:C,B663)&gt;0,LOOKUP(B663,'Icon Lookup'!C:C,'Icon Lookup'!B:B),"")</f>
        <v/>
      </c>
      <c r="B663" s="21" t="s">
        <v>442</v>
      </c>
      <c r="C663" s="20" t="s">
        <v>17</v>
      </c>
      <c r="D663" s="20">
        <v>54.0</v>
      </c>
      <c r="E663" s="20" t="s">
        <v>161</v>
      </c>
      <c r="G663" s="22"/>
      <c r="H663" s="23" t="s">
        <v>1010</v>
      </c>
      <c r="I663" s="20" t="s">
        <v>52</v>
      </c>
      <c r="J663" s="20">
        <v>0.0</v>
      </c>
      <c r="K663" s="20">
        <v>0.0</v>
      </c>
      <c r="L663" s="20">
        <v>0.0</v>
      </c>
      <c r="M663" s="20">
        <v>0.0</v>
      </c>
      <c r="N663" s="20">
        <v>0.0</v>
      </c>
      <c r="O663" s="20">
        <v>0.0</v>
      </c>
      <c r="P663" s="20">
        <v>0.0</v>
      </c>
      <c r="Q663" s="20">
        <v>0.0</v>
      </c>
      <c r="R663" s="20">
        <v>0.0</v>
      </c>
      <c r="S663" s="20">
        <v>0.0</v>
      </c>
      <c r="T663" s="20">
        <v>0.0</v>
      </c>
      <c r="U663" s="20">
        <v>0.0</v>
      </c>
    </row>
    <row r="664" ht="23.25" customHeight="1">
      <c r="A664" s="1" t="str">
        <f>IF(COUNTIF('Icon Lookup'!C:C,B664)&gt;0,LOOKUP(B664,'Icon Lookup'!C:C,'Icon Lookup'!B:B),"")</f>
        <v/>
      </c>
      <c r="B664" s="15" t="s">
        <v>1011</v>
      </c>
      <c r="C664" s="1" t="s">
        <v>17</v>
      </c>
      <c r="D664" s="1" t="s">
        <v>1012</v>
      </c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ht="23.25" customHeight="1">
      <c r="A665" s="17" t="str">
        <f>IF(COUNTIF('Icon Lookup'!C:C,B665)&gt;0,LOOKUP(B665,'Icon Lookup'!C:C,'Icon Lookup'!B:B),"")</f>
        <v/>
      </c>
      <c r="B665" s="18" t="s">
        <v>582</v>
      </c>
      <c r="C665" s="17" t="s">
        <v>17</v>
      </c>
      <c r="D665" s="17">
        <v>52.0</v>
      </c>
      <c r="E665" s="17" t="s">
        <v>166</v>
      </c>
      <c r="G665" s="19"/>
      <c r="H665" s="20" t="s">
        <v>1013</v>
      </c>
      <c r="I665" s="17" t="s">
        <v>22</v>
      </c>
      <c r="J665" s="17">
        <v>0.0</v>
      </c>
      <c r="K665" s="17">
        <v>0.0</v>
      </c>
      <c r="L665" s="17">
        <v>0.0</v>
      </c>
      <c r="M665" s="17">
        <v>0.0</v>
      </c>
      <c r="N665" s="17">
        <v>0.0</v>
      </c>
      <c r="O665" s="17">
        <v>0.0</v>
      </c>
      <c r="P665" s="17">
        <v>0.0</v>
      </c>
      <c r="Q665" s="17">
        <v>0.0</v>
      </c>
      <c r="R665" s="17">
        <v>0.0</v>
      </c>
      <c r="S665" s="17">
        <v>0.0</v>
      </c>
      <c r="T665" s="17">
        <v>0.0</v>
      </c>
      <c r="U665" s="17">
        <v>0.0</v>
      </c>
    </row>
    <row r="666" ht="23.25" customHeight="1">
      <c r="A666" s="20" t="str">
        <f>IF(COUNTIF('Icon Lookup'!C:C,B666)&gt;0,LOOKUP(B666,'Icon Lookup'!C:C,'Icon Lookup'!B:B),"")</f>
        <v/>
      </c>
      <c r="B666" s="21" t="s">
        <v>765</v>
      </c>
      <c r="C666" s="20" t="s">
        <v>17</v>
      </c>
      <c r="D666" s="20">
        <v>54.0</v>
      </c>
      <c r="E666" s="20" t="s">
        <v>38</v>
      </c>
      <c r="G666" s="22"/>
      <c r="H666" s="23" t="s">
        <v>1014</v>
      </c>
      <c r="I666" s="20" t="s">
        <v>52</v>
      </c>
      <c r="J666" s="20">
        <v>0.0</v>
      </c>
      <c r="K666" s="20">
        <v>0.0</v>
      </c>
      <c r="L666" s="20">
        <v>0.0</v>
      </c>
      <c r="M666" s="20">
        <v>0.0</v>
      </c>
      <c r="N666" s="20">
        <v>0.0</v>
      </c>
      <c r="O666" s="20">
        <v>0.0</v>
      </c>
      <c r="P666" s="20">
        <v>0.0</v>
      </c>
      <c r="Q666" s="20">
        <v>0.0</v>
      </c>
      <c r="R666" s="20">
        <v>0.0</v>
      </c>
      <c r="S666" s="20">
        <v>0.0</v>
      </c>
      <c r="T666" s="20">
        <v>0.0</v>
      </c>
      <c r="U666" s="20">
        <v>0.0</v>
      </c>
    </row>
    <row r="667" ht="23.25" customHeight="1">
      <c r="A667" s="1" t="str">
        <f>IF(COUNTIF('Icon Lookup'!C:C,B667)&gt;0,LOOKUP(B667,'Icon Lookup'!C:C,'Icon Lookup'!B:B),"")</f>
        <v/>
      </c>
      <c r="B667" s="15" t="s">
        <v>1015</v>
      </c>
      <c r="C667" s="1" t="s">
        <v>17</v>
      </c>
      <c r="D667" s="1" t="s">
        <v>1016</v>
      </c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ht="23.25" customHeight="1">
      <c r="A668" s="17" t="str">
        <f>IF(COUNTIF('Icon Lookup'!C:C,B668)&gt;0,LOOKUP(B668,'Icon Lookup'!C:C,'Icon Lookup'!B:B),"")</f>
        <v/>
      </c>
      <c r="B668" s="18" t="s">
        <v>1017</v>
      </c>
      <c r="C668" s="17" t="s">
        <v>17</v>
      </c>
      <c r="D668" s="17">
        <v>21.0</v>
      </c>
      <c r="E668" s="17" t="s">
        <v>1018</v>
      </c>
      <c r="G668" s="19"/>
      <c r="H668" s="20" t="s">
        <v>1019</v>
      </c>
      <c r="I668" s="17" t="s">
        <v>89</v>
      </c>
      <c r="J668" s="17">
        <v>0.0</v>
      </c>
      <c r="K668" s="17">
        <v>0.0</v>
      </c>
      <c r="L668" s="17">
        <v>0.0</v>
      </c>
      <c r="M668" s="17">
        <v>0.0</v>
      </c>
      <c r="N668" s="17">
        <v>0.0</v>
      </c>
      <c r="O668" s="17">
        <v>0.0</v>
      </c>
      <c r="P668" s="17">
        <v>0.0</v>
      </c>
      <c r="Q668" s="17">
        <v>0.0</v>
      </c>
      <c r="R668" s="17">
        <v>0.0</v>
      </c>
      <c r="S668" s="17">
        <v>0.0</v>
      </c>
      <c r="T668" s="17">
        <v>0.0</v>
      </c>
      <c r="U668" s="17">
        <v>0.0</v>
      </c>
    </row>
    <row r="669" ht="23.25" customHeight="1">
      <c r="A669" s="1" t="str">
        <f>IF(COUNTIF('Icon Lookup'!C:C,B669)&gt;0,LOOKUP(B669,'Icon Lookup'!C:C,'Icon Lookup'!B:B),"")</f>
        <v/>
      </c>
      <c r="B669" s="15" t="s">
        <v>1020</v>
      </c>
      <c r="C669" s="1" t="s">
        <v>17</v>
      </c>
      <c r="D669" s="1" t="s">
        <v>1021</v>
      </c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ht="23.25" customHeight="1">
      <c r="A670" s="20" t="str">
        <f>IF(COUNTIF('Icon Lookup'!C:C,B670)&gt;0,LOOKUP(B670,'Icon Lookup'!C:C,'Icon Lookup'!B:B),"")</f>
        <v/>
      </c>
      <c r="B670" s="21" t="s">
        <v>1003</v>
      </c>
      <c r="C670" s="20" t="s">
        <v>17</v>
      </c>
      <c r="D670" s="20">
        <v>21.0</v>
      </c>
      <c r="E670" s="20" t="s">
        <v>1022</v>
      </c>
      <c r="G670" s="22"/>
      <c r="H670" s="23" t="s">
        <v>1005</v>
      </c>
      <c r="I670" s="20" t="s">
        <v>89</v>
      </c>
      <c r="J670" s="20">
        <v>0.0</v>
      </c>
      <c r="K670" s="20">
        <v>0.0</v>
      </c>
      <c r="L670" s="20">
        <v>0.0</v>
      </c>
      <c r="M670" s="20">
        <v>0.0</v>
      </c>
      <c r="N670" s="20">
        <v>0.0</v>
      </c>
      <c r="O670" s="20">
        <v>0.0</v>
      </c>
      <c r="P670" s="20">
        <v>0.0</v>
      </c>
      <c r="Q670" s="20">
        <v>0.0</v>
      </c>
      <c r="R670" s="20">
        <v>0.0</v>
      </c>
      <c r="S670" s="20">
        <v>0.0</v>
      </c>
      <c r="T670" s="20">
        <v>0.0</v>
      </c>
      <c r="U670" s="20">
        <v>0.0</v>
      </c>
    </row>
    <row r="671" ht="23.25" customHeight="1">
      <c r="A671" s="1" t="str">
        <f>IF(COUNTIF('Icon Lookup'!C:C,B671)&gt;0,LOOKUP(B671,'Icon Lookup'!C:C,'Icon Lookup'!B:B),"")</f>
        <v/>
      </c>
      <c r="B671" s="15" t="s">
        <v>1023</v>
      </c>
      <c r="C671" s="1" t="s">
        <v>17</v>
      </c>
      <c r="D671" s="1" t="s">
        <v>1024</v>
      </c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ht="23.25" customHeight="1">
      <c r="A672" s="17" t="str">
        <f>IF(COUNTIF('Icon Lookup'!C:C,B672)&gt;0,LOOKUP(B672,'Icon Lookup'!C:C,'Icon Lookup'!B:B),"")</f>
        <v/>
      </c>
      <c r="B672" s="18" t="s">
        <v>379</v>
      </c>
      <c r="C672" s="17" t="s">
        <v>17</v>
      </c>
      <c r="D672" s="17">
        <v>18.0</v>
      </c>
      <c r="E672" s="17" t="s">
        <v>71</v>
      </c>
      <c r="G672" s="19"/>
      <c r="H672" s="20" t="s">
        <v>380</v>
      </c>
      <c r="I672" s="17" t="s">
        <v>22</v>
      </c>
      <c r="J672" s="17">
        <v>0.0</v>
      </c>
      <c r="K672" s="17">
        <v>0.0</v>
      </c>
      <c r="L672" s="17">
        <v>0.0</v>
      </c>
      <c r="M672" s="17">
        <v>0.0</v>
      </c>
      <c r="N672" s="17">
        <v>0.0</v>
      </c>
      <c r="O672" s="17">
        <v>0.0</v>
      </c>
      <c r="P672" s="17">
        <v>0.0</v>
      </c>
      <c r="Q672" s="17">
        <v>0.0</v>
      </c>
      <c r="R672" s="17">
        <v>0.0</v>
      </c>
      <c r="S672" s="17">
        <v>0.0</v>
      </c>
      <c r="T672" s="17">
        <v>0.0</v>
      </c>
      <c r="U672" s="17">
        <v>0.0</v>
      </c>
    </row>
    <row r="673" ht="23.25" customHeight="1">
      <c r="A673" s="20" t="str">
        <f>IF(COUNTIF('Icon Lookup'!C:C,B673)&gt;0,LOOKUP(B673,'Icon Lookup'!C:C,'Icon Lookup'!B:B),"")</f>
        <v/>
      </c>
      <c r="B673" s="21" t="s">
        <v>577</v>
      </c>
      <c r="C673" s="20" t="s">
        <v>17</v>
      </c>
      <c r="D673" s="20">
        <v>19.0</v>
      </c>
      <c r="E673" s="20" t="s">
        <v>677</v>
      </c>
      <c r="G673" s="22"/>
      <c r="H673" s="23" t="s">
        <v>1025</v>
      </c>
      <c r="I673" s="20" t="s">
        <v>40</v>
      </c>
      <c r="J673" s="20">
        <v>0.0</v>
      </c>
      <c r="K673" s="20">
        <v>0.0</v>
      </c>
      <c r="L673" s="20">
        <v>0.0</v>
      </c>
      <c r="M673" s="20">
        <v>0.0</v>
      </c>
      <c r="N673" s="20">
        <v>0.0</v>
      </c>
      <c r="O673" s="20">
        <v>0.0</v>
      </c>
      <c r="P673" s="20">
        <v>0.0</v>
      </c>
      <c r="Q673" s="20">
        <v>0.0</v>
      </c>
      <c r="R673" s="20">
        <v>0.0</v>
      </c>
      <c r="S673" s="20">
        <v>0.0</v>
      </c>
      <c r="T673" s="20">
        <v>0.0</v>
      </c>
      <c r="U673" s="20">
        <v>0.0</v>
      </c>
    </row>
    <row r="674" ht="23.25" customHeight="1">
      <c r="A674" s="17" t="str">
        <f>IF(COUNTIF('Icon Lookup'!C:C,B674)&gt;0,LOOKUP(B674,'Icon Lookup'!C:C,'Icon Lookup'!B:B),"")</f>
        <v/>
      </c>
      <c r="B674" s="18" t="s">
        <v>273</v>
      </c>
      <c r="C674" s="17" t="s">
        <v>17</v>
      </c>
      <c r="D674" s="17">
        <v>17.0</v>
      </c>
      <c r="E674" s="17" t="s">
        <v>38</v>
      </c>
      <c r="G674" s="19"/>
      <c r="H674" s="20" t="s">
        <v>1026</v>
      </c>
      <c r="I674" s="17" t="s">
        <v>46</v>
      </c>
      <c r="J674" s="17">
        <v>0.0</v>
      </c>
      <c r="K674" s="17">
        <v>0.0</v>
      </c>
      <c r="L674" s="17">
        <v>0.0</v>
      </c>
      <c r="M674" s="17">
        <v>0.0</v>
      </c>
      <c r="N674" s="17">
        <v>0.0</v>
      </c>
      <c r="O674" s="17">
        <v>0.0</v>
      </c>
      <c r="P674" s="17">
        <v>0.0</v>
      </c>
      <c r="Q674" s="17">
        <v>0.0</v>
      </c>
      <c r="R674" s="17">
        <v>0.0</v>
      </c>
      <c r="S674" s="17">
        <v>0.0</v>
      </c>
      <c r="T674" s="17">
        <v>0.0</v>
      </c>
      <c r="U674" s="17">
        <v>0.0</v>
      </c>
    </row>
    <row r="675" ht="23.25" customHeight="1">
      <c r="A675" s="1" t="str">
        <f>IF(COUNTIF('Icon Lookup'!C:C,B675)&gt;0,LOOKUP(B675,'Icon Lookup'!C:C,'Icon Lookup'!B:B),"")</f>
        <v/>
      </c>
      <c r="B675" s="15" t="s">
        <v>1027</v>
      </c>
      <c r="C675" s="1" t="s">
        <v>17</v>
      </c>
      <c r="D675" s="1" t="s">
        <v>1028</v>
      </c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ht="23.25" customHeight="1">
      <c r="A676" s="20" t="str">
        <f>IF(COUNTIF('Icon Lookup'!C:C,B676)&gt;0,LOOKUP(B676,'Icon Lookup'!C:C,'Icon Lookup'!B:B),"")</f>
        <v/>
      </c>
      <c r="B676" s="21" t="s">
        <v>110</v>
      </c>
      <c r="C676" s="20" t="s">
        <v>17</v>
      </c>
      <c r="D676" s="20">
        <v>22.0</v>
      </c>
      <c r="E676" s="20" t="s">
        <v>111</v>
      </c>
      <c r="G676" s="22"/>
      <c r="H676" s="23" t="s">
        <v>1029</v>
      </c>
      <c r="I676" s="20" t="s">
        <v>22</v>
      </c>
      <c r="J676" s="20">
        <v>0.0</v>
      </c>
      <c r="K676" s="20">
        <v>0.0</v>
      </c>
      <c r="L676" s="20">
        <v>0.0</v>
      </c>
      <c r="M676" s="20">
        <v>0.0</v>
      </c>
      <c r="N676" s="20">
        <v>0.0</v>
      </c>
      <c r="O676" s="20">
        <v>0.0</v>
      </c>
      <c r="P676" s="20">
        <v>0.0</v>
      </c>
      <c r="Q676" s="20">
        <v>0.0</v>
      </c>
      <c r="R676" s="20">
        <v>0.0</v>
      </c>
      <c r="S676" s="20">
        <v>0.0</v>
      </c>
      <c r="T676" s="20">
        <v>0.0</v>
      </c>
      <c r="U676" s="20">
        <v>0.0</v>
      </c>
    </row>
    <row r="677" ht="23.25" customHeight="1">
      <c r="A677" s="17" t="str">
        <f>IF(COUNTIF('Icon Lookup'!C:C,B677)&gt;0,LOOKUP(B677,'Icon Lookup'!C:C,'Icon Lookup'!B:B),"")</f>
        <v/>
      </c>
      <c r="B677" s="18" t="s">
        <v>187</v>
      </c>
      <c r="C677" s="17" t="s">
        <v>17</v>
      </c>
      <c r="D677" s="17">
        <v>23.0</v>
      </c>
      <c r="E677" s="17" t="s">
        <v>641</v>
      </c>
      <c r="G677" s="19"/>
      <c r="H677" s="20" t="s">
        <v>1030</v>
      </c>
      <c r="I677" s="17" t="s">
        <v>550</v>
      </c>
      <c r="J677" s="17">
        <v>0.0</v>
      </c>
      <c r="K677" s="17">
        <v>0.0</v>
      </c>
      <c r="L677" s="17">
        <v>0.0</v>
      </c>
      <c r="M677" s="17">
        <v>0.0</v>
      </c>
      <c r="N677" s="17">
        <v>0.0</v>
      </c>
      <c r="O677" s="17">
        <v>0.0</v>
      </c>
      <c r="P677" s="17">
        <v>0.0</v>
      </c>
      <c r="Q677" s="17">
        <v>0.0</v>
      </c>
      <c r="R677" s="17">
        <v>0.0</v>
      </c>
      <c r="S677" s="17">
        <v>0.0</v>
      </c>
      <c r="T677" s="17">
        <v>0.0</v>
      </c>
      <c r="U677" s="17">
        <v>0.0</v>
      </c>
    </row>
    <row r="678" ht="23.25" customHeight="1">
      <c r="A678" s="20" t="str">
        <f>IF(COUNTIF('Icon Lookup'!C:C,B678)&gt;0,LOOKUP(B678,'Icon Lookup'!C:C,'Icon Lookup'!B:B),"")</f>
        <v/>
      </c>
      <c r="B678" s="21" t="s">
        <v>190</v>
      </c>
      <c r="C678" s="20" t="s">
        <v>17</v>
      </c>
      <c r="D678" s="20">
        <v>24.0</v>
      </c>
      <c r="E678" s="20" t="s">
        <v>26</v>
      </c>
      <c r="G678" s="22"/>
      <c r="H678" s="23" t="s">
        <v>1031</v>
      </c>
      <c r="I678" s="20" t="s">
        <v>52</v>
      </c>
      <c r="J678" s="20">
        <v>0.0</v>
      </c>
      <c r="K678" s="20">
        <v>0.0</v>
      </c>
      <c r="L678" s="20">
        <v>0.0</v>
      </c>
      <c r="M678" s="20">
        <v>0.0</v>
      </c>
      <c r="N678" s="20">
        <v>0.0</v>
      </c>
      <c r="O678" s="20">
        <v>0.0</v>
      </c>
      <c r="P678" s="20">
        <v>0.0</v>
      </c>
      <c r="Q678" s="20">
        <v>0.0</v>
      </c>
      <c r="R678" s="20">
        <v>0.0</v>
      </c>
      <c r="S678" s="20">
        <v>0.0</v>
      </c>
      <c r="T678" s="20">
        <v>0.0</v>
      </c>
      <c r="U678" s="20">
        <v>0.0</v>
      </c>
    </row>
    <row r="679" ht="23.25" customHeight="1">
      <c r="A679" s="1" t="str">
        <f>IF(COUNTIF('Icon Lookup'!C:C,B679)&gt;0,LOOKUP(B679,'Icon Lookup'!C:C,'Icon Lookup'!B:B),"")</f>
        <v/>
      </c>
      <c r="B679" s="15" t="s">
        <v>1032</v>
      </c>
      <c r="C679" s="1" t="s">
        <v>17</v>
      </c>
      <c r="D679" s="1" t="s">
        <v>1033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ht="23.25" customHeight="1">
      <c r="A680" s="17" t="str">
        <f>IF(COUNTIF('Icon Lookup'!C:C,B680)&gt;0,LOOKUP(B680,'Icon Lookup'!C:C,'Icon Lookup'!B:B),"")</f>
        <v/>
      </c>
      <c r="B680" s="18" t="s">
        <v>206</v>
      </c>
      <c r="C680" s="17" t="s">
        <v>17</v>
      </c>
      <c r="D680" s="17">
        <v>19.0</v>
      </c>
      <c r="E680" s="17" t="s">
        <v>87</v>
      </c>
      <c r="G680" s="19"/>
      <c r="H680" s="20" t="s">
        <v>1034</v>
      </c>
      <c r="I680" s="17" t="s">
        <v>22</v>
      </c>
      <c r="J680" s="17">
        <v>0.0</v>
      </c>
      <c r="K680" s="17">
        <v>0.0</v>
      </c>
      <c r="L680" s="17">
        <v>0.0</v>
      </c>
      <c r="M680" s="17">
        <v>0.0</v>
      </c>
      <c r="N680" s="17">
        <v>0.0</v>
      </c>
      <c r="O680" s="17">
        <v>0.0</v>
      </c>
      <c r="P680" s="17">
        <v>0.0</v>
      </c>
      <c r="Q680" s="17">
        <v>0.0</v>
      </c>
      <c r="R680" s="17">
        <v>0.0</v>
      </c>
      <c r="S680" s="17">
        <v>0.0</v>
      </c>
      <c r="T680" s="17">
        <v>0.0</v>
      </c>
      <c r="U680" s="17">
        <v>0.0</v>
      </c>
    </row>
    <row r="681" ht="23.25" customHeight="1">
      <c r="A681" s="1" t="str">
        <f>IF(COUNTIF('Icon Lookup'!C:C,B681)&gt;0,LOOKUP(B681,'Icon Lookup'!C:C,'Icon Lookup'!B:B),"")</f>
        <v/>
      </c>
      <c r="B681" s="15" t="s">
        <v>1035</v>
      </c>
      <c r="C681" s="1" t="s">
        <v>17</v>
      </c>
      <c r="D681" s="1" t="s">
        <v>1036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ht="23.25" customHeight="1">
      <c r="A682" s="20" t="str">
        <f>IF(COUNTIF('Icon Lookup'!C:C,B682)&gt;0,LOOKUP(B682,'Icon Lookup'!C:C,'Icon Lookup'!B:B),"")</f>
        <v/>
      </c>
      <c r="B682" s="21" t="s">
        <v>202</v>
      </c>
      <c r="C682" s="20" t="s">
        <v>17</v>
      </c>
      <c r="D682" s="20">
        <v>19.0</v>
      </c>
      <c r="E682" s="20" t="s">
        <v>203</v>
      </c>
      <c r="G682" s="22"/>
      <c r="H682" s="23" t="s">
        <v>216</v>
      </c>
      <c r="I682" s="20" t="s">
        <v>52</v>
      </c>
      <c r="J682" s="20">
        <v>0.0</v>
      </c>
      <c r="K682" s="20">
        <v>0.0</v>
      </c>
      <c r="L682" s="20">
        <v>0.0</v>
      </c>
      <c r="M682" s="20">
        <v>0.0</v>
      </c>
      <c r="N682" s="20">
        <v>0.0</v>
      </c>
      <c r="O682" s="20">
        <v>0.0</v>
      </c>
      <c r="P682" s="20">
        <v>0.0</v>
      </c>
      <c r="Q682" s="20">
        <v>0.0</v>
      </c>
      <c r="R682" s="20">
        <v>0.0</v>
      </c>
      <c r="S682" s="20">
        <v>0.0</v>
      </c>
      <c r="T682" s="20">
        <v>0.0</v>
      </c>
      <c r="U682" s="20">
        <v>0.0</v>
      </c>
    </row>
    <row r="683" ht="23.25" customHeight="1">
      <c r="A683" s="1" t="str">
        <f>IF(COUNTIF('Icon Lookup'!C:C,B683)&gt;0,LOOKUP(B683,'Icon Lookup'!C:C,'Icon Lookup'!B:B),"")</f>
        <v/>
      </c>
      <c r="B683" s="15" t="s">
        <v>1037</v>
      </c>
      <c r="C683" s="1" t="s">
        <v>17</v>
      </c>
      <c r="D683" s="1" t="s">
        <v>1038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ht="23.25" customHeight="1">
      <c r="A684" s="17" t="str">
        <f>IF(COUNTIF('Icon Lookup'!C:C,B684)&gt;0,LOOKUP(B684,'Icon Lookup'!C:C,'Icon Lookup'!B:B),"")</f>
        <v/>
      </c>
      <c r="B684" s="18" t="s">
        <v>37</v>
      </c>
      <c r="C684" s="17" t="s">
        <v>17</v>
      </c>
      <c r="D684" s="17">
        <v>14.0</v>
      </c>
      <c r="E684" s="17" t="s">
        <v>38</v>
      </c>
      <c r="G684" s="19"/>
      <c r="H684" s="20" t="s">
        <v>1039</v>
      </c>
      <c r="I684" s="17" t="s">
        <v>22</v>
      </c>
      <c r="J684" s="17">
        <v>0.0</v>
      </c>
      <c r="K684" s="17">
        <v>0.0</v>
      </c>
      <c r="L684" s="17">
        <v>0.0</v>
      </c>
      <c r="M684" s="17">
        <v>0.0</v>
      </c>
      <c r="N684" s="17">
        <v>0.0</v>
      </c>
      <c r="O684" s="17">
        <v>0.0</v>
      </c>
      <c r="P684" s="17">
        <v>15.0</v>
      </c>
      <c r="Q684" s="17">
        <v>0.0</v>
      </c>
      <c r="R684" s="17">
        <v>15.0</v>
      </c>
      <c r="S684" s="17">
        <v>0.0</v>
      </c>
      <c r="T684" s="17">
        <v>15.0</v>
      </c>
      <c r="U684" s="17">
        <v>0.0</v>
      </c>
    </row>
    <row r="685" ht="23.25" customHeight="1">
      <c r="A685" s="20" t="str">
        <f>IF(COUNTIF('Icon Lookup'!C:C,B685)&gt;0,LOOKUP(B685,'Icon Lookup'!C:C,'Icon Lookup'!B:B),"")</f>
        <v/>
      </c>
      <c r="B685" s="21" t="s">
        <v>1040</v>
      </c>
      <c r="C685" s="20" t="s">
        <v>17</v>
      </c>
      <c r="D685" s="20">
        <v>16.0</v>
      </c>
      <c r="E685" s="20" t="str">
        <f>IMAGE("https://www.serebii.net/itemdex/sprites/oranberry.png")</f>
        <v/>
      </c>
      <c r="F685" s="20" t="s">
        <v>382</v>
      </c>
      <c r="G685" s="20" t="s">
        <v>1041</v>
      </c>
      <c r="H685" s="23" t="s">
        <v>1042</v>
      </c>
      <c r="I685" s="20" t="s">
        <v>22</v>
      </c>
      <c r="J685" s="20">
        <v>0.0</v>
      </c>
      <c r="K685" s="20">
        <v>0.0</v>
      </c>
      <c r="L685" s="20">
        <v>0.0</v>
      </c>
      <c r="M685" s="20">
        <v>0.0</v>
      </c>
      <c r="N685" s="20">
        <v>0.0</v>
      </c>
      <c r="O685" s="20">
        <v>0.0</v>
      </c>
      <c r="P685" s="20">
        <v>15.0</v>
      </c>
      <c r="Q685" s="20">
        <v>0.0</v>
      </c>
      <c r="R685" s="20">
        <v>15.0</v>
      </c>
      <c r="S685" s="20">
        <v>0.0</v>
      </c>
      <c r="T685" s="20">
        <v>15.0</v>
      </c>
      <c r="U685" s="20">
        <v>0.0</v>
      </c>
    </row>
    <row r="686" ht="23.25" customHeight="1">
      <c r="A686" s="1" t="str">
        <f>IF(COUNTIF('Icon Lookup'!C:C,B686)&gt;0,LOOKUP(B686,'Icon Lookup'!C:C,'Icon Lookup'!B:B),"")</f>
        <v/>
      </c>
      <c r="B686" s="15" t="s">
        <v>1043</v>
      </c>
      <c r="C686" s="1" t="s">
        <v>17</v>
      </c>
      <c r="D686" s="1" t="s">
        <v>1044</v>
      </c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ht="23.25" customHeight="1">
      <c r="A687" s="17" t="str">
        <f>IF(COUNTIF('Icon Lookup'!C:C,B687)&gt;0,LOOKUP(B687,'Icon Lookup'!C:C,'Icon Lookup'!B:B),"")</f>
        <v/>
      </c>
      <c r="B687" s="18" t="s">
        <v>60</v>
      </c>
      <c r="C687" s="17" t="s">
        <v>17</v>
      </c>
      <c r="D687" s="17">
        <v>9.0</v>
      </c>
      <c r="E687" s="17" t="s">
        <v>61</v>
      </c>
      <c r="G687" s="19"/>
      <c r="H687" s="20" t="s">
        <v>62</v>
      </c>
      <c r="I687" s="17" t="s">
        <v>1045</v>
      </c>
      <c r="J687" s="17">
        <v>0.0</v>
      </c>
      <c r="K687" s="17">
        <v>0.0</v>
      </c>
      <c r="L687" s="17">
        <v>0.0</v>
      </c>
      <c r="M687" s="17">
        <v>0.0</v>
      </c>
      <c r="N687" s="17">
        <v>0.0</v>
      </c>
      <c r="O687" s="17">
        <v>0.0</v>
      </c>
      <c r="P687" s="17">
        <v>0.0</v>
      </c>
      <c r="Q687" s="17">
        <v>0.0</v>
      </c>
      <c r="R687" s="17">
        <v>0.0</v>
      </c>
      <c r="S687" s="17">
        <v>0.0</v>
      </c>
      <c r="T687" s="17">
        <v>0.0</v>
      </c>
      <c r="U687" s="17">
        <v>0.0</v>
      </c>
    </row>
    <row r="688" ht="23.25" customHeight="1">
      <c r="A688" s="20" t="str">
        <f>IF(COUNTIF('Icon Lookup'!C:C,B688)&gt;0,LOOKUP(B688,'Icon Lookup'!C:C,'Icon Lookup'!B:B),"")</f>
        <v/>
      </c>
      <c r="B688" s="21" t="s">
        <v>685</v>
      </c>
      <c r="C688" s="20" t="s">
        <v>17</v>
      </c>
      <c r="D688" s="20">
        <v>9.0</v>
      </c>
      <c r="E688" s="20" t="s">
        <v>58</v>
      </c>
      <c r="G688" s="22"/>
      <c r="H688" s="23" t="s">
        <v>686</v>
      </c>
      <c r="I688" s="20" t="s">
        <v>197</v>
      </c>
      <c r="J688" s="20">
        <v>0.0</v>
      </c>
      <c r="K688" s="20">
        <v>0.0</v>
      </c>
      <c r="L688" s="20">
        <v>0.0</v>
      </c>
      <c r="M688" s="20">
        <v>0.0</v>
      </c>
      <c r="N688" s="20">
        <v>0.0</v>
      </c>
      <c r="O688" s="20">
        <v>0.0</v>
      </c>
      <c r="P688" s="20">
        <v>0.0</v>
      </c>
      <c r="Q688" s="20">
        <v>0.0</v>
      </c>
      <c r="R688" s="20">
        <v>0.0</v>
      </c>
      <c r="S688" s="20">
        <v>0.0</v>
      </c>
      <c r="T688" s="20">
        <v>0.0</v>
      </c>
      <c r="U688" s="20">
        <v>0.0</v>
      </c>
    </row>
    <row r="689" ht="23.25" customHeight="1">
      <c r="A689" s="1" t="str">
        <f>IF(COUNTIF('Icon Lookup'!C:C,B689)&gt;0,LOOKUP(B689,'Icon Lookup'!C:C,'Icon Lookup'!B:B),"")</f>
        <v/>
      </c>
      <c r="B689" s="15" t="s">
        <v>1046</v>
      </c>
      <c r="C689" s="1" t="s">
        <v>17</v>
      </c>
      <c r="D689" s="1" t="s">
        <v>1044</v>
      </c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ht="23.25" customHeight="1">
      <c r="A690" s="17" t="str">
        <f>IF(COUNTIF('Icon Lookup'!C:C,B690)&gt;0,LOOKUP(B690,'Icon Lookup'!C:C,'Icon Lookup'!B:B),"")</f>
        <v/>
      </c>
      <c r="B690" s="18" t="s">
        <v>37</v>
      </c>
      <c r="C690" s="17" t="s">
        <v>17</v>
      </c>
      <c r="D690" s="17">
        <v>11.0</v>
      </c>
      <c r="E690" s="17" t="s">
        <v>38</v>
      </c>
      <c r="G690" s="19"/>
      <c r="H690" s="20" t="s">
        <v>318</v>
      </c>
      <c r="I690" s="17" t="s">
        <v>73</v>
      </c>
      <c r="J690" s="17">
        <v>0.0</v>
      </c>
      <c r="K690" s="17">
        <v>0.0</v>
      </c>
      <c r="L690" s="17">
        <v>0.0</v>
      </c>
      <c r="M690" s="17">
        <v>0.0</v>
      </c>
      <c r="N690" s="17">
        <v>0.0</v>
      </c>
      <c r="O690" s="17">
        <v>0.0</v>
      </c>
      <c r="P690" s="17">
        <v>0.0</v>
      </c>
      <c r="Q690" s="17">
        <v>0.0</v>
      </c>
      <c r="R690" s="17">
        <v>0.0</v>
      </c>
      <c r="S690" s="17">
        <v>0.0</v>
      </c>
      <c r="T690" s="17">
        <v>0.0</v>
      </c>
      <c r="U690" s="17">
        <v>0.0</v>
      </c>
    </row>
    <row r="691" ht="23.25" customHeight="1">
      <c r="A691" s="1" t="str">
        <f>IF(COUNTIF('Icon Lookup'!C:C,B691)&gt;0,LOOKUP(B691,'Icon Lookup'!C:C,'Icon Lookup'!B:B),"")</f>
        <v/>
      </c>
      <c r="B691" s="15" t="s">
        <v>1047</v>
      </c>
      <c r="C691" s="1" t="s">
        <v>17</v>
      </c>
      <c r="D691" s="1" t="s">
        <v>1044</v>
      </c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ht="23.25" customHeight="1">
      <c r="A692" s="20" t="str">
        <f>IF(COUNTIF('Icon Lookup'!C:C,B692)&gt;0,LOOKUP(B692,'Icon Lookup'!C:C,'Icon Lookup'!B:B),"")</f>
        <v/>
      </c>
      <c r="B692" s="21" t="s">
        <v>691</v>
      </c>
      <c r="C692" s="20" t="s">
        <v>17</v>
      </c>
      <c r="D692" s="20">
        <v>11.0</v>
      </c>
      <c r="E692" s="20" t="s">
        <v>58</v>
      </c>
      <c r="G692" s="22"/>
      <c r="H692" s="23" t="s">
        <v>686</v>
      </c>
      <c r="I692" s="20" t="s">
        <v>94</v>
      </c>
      <c r="J692" s="20">
        <v>0.0</v>
      </c>
      <c r="K692" s="20">
        <v>0.0</v>
      </c>
      <c r="L692" s="20">
        <v>0.0</v>
      </c>
      <c r="M692" s="20">
        <v>0.0</v>
      </c>
      <c r="N692" s="20">
        <v>0.0</v>
      </c>
      <c r="O692" s="20">
        <v>0.0</v>
      </c>
      <c r="P692" s="20">
        <v>0.0</v>
      </c>
      <c r="Q692" s="20">
        <v>0.0</v>
      </c>
      <c r="R692" s="20">
        <v>0.0</v>
      </c>
      <c r="S692" s="20">
        <v>0.0</v>
      </c>
      <c r="T692" s="20">
        <v>0.0</v>
      </c>
      <c r="U692" s="20">
        <v>0.0</v>
      </c>
    </row>
    <row r="693" ht="23.25" customHeight="1">
      <c r="A693" s="1" t="str">
        <f>IF(COUNTIF('Icon Lookup'!C:C,B693)&gt;0,LOOKUP(B693,'Icon Lookup'!C:C,'Icon Lookup'!B:B),"")</f>
        <v/>
      </c>
      <c r="B693" s="15" t="s">
        <v>1048</v>
      </c>
      <c r="C693" s="1" t="s">
        <v>17</v>
      </c>
      <c r="D693" s="1" t="s">
        <v>1044</v>
      </c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ht="23.25" customHeight="1">
      <c r="A694" s="17" t="str">
        <f>IF(COUNTIF('Icon Lookup'!C:C,B694)&gt;0,LOOKUP(B694,'Icon Lookup'!C:C,'Icon Lookup'!B:B),"")</f>
        <v/>
      </c>
      <c r="B694" s="18" t="s">
        <v>60</v>
      </c>
      <c r="C694" s="17" t="s">
        <v>17</v>
      </c>
      <c r="D694" s="17">
        <v>10.0</v>
      </c>
      <c r="E694" s="17" t="s">
        <v>61</v>
      </c>
      <c r="G694" s="19"/>
      <c r="H694" s="20" t="s">
        <v>62</v>
      </c>
      <c r="I694" s="17" t="s">
        <v>36</v>
      </c>
      <c r="J694" s="17">
        <v>0.0</v>
      </c>
      <c r="K694" s="17">
        <v>0.0</v>
      </c>
      <c r="L694" s="17">
        <v>0.0</v>
      </c>
      <c r="M694" s="17">
        <v>0.0</v>
      </c>
      <c r="N694" s="17">
        <v>0.0</v>
      </c>
      <c r="O694" s="17">
        <v>0.0</v>
      </c>
      <c r="P694" s="17">
        <v>0.0</v>
      </c>
      <c r="Q694" s="17">
        <v>0.0</v>
      </c>
      <c r="R694" s="17">
        <v>0.0</v>
      </c>
      <c r="S694" s="17">
        <v>0.0</v>
      </c>
      <c r="T694" s="17">
        <v>0.0</v>
      </c>
      <c r="U694" s="17">
        <v>0.0</v>
      </c>
    </row>
    <row r="695" ht="23.25" customHeight="1">
      <c r="A695" s="20" t="str">
        <f>IF(COUNTIF('Icon Lookup'!C:C,B695)&gt;0,LOOKUP(B695,'Icon Lookup'!C:C,'Icon Lookup'!B:B),"")</f>
        <v/>
      </c>
      <c r="B695" s="21" t="s">
        <v>1003</v>
      </c>
      <c r="C695" s="20" t="s">
        <v>17</v>
      </c>
      <c r="D695" s="20">
        <v>10.0</v>
      </c>
      <c r="E695" s="20" t="s">
        <v>1022</v>
      </c>
      <c r="G695" s="22"/>
      <c r="H695" s="23" t="s">
        <v>1049</v>
      </c>
      <c r="I695" s="20" t="s">
        <v>1045</v>
      </c>
      <c r="J695" s="20">
        <v>0.0</v>
      </c>
      <c r="K695" s="20">
        <v>0.0</v>
      </c>
      <c r="L695" s="20">
        <v>0.0</v>
      </c>
      <c r="M695" s="20">
        <v>0.0</v>
      </c>
      <c r="N695" s="20">
        <v>0.0</v>
      </c>
      <c r="O695" s="20">
        <v>0.0</v>
      </c>
      <c r="P695" s="20">
        <v>0.0</v>
      </c>
      <c r="Q695" s="20">
        <v>0.0</v>
      </c>
      <c r="R695" s="20">
        <v>0.0</v>
      </c>
      <c r="S695" s="20">
        <v>0.0</v>
      </c>
      <c r="T695" s="20">
        <v>0.0</v>
      </c>
      <c r="U695" s="20">
        <v>0.0</v>
      </c>
    </row>
    <row r="696" ht="23.25" customHeight="1">
      <c r="A696" s="1" t="str">
        <f>IF(COUNTIF('Icon Lookup'!C:C,B696)&gt;0,LOOKUP(B696,'Icon Lookup'!C:C,'Icon Lookup'!B:B),"")</f>
        <v/>
      </c>
      <c r="B696" s="15" t="s">
        <v>1050</v>
      </c>
      <c r="C696" s="1" t="s">
        <v>17</v>
      </c>
      <c r="D696" s="1" t="s">
        <v>1051</v>
      </c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ht="23.25" customHeight="1">
      <c r="A697" s="17" t="str">
        <f>IF(COUNTIF('Icon Lookup'!C:C,B697)&gt;0,LOOKUP(B697,'Icon Lookup'!C:C,'Icon Lookup'!B:B),"")</f>
        <v/>
      </c>
      <c r="B697" s="18" t="s">
        <v>225</v>
      </c>
      <c r="C697" s="17" t="s">
        <v>17</v>
      </c>
      <c r="D697" s="17">
        <v>31.0</v>
      </c>
      <c r="E697" s="17" t="s">
        <v>26</v>
      </c>
      <c r="G697" s="19"/>
      <c r="H697" s="20" t="s">
        <v>261</v>
      </c>
      <c r="I697" s="17" t="s">
        <v>22</v>
      </c>
      <c r="J697" s="17">
        <v>0.0</v>
      </c>
      <c r="K697" s="17">
        <v>0.0</v>
      </c>
      <c r="L697" s="17">
        <v>0.0</v>
      </c>
      <c r="M697" s="17">
        <v>0.0</v>
      </c>
      <c r="N697" s="17">
        <v>0.0</v>
      </c>
      <c r="O697" s="17">
        <v>0.0</v>
      </c>
      <c r="P697" s="17">
        <v>0.0</v>
      </c>
      <c r="Q697" s="17">
        <v>0.0</v>
      </c>
      <c r="R697" s="17">
        <v>0.0</v>
      </c>
      <c r="S697" s="17">
        <v>0.0</v>
      </c>
      <c r="T697" s="17">
        <v>0.0</v>
      </c>
      <c r="U697" s="17">
        <v>0.0</v>
      </c>
    </row>
    <row r="698" ht="23.25" customHeight="1">
      <c r="A698" s="1" t="str">
        <f>IF(COUNTIF('Icon Lookup'!C:C,B698)&gt;0,LOOKUP(B698,'Icon Lookup'!C:C,'Icon Lookup'!B:B),"")</f>
        <v/>
      </c>
      <c r="B698" s="15" t="s">
        <v>1052</v>
      </c>
      <c r="C698" s="1" t="s">
        <v>17</v>
      </c>
      <c r="D698" s="1" t="s">
        <v>1053</v>
      </c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ht="23.25" customHeight="1">
      <c r="A699" s="20" t="str">
        <f>IF(COUNTIF('Icon Lookup'!C:C,B699)&gt;0,LOOKUP(B699,'Icon Lookup'!C:C,'Icon Lookup'!B:B),"")</f>
        <v/>
      </c>
      <c r="B699" s="21" t="s">
        <v>225</v>
      </c>
      <c r="C699" s="20" t="s">
        <v>17</v>
      </c>
      <c r="D699" s="20">
        <v>44.0</v>
      </c>
      <c r="E699" s="20" t="s">
        <v>26</v>
      </c>
      <c r="G699" s="22"/>
      <c r="H699" s="23" t="s">
        <v>1054</v>
      </c>
      <c r="I699" s="20" t="s">
        <v>22</v>
      </c>
      <c r="J699" s="20">
        <v>0.0</v>
      </c>
      <c r="K699" s="20">
        <v>0.0</v>
      </c>
      <c r="L699" s="20">
        <v>0.0</v>
      </c>
      <c r="M699" s="20">
        <v>0.0</v>
      </c>
      <c r="N699" s="20">
        <v>0.0</v>
      </c>
      <c r="O699" s="20">
        <v>0.0</v>
      </c>
      <c r="P699" s="20">
        <v>0.0</v>
      </c>
      <c r="Q699" s="20">
        <v>0.0</v>
      </c>
      <c r="R699" s="20">
        <v>0.0</v>
      </c>
      <c r="S699" s="20">
        <v>0.0</v>
      </c>
      <c r="T699" s="20">
        <v>0.0</v>
      </c>
      <c r="U699" s="20">
        <v>0.0</v>
      </c>
    </row>
    <row r="700" ht="23.25" customHeight="1">
      <c r="A700" s="1" t="str">
        <f>IF(COUNTIF('Icon Lookup'!C:C,B700)&gt;0,LOOKUP(B700,'Icon Lookup'!C:C,'Icon Lookup'!B:B),"")</f>
        <v/>
      </c>
      <c r="B700" s="15" t="s">
        <v>1055</v>
      </c>
      <c r="C700" s="1" t="s">
        <v>17</v>
      </c>
      <c r="D700" s="1" t="s">
        <v>1056</v>
      </c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ht="23.25" customHeight="1">
      <c r="A701" s="17" t="str">
        <f>IF(COUNTIF('Icon Lookup'!C:C,B701)&gt;0,LOOKUP(B701,'Icon Lookup'!C:C,'Icon Lookup'!B:B),"")</f>
        <v/>
      </c>
      <c r="B701" s="18" t="s">
        <v>225</v>
      </c>
      <c r="C701" s="17" t="s">
        <v>17</v>
      </c>
      <c r="D701" s="17">
        <v>42.0</v>
      </c>
      <c r="E701" s="17" t="s">
        <v>26</v>
      </c>
      <c r="G701" s="19"/>
      <c r="H701" s="20" t="s">
        <v>1057</v>
      </c>
      <c r="I701" s="17" t="s">
        <v>22</v>
      </c>
      <c r="J701" s="17">
        <v>0.0</v>
      </c>
      <c r="K701" s="17">
        <v>0.0</v>
      </c>
      <c r="L701" s="17">
        <v>0.0</v>
      </c>
      <c r="M701" s="17">
        <v>0.0</v>
      </c>
      <c r="N701" s="17">
        <v>0.0</v>
      </c>
      <c r="O701" s="17">
        <v>0.0</v>
      </c>
      <c r="P701" s="17">
        <v>0.0</v>
      </c>
      <c r="Q701" s="17">
        <v>0.0</v>
      </c>
      <c r="R701" s="17">
        <v>0.0</v>
      </c>
      <c r="S701" s="17">
        <v>0.0</v>
      </c>
      <c r="T701" s="17">
        <v>0.0</v>
      </c>
      <c r="U701" s="17">
        <v>0.0</v>
      </c>
    </row>
    <row r="702" ht="23.25" customHeight="1">
      <c r="A702" s="20" t="str">
        <f>IF(COUNTIF('Icon Lookup'!C:C,B702)&gt;0,LOOKUP(B702,'Icon Lookup'!C:C,'Icon Lookup'!B:B),"")</f>
        <v/>
      </c>
      <c r="B702" s="21" t="s">
        <v>419</v>
      </c>
      <c r="C702" s="20" t="s">
        <v>17</v>
      </c>
      <c r="D702" s="20">
        <v>42.0</v>
      </c>
      <c r="E702" s="20" t="s">
        <v>1058</v>
      </c>
      <c r="G702" s="22"/>
      <c r="H702" s="23" t="s">
        <v>1059</v>
      </c>
      <c r="I702" s="20" t="s">
        <v>22</v>
      </c>
      <c r="J702" s="20">
        <v>0.0</v>
      </c>
      <c r="K702" s="20">
        <v>0.0</v>
      </c>
      <c r="L702" s="20">
        <v>0.0</v>
      </c>
      <c r="M702" s="20">
        <v>0.0</v>
      </c>
      <c r="N702" s="20">
        <v>0.0</v>
      </c>
      <c r="O702" s="20">
        <v>0.0</v>
      </c>
      <c r="P702" s="20">
        <v>0.0</v>
      </c>
      <c r="Q702" s="20">
        <v>0.0</v>
      </c>
      <c r="R702" s="20">
        <v>0.0</v>
      </c>
      <c r="S702" s="20">
        <v>0.0</v>
      </c>
      <c r="T702" s="20">
        <v>0.0</v>
      </c>
      <c r="U702" s="20">
        <v>0.0</v>
      </c>
    </row>
    <row r="703" ht="23.25" customHeight="1">
      <c r="A703" s="1" t="str">
        <f>IF(COUNTIF('Icon Lookup'!C:C,B703)&gt;0,LOOKUP(B703,'Icon Lookup'!C:C,'Icon Lookup'!B:B),"")</f>
        <v/>
      </c>
      <c r="B703" s="15" t="s">
        <v>1060</v>
      </c>
      <c r="C703" s="1" t="s">
        <v>17</v>
      </c>
      <c r="D703" s="1" t="s">
        <v>1061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ht="23.25" customHeight="1">
      <c r="A704" s="17" t="str">
        <f>IF(COUNTIF('Icon Lookup'!C:C,B704)&gt;0,LOOKUP(B704,'Icon Lookup'!C:C,'Icon Lookup'!B:B),"")</f>
        <v/>
      </c>
      <c r="B704" s="18" t="s">
        <v>311</v>
      </c>
      <c r="C704" s="17" t="s">
        <v>17</v>
      </c>
      <c r="D704" s="17">
        <v>44.0</v>
      </c>
      <c r="E704" s="17" t="s">
        <v>137</v>
      </c>
      <c r="G704" s="19"/>
      <c r="H704" s="20" t="s">
        <v>1062</v>
      </c>
      <c r="I704" s="17" t="s">
        <v>22</v>
      </c>
      <c r="J704" s="17">
        <v>0.0</v>
      </c>
      <c r="K704" s="17">
        <v>0.0</v>
      </c>
      <c r="L704" s="17">
        <v>0.0</v>
      </c>
      <c r="M704" s="17">
        <v>0.0</v>
      </c>
      <c r="N704" s="17">
        <v>0.0</v>
      </c>
      <c r="O704" s="17">
        <v>0.0</v>
      </c>
      <c r="P704" s="17">
        <v>0.0</v>
      </c>
      <c r="Q704" s="17">
        <v>0.0</v>
      </c>
      <c r="R704" s="17">
        <v>0.0</v>
      </c>
      <c r="S704" s="17">
        <v>0.0</v>
      </c>
      <c r="T704" s="17">
        <v>0.0</v>
      </c>
      <c r="U704" s="17">
        <v>0.0</v>
      </c>
    </row>
    <row r="705" ht="23.25" customHeight="1">
      <c r="A705" s="1" t="str">
        <f>IF(COUNTIF('Icon Lookup'!C:C,B705)&gt;0,LOOKUP(B705,'Icon Lookup'!C:C,'Icon Lookup'!B:B),"")</f>
        <v/>
      </c>
      <c r="B705" s="15" t="s">
        <v>1063</v>
      </c>
      <c r="C705" s="1" t="s">
        <v>17</v>
      </c>
      <c r="D705" s="1" t="s">
        <v>1064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ht="23.25" customHeight="1">
      <c r="A706" s="20" t="str">
        <f>IF(COUNTIF('Icon Lookup'!C:C,B706)&gt;0,LOOKUP(B706,'Icon Lookup'!C:C,'Icon Lookup'!B:B),"")</f>
        <v/>
      </c>
      <c r="B706" s="21" t="s">
        <v>160</v>
      </c>
      <c r="C706" s="20" t="s">
        <v>17</v>
      </c>
      <c r="D706" s="20">
        <v>21.0</v>
      </c>
      <c r="E706" s="20" t="s">
        <v>161</v>
      </c>
      <c r="G706" s="22"/>
      <c r="H706" s="23" t="s">
        <v>162</v>
      </c>
      <c r="I706" s="20" t="s">
        <v>94</v>
      </c>
      <c r="J706" s="20">
        <v>0.0</v>
      </c>
      <c r="K706" s="20">
        <v>0.0</v>
      </c>
      <c r="L706" s="20">
        <v>0.0</v>
      </c>
      <c r="M706" s="20">
        <v>0.0</v>
      </c>
      <c r="N706" s="20">
        <v>0.0</v>
      </c>
      <c r="O706" s="20">
        <v>0.0</v>
      </c>
      <c r="P706" s="20">
        <v>0.0</v>
      </c>
      <c r="Q706" s="20">
        <v>0.0</v>
      </c>
      <c r="R706" s="20">
        <v>0.0</v>
      </c>
      <c r="S706" s="20">
        <v>0.0</v>
      </c>
      <c r="T706" s="20">
        <v>0.0</v>
      </c>
      <c r="U706" s="20">
        <v>0.0</v>
      </c>
    </row>
    <row r="707" ht="23.25" customHeight="1">
      <c r="A707" s="17" t="str">
        <f>IF(COUNTIF('Icon Lookup'!C:C,B707)&gt;0,LOOKUP(B707,'Icon Lookup'!C:C,'Icon Lookup'!B:B),"")</f>
        <v/>
      </c>
      <c r="B707" s="18" t="s">
        <v>438</v>
      </c>
      <c r="C707" s="17" t="s">
        <v>17</v>
      </c>
      <c r="D707" s="17">
        <v>23.0</v>
      </c>
      <c r="E707" s="17" t="s">
        <v>98</v>
      </c>
      <c r="G707" s="19"/>
      <c r="H707" s="20" t="s">
        <v>1065</v>
      </c>
      <c r="I707" s="17" t="s">
        <v>89</v>
      </c>
      <c r="J707" s="17">
        <v>0.0</v>
      </c>
      <c r="K707" s="17">
        <v>0.0</v>
      </c>
      <c r="L707" s="17">
        <v>0.0</v>
      </c>
      <c r="M707" s="17">
        <v>0.0</v>
      </c>
      <c r="N707" s="17">
        <v>0.0</v>
      </c>
      <c r="O707" s="17">
        <v>0.0</v>
      </c>
      <c r="P707" s="17">
        <v>0.0</v>
      </c>
      <c r="Q707" s="17">
        <v>0.0</v>
      </c>
      <c r="R707" s="17">
        <v>0.0</v>
      </c>
      <c r="S707" s="17">
        <v>0.0</v>
      </c>
      <c r="T707" s="17">
        <v>0.0</v>
      </c>
      <c r="U707" s="17">
        <v>0.0</v>
      </c>
    </row>
    <row r="708" ht="23.25" customHeight="1">
      <c r="A708" s="1" t="str">
        <f>IF(COUNTIF('Icon Lookup'!C:C,B708)&gt;0,LOOKUP(B708,'Icon Lookup'!C:C,'Icon Lookup'!B:B),"")</f>
        <v/>
      </c>
      <c r="B708" s="15" t="s">
        <v>1066</v>
      </c>
      <c r="C708" s="1" t="s">
        <v>17</v>
      </c>
      <c r="D708" s="1" t="s">
        <v>1067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ht="23.25" customHeight="1">
      <c r="A709" s="20" t="str">
        <f>IF(COUNTIF('Icon Lookup'!C:C,B709)&gt;0,LOOKUP(B709,'Icon Lookup'!C:C,'Icon Lookup'!B:B),"")</f>
        <v/>
      </c>
      <c r="B709" s="21" t="s">
        <v>756</v>
      </c>
      <c r="C709" s="20" t="s">
        <v>17</v>
      </c>
      <c r="D709" s="20">
        <v>54.0</v>
      </c>
      <c r="E709" s="20" t="s">
        <v>87</v>
      </c>
      <c r="G709" s="22"/>
      <c r="H709" s="23" t="s">
        <v>1068</v>
      </c>
      <c r="I709" s="20" t="s">
        <v>89</v>
      </c>
      <c r="J709" s="20">
        <v>0.0</v>
      </c>
      <c r="K709" s="20">
        <v>0.0</v>
      </c>
      <c r="L709" s="20">
        <v>0.0</v>
      </c>
      <c r="M709" s="20">
        <v>0.0</v>
      </c>
      <c r="N709" s="20">
        <v>0.0</v>
      </c>
      <c r="O709" s="20">
        <v>0.0</v>
      </c>
      <c r="P709" s="20">
        <v>0.0</v>
      </c>
      <c r="Q709" s="20">
        <v>0.0</v>
      </c>
      <c r="R709" s="20">
        <v>0.0</v>
      </c>
      <c r="S709" s="20">
        <v>0.0</v>
      </c>
      <c r="T709" s="20">
        <v>0.0</v>
      </c>
      <c r="U709" s="20">
        <v>0.0</v>
      </c>
    </row>
    <row r="710" ht="23.25" customHeight="1">
      <c r="A710" s="1" t="str">
        <f>IF(COUNTIF('Icon Lookup'!C:C,B710)&gt;0,LOOKUP(B710,'Icon Lookup'!C:C,'Icon Lookup'!B:B),"")</f>
        <v/>
      </c>
      <c r="B710" s="15" t="s">
        <v>1069</v>
      </c>
      <c r="C710" s="1" t="s">
        <v>17</v>
      </c>
      <c r="D710" s="1" t="s">
        <v>1070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ht="23.25" customHeight="1">
      <c r="A711" s="17" t="str">
        <f>IF(COUNTIF('Icon Lookup'!C:C,B711)&gt;0,LOOKUP(B711,'Icon Lookup'!C:C,'Icon Lookup'!B:B),"")</f>
        <v/>
      </c>
      <c r="B711" s="18" t="s">
        <v>78</v>
      </c>
      <c r="C711" s="17" t="s">
        <v>17</v>
      </c>
      <c r="D711" s="17">
        <v>21.0</v>
      </c>
      <c r="E711" s="17" t="s">
        <v>121</v>
      </c>
      <c r="G711" s="19"/>
      <c r="H711" s="20" t="s">
        <v>1071</v>
      </c>
      <c r="I711" s="17" t="s">
        <v>156</v>
      </c>
      <c r="J711" s="17">
        <v>0.0</v>
      </c>
      <c r="K711" s="17">
        <v>0.0</v>
      </c>
      <c r="L711" s="17">
        <v>0.0</v>
      </c>
      <c r="M711" s="17">
        <v>0.0</v>
      </c>
      <c r="N711" s="17">
        <v>0.0</v>
      </c>
      <c r="O711" s="17">
        <v>0.0</v>
      </c>
      <c r="P711" s="17">
        <v>0.0</v>
      </c>
      <c r="Q711" s="17">
        <v>0.0</v>
      </c>
      <c r="R711" s="17">
        <v>0.0</v>
      </c>
      <c r="S711" s="17">
        <v>0.0</v>
      </c>
      <c r="T711" s="17">
        <v>0.0</v>
      </c>
      <c r="U711" s="17">
        <v>0.0</v>
      </c>
    </row>
    <row r="712" ht="23.25" customHeight="1">
      <c r="A712" s="1" t="str">
        <f>IF(COUNTIF('Icon Lookup'!C:C,B712)&gt;0,LOOKUP(B712,'Icon Lookup'!C:C,'Icon Lookup'!B:B),"")</f>
        <v/>
      </c>
      <c r="B712" s="15" t="s">
        <v>1072</v>
      </c>
      <c r="C712" s="1" t="s">
        <v>17</v>
      </c>
      <c r="D712" s="1" t="s">
        <v>1073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ht="23.25" customHeight="1">
      <c r="A713" s="20" t="str">
        <f>IF(COUNTIF('Icon Lookup'!C:C,B713)&gt;0,LOOKUP(B713,'Icon Lookup'!C:C,'Icon Lookup'!B:B),"")</f>
        <v/>
      </c>
      <c r="B713" s="21" t="s">
        <v>225</v>
      </c>
      <c r="C713" s="20" t="s">
        <v>17</v>
      </c>
      <c r="D713" s="20">
        <v>19.0</v>
      </c>
      <c r="E713" s="20" t="s">
        <v>26</v>
      </c>
      <c r="G713" s="22"/>
      <c r="H713" s="23" t="s">
        <v>226</v>
      </c>
      <c r="I713" s="20" t="s">
        <v>22</v>
      </c>
      <c r="J713" s="20">
        <v>0.0</v>
      </c>
      <c r="K713" s="20">
        <v>0.0</v>
      </c>
      <c r="L713" s="20">
        <v>0.0</v>
      </c>
      <c r="M713" s="20">
        <v>0.0</v>
      </c>
      <c r="N713" s="20">
        <v>0.0</v>
      </c>
      <c r="O713" s="20">
        <v>0.0</v>
      </c>
      <c r="P713" s="20">
        <v>0.0</v>
      </c>
      <c r="Q713" s="20">
        <v>0.0</v>
      </c>
      <c r="R713" s="20">
        <v>0.0</v>
      </c>
      <c r="S713" s="20">
        <v>0.0</v>
      </c>
      <c r="T713" s="20">
        <v>0.0</v>
      </c>
      <c r="U713" s="20">
        <v>0.0</v>
      </c>
    </row>
    <row r="714" ht="23.25" customHeight="1">
      <c r="A714" s="17" t="str">
        <f>IF(COUNTIF('Icon Lookup'!C:C,B714)&gt;0,LOOKUP(B714,'Icon Lookup'!C:C,'Icon Lookup'!B:B),"")</f>
        <v/>
      </c>
      <c r="B714" s="18" t="s">
        <v>117</v>
      </c>
      <c r="C714" s="17" t="s">
        <v>17</v>
      </c>
      <c r="D714" s="17">
        <v>21.0</v>
      </c>
      <c r="E714" s="17" t="s">
        <v>26</v>
      </c>
      <c r="G714" s="19"/>
      <c r="H714" s="20" t="s">
        <v>1074</v>
      </c>
      <c r="I714" s="17" t="s">
        <v>22</v>
      </c>
      <c r="J714" s="17">
        <v>0.0</v>
      </c>
      <c r="K714" s="17">
        <v>0.0</v>
      </c>
      <c r="L714" s="17">
        <v>0.0</v>
      </c>
      <c r="M714" s="17">
        <v>0.0</v>
      </c>
      <c r="N714" s="17">
        <v>0.0</v>
      </c>
      <c r="O714" s="17">
        <v>0.0</v>
      </c>
      <c r="P714" s="17">
        <v>0.0</v>
      </c>
      <c r="Q714" s="17">
        <v>0.0</v>
      </c>
      <c r="R714" s="17">
        <v>0.0</v>
      </c>
      <c r="S714" s="17">
        <v>0.0</v>
      </c>
      <c r="T714" s="17">
        <v>0.0</v>
      </c>
      <c r="U714" s="17">
        <v>0.0</v>
      </c>
    </row>
    <row r="715" ht="23.25" customHeight="1">
      <c r="A715" s="20" t="str">
        <f>IF(COUNTIF('Icon Lookup'!C:C,B715)&gt;0,LOOKUP(B715,'Icon Lookup'!C:C,'Icon Lookup'!B:B),"")</f>
        <v/>
      </c>
      <c r="B715" s="21" t="s">
        <v>78</v>
      </c>
      <c r="C715" s="20" t="s">
        <v>17</v>
      </c>
      <c r="D715" s="20">
        <v>20.0</v>
      </c>
      <c r="E715" s="20" t="s">
        <v>79</v>
      </c>
      <c r="G715" s="22"/>
      <c r="H715" s="23" t="s">
        <v>122</v>
      </c>
      <c r="I715" s="20" t="s">
        <v>22</v>
      </c>
      <c r="J715" s="20">
        <v>0.0</v>
      </c>
      <c r="K715" s="20">
        <v>0.0</v>
      </c>
      <c r="L715" s="20">
        <v>0.0</v>
      </c>
      <c r="M715" s="20">
        <v>0.0</v>
      </c>
      <c r="N715" s="20">
        <v>0.0</v>
      </c>
      <c r="O715" s="20">
        <v>0.0</v>
      </c>
      <c r="P715" s="20">
        <v>0.0</v>
      </c>
      <c r="Q715" s="20">
        <v>0.0</v>
      </c>
      <c r="R715" s="20">
        <v>0.0</v>
      </c>
      <c r="S715" s="20">
        <v>0.0</v>
      </c>
      <c r="T715" s="20">
        <v>0.0</v>
      </c>
      <c r="U715" s="20">
        <v>0.0</v>
      </c>
    </row>
    <row r="716" ht="23.25" customHeight="1">
      <c r="A716" s="1" t="str">
        <f>IF(COUNTIF('Icon Lookup'!C:C,B716)&gt;0,LOOKUP(B716,'Icon Lookup'!C:C,'Icon Lookup'!B:B),"")</f>
        <v/>
      </c>
      <c r="B716" s="15" t="s">
        <v>1075</v>
      </c>
      <c r="C716" s="1" t="s">
        <v>17</v>
      </c>
      <c r="D716" s="1" t="s">
        <v>1076</v>
      </c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ht="23.25" customHeight="1">
      <c r="A717" s="17" t="str">
        <f>IF(COUNTIF('Icon Lookup'!C:C,B717)&gt;0,LOOKUP(B717,'Icon Lookup'!C:C,'Icon Lookup'!B:B),"")</f>
        <v/>
      </c>
      <c r="B717" s="18" t="s">
        <v>117</v>
      </c>
      <c r="C717" s="17" t="s">
        <v>17</v>
      </c>
      <c r="D717" s="17">
        <v>19.0</v>
      </c>
      <c r="E717" s="17" t="s">
        <v>26</v>
      </c>
      <c r="G717" s="19"/>
      <c r="H717" s="20" t="s">
        <v>1074</v>
      </c>
      <c r="I717" s="17" t="s">
        <v>89</v>
      </c>
      <c r="J717" s="17">
        <v>0.0</v>
      </c>
      <c r="K717" s="17">
        <v>0.0</v>
      </c>
      <c r="L717" s="17">
        <v>0.0</v>
      </c>
      <c r="M717" s="17">
        <v>0.0</v>
      </c>
      <c r="N717" s="17">
        <v>0.0</v>
      </c>
      <c r="O717" s="17">
        <v>0.0</v>
      </c>
      <c r="P717" s="17">
        <v>0.0</v>
      </c>
      <c r="Q717" s="17">
        <v>0.0</v>
      </c>
      <c r="R717" s="17">
        <v>0.0</v>
      </c>
      <c r="S717" s="17">
        <v>0.0</v>
      </c>
      <c r="T717" s="17">
        <v>0.0</v>
      </c>
      <c r="U717" s="17">
        <v>0.0</v>
      </c>
    </row>
    <row r="718" ht="23.25" customHeight="1">
      <c r="A718" s="1" t="str">
        <f>IF(COUNTIF('Icon Lookup'!C:C,B718)&gt;0,LOOKUP(B718,'Icon Lookup'!C:C,'Icon Lookup'!B:B),"")</f>
        <v/>
      </c>
      <c r="B718" s="15" t="s">
        <v>1077</v>
      </c>
      <c r="C718" s="1" t="s">
        <v>17</v>
      </c>
      <c r="D718" s="1" t="s">
        <v>1078</v>
      </c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ht="23.25" customHeight="1">
      <c r="A719" s="20" t="str">
        <f>IF(COUNTIF('Icon Lookup'!C:C,B719)&gt;0,LOOKUP(B719,'Icon Lookup'!C:C,'Icon Lookup'!B:B),"")</f>
        <v/>
      </c>
      <c r="B719" s="21" t="s">
        <v>275</v>
      </c>
      <c r="C719" s="20" t="s">
        <v>17</v>
      </c>
      <c r="D719" s="20">
        <v>25.0</v>
      </c>
      <c r="E719" s="20" t="s">
        <v>276</v>
      </c>
      <c r="G719" s="22"/>
      <c r="H719" s="23" t="s">
        <v>1079</v>
      </c>
      <c r="I719" s="20" t="s">
        <v>22</v>
      </c>
      <c r="J719" s="20">
        <v>0.0</v>
      </c>
      <c r="K719" s="20">
        <v>0.0</v>
      </c>
      <c r="L719" s="20">
        <v>0.0</v>
      </c>
      <c r="M719" s="20">
        <v>0.0</v>
      </c>
      <c r="N719" s="20">
        <v>0.0</v>
      </c>
      <c r="O719" s="20">
        <v>0.0</v>
      </c>
      <c r="P719" s="20">
        <v>0.0</v>
      </c>
      <c r="Q719" s="20">
        <v>0.0</v>
      </c>
      <c r="R719" s="20">
        <v>0.0</v>
      </c>
      <c r="S719" s="20">
        <v>0.0</v>
      </c>
      <c r="T719" s="20">
        <v>0.0</v>
      </c>
      <c r="U719" s="20">
        <v>0.0</v>
      </c>
    </row>
    <row r="720" ht="23.25" customHeight="1">
      <c r="A720" s="17" t="str">
        <f>IF(COUNTIF('Icon Lookup'!C:C,B720)&gt;0,LOOKUP(B720,'Icon Lookup'!C:C,'Icon Lookup'!B:B),"")</f>
        <v/>
      </c>
      <c r="B720" s="18" t="s">
        <v>275</v>
      </c>
      <c r="C720" s="17" t="s">
        <v>17</v>
      </c>
      <c r="D720" s="17">
        <v>25.0</v>
      </c>
      <c r="E720" s="17" t="s">
        <v>276</v>
      </c>
      <c r="G720" s="19"/>
      <c r="H720" s="20" t="s">
        <v>1080</v>
      </c>
      <c r="I720" s="17" t="s">
        <v>211</v>
      </c>
      <c r="J720" s="17">
        <v>0.0</v>
      </c>
      <c r="K720" s="17">
        <v>0.0</v>
      </c>
      <c r="L720" s="17">
        <v>0.0</v>
      </c>
      <c r="M720" s="17">
        <v>0.0</v>
      </c>
      <c r="N720" s="17">
        <v>0.0</v>
      </c>
      <c r="O720" s="17">
        <v>0.0</v>
      </c>
      <c r="P720" s="17">
        <v>0.0</v>
      </c>
      <c r="Q720" s="17">
        <v>0.0</v>
      </c>
      <c r="R720" s="17">
        <v>0.0</v>
      </c>
      <c r="S720" s="17">
        <v>0.0</v>
      </c>
      <c r="T720" s="17">
        <v>0.0</v>
      </c>
      <c r="U720" s="17">
        <v>0.0</v>
      </c>
    </row>
    <row r="721" ht="23.25" customHeight="1">
      <c r="A721" s="20" t="str">
        <f>IF(COUNTIF('Icon Lookup'!C:C,B721)&gt;0,LOOKUP(B721,'Icon Lookup'!C:C,'Icon Lookup'!B:B),"")</f>
        <v/>
      </c>
      <c r="B721" s="21" t="s">
        <v>275</v>
      </c>
      <c r="C721" s="20" t="s">
        <v>17</v>
      </c>
      <c r="D721" s="20">
        <v>25.0</v>
      </c>
      <c r="E721" s="20" t="s">
        <v>276</v>
      </c>
      <c r="G721" s="22"/>
      <c r="H721" s="23" t="s">
        <v>1081</v>
      </c>
      <c r="I721" s="20" t="s">
        <v>211</v>
      </c>
      <c r="J721" s="20">
        <v>0.0</v>
      </c>
      <c r="K721" s="20">
        <v>0.0</v>
      </c>
      <c r="L721" s="20">
        <v>0.0</v>
      </c>
      <c r="M721" s="20">
        <v>0.0</v>
      </c>
      <c r="N721" s="20">
        <v>0.0</v>
      </c>
      <c r="O721" s="20">
        <v>0.0</v>
      </c>
      <c r="P721" s="20">
        <v>0.0</v>
      </c>
      <c r="Q721" s="20">
        <v>0.0</v>
      </c>
      <c r="R721" s="20">
        <v>0.0</v>
      </c>
      <c r="S721" s="20">
        <v>0.0</v>
      </c>
      <c r="T721" s="20">
        <v>0.0</v>
      </c>
      <c r="U721" s="20">
        <v>0.0</v>
      </c>
    </row>
    <row r="722" ht="23.25" customHeight="1">
      <c r="A722" s="1" t="str">
        <f>IF(COUNTIF('Icon Lookup'!C:C,B722)&gt;0,LOOKUP(B722,'Icon Lookup'!C:C,'Icon Lookup'!B:B),"")</f>
        <v/>
      </c>
      <c r="B722" s="15" t="s">
        <v>1082</v>
      </c>
      <c r="C722" s="1" t="s">
        <v>17</v>
      </c>
      <c r="D722" s="1" t="s">
        <v>1083</v>
      </c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ht="23.25" customHeight="1">
      <c r="A723" s="17" t="str">
        <f>IF(COUNTIF('Icon Lookup'!C:C,B723)&gt;0,LOOKUP(B723,'Icon Lookup'!C:C,'Icon Lookup'!B:B),"")</f>
        <v/>
      </c>
      <c r="B723" s="18" t="s">
        <v>275</v>
      </c>
      <c r="C723" s="17" t="s">
        <v>17</v>
      </c>
      <c r="D723" s="17">
        <v>25.0</v>
      </c>
      <c r="E723" s="17" t="s">
        <v>276</v>
      </c>
      <c r="G723" s="19"/>
      <c r="H723" s="20" t="s">
        <v>1084</v>
      </c>
      <c r="I723" s="17" t="s">
        <v>22</v>
      </c>
      <c r="J723" s="17">
        <v>0.0</v>
      </c>
      <c r="K723" s="17">
        <v>0.0</v>
      </c>
      <c r="L723" s="17">
        <v>0.0</v>
      </c>
      <c r="M723" s="17">
        <v>0.0</v>
      </c>
      <c r="N723" s="17">
        <v>0.0</v>
      </c>
      <c r="O723" s="17">
        <v>0.0</v>
      </c>
      <c r="P723" s="17">
        <v>0.0</v>
      </c>
      <c r="Q723" s="17">
        <v>0.0</v>
      </c>
      <c r="R723" s="17">
        <v>0.0</v>
      </c>
      <c r="S723" s="17">
        <v>0.0</v>
      </c>
      <c r="T723" s="17">
        <v>0.0</v>
      </c>
      <c r="U723" s="17">
        <v>0.0</v>
      </c>
    </row>
    <row r="724" ht="23.25" customHeight="1">
      <c r="A724" s="20" t="str">
        <f>IF(COUNTIF('Icon Lookup'!C:C,B724)&gt;0,LOOKUP(B724,'Icon Lookup'!C:C,'Icon Lookup'!B:B),"")</f>
        <v/>
      </c>
      <c r="B724" s="21" t="s">
        <v>90</v>
      </c>
      <c r="C724" s="20" t="s">
        <v>17</v>
      </c>
      <c r="D724" s="20">
        <v>25.0</v>
      </c>
      <c r="E724" s="20" t="s">
        <v>276</v>
      </c>
      <c r="G724" s="22"/>
      <c r="H724" s="23" t="s">
        <v>1085</v>
      </c>
      <c r="I724" s="20" t="s">
        <v>550</v>
      </c>
      <c r="J724" s="20">
        <v>0.0</v>
      </c>
      <c r="K724" s="20">
        <v>0.0</v>
      </c>
      <c r="L724" s="20">
        <v>0.0</v>
      </c>
      <c r="M724" s="20">
        <v>0.0</v>
      </c>
      <c r="N724" s="20">
        <v>0.0</v>
      </c>
      <c r="O724" s="20">
        <v>0.0</v>
      </c>
      <c r="P724" s="20">
        <v>0.0</v>
      </c>
      <c r="Q724" s="20">
        <v>0.0</v>
      </c>
      <c r="R724" s="20">
        <v>0.0</v>
      </c>
      <c r="S724" s="20">
        <v>0.0</v>
      </c>
      <c r="T724" s="20">
        <v>0.0</v>
      </c>
      <c r="U724" s="20">
        <v>0.0</v>
      </c>
    </row>
    <row r="725" ht="23.25" customHeight="1">
      <c r="A725" s="17" t="str">
        <f>IF(COUNTIF('Icon Lookup'!C:C,B725)&gt;0,LOOKUP(B725,'Icon Lookup'!C:C,'Icon Lookup'!B:B),"")</f>
        <v/>
      </c>
      <c r="B725" s="18" t="s">
        <v>275</v>
      </c>
      <c r="C725" s="17" t="s">
        <v>17</v>
      </c>
      <c r="D725" s="17">
        <v>25.0</v>
      </c>
      <c r="E725" s="17" t="s">
        <v>276</v>
      </c>
      <c r="G725" s="19"/>
      <c r="H725" s="20" t="s">
        <v>1086</v>
      </c>
      <c r="I725" s="17" t="s">
        <v>550</v>
      </c>
      <c r="J725" s="17">
        <v>0.0</v>
      </c>
      <c r="K725" s="17">
        <v>0.0</v>
      </c>
      <c r="L725" s="17">
        <v>0.0</v>
      </c>
      <c r="M725" s="17">
        <v>0.0</v>
      </c>
      <c r="N725" s="17">
        <v>0.0</v>
      </c>
      <c r="O725" s="17">
        <v>0.0</v>
      </c>
      <c r="P725" s="17">
        <v>0.0</v>
      </c>
      <c r="Q725" s="17">
        <v>0.0</v>
      </c>
      <c r="R725" s="17">
        <v>0.0</v>
      </c>
      <c r="S725" s="17">
        <v>0.0</v>
      </c>
      <c r="T725" s="17">
        <v>0.0</v>
      </c>
      <c r="U725" s="17">
        <v>0.0</v>
      </c>
    </row>
    <row r="726" ht="23.25" customHeight="1">
      <c r="A726" s="1" t="str">
        <f>IF(COUNTIF('Icon Lookup'!C:C,B726)&gt;0,LOOKUP(B726,'Icon Lookup'!C:C,'Icon Lookup'!B:B),"")</f>
        <v/>
      </c>
      <c r="B726" s="15" t="s">
        <v>1087</v>
      </c>
      <c r="C726" s="1" t="s">
        <v>17</v>
      </c>
      <c r="D726" s="1" t="s">
        <v>1088</v>
      </c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ht="23.25" customHeight="1">
      <c r="A727" s="20" t="str">
        <f>IF(COUNTIF('Icon Lookup'!C:C,B727)&gt;0,LOOKUP(B727,'Icon Lookup'!C:C,'Icon Lookup'!B:B),"")</f>
        <v/>
      </c>
      <c r="B727" s="21" t="s">
        <v>165</v>
      </c>
      <c r="C727" s="20" t="s">
        <v>17</v>
      </c>
      <c r="D727" s="20">
        <v>28.0</v>
      </c>
      <c r="E727" s="20" t="s">
        <v>166</v>
      </c>
      <c r="G727" s="22"/>
      <c r="H727" s="23" t="s">
        <v>1089</v>
      </c>
      <c r="I727" s="20" t="s">
        <v>22</v>
      </c>
      <c r="J727" s="20">
        <v>0.0</v>
      </c>
      <c r="K727" s="20">
        <v>0.0</v>
      </c>
      <c r="L727" s="20">
        <v>0.0</v>
      </c>
      <c r="M727" s="20">
        <v>0.0</v>
      </c>
      <c r="N727" s="20">
        <v>0.0</v>
      </c>
      <c r="O727" s="20">
        <v>0.0</v>
      </c>
      <c r="P727" s="20">
        <v>0.0</v>
      </c>
      <c r="Q727" s="20">
        <v>0.0</v>
      </c>
      <c r="R727" s="20">
        <v>0.0</v>
      </c>
      <c r="S727" s="20">
        <v>0.0</v>
      </c>
      <c r="T727" s="20">
        <v>0.0</v>
      </c>
      <c r="U727" s="20">
        <v>0.0</v>
      </c>
    </row>
    <row r="728" ht="23.25" customHeight="1">
      <c r="A728" s="1" t="str">
        <f>IF(COUNTIF('Icon Lookup'!C:C,B728)&gt;0,LOOKUP(B728,'Icon Lookup'!C:C,'Icon Lookup'!B:B),"")</f>
        <v/>
      </c>
      <c r="B728" s="15" t="s">
        <v>1090</v>
      </c>
      <c r="C728" s="1" t="s">
        <v>17</v>
      </c>
      <c r="D728" s="1" t="s">
        <v>1091</v>
      </c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ht="23.25" customHeight="1">
      <c r="A729" s="17" t="str">
        <f>IF(COUNTIF('Icon Lookup'!C:C,B729)&gt;0,LOOKUP(B729,'Icon Lookup'!C:C,'Icon Lookup'!B:B),"")</f>
        <v/>
      </c>
      <c r="B729" s="18" t="s">
        <v>275</v>
      </c>
      <c r="C729" s="17" t="s">
        <v>17</v>
      </c>
      <c r="D729" s="17">
        <v>26.0</v>
      </c>
      <c r="E729" s="17" t="s">
        <v>276</v>
      </c>
      <c r="G729" s="19"/>
      <c r="H729" s="20" t="s">
        <v>1092</v>
      </c>
      <c r="I729" s="17" t="s">
        <v>22</v>
      </c>
      <c r="J729" s="17">
        <v>0.0</v>
      </c>
      <c r="K729" s="17">
        <v>0.0</v>
      </c>
      <c r="L729" s="17">
        <v>0.0</v>
      </c>
      <c r="M729" s="17">
        <v>0.0</v>
      </c>
      <c r="N729" s="17">
        <v>0.0</v>
      </c>
      <c r="O729" s="17">
        <v>0.0</v>
      </c>
      <c r="P729" s="17">
        <v>0.0</v>
      </c>
      <c r="Q729" s="17">
        <v>0.0</v>
      </c>
      <c r="R729" s="17">
        <v>0.0</v>
      </c>
      <c r="S729" s="17">
        <v>0.0</v>
      </c>
      <c r="T729" s="17">
        <v>0.0</v>
      </c>
      <c r="U729" s="17">
        <v>0.0</v>
      </c>
    </row>
    <row r="730" ht="23.25" customHeight="1">
      <c r="A730" s="20" t="str">
        <f>IF(COUNTIF('Icon Lookup'!C:C,B730)&gt;0,LOOKUP(B730,'Icon Lookup'!C:C,'Icon Lookup'!B:B),"")</f>
        <v/>
      </c>
      <c r="B730" s="21" t="s">
        <v>165</v>
      </c>
      <c r="C730" s="20" t="s">
        <v>17</v>
      </c>
      <c r="D730" s="20">
        <v>26.0</v>
      </c>
      <c r="E730" s="20" t="s">
        <v>166</v>
      </c>
      <c r="G730" s="22"/>
      <c r="H730" s="23" t="s">
        <v>1093</v>
      </c>
      <c r="I730" s="20" t="s">
        <v>550</v>
      </c>
      <c r="J730" s="20">
        <v>0.0</v>
      </c>
      <c r="K730" s="20">
        <v>0.0</v>
      </c>
      <c r="L730" s="20">
        <v>0.0</v>
      </c>
      <c r="M730" s="20">
        <v>0.0</v>
      </c>
      <c r="N730" s="20">
        <v>0.0</v>
      </c>
      <c r="O730" s="20">
        <v>0.0</v>
      </c>
      <c r="P730" s="20">
        <v>0.0</v>
      </c>
      <c r="Q730" s="20">
        <v>0.0</v>
      </c>
      <c r="R730" s="20">
        <v>0.0</v>
      </c>
      <c r="S730" s="20">
        <v>0.0</v>
      </c>
      <c r="T730" s="20">
        <v>0.0</v>
      </c>
      <c r="U730" s="20">
        <v>0.0</v>
      </c>
    </row>
    <row r="731" ht="23.25" customHeight="1">
      <c r="A731" s="1" t="str">
        <f>IF(COUNTIF('Icon Lookup'!C:C,B731)&gt;0,LOOKUP(B731,'Icon Lookup'!C:C,'Icon Lookup'!B:B),"")</f>
        <v/>
      </c>
      <c r="B731" s="15" t="s">
        <v>1094</v>
      </c>
      <c r="C731" s="1" t="s">
        <v>17</v>
      </c>
      <c r="D731" s="1" t="s">
        <v>1095</v>
      </c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ht="23.25" customHeight="1">
      <c r="A732" s="17" t="str">
        <f>IF(COUNTIF('Icon Lookup'!C:C,B732)&gt;0,LOOKUP(B732,'Icon Lookup'!C:C,'Icon Lookup'!B:B),"")</f>
        <v/>
      </c>
      <c r="B732" s="18" t="s">
        <v>288</v>
      </c>
      <c r="C732" s="17" t="s">
        <v>17</v>
      </c>
      <c r="D732" s="17">
        <v>52.0</v>
      </c>
      <c r="E732" s="17" t="s">
        <v>1096</v>
      </c>
      <c r="G732" s="19"/>
      <c r="H732" s="20" t="s">
        <v>1097</v>
      </c>
      <c r="I732" s="17" t="s">
        <v>94</v>
      </c>
      <c r="J732" s="17">
        <v>0.0</v>
      </c>
      <c r="K732" s="17">
        <v>0.0</v>
      </c>
      <c r="L732" s="17">
        <v>0.0</v>
      </c>
      <c r="M732" s="17">
        <v>0.0</v>
      </c>
      <c r="N732" s="17">
        <v>0.0</v>
      </c>
      <c r="O732" s="17">
        <v>0.0</v>
      </c>
      <c r="P732" s="17">
        <v>0.0</v>
      </c>
      <c r="Q732" s="17">
        <v>0.0</v>
      </c>
      <c r="R732" s="17">
        <v>0.0</v>
      </c>
      <c r="S732" s="17">
        <v>0.0</v>
      </c>
      <c r="T732" s="17">
        <v>0.0</v>
      </c>
      <c r="U732" s="17">
        <v>0.0</v>
      </c>
    </row>
    <row r="733" ht="23.25" customHeight="1">
      <c r="A733" s="20" t="str">
        <f>IF(COUNTIF('Icon Lookup'!C:C,B733)&gt;0,LOOKUP(B733,'Icon Lookup'!C:C,'Icon Lookup'!B:B),"")</f>
        <v/>
      </c>
      <c r="B733" s="21" t="s">
        <v>1098</v>
      </c>
      <c r="C733" s="20" t="s">
        <v>17</v>
      </c>
      <c r="D733" s="20">
        <v>56.0</v>
      </c>
      <c r="E733" s="20" t="s">
        <v>91</v>
      </c>
      <c r="G733" s="22"/>
      <c r="H733" s="23" t="s">
        <v>1099</v>
      </c>
      <c r="I733" s="20" t="s">
        <v>156</v>
      </c>
      <c r="J733" s="20">
        <v>0.0</v>
      </c>
      <c r="K733" s="20">
        <v>0.0</v>
      </c>
      <c r="L733" s="20">
        <v>0.0</v>
      </c>
      <c r="M733" s="20">
        <v>0.0</v>
      </c>
      <c r="N733" s="20">
        <v>0.0</v>
      </c>
      <c r="O733" s="20">
        <v>0.0</v>
      </c>
      <c r="P733" s="20">
        <v>0.0</v>
      </c>
      <c r="Q733" s="20">
        <v>0.0</v>
      </c>
      <c r="R733" s="20">
        <v>0.0</v>
      </c>
      <c r="S733" s="20">
        <v>0.0</v>
      </c>
      <c r="T733" s="20">
        <v>0.0</v>
      </c>
      <c r="U733" s="20">
        <v>0.0</v>
      </c>
    </row>
    <row r="734" ht="23.25" customHeight="1">
      <c r="A734" s="1" t="str">
        <f>IF(COUNTIF('Icon Lookup'!C:C,B734)&gt;0,LOOKUP(B734,'Icon Lookup'!C:C,'Icon Lookup'!B:B),"")</f>
        <v/>
      </c>
      <c r="B734" s="15" t="s">
        <v>1100</v>
      </c>
      <c r="C734" s="1" t="s">
        <v>17</v>
      </c>
      <c r="D734" s="1" t="s">
        <v>1101</v>
      </c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ht="23.25" customHeight="1">
      <c r="A735" s="17" t="str">
        <f>IF(COUNTIF('Icon Lookup'!C:C,B735)&gt;0,LOOKUP(B735,'Icon Lookup'!C:C,'Icon Lookup'!B:B),"")</f>
        <v/>
      </c>
      <c r="B735" s="18" t="s">
        <v>756</v>
      </c>
      <c r="C735" s="17" t="s">
        <v>17</v>
      </c>
      <c r="D735" s="17">
        <v>33.0</v>
      </c>
      <c r="E735" s="17" t="s">
        <v>98</v>
      </c>
      <c r="G735" s="19"/>
      <c r="H735" s="20" t="s">
        <v>1102</v>
      </c>
      <c r="I735" s="17" t="s">
        <v>89</v>
      </c>
      <c r="J735" s="17">
        <v>0.0</v>
      </c>
      <c r="K735" s="17">
        <v>0.0</v>
      </c>
      <c r="L735" s="17">
        <v>0.0</v>
      </c>
      <c r="M735" s="17">
        <v>0.0</v>
      </c>
      <c r="N735" s="17">
        <v>0.0</v>
      </c>
      <c r="O735" s="17">
        <v>0.0</v>
      </c>
      <c r="P735" s="17">
        <v>0.0</v>
      </c>
      <c r="Q735" s="17">
        <v>0.0</v>
      </c>
      <c r="R735" s="17">
        <v>0.0</v>
      </c>
      <c r="S735" s="17">
        <v>0.0</v>
      </c>
      <c r="T735" s="17">
        <v>0.0</v>
      </c>
      <c r="U735" s="17">
        <v>0.0</v>
      </c>
    </row>
    <row r="736" ht="23.25" customHeight="1">
      <c r="A736" s="1" t="str">
        <f>IF(COUNTIF('Icon Lookup'!C:C,B736)&gt;0,LOOKUP(B736,'Icon Lookup'!C:C,'Icon Lookup'!B:B),"")</f>
        <v/>
      </c>
      <c r="B736" s="15" t="s">
        <v>1103</v>
      </c>
      <c r="C736" s="1" t="s">
        <v>17</v>
      </c>
      <c r="D736" s="1" t="s">
        <v>1104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ht="23.25" customHeight="1">
      <c r="A737" s="20" t="str">
        <f>IF(COUNTIF('Icon Lookup'!C:C,B737)&gt;0,LOOKUP(B737,'Icon Lookup'!C:C,'Icon Lookup'!B:B),"")</f>
        <v/>
      </c>
      <c r="B737" s="21" t="s">
        <v>65</v>
      </c>
      <c r="C737" s="20" t="s">
        <v>17</v>
      </c>
      <c r="D737" s="20">
        <v>19.0</v>
      </c>
      <c r="E737" s="20" t="s">
        <v>66</v>
      </c>
      <c r="G737" s="22"/>
      <c r="H737" s="23" t="s">
        <v>1105</v>
      </c>
      <c r="I737" s="20" t="s">
        <v>52</v>
      </c>
      <c r="J737" s="20">
        <v>0.0</v>
      </c>
      <c r="K737" s="20">
        <v>0.0</v>
      </c>
      <c r="L737" s="20">
        <v>0.0</v>
      </c>
      <c r="M737" s="20">
        <v>0.0</v>
      </c>
      <c r="N737" s="20">
        <v>0.0</v>
      </c>
      <c r="O737" s="20">
        <v>0.0</v>
      </c>
      <c r="P737" s="20">
        <v>0.0</v>
      </c>
      <c r="Q737" s="20">
        <v>0.0</v>
      </c>
      <c r="R737" s="20">
        <v>0.0</v>
      </c>
      <c r="S737" s="20">
        <v>0.0</v>
      </c>
      <c r="T737" s="20">
        <v>0.0</v>
      </c>
      <c r="U737" s="20">
        <v>0.0</v>
      </c>
    </row>
    <row r="738" ht="23.25" customHeight="1">
      <c r="A738" s="17" t="str">
        <f>IF(COUNTIF('Icon Lookup'!C:C,B738)&gt;0,LOOKUP(B738,'Icon Lookup'!C:C,'Icon Lookup'!B:B),"")</f>
        <v/>
      </c>
      <c r="B738" s="18" t="s">
        <v>810</v>
      </c>
      <c r="C738" s="17" t="s">
        <v>17</v>
      </c>
      <c r="D738" s="17">
        <v>19.0</v>
      </c>
      <c r="E738" s="17" t="str">
        <f>IMAGE("https://www.serebii.net/itemdex/sprites/miracleseed.png")</f>
        <v/>
      </c>
      <c r="F738" s="17" t="s">
        <v>1106</v>
      </c>
      <c r="G738" s="17" t="s">
        <v>1107</v>
      </c>
      <c r="H738" s="20" t="s">
        <v>1108</v>
      </c>
      <c r="I738" s="17" t="s">
        <v>89</v>
      </c>
      <c r="J738" s="17">
        <v>0.0</v>
      </c>
      <c r="K738" s="17">
        <v>0.0</v>
      </c>
      <c r="L738" s="17">
        <v>0.0</v>
      </c>
      <c r="M738" s="17">
        <v>0.0</v>
      </c>
      <c r="N738" s="17">
        <v>0.0</v>
      </c>
      <c r="O738" s="17">
        <v>0.0</v>
      </c>
      <c r="P738" s="17">
        <v>0.0</v>
      </c>
      <c r="Q738" s="17">
        <v>0.0</v>
      </c>
      <c r="R738" s="17">
        <v>0.0</v>
      </c>
      <c r="S738" s="17">
        <v>0.0</v>
      </c>
      <c r="T738" s="17">
        <v>0.0</v>
      </c>
      <c r="U738" s="17">
        <v>0.0</v>
      </c>
    </row>
    <row r="739" ht="23.25" customHeight="1">
      <c r="A739" s="24" t="str">
        <f>IF(COUNTIF('Icon Lookup'!C:C,B739)&gt;0,LOOKUP(B739,'Icon Lookup'!C:C,'Icon Lookup'!B:B),"")</f>
        <v/>
      </c>
      <c r="B739" s="25" t="s">
        <v>906</v>
      </c>
      <c r="C739" s="24" t="s">
        <v>804</v>
      </c>
      <c r="D739" s="24">
        <v>22.0</v>
      </c>
      <c r="E739" s="24" t="str">
        <f>IMAGE("https://www.serebii.net/itemdex/sprites/sitrusberry.png")</f>
        <v/>
      </c>
      <c r="F739" s="24" t="s">
        <v>1109</v>
      </c>
      <c r="G739" s="20" t="s">
        <v>824</v>
      </c>
      <c r="H739" s="23" t="s">
        <v>1110</v>
      </c>
      <c r="I739" s="24" t="s">
        <v>52</v>
      </c>
      <c r="J739" s="24">
        <v>0.0</v>
      </c>
      <c r="K739" s="24">
        <v>36.0</v>
      </c>
      <c r="L739" s="24">
        <v>0.0</v>
      </c>
      <c r="M739" s="24">
        <v>36.0</v>
      </c>
      <c r="N739" s="24">
        <v>0.0</v>
      </c>
      <c r="O739" s="24">
        <v>36.0</v>
      </c>
      <c r="P739" s="24">
        <v>0.0</v>
      </c>
      <c r="Q739" s="24">
        <v>15.0</v>
      </c>
      <c r="R739" s="24">
        <v>0.0</v>
      </c>
      <c r="S739" s="24">
        <v>15.0</v>
      </c>
      <c r="T739" s="24">
        <v>0.0</v>
      </c>
      <c r="U739" s="24">
        <v>15.0</v>
      </c>
    </row>
    <row r="740" ht="23.25" customHeight="1">
      <c r="A740" s="1" t="str">
        <f>IF(COUNTIF('Icon Lookup'!C:C,B740)&gt;0,LOOKUP(B740,'Icon Lookup'!C:C,'Icon Lookup'!B:B),"")</f>
        <v/>
      </c>
      <c r="B740" s="15" t="s">
        <v>1111</v>
      </c>
      <c r="C740" s="1" t="s">
        <v>17</v>
      </c>
      <c r="D740" s="1" t="s">
        <v>1112</v>
      </c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ht="23.25" customHeight="1">
      <c r="A741" s="17" t="str">
        <f>IF(COUNTIF('Icon Lookup'!C:C,B741)&gt;0,LOOKUP(B741,'Icon Lookup'!C:C,'Icon Lookup'!B:B),"")</f>
        <v/>
      </c>
      <c r="B741" s="18" t="s">
        <v>190</v>
      </c>
      <c r="C741" s="17" t="s">
        <v>17</v>
      </c>
      <c r="D741" s="17">
        <v>27.0</v>
      </c>
      <c r="E741" s="17" t="str">
        <f>IMAGE("https://www.serebii.net/itemdex/sprites/widelens.png")</f>
        <v/>
      </c>
      <c r="F741" s="17" t="s">
        <v>26</v>
      </c>
      <c r="G741" s="17" t="s">
        <v>870</v>
      </c>
      <c r="H741" s="20" t="s">
        <v>1113</v>
      </c>
      <c r="I741" s="17" t="s">
        <v>22</v>
      </c>
      <c r="J741" s="17">
        <v>40.0</v>
      </c>
      <c r="K741" s="17">
        <v>56.0</v>
      </c>
      <c r="L741" s="17">
        <v>0.0</v>
      </c>
      <c r="M741" s="17">
        <v>0.0</v>
      </c>
      <c r="N741" s="17">
        <v>0.0</v>
      </c>
      <c r="O741" s="17">
        <v>40.0</v>
      </c>
      <c r="P741" s="17">
        <v>16.0</v>
      </c>
      <c r="Q741" s="17">
        <v>16.0</v>
      </c>
      <c r="R741" s="17">
        <v>0.0</v>
      </c>
      <c r="S741" s="17">
        <v>0.0</v>
      </c>
      <c r="T741" s="17">
        <v>0.0</v>
      </c>
      <c r="U741" s="17">
        <v>16.0</v>
      </c>
    </row>
    <row r="742" ht="23.25" customHeight="1">
      <c r="A742" s="20" t="str">
        <f>IF(COUNTIF('Icon Lookup'!C:C,B742)&gt;0,LOOKUP(B742,'Icon Lookup'!C:C,'Icon Lookup'!B:B),"")</f>
        <v/>
      </c>
      <c r="B742" s="21" t="s">
        <v>643</v>
      </c>
      <c r="C742" s="20" t="s">
        <v>17</v>
      </c>
      <c r="D742" s="20">
        <v>27.0</v>
      </c>
      <c r="E742" s="20" t="str">
        <f>IMAGE("https://www.serebii.net/itemdex/sprites/damprock.png")</f>
        <v/>
      </c>
      <c r="F742" s="20" t="s">
        <v>399</v>
      </c>
      <c r="G742" s="20" t="s">
        <v>1114</v>
      </c>
      <c r="H742" s="23" t="s">
        <v>1115</v>
      </c>
      <c r="I742" s="20" t="s">
        <v>905</v>
      </c>
      <c r="J742" s="20">
        <v>40.0</v>
      </c>
      <c r="K742" s="20">
        <v>40.0</v>
      </c>
      <c r="L742" s="20">
        <v>4.0</v>
      </c>
      <c r="M742" s="20">
        <v>56.0</v>
      </c>
      <c r="N742" s="20">
        <v>4.0</v>
      </c>
      <c r="O742" s="20">
        <v>0.0</v>
      </c>
      <c r="P742" s="20">
        <v>16.0</v>
      </c>
      <c r="Q742" s="20">
        <v>16.0</v>
      </c>
      <c r="R742" s="20">
        <v>5.0</v>
      </c>
      <c r="S742" s="20">
        <v>16.0</v>
      </c>
      <c r="T742" s="20">
        <v>5.0</v>
      </c>
      <c r="U742" s="20">
        <v>0.0</v>
      </c>
    </row>
    <row r="743" ht="23.25" customHeight="1">
      <c r="A743" s="24" t="str">
        <f>IF(COUNTIF('Icon Lookup'!C:C,B743)&gt;0,LOOKUP(B743,'Icon Lookup'!C:C,'Icon Lookup'!B:B),"")</f>
        <v/>
      </c>
      <c r="B743" s="25" t="s">
        <v>921</v>
      </c>
      <c r="C743" s="24" t="s">
        <v>804</v>
      </c>
      <c r="D743" s="24">
        <v>30.0</v>
      </c>
      <c r="E743" s="24" t="str">
        <f>IMAGE("https://www.serebii.net/itemdex/sprites/sitrusberry.png")</f>
        <v/>
      </c>
      <c r="F743" s="24" t="s">
        <v>44</v>
      </c>
      <c r="G743" s="17" t="s">
        <v>824</v>
      </c>
      <c r="H743" s="20" t="s">
        <v>1116</v>
      </c>
      <c r="I743" s="24" t="s">
        <v>550</v>
      </c>
      <c r="J743" s="24">
        <v>0.0</v>
      </c>
      <c r="K743" s="24">
        <v>84.0</v>
      </c>
      <c r="L743" s="24">
        <v>0.0</v>
      </c>
      <c r="M743" s="24">
        <v>20.0</v>
      </c>
      <c r="N743" s="24">
        <v>0.0</v>
      </c>
      <c r="O743" s="24">
        <v>84.0</v>
      </c>
      <c r="P743" s="24">
        <v>0.0</v>
      </c>
      <c r="Q743" s="24">
        <v>17.0</v>
      </c>
      <c r="R743" s="24">
        <v>0.0</v>
      </c>
      <c r="S743" s="24">
        <v>17.0</v>
      </c>
      <c r="T743" s="24">
        <v>0.0</v>
      </c>
      <c r="U743" s="24">
        <v>17.0</v>
      </c>
    </row>
    <row r="744" ht="23.25" customHeight="1">
      <c r="A744" s="1" t="str">
        <f>IF(COUNTIF('Icon Lookup'!C:C,B744)&gt;0,LOOKUP(B744,'Icon Lookup'!C:C,'Icon Lookup'!B:B),"")</f>
        <v/>
      </c>
      <c r="B744" s="15" t="s">
        <v>1117</v>
      </c>
      <c r="C744" s="1" t="s">
        <v>17</v>
      </c>
      <c r="D744" s="1" t="s">
        <v>1118</v>
      </c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ht="23.25" customHeight="1">
      <c r="A745" s="20" t="str">
        <f>IF(COUNTIF('Icon Lookup'!C:C,B745)&gt;0,LOOKUP(B745,'Icon Lookup'!C:C,'Icon Lookup'!B:B),"")</f>
        <v/>
      </c>
      <c r="B745" s="21" t="s">
        <v>165</v>
      </c>
      <c r="C745" s="20" t="s">
        <v>17</v>
      </c>
      <c r="D745" s="20">
        <v>27.0</v>
      </c>
      <c r="E745" s="20" t="str">
        <f>IMAGE("https://www.serebii.net/itemdex/sprites/lightclay.png")</f>
        <v/>
      </c>
      <c r="F745" s="20" t="s">
        <v>166</v>
      </c>
      <c r="G745" s="20" t="s">
        <v>885</v>
      </c>
      <c r="H745" s="23" t="s">
        <v>1119</v>
      </c>
      <c r="I745" s="20" t="s">
        <v>46</v>
      </c>
      <c r="J745" s="20">
        <v>36.0</v>
      </c>
      <c r="K745" s="20">
        <v>52.0</v>
      </c>
      <c r="L745" s="20">
        <v>0.0</v>
      </c>
      <c r="M745" s="20">
        <v>0.0</v>
      </c>
      <c r="N745" s="20">
        <v>0.0</v>
      </c>
      <c r="O745" s="20">
        <v>36.0</v>
      </c>
      <c r="P745" s="20">
        <v>15.0</v>
      </c>
      <c r="Q745" s="20">
        <v>15.0</v>
      </c>
      <c r="R745" s="20">
        <v>0.0</v>
      </c>
      <c r="S745" s="20">
        <v>0.0</v>
      </c>
      <c r="T745" s="20">
        <v>0.0</v>
      </c>
      <c r="U745" s="20">
        <v>15.0</v>
      </c>
    </row>
    <row r="746" ht="23.25" customHeight="1">
      <c r="A746" s="17" t="str">
        <f>IF(COUNTIF('Icon Lookup'!C:C,B746)&gt;0,LOOKUP(B746,'Icon Lookup'!C:C,'Icon Lookup'!B:B),"")</f>
        <v/>
      </c>
      <c r="B746" s="18" t="s">
        <v>275</v>
      </c>
      <c r="C746" s="17" t="s">
        <v>17</v>
      </c>
      <c r="D746" s="17">
        <v>27.0</v>
      </c>
      <c r="E746" s="17" t="str">
        <f>IMAGE("https://www.serebii.net/itemdex/sprites/expertbelt.png")</f>
        <v/>
      </c>
      <c r="F746" s="17" t="s">
        <v>276</v>
      </c>
      <c r="G746" s="17" t="s">
        <v>907</v>
      </c>
      <c r="H746" s="20" t="s">
        <v>1120</v>
      </c>
      <c r="I746" s="17" t="s">
        <v>550</v>
      </c>
      <c r="J746" s="17">
        <v>36.0</v>
      </c>
      <c r="K746" s="17">
        <v>52.0</v>
      </c>
      <c r="L746" s="17">
        <v>0.0</v>
      </c>
      <c r="M746" s="17">
        <v>0.0</v>
      </c>
      <c r="N746" s="17">
        <v>0.0</v>
      </c>
      <c r="O746" s="17">
        <v>36.0</v>
      </c>
      <c r="P746" s="17">
        <v>15.0</v>
      </c>
      <c r="Q746" s="17">
        <v>15.0</v>
      </c>
      <c r="R746" s="17">
        <v>0.0</v>
      </c>
      <c r="S746" s="17">
        <v>0.0</v>
      </c>
      <c r="T746" s="17">
        <v>0.0</v>
      </c>
      <c r="U746" s="17">
        <v>15.0</v>
      </c>
    </row>
    <row r="747" ht="23.25" customHeight="1">
      <c r="A747" s="24" t="str">
        <f>IF(COUNTIF('Icon Lookup'!C:C,B747)&gt;0,LOOKUP(B747,'Icon Lookup'!C:C,'Icon Lookup'!B:B),"")</f>
        <v/>
      </c>
      <c r="B747" s="25" t="s">
        <v>910</v>
      </c>
      <c r="C747" s="24" t="s">
        <v>804</v>
      </c>
      <c r="D747" s="24">
        <v>30.0</v>
      </c>
      <c r="E747" s="24" t="str">
        <f>IMAGE("https://www.serebii.net/itemdex/sprites/bigroot.png")</f>
        <v/>
      </c>
      <c r="F747" s="24" t="s">
        <v>1121</v>
      </c>
      <c r="G747" s="20" t="s">
        <v>1122</v>
      </c>
      <c r="H747" s="23" t="s">
        <v>1123</v>
      </c>
      <c r="I747" s="24" t="s">
        <v>550</v>
      </c>
      <c r="J747" s="24">
        <v>0.0</v>
      </c>
      <c r="K747" s="24">
        <v>68.0</v>
      </c>
      <c r="L747" s="24">
        <v>68.0</v>
      </c>
      <c r="M747" s="24">
        <v>0.0</v>
      </c>
      <c r="N747" s="24">
        <v>0.0</v>
      </c>
      <c r="O747" s="24">
        <v>68.0</v>
      </c>
      <c r="P747" s="24">
        <v>0.0</v>
      </c>
      <c r="Q747" s="24">
        <v>15.0</v>
      </c>
      <c r="R747" s="24">
        <v>15.0</v>
      </c>
      <c r="S747" s="24">
        <v>0.0</v>
      </c>
      <c r="T747" s="24">
        <v>0.0</v>
      </c>
      <c r="U747" s="24">
        <v>15.0</v>
      </c>
    </row>
    <row r="748" ht="23.25" customHeight="1">
      <c r="A748" s="1" t="str">
        <f>IF(COUNTIF('Icon Lookup'!C:C,B748)&gt;0,LOOKUP(B748,'Icon Lookup'!C:C,'Icon Lookup'!B:B),"")</f>
        <v/>
      </c>
      <c r="B748" s="15" t="s">
        <v>1124</v>
      </c>
      <c r="C748" s="1" t="s">
        <v>17</v>
      </c>
      <c r="D748" s="1" t="s">
        <v>1125</v>
      </c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ht="23.25" customHeight="1">
      <c r="A749" s="17" t="str">
        <f>IF(COUNTIF('Icon Lookup'!C:C,B749)&gt;0,LOOKUP(B749,'Icon Lookup'!C:C,'Icon Lookup'!B:B),"")</f>
        <v/>
      </c>
      <c r="B749" s="18" t="s">
        <v>875</v>
      </c>
      <c r="C749" s="17" t="s">
        <v>17</v>
      </c>
      <c r="D749" s="17">
        <v>32.0</v>
      </c>
      <c r="E749" s="17" t="str">
        <f>IMAGE("https://www.serebii.net/itemdex/sprites/zoomlens.png")</f>
        <v/>
      </c>
      <c r="F749" s="17" t="s">
        <v>1126</v>
      </c>
      <c r="G749" s="17" t="s">
        <v>1127</v>
      </c>
      <c r="H749" s="20" t="s">
        <v>1128</v>
      </c>
      <c r="I749" s="17" t="s">
        <v>52</v>
      </c>
      <c r="J749" s="17">
        <v>52.0</v>
      </c>
      <c r="K749" s="17">
        <v>0.0</v>
      </c>
      <c r="L749" s="17">
        <v>4.0</v>
      </c>
      <c r="M749" s="17">
        <v>68.0</v>
      </c>
      <c r="N749" s="17">
        <v>4.0</v>
      </c>
      <c r="O749" s="17">
        <v>52.0</v>
      </c>
      <c r="P749" s="17">
        <v>19.0</v>
      </c>
      <c r="Q749" s="17">
        <v>0.0</v>
      </c>
      <c r="R749" s="17">
        <v>5.0</v>
      </c>
      <c r="S749" s="17">
        <v>19.0</v>
      </c>
      <c r="T749" s="17">
        <v>5.0</v>
      </c>
      <c r="U749" s="17">
        <v>19.0</v>
      </c>
    </row>
    <row r="750" ht="23.25" customHeight="1">
      <c r="A750" s="20" t="str">
        <f>IF(COUNTIF('Icon Lookup'!C:C,B750)&gt;0,LOOKUP(B750,'Icon Lookup'!C:C,'Icon Lookup'!B:B),"")</f>
        <v/>
      </c>
      <c r="B750" s="21" t="s">
        <v>767</v>
      </c>
      <c r="C750" s="20" t="s">
        <v>17</v>
      </c>
      <c r="D750" s="20">
        <v>34.0</v>
      </c>
      <c r="E750" s="20" t="str">
        <f>IMAGE("https://www.serebii.net/itemdex/sprites/colburberry.png")</f>
        <v/>
      </c>
      <c r="F750" s="20" t="s">
        <v>768</v>
      </c>
      <c r="G750" s="20" t="s">
        <v>1129</v>
      </c>
      <c r="H750" s="23" t="s">
        <v>1130</v>
      </c>
      <c r="I750" s="20" t="s">
        <v>52</v>
      </c>
      <c r="J750" s="20">
        <v>52.0</v>
      </c>
      <c r="K750" s="20">
        <v>0.0</v>
      </c>
      <c r="L750" s="20">
        <v>4.0</v>
      </c>
      <c r="M750" s="20">
        <v>76.0</v>
      </c>
      <c r="N750" s="20">
        <v>4.0</v>
      </c>
      <c r="O750" s="20">
        <v>68.0</v>
      </c>
      <c r="P750" s="20">
        <v>19.0</v>
      </c>
      <c r="Q750" s="20">
        <v>0.0</v>
      </c>
      <c r="R750" s="20">
        <v>5.0</v>
      </c>
      <c r="S750" s="20">
        <v>19.0</v>
      </c>
      <c r="T750" s="20">
        <v>5.0</v>
      </c>
      <c r="U750" s="20">
        <v>19.0</v>
      </c>
    </row>
    <row r="751" ht="23.25" customHeight="1">
      <c r="A751" s="24" t="str">
        <f>IF(COUNTIF('Icon Lookup'!C:C,B751)&gt;0,LOOKUP(B751,'Icon Lookup'!C:C,'Icon Lookup'!B:B),"")</f>
        <v/>
      </c>
      <c r="B751" s="25" t="s">
        <v>1131</v>
      </c>
      <c r="C751" s="24" t="s">
        <v>804</v>
      </c>
      <c r="D751" s="24">
        <v>36.0</v>
      </c>
      <c r="E751" s="24" t="str">
        <f>IMAGE("https://www.serebii.net/itemdex/sprites/expertbelt.png")</f>
        <v/>
      </c>
      <c r="F751" s="24" t="s">
        <v>161</v>
      </c>
      <c r="G751" s="17" t="s">
        <v>907</v>
      </c>
      <c r="H751" s="20" t="s">
        <v>1132</v>
      </c>
      <c r="I751" s="24" t="s">
        <v>52</v>
      </c>
      <c r="J751" s="24">
        <v>44.0</v>
      </c>
      <c r="K751" s="24">
        <v>0.0</v>
      </c>
      <c r="L751" s="24">
        <v>4.0</v>
      </c>
      <c r="M751" s="24">
        <v>92.0</v>
      </c>
      <c r="N751" s="24">
        <v>4.0</v>
      </c>
      <c r="O751" s="24">
        <v>68.0</v>
      </c>
      <c r="P751" s="24">
        <v>19.0</v>
      </c>
      <c r="Q751" s="24">
        <v>0.0</v>
      </c>
      <c r="R751" s="24">
        <v>5.0</v>
      </c>
      <c r="S751" s="24">
        <v>19.0</v>
      </c>
      <c r="T751" s="24">
        <v>5.0</v>
      </c>
      <c r="U751" s="24">
        <v>19.0</v>
      </c>
    </row>
    <row r="752" ht="23.25" customHeight="1">
      <c r="A752" s="1" t="str">
        <f>IF(COUNTIF('Icon Lookup'!C:C,B752)&gt;0,LOOKUP(B752,'Icon Lookup'!C:C,'Icon Lookup'!B:B),"")</f>
        <v/>
      </c>
      <c r="B752" s="15" t="s">
        <v>1133</v>
      </c>
      <c r="C752" s="1" t="s">
        <v>17</v>
      </c>
      <c r="D752" s="1" t="s">
        <v>1134</v>
      </c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ht="23.25" customHeight="1">
      <c r="A753" s="20" t="str">
        <f>IF(COUNTIF('Icon Lookup'!C:C,B753)&gt;0,LOOKUP(B753,'Icon Lookup'!C:C,'Icon Lookup'!B:B),"")</f>
        <v/>
      </c>
      <c r="B753" s="21" t="s">
        <v>494</v>
      </c>
      <c r="C753" s="20" t="s">
        <v>17</v>
      </c>
      <c r="D753" s="20">
        <v>38.0</v>
      </c>
      <c r="E753" s="20" t="str">
        <f>IMAGE("https://www.serebii.net/itemdex/sprites/icyrock.png")</f>
        <v/>
      </c>
      <c r="F753" s="20" t="s">
        <v>495</v>
      </c>
      <c r="G753" s="20" t="s">
        <v>1135</v>
      </c>
      <c r="H753" s="23" t="s">
        <v>1136</v>
      </c>
      <c r="I753" s="20" t="s">
        <v>89</v>
      </c>
      <c r="J753" s="20">
        <v>60.0</v>
      </c>
      <c r="K753" s="20">
        <v>124.0</v>
      </c>
      <c r="L753" s="20">
        <v>0.0</v>
      </c>
      <c r="M753" s="20">
        <v>124.0</v>
      </c>
      <c r="N753" s="20">
        <v>0.0</v>
      </c>
      <c r="O753" s="20">
        <v>0.0</v>
      </c>
      <c r="P753" s="20">
        <v>19.0</v>
      </c>
      <c r="Q753" s="20">
        <v>25.0</v>
      </c>
      <c r="R753" s="20">
        <v>0.0</v>
      </c>
      <c r="S753" s="20">
        <v>25.0</v>
      </c>
      <c r="T753" s="20">
        <v>0.0</v>
      </c>
      <c r="U753" s="20">
        <v>0.0</v>
      </c>
    </row>
    <row r="754" ht="23.25" customHeight="1">
      <c r="A754" s="17" t="str">
        <f>IF(COUNTIF('Icon Lookup'!C:C,B754)&gt;0,LOOKUP(B754,'Icon Lookup'!C:C,'Icon Lookup'!B:B),"")</f>
        <v/>
      </c>
      <c r="B754" s="18" t="s">
        <v>478</v>
      </c>
      <c r="C754" s="17" t="s">
        <v>17</v>
      </c>
      <c r="D754" s="17">
        <v>38.0</v>
      </c>
      <c r="E754" s="17" t="str">
        <f>IMAGE("https://www.serebii.net/itemdex/sprites/chopleberry.png")</f>
        <v/>
      </c>
      <c r="F754" s="17" t="s">
        <v>1137</v>
      </c>
      <c r="G754" s="17" t="s">
        <v>1138</v>
      </c>
      <c r="H754" s="20" t="s">
        <v>1139</v>
      </c>
      <c r="I754" s="17" t="s">
        <v>22</v>
      </c>
      <c r="J754" s="17">
        <v>64.0</v>
      </c>
      <c r="K754" s="17">
        <v>124.0</v>
      </c>
      <c r="L754" s="17">
        <v>0.0</v>
      </c>
      <c r="M754" s="17">
        <v>0.0</v>
      </c>
      <c r="N754" s="17">
        <v>0.0</v>
      </c>
      <c r="O754" s="17">
        <v>124.0</v>
      </c>
      <c r="P754" s="17">
        <v>10.0</v>
      </c>
      <c r="Q754" s="17">
        <v>25.0</v>
      </c>
      <c r="R754" s="17">
        <v>10.0</v>
      </c>
      <c r="S754" s="17">
        <v>0.0</v>
      </c>
      <c r="T754" s="17">
        <v>0.0</v>
      </c>
      <c r="U754" s="17">
        <v>25.0</v>
      </c>
    </row>
    <row r="755" ht="23.25" customHeight="1">
      <c r="A755" s="20" t="str">
        <f>IF(COUNTIF('Icon Lookup'!C:C,B755)&gt;0,LOOKUP(B755,'Icon Lookup'!C:C,'Icon Lookup'!B:B),"")</f>
        <v/>
      </c>
      <c r="B755" s="21" t="s">
        <v>582</v>
      </c>
      <c r="C755" s="20" t="s">
        <v>17</v>
      </c>
      <c r="D755" s="20">
        <v>40.0</v>
      </c>
      <c r="E755" s="20" t="str">
        <f>IMAGE("https://www.serebii.net/itemdex/sprites/expertbelt.png")</f>
        <v/>
      </c>
      <c r="F755" s="20" t="s">
        <v>166</v>
      </c>
      <c r="G755" s="20" t="s">
        <v>907</v>
      </c>
      <c r="H755" s="23" t="s">
        <v>1140</v>
      </c>
      <c r="I755" s="20" t="s">
        <v>22</v>
      </c>
      <c r="J755" s="20">
        <v>64.0</v>
      </c>
      <c r="K755" s="20">
        <v>124.0</v>
      </c>
      <c r="L755" s="20">
        <v>0.0</v>
      </c>
      <c r="M755" s="20">
        <v>0.0</v>
      </c>
      <c r="N755" s="20">
        <v>0.0</v>
      </c>
      <c r="O755" s="20">
        <v>124.0</v>
      </c>
      <c r="P755" s="20">
        <v>10.0</v>
      </c>
      <c r="Q755" s="20">
        <v>25.0</v>
      </c>
      <c r="R755" s="20">
        <v>0.0</v>
      </c>
      <c r="S755" s="20">
        <v>0.0</v>
      </c>
      <c r="T755" s="20">
        <v>0.0</v>
      </c>
      <c r="U755" s="20">
        <v>25.0</v>
      </c>
    </row>
    <row r="756" ht="23.25" customHeight="1">
      <c r="A756" s="24" t="str">
        <f>IF(COUNTIF('Icon Lookup'!C:C,B756)&gt;0,LOOKUP(B756,'Icon Lookup'!C:C,'Icon Lookup'!B:B),"")</f>
        <v/>
      </c>
      <c r="B756" s="25" t="s">
        <v>1141</v>
      </c>
      <c r="C756" s="24" t="s">
        <v>804</v>
      </c>
      <c r="D756" s="24">
        <v>42.0</v>
      </c>
      <c r="E756" s="24" t="str">
        <f>IMAGE("https://www.serebii.net/itemdex/sprites/sitrusberry.png")</f>
        <v/>
      </c>
      <c r="F756" s="24" t="s">
        <v>495</v>
      </c>
      <c r="G756" s="17" t="s">
        <v>824</v>
      </c>
      <c r="H756" s="20" t="s">
        <v>1142</v>
      </c>
      <c r="I756" s="24" t="s">
        <v>905</v>
      </c>
      <c r="J756" s="24">
        <v>124.0</v>
      </c>
      <c r="K756" s="24">
        <v>60.0</v>
      </c>
      <c r="L756" s="24">
        <v>0.0</v>
      </c>
      <c r="M756" s="24">
        <v>164.0</v>
      </c>
      <c r="N756" s="24">
        <v>0.0</v>
      </c>
      <c r="O756" s="24">
        <v>0.0</v>
      </c>
      <c r="P756" s="24">
        <v>13.0</v>
      </c>
      <c r="Q756" s="24">
        <v>25.0</v>
      </c>
      <c r="R756" s="24">
        <v>10.0</v>
      </c>
      <c r="S756" s="24">
        <v>27.0</v>
      </c>
      <c r="T756" s="24">
        <v>10.0</v>
      </c>
      <c r="U756" s="24">
        <v>0.0</v>
      </c>
    </row>
    <row r="757" ht="23.25" customHeight="1">
      <c r="A757" s="1" t="str">
        <f>IF(COUNTIF('Icon Lookup'!C:C,B757)&gt;0,LOOKUP(B757,'Icon Lookup'!C:C,'Icon Lookup'!B:B),"")</f>
        <v/>
      </c>
      <c r="B757" s="15" t="s">
        <v>1143</v>
      </c>
      <c r="C757" s="1" t="s">
        <v>17</v>
      </c>
      <c r="D757" s="1" t="s">
        <v>1144</v>
      </c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ht="23.25" customHeight="1">
      <c r="A758" s="20" t="str">
        <f>IF(COUNTIF('Icon Lookup'!C:C,B758)&gt;0,LOOKUP(B758,'Icon Lookup'!C:C,'Icon Lookup'!B:B),"")</f>
        <v/>
      </c>
      <c r="B758" s="21" t="s">
        <v>311</v>
      </c>
      <c r="C758" s="20" t="s">
        <v>17</v>
      </c>
      <c r="D758" s="20">
        <v>46.0</v>
      </c>
      <c r="E758" s="20" t="str">
        <f>IMAGE("https://www.serebii.net/itemdex/sprites/shucaberry.png")</f>
        <v/>
      </c>
      <c r="F758" s="20" t="s">
        <v>137</v>
      </c>
      <c r="G758" s="20" t="s">
        <v>1145</v>
      </c>
      <c r="H758" s="23" t="s">
        <v>1146</v>
      </c>
      <c r="I758" s="20" t="s">
        <v>52</v>
      </c>
      <c r="J758" s="20">
        <v>12.0</v>
      </c>
      <c r="K758" s="20">
        <v>0.0</v>
      </c>
      <c r="L758" s="20">
        <v>12.0</v>
      </c>
      <c r="M758" s="20">
        <v>160.0</v>
      </c>
      <c r="N758" s="20">
        <v>12.0</v>
      </c>
      <c r="O758" s="20">
        <v>160.0</v>
      </c>
      <c r="P758" s="20">
        <v>11.0</v>
      </c>
      <c r="Q758" s="20">
        <v>0.0</v>
      </c>
      <c r="R758" s="20">
        <v>11.0</v>
      </c>
      <c r="S758" s="20">
        <v>28.0</v>
      </c>
      <c r="T758" s="20">
        <v>11.0</v>
      </c>
      <c r="U758" s="20">
        <v>28.0</v>
      </c>
    </row>
    <row r="759" ht="23.25" customHeight="1">
      <c r="A759" s="17" t="str">
        <f>IF(COUNTIF('Icon Lookup'!C:C,B759)&gt;0,LOOKUP(B759,'Icon Lookup'!C:C,'Icon Lookup'!B:B),"")</f>
        <v/>
      </c>
      <c r="B759" s="18" t="s">
        <v>471</v>
      </c>
      <c r="C759" s="17" t="s">
        <v>17</v>
      </c>
      <c r="D759" s="17">
        <v>47.0</v>
      </c>
      <c r="E759" s="17" t="str">
        <f>IMAGE("https://www.serebii.net/itemdex/sprites/chopleberry.png")</f>
        <v/>
      </c>
      <c r="F759" s="17" t="s">
        <v>1109</v>
      </c>
      <c r="G759" s="17" t="s">
        <v>1138</v>
      </c>
      <c r="H759" s="20" t="s">
        <v>1147</v>
      </c>
      <c r="I759" s="17" t="s">
        <v>46</v>
      </c>
      <c r="J759" s="17">
        <v>12.0</v>
      </c>
      <c r="K759" s="17">
        <v>80.0</v>
      </c>
      <c r="L759" s="17">
        <v>12.0</v>
      </c>
      <c r="M759" s="17">
        <v>80.0</v>
      </c>
      <c r="N759" s="17">
        <v>12.0</v>
      </c>
      <c r="O759" s="17">
        <v>160.0</v>
      </c>
      <c r="P759" s="17">
        <v>11.0</v>
      </c>
      <c r="Q759" s="17">
        <v>20.0</v>
      </c>
      <c r="R759" s="17">
        <v>11.0</v>
      </c>
      <c r="S759" s="17">
        <v>20.0</v>
      </c>
      <c r="T759" s="17">
        <v>11.0</v>
      </c>
      <c r="U759" s="17">
        <v>28.0</v>
      </c>
    </row>
    <row r="760" ht="23.25" customHeight="1">
      <c r="A760" s="20" t="str">
        <f>IF(COUNTIF('Icon Lookup'!C:C,B760)&gt;0,LOOKUP(B760,'Icon Lookup'!C:C,'Icon Lookup'!B:B),"")</f>
        <v/>
      </c>
      <c r="B760" s="21" t="s">
        <v>1148</v>
      </c>
      <c r="C760" s="20" t="s">
        <v>17</v>
      </c>
      <c r="D760" s="20">
        <v>47.0</v>
      </c>
      <c r="E760" s="20" t="str">
        <f>IMAGE("https://www.serebii.net/itemdex/sprites/expertbelt.png")</f>
        <v/>
      </c>
      <c r="F760" s="20" t="s">
        <v>557</v>
      </c>
      <c r="G760" s="20" t="s">
        <v>907</v>
      </c>
      <c r="H760" s="23" t="s">
        <v>1149</v>
      </c>
      <c r="I760" s="20" t="s">
        <v>612</v>
      </c>
      <c r="J760" s="20">
        <v>12.0</v>
      </c>
      <c r="K760" s="20">
        <v>0.0</v>
      </c>
      <c r="L760" s="20">
        <v>12.0</v>
      </c>
      <c r="M760" s="20">
        <v>160.0</v>
      </c>
      <c r="N760" s="20">
        <v>12.0</v>
      </c>
      <c r="O760" s="20">
        <v>160.0</v>
      </c>
      <c r="P760" s="20">
        <v>11.0</v>
      </c>
      <c r="Q760" s="20">
        <v>0.0</v>
      </c>
      <c r="R760" s="20">
        <v>11.0</v>
      </c>
      <c r="S760" s="20">
        <v>28.0</v>
      </c>
      <c r="T760" s="20">
        <v>11.0</v>
      </c>
      <c r="U760" s="20">
        <v>28.0</v>
      </c>
    </row>
    <row r="761" ht="23.25" customHeight="1">
      <c r="A761" s="24" t="str">
        <f>IF(COUNTIF('Icon Lookup'!C:C,B761)&gt;0,LOOKUP(B761,'Icon Lookup'!C:C,'Icon Lookup'!B:B),"")</f>
        <v/>
      </c>
      <c r="B761" s="25" t="s">
        <v>1150</v>
      </c>
      <c r="C761" s="24" t="s">
        <v>804</v>
      </c>
      <c r="D761" s="24">
        <v>49.0</v>
      </c>
      <c r="E761" s="24" t="str">
        <f>IMAGE("https://www.serebii.net/itemdex/sprites/sitrusberry.png")</f>
        <v/>
      </c>
      <c r="F761" s="24" t="s">
        <v>26</v>
      </c>
      <c r="G761" s="17" t="s">
        <v>824</v>
      </c>
      <c r="H761" s="20" t="s">
        <v>1151</v>
      </c>
      <c r="I761" s="24" t="s">
        <v>22</v>
      </c>
      <c r="J761" s="24">
        <v>28.0</v>
      </c>
      <c r="K761" s="24">
        <v>160.0</v>
      </c>
      <c r="L761" s="24">
        <v>28.0</v>
      </c>
      <c r="M761" s="24">
        <v>0.0</v>
      </c>
      <c r="N761" s="24">
        <v>0.0</v>
      </c>
      <c r="O761" s="24">
        <v>200.0</v>
      </c>
      <c r="P761" s="24">
        <v>15.0</v>
      </c>
      <c r="Q761" s="24">
        <v>28.0</v>
      </c>
      <c r="R761" s="24">
        <v>15.0</v>
      </c>
      <c r="S761" s="24">
        <v>0.0</v>
      </c>
      <c r="T761" s="24">
        <v>0.0</v>
      </c>
      <c r="U761" s="24">
        <v>30.0</v>
      </c>
    </row>
    <row r="762" ht="23.25" customHeight="1">
      <c r="A762" s="1" t="str">
        <f>IF(COUNTIF('Icon Lookup'!C:C,B762)&gt;0,LOOKUP(B762,'Icon Lookup'!C:C,'Icon Lookup'!B:B),"")</f>
        <v/>
      </c>
      <c r="B762" s="15" t="s">
        <v>1152</v>
      </c>
      <c r="C762" s="1" t="s">
        <v>17</v>
      </c>
      <c r="D762" s="1" t="s">
        <v>1153</v>
      </c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ht="23.25" customHeight="1">
      <c r="A763" s="20" t="str">
        <f>IF(COUNTIF('Icon Lookup'!C:C,B763)&gt;0,LOOKUP(B763,'Icon Lookup'!C:C,'Icon Lookup'!B:B),"")</f>
        <v/>
      </c>
      <c r="B763" s="21" t="s">
        <v>19</v>
      </c>
      <c r="C763" s="20" t="s">
        <v>17</v>
      </c>
      <c r="D763" s="20">
        <v>5.0</v>
      </c>
      <c r="E763" s="20" t="s">
        <v>20</v>
      </c>
      <c r="G763" s="22"/>
      <c r="H763" s="23" t="s">
        <v>21</v>
      </c>
      <c r="I763" s="20" t="s">
        <v>22</v>
      </c>
      <c r="J763" s="20">
        <v>0.0</v>
      </c>
      <c r="K763" s="20">
        <v>0.0</v>
      </c>
      <c r="L763" s="20">
        <v>0.0</v>
      </c>
      <c r="M763" s="20">
        <v>0.0</v>
      </c>
      <c r="N763" s="20">
        <v>0.0</v>
      </c>
      <c r="O763" s="20">
        <v>0.0</v>
      </c>
      <c r="P763" s="20">
        <v>0.0</v>
      </c>
      <c r="Q763" s="20">
        <v>0.0</v>
      </c>
      <c r="R763" s="20">
        <v>0.0</v>
      </c>
      <c r="S763" s="20">
        <v>0.0</v>
      </c>
      <c r="T763" s="20">
        <v>0.0</v>
      </c>
      <c r="U763" s="20">
        <v>0.0</v>
      </c>
    </row>
    <row r="764" ht="23.25" customHeight="1">
      <c r="A764" s="17" t="str">
        <f>IF(COUNTIF('Icon Lookup'!C:C,B764)&gt;0,LOOKUP(B764,'Icon Lookup'!C:C,'Icon Lookup'!B:B),"")</f>
        <v/>
      </c>
      <c r="B764" s="18" t="s">
        <v>30</v>
      </c>
      <c r="C764" s="17" t="s">
        <v>17</v>
      </c>
      <c r="D764" s="17">
        <v>5.0</v>
      </c>
      <c r="E764" s="17" t="s">
        <v>31</v>
      </c>
      <c r="G764" s="19"/>
      <c r="H764" s="20" t="s">
        <v>35</v>
      </c>
      <c r="I764" s="17" t="s">
        <v>22</v>
      </c>
      <c r="J764" s="17">
        <v>0.0</v>
      </c>
      <c r="K764" s="17">
        <v>0.0</v>
      </c>
      <c r="L764" s="17">
        <v>0.0</v>
      </c>
      <c r="M764" s="17">
        <v>0.0</v>
      </c>
      <c r="N764" s="17">
        <v>0.0</v>
      </c>
      <c r="O764" s="17">
        <v>0.0</v>
      </c>
      <c r="P764" s="17">
        <v>0.0</v>
      </c>
      <c r="Q764" s="17">
        <v>0.0</v>
      </c>
      <c r="R764" s="17">
        <v>0.0</v>
      </c>
      <c r="S764" s="17">
        <v>0.0</v>
      </c>
      <c r="T764" s="17">
        <v>0.0</v>
      </c>
      <c r="U764" s="17">
        <v>0.0</v>
      </c>
    </row>
    <row r="765" ht="23.25" customHeight="1">
      <c r="A765" s="1" t="str">
        <f>IF(COUNTIF('Icon Lookup'!C:C,B765)&gt;0,LOOKUP(B765,'Icon Lookup'!C:C,'Icon Lookup'!B:B),"")</f>
        <v/>
      </c>
      <c r="B765" s="15" t="s">
        <v>1154</v>
      </c>
      <c r="C765" s="1" t="s">
        <v>17</v>
      </c>
      <c r="D765" s="1" t="s">
        <v>1155</v>
      </c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ht="23.25" customHeight="1">
      <c r="A766" s="20" t="str">
        <f>IF(COUNTIF('Icon Lookup'!C:C,B766)&gt;0,LOOKUP(B766,'Icon Lookup'!C:C,'Icon Lookup'!B:B),"")</f>
        <v/>
      </c>
      <c r="B766" s="21" t="s">
        <v>30</v>
      </c>
      <c r="C766" s="20" t="s">
        <v>17</v>
      </c>
      <c r="D766" s="20">
        <v>4.0</v>
      </c>
      <c r="E766" s="20" t="s">
        <v>31</v>
      </c>
      <c r="G766" s="22"/>
      <c r="H766" s="23" t="s">
        <v>32</v>
      </c>
      <c r="I766" s="20" t="s">
        <v>22</v>
      </c>
      <c r="J766" s="20">
        <v>0.0</v>
      </c>
      <c r="K766" s="20">
        <v>0.0</v>
      </c>
      <c r="L766" s="20">
        <v>0.0</v>
      </c>
      <c r="M766" s="20">
        <v>0.0</v>
      </c>
      <c r="N766" s="20">
        <v>0.0</v>
      </c>
      <c r="O766" s="20">
        <v>0.0</v>
      </c>
      <c r="P766" s="20">
        <v>0.0</v>
      </c>
      <c r="Q766" s="20">
        <v>0.0</v>
      </c>
      <c r="R766" s="20">
        <v>0.0</v>
      </c>
      <c r="S766" s="20">
        <v>0.0</v>
      </c>
      <c r="T766" s="20">
        <v>0.0</v>
      </c>
      <c r="U766" s="20">
        <v>0.0</v>
      </c>
    </row>
    <row r="767" ht="23.25" customHeight="1">
      <c r="A767" s="17" t="str">
        <f>IF(COUNTIF('Icon Lookup'!C:C,B767)&gt;0,LOOKUP(B767,'Icon Lookup'!C:C,'Icon Lookup'!B:B),"")</f>
        <v/>
      </c>
      <c r="B767" s="18" t="s">
        <v>49</v>
      </c>
      <c r="C767" s="17" t="s">
        <v>17</v>
      </c>
      <c r="D767" s="17">
        <v>4.0</v>
      </c>
      <c r="E767" s="17" t="s">
        <v>959</v>
      </c>
      <c r="G767" s="19"/>
      <c r="H767" s="20" t="s">
        <v>51</v>
      </c>
      <c r="I767" s="17" t="s">
        <v>52</v>
      </c>
      <c r="J767" s="17">
        <v>0.0</v>
      </c>
      <c r="K767" s="17">
        <v>0.0</v>
      </c>
      <c r="L767" s="17">
        <v>0.0</v>
      </c>
      <c r="M767" s="17">
        <v>0.0</v>
      </c>
      <c r="N767" s="17">
        <v>0.0</v>
      </c>
      <c r="O767" s="17">
        <v>0.0</v>
      </c>
      <c r="P767" s="17">
        <v>0.0</v>
      </c>
      <c r="Q767" s="17">
        <v>0.0</v>
      </c>
      <c r="R767" s="17">
        <v>0.0</v>
      </c>
      <c r="S767" s="17">
        <v>0.0</v>
      </c>
      <c r="T767" s="17">
        <v>0.0</v>
      </c>
      <c r="U767" s="17">
        <v>0.0</v>
      </c>
    </row>
    <row r="768" ht="23.25" customHeight="1">
      <c r="A768" s="20" t="str">
        <f>IF(COUNTIF('Icon Lookup'!C:C,B768)&gt;0,LOOKUP(B768,'Icon Lookup'!C:C,'Icon Lookup'!B:B),"")</f>
        <v/>
      </c>
      <c r="B768" s="21" t="s">
        <v>19</v>
      </c>
      <c r="C768" s="20" t="s">
        <v>17</v>
      </c>
      <c r="D768" s="20">
        <v>4.0</v>
      </c>
      <c r="E768" s="20" t="s">
        <v>20</v>
      </c>
      <c r="G768" s="22"/>
      <c r="H768" s="23" t="s">
        <v>32</v>
      </c>
      <c r="I768" s="20" t="s">
        <v>22</v>
      </c>
      <c r="J768" s="20">
        <v>0.0</v>
      </c>
      <c r="K768" s="20">
        <v>0.0</v>
      </c>
      <c r="L768" s="20">
        <v>0.0</v>
      </c>
      <c r="M768" s="20">
        <v>0.0</v>
      </c>
      <c r="N768" s="20">
        <v>0.0</v>
      </c>
      <c r="O768" s="20">
        <v>0.0</v>
      </c>
      <c r="P768" s="20">
        <v>0.0</v>
      </c>
      <c r="Q768" s="20">
        <v>0.0</v>
      </c>
      <c r="R768" s="20">
        <v>0.0</v>
      </c>
      <c r="S768" s="20">
        <v>0.0</v>
      </c>
      <c r="T768" s="20">
        <v>0.0</v>
      </c>
      <c r="U768" s="20">
        <v>0.0</v>
      </c>
    </row>
    <row r="769" ht="23.25" customHeight="1">
      <c r="A769" s="1" t="str">
        <f>IF(COUNTIF('Icon Lookup'!C:C,B769)&gt;0,LOOKUP(B769,'Icon Lookup'!C:C,'Icon Lookup'!B:B),"")</f>
        <v/>
      </c>
      <c r="B769" s="15" t="s">
        <v>1156</v>
      </c>
      <c r="C769" s="1" t="s">
        <v>17</v>
      </c>
      <c r="D769" s="1" t="s">
        <v>1157</v>
      </c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ht="23.25" customHeight="1">
      <c r="A770" s="17" t="str">
        <f>IF(COUNTIF('Icon Lookup'!C:C,B770)&gt;0,LOOKUP(B770,'Icon Lookup'!C:C,'Icon Lookup'!B:B),"")</f>
        <v/>
      </c>
      <c r="B770" s="18" t="s">
        <v>65</v>
      </c>
      <c r="C770" s="17" t="s">
        <v>17</v>
      </c>
      <c r="D770" s="17">
        <v>15.0</v>
      </c>
      <c r="E770" s="17" t="s">
        <v>66</v>
      </c>
      <c r="G770" s="19"/>
      <c r="H770" s="20" t="s">
        <v>1158</v>
      </c>
      <c r="I770" s="17" t="s">
        <v>211</v>
      </c>
      <c r="J770" s="17">
        <v>0.0</v>
      </c>
      <c r="K770" s="17">
        <v>0.0</v>
      </c>
      <c r="L770" s="17">
        <v>0.0</v>
      </c>
      <c r="M770" s="17">
        <v>0.0</v>
      </c>
      <c r="N770" s="17">
        <v>0.0</v>
      </c>
      <c r="O770" s="17">
        <v>0.0</v>
      </c>
      <c r="P770" s="17">
        <v>0.0</v>
      </c>
      <c r="Q770" s="17">
        <v>0.0</v>
      </c>
      <c r="R770" s="17">
        <v>0.0</v>
      </c>
      <c r="S770" s="17">
        <v>0.0</v>
      </c>
      <c r="T770" s="17">
        <v>0.0</v>
      </c>
      <c r="U770" s="17">
        <v>0.0</v>
      </c>
    </row>
    <row r="771" ht="23.25" customHeight="1">
      <c r="A771" s="20" t="str">
        <f>IF(COUNTIF('Icon Lookup'!C:C,B771)&gt;0,LOOKUP(B771,'Icon Lookup'!C:C,'Icon Lookup'!B:B),"")</f>
        <v/>
      </c>
      <c r="B771" s="21" t="s">
        <v>198</v>
      </c>
      <c r="C771" s="20" t="s">
        <v>17</v>
      </c>
      <c r="D771" s="20">
        <v>15.0</v>
      </c>
      <c r="E771" s="20" t="s">
        <v>1159</v>
      </c>
      <c r="G771" s="22"/>
      <c r="H771" s="23" t="s">
        <v>1160</v>
      </c>
      <c r="I771" s="20" t="s">
        <v>52</v>
      </c>
      <c r="J771" s="20">
        <v>0.0</v>
      </c>
      <c r="K771" s="20">
        <v>0.0</v>
      </c>
      <c r="L771" s="20">
        <v>0.0</v>
      </c>
      <c r="M771" s="20">
        <v>0.0</v>
      </c>
      <c r="N771" s="20">
        <v>0.0</v>
      </c>
      <c r="O771" s="20">
        <v>0.0</v>
      </c>
      <c r="P771" s="20">
        <v>0.0</v>
      </c>
      <c r="Q771" s="20">
        <v>0.0</v>
      </c>
      <c r="R771" s="20">
        <v>0.0</v>
      </c>
      <c r="S771" s="20">
        <v>0.0</v>
      </c>
      <c r="T771" s="20">
        <v>0.0</v>
      </c>
      <c r="U771" s="20">
        <v>0.0</v>
      </c>
    </row>
    <row r="772" ht="23.25" customHeight="1">
      <c r="A772" s="1" t="str">
        <f>IF(COUNTIF('Icon Lookup'!C:C,B772)&gt;0,LOOKUP(B772,'Icon Lookup'!C:C,'Icon Lookup'!B:B),"")</f>
        <v/>
      </c>
      <c r="B772" s="15" t="s">
        <v>1161</v>
      </c>
      <c r="C772" s="1" t="s">
        <v>17</v>
      </c>
      <c r="D772" s="1" t="s">
        <v>1162</v>
      </c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ht="23.25" customHeight="1">
      <c r="A773" s="17" t="str">
        <f>IF(COUNTIF('Icon Lookup'!C:C,B773)&gt;0,LOOKUP(B773,'Icon Lookup'!C:C,'Icon Lookup'!B:B),"")</f>
        <v/>
      </c>
      <c r="B773" s="18" t="s">
        <v>449</v>
      </c>
      <c r="C773" s="17" t="s">
        <v>17</v>
      </c>
      <c r="D773" s="17">
        <v>30.0</v>
      </c>
      <c r="E773" s="17" t="s">
        <v>161</v>
      </c>
      <c r="G773" s="19"/>
      <c r="H773" s="20" t="s">
        <v>1163</v>
      </c>
      <c r="I773" s="17" t="s">
        <v>52</v>
      </c>
      <c r="J773" s="17">
        <v>0.0</v>
      </c>
      <c r="K773" s="17">
        <v>0.0</v>
      </c>
      <c r="L773" s="17">
        <v>0.0</v>
      </c>
      <c r="M773" s="17">
        <v>0.0</v>
      </c>
      <c r="N773" s="17">
        <v>0.0</v>
      </c>
      <c r="O773" s="17">
        <v>0.0</v>
      </c>
      <c r="P773" s="17">
        <v>0.0</v>
      </c>
      <c r="Q773" s="17">
        <v>0.0</v>
      </c>
      <c r="R773" s="17">
        <v>0.0</v>
      </c>
      <c r="S773" s="17">
        <v>0.0</v>
      </c>
      <c r="T773" s="17">
        <v>0.0</v>
      </c>
      <c r="U773" s="17">
        <v>0.0</v>
      </c>
    </row>
    <row r="774" ht="23.25" customHeight="1">
      <c r="A774" s="1" t="str">
        <f>IF(COUNTIF('Icon Lookup'!C:C,B774)&gt;0,LOOKUP(B774,'Icon Lookup'!C:C,'Icon Lookup'!B:B),"")</f>
        <v/>
      </c>
      <c r="B774" s="15" t="s">
        <v>1164</v>
      </c>
      <c r="C774" s="1" t="s">
        <v>17</v>
      </c>
      <c r="D774" s="1" t="s">
        <v>1165</v>
      </c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ht="23.25" customHeight="1">
      <c r="A775" s="20" t="str">
        <f>IF(COUNTIF('Icon Lookup'!C:C,B775)&gt;0,LOOKUP(B775,'Icon Lookup'!C:C,'Icon Lookup'!B:B),"")</f>
        <v/>
      </c>
      <c r="B775" s="21" t="s">
        <v>86</v>
      </c>
      <c r="C775" s="20" t="s">
        <v>17</v>
      </c>
      <c r="D775" s="20">
        <v>15.0</v>
      </c>
      <c r="E775" s="20" t="s">
        <v>87</v>
      </c>
      <c r="G775" s="22"/>
      <c r="H775" s="23" t="s">
        <v>88</v>
      </c>
      <c r="I775" s="20" t="s">
        <v>89</v>
      </c>
      <c r="J775" s="20">
        <v>0.0</v>
      </c>
      <c r="K775" s="20">
        <v>0.0</v>
      </c>
      <c r="L775" s="20">
        <v>0.0</v>
      </c>
      <c r="M775" s="20">
        <v>0.0</v>
      </c>
      <c r="N775" s="20">
        <v>0.0</v>
      </c>
      <c r="O775" s="20">
        <v>0.0</v>
      </c>
      <c r="P775" s="20">
        <v>0.0</v>
      </c>
      <c r="Q775" s="20">
        <v>0.0</v>
      </c>
      <c r="R775" s="20">
        <v>0.0</v>
      </c>
      <c r="S775" s="20">
        <v>0.0</v>
      </c>
      <c r="T775" s="20">
        <v>0.0</v>
      </c>
      <c r="U775" s="20">
        <v>0.0</v>
      </c>
    </row>
    <row r="776" ht="23.25" customHeight="1">
      <c r="A776" s="17" t="str">
        <f>IF(COUNTIF('Icon Lookup'!C:C,B776)&gt;0,LOOKUP(B776,'Icon Lookup'!C:C,'Icon Lookup'!B:B),"")</f>
        <v/>
      </c>
      <c r="B776" s="18" t="s">
        <v>97</v>
      </c>
      <c r="C776" s="17" t="s">
        <v>17</v>
      </c>
      <c r="D776" s="17">
        <v>15.0</v>
      </c>
      <c r="E776" s="17" t="s">
        <v>87</v>
      </c>
      <c r="G776" s="19"/>
      <c r="H776" s="20" t="s">
        <v>1166</v>
      </c>
      <c r="I776" s="17" t="s">
        <v>89</v>
      </c>
      <c r="J776" s="17">
        <v>0.0</v>
      </c>
      <c r="K776" s="17">
        <v>0.0</v>
      </c>
      <c r="L776" s="17">
        <v>0.0</v>
      </c>
      <c r="M776" s="17">
        <v>0.0</v>
      </c>
      <c r="N776" s="17">
        <v>0.0</v>
      </c>
      <c r="O776" s="17">
        <v>0.0</v>
      </c>
      <c r="P776" s="17">
        <v>0.0</v>
      </c>
      <c r="Q776" s="17">
        <v>0.0</v>
      </c>
      <c r="R776" s="17">
        <v>0.0</v>
      </c>
      <c r="S776" s="17">
        <v>0.0</v>
      </c>
      <c r="T776" s="17">
        <v>0.0</v>
      </c>
      <c r="U776" s="17">
        <v>0.0</v>
      </c>
    </row>
    <row r="777" ht="23.25" customHeight="1">
      <c r="A777" s="1" t="str">
        <f>IF(COUNTIF('Icon Lookup'!C:C,B777)&gt;0,LOOKUP(B777,'Icon Lookup'!C:C,'Icon Lookup'!B:B),"")</f>
        <v/>
      </c>
      <c r="B777" s="15" t="s">
        <v>1167</v>
      </c>
      <c r="C777" s="1" t="s">
        <v>17</v>
      </c>
      <c r="D777" s="1" t="s">
        <v>1168</v>
      </c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ht="23.25" customHeight="1">
      <c r="A778" s="20" t="str">
        <f>IF(COUNTIF('Icon Lookup'!C:C,B778)&gt;0,LOOKUP(B778,'Icon Lookup'!C:C,'Icon Lookup'!B:B),"")</f>
        <v/>
      </c>
      <c r="B778" s="21" t="s">
        <v>110</v>
      </c>
      <c r="C778" s="20" t="s">
        <v>17</v>
      </c>
      <c r="D778" s="20">
        <v>19.0</v>
      </c>
      <c r="E778" s="20" t="s">
        <v>111</v>
      </c>
      <c r="G778" s="22"/>
      <c r="H778" s="23" t="s">
        <v>453</v>
      </c>
      <c r="I778" s="20" t="s">
        <v>22</v>
      </c>
      <c r="J778" s="20">
        <v>0.0</v>
      </c>
      <c r="K778" s="20">
        <v>0.0</v>
      </c>
      <c r="L778" s="20">
        <v>0.0</v>
      </c>
      <c r="M778" s="20">
        <v>0.0</v>
      </c>
      <c r="N778" s="20">
        <v>0.0</v>
      </c>
      <c r="O778" s="20">
        <v>0.0</v>
      </c>
      <c r="P778" s="20">
        <v>0.0</v>
      </c>
      <c r="Q778" s="20">
        <v>0.0</v>
      </c>
      <c r="R778" s="20">
        <v>0.0</v>
      </c>
      <c r="S778" s="20">
        <v>0.0</v>
      </c>
      <c r="T778" s="20">
        <v>0.0</v>
      </c>
      <c r="U778" s="20">
        <v>0.0</v>
      </c>
    </row>
    <row r="779" ht="23.25" customHeight="1">
      <c r="A779" s="17" t="str">
        <f>IF(COUNTIF('Icon Lookup'!C:C,B779)&gt;0,LOOKUP(B779,'Icon Lookup'!C:C,'Icon Lookup'!B:B),"")</f>
        <v/>
      </c>
      <c r="B779" s="18" t="s">
        <v>271</v>
      </c>
      <c r="C779" s="17" t="s">
        <v>17</v>
      </c>
      <c r="D779" s="17">
        <v>19.0</v>
      </c>
      <c r="E779" s="17" t="s">
        <v>44</v>
      </c>
      <c r="G779" s="19"/>
      <c r="H779" s="20" t="s">
        <v>1169</v>
      </c>
      <c r="I779" s="17" t="s">
        <v>22</v>
      </c>
      <c r="J779" s="17">
        <v>0.0</v>
      </c>
      <c r="K779" s="17">
        <v>0.0</v>
      </c>
      <c r="L779" s="17">
        <v>0.0</v>
      </c>
      <c r="M779" s="17">
        <v>0.0</v>
      </c>
      <c r="N779" s="17">
        <v>0.0</v>
      </c>
      <c r="O779" s="17">
        <v>0.0</v>
      </c>
      <c r="P779" s="17">
        <v>0.0</v>
      </c>
      <c r="Q779" s="17">
        <v>0.0</v>
      </c>
      <c r="R779" s="17">
        <v>0.0</v>
      </c>
      <c r="S779" s="17">
        <v>0.0</v>
      </c>
      <c r="T779" s="17">
        <v>0.0</v>
      </c>
      <c r="U779" s="17">
        <v>0.0</v>
      </c>
    </row>
    <row r="780" ht="23.25" customHeight="1">
      <c r="A780" s="1" t="str">
        <f>IF(COUNTIF('Icon Lookup'!C:C,B780)&gt;0,LOOKUP(B780,'Icon Lookup'!C:C,'Icon Lookup'!B:B),"")</f>
        <v/>
      </c>
      <c r="B780" s="15" t="s">
        <v>1170</v>
      </c>
      <c r="C780" s="1" t="s">
        <v>17</v>
      </c>
      <c r="D780" s="1" t="s">
        <v>1171</v>
      </c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ht="23.25" customHeight="1">
      <c r="A781" s="20" t="str">
        <f>IF(COUNTIF('Icon Lookup'!C:C,B781)&gt;0,LOOKUP(B781,'Icon Lookup'!C:C,'Icon Lookup'!B:B),"")</f>
        <v/>
      </c>
      <c r="B781" s="21" t="s">
        <v>577</v>
      </c>
      <c r="C781" s="20" t="s">
        <v>17</v>
      </c>
      <c r="D781" s="20">
        <v>21.0</v>
      </c>
      <c r="E781" s="20" t="s">
        <v>399</v>
      </c>
      <c r="G781" s="22"/>
      <c r="H781" s="23" t="s">
        <v>1172</v>
      </c>
      <c r="I781" s="20" t="s">
        <v>105</v>
      </c>
      <c r="J781" s="20">
        <v>0.0</v>
      </c>
      <c r="K781" s="20">
        <v>0.0</v>
      </c>
      <c r="L781" s="20">
        <v>0.0</v>
      </c>
      <c r="M781" s="20">
        <v>0.0</v>
      </c>
      <c r="N781" s="20">
        <v>0.0</v>
      </c>
      <c r="O781" s="20">
        <v>0.0</v>
      </c>
      <c r="P781" s="20">
        <v>0.0</v>
      </c>
      <c r="Q781" s="20">
        <v>0.0</v>
      </c>
      <c r="R781" s="20">
        <v>0.0</v>
      </c>
      <c r="S781" s="20">
        <v>0.0</v>
      </c>
      <c r="T781" s="20">
        <v>0.0</v>
      </c>
      <c r="U781" s="20">
        <v>0.0</v>
      </c>
    </row>
    <row r="782" ht="23.25" customHeight="1">
      <c r="A782" s="1" t="str">
        <f>IF(COUNTIF('Icon Lookup'!C:C,B782)&gt;0,LOOKUP(B782,'Icon Lookup'!C:C,'Icon Lookup'!B:B),"")</f>
        <v/>
      </c>
      <c r="B782" s="15" t="s">
        <v>1173</v>
      </c>
      <c r="C782" s="1" t="s">
        <v>17</v>
      </c>
      <c r="D782" s="1" t="s">
        <v>1174</v>
      </c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ht="23.25" customHeight="1">
      <c r="A783" s="17" t="str">
        <f>IF(COUNTIF('Icon Lookup'!C:C,B783)&gt;0,LOOKUP(B783,'Icon Lookup'!C:C,'Icon Lookup'!B:B),"")</f>
        <v/>
      </c>
      <c r="B783" s="18" t="s">
        <v>49</v>
      </c>
      <c r="C783" s="17" t="s">
        <v>17</v>
      </c>
      <c r="D783" s="17">
        <v>5.0</v>
      </c>
      <c r="E783" s="17" t="s">
        <v>959</v>
      </c>
      <c r="G783" s="19"/>
      <c r="H783" s="20" t="s">
        <v>51</v>
      </c>
      <c r="I783" s="17" t="s">
        <v>52</v>
      </c>
      <c r="J783" s="17">
        <v>0.0</v>
      </c>
      <c r="K783" s="17">
        <v>0.0</v>
      </c>
      <c r="L783" s="17">
        <v>0.0</v>
      </c>
      <c r="M783" s="17">
        <v>0.0</v>
      </c>
      <c r="N783" s="17">
        <v>0.0</v>
      </c>
      <c r="O783" s="17">
        <v>0.0</v>
      </c>
      <c r="P783" s="17">
        <v>0.0</v>
      </c>
      <c r="Q783" s="17">
        <v>0.0</v>
      </c>
      <c r="R783" s="17">
        <v>0.0</v>
      </c>
      <c r="S783" s="17">
        <v>0.0</v>
      </c>
      <c r="T783" s="17">
        <v>0.0</v>
      </c>
      <c r="U783" s="17">
        <v>0.0</v>
      </c>
    </row>
    <row r="784" ht="23.25" customHeight="1">
      <c r="A784" s="20" t="str">
        <f>IF(COUNTIF('Icon Lookup'!C:C,B784)&gt;0,LOOKUP(B784,'Icon Lookup'!C:C,'Icon Lookup'!B:B),"")</f>
        <v/>
      </c>
      <c r="B784" s="21" t="s">
        <v>577</v>
      </c>
      <c r="C784" s="20" t="s">
        <v>17</v>
      </c>
      <c r="D784" s="20">
        <v>5.0</v>
      </c>
      <c r="E784" s="20" t="s">
        <v>677</v>
      </c>
      <c r="G784" s="22"/>
      <c r="H784" s="23" t="s">
        <v>1175</v>
      </c>
      <c r="I784" s="20" t="s">
        <v>52</v>
      </c>
      <c r="J784" s="20">
        <v>0.0</v>
      </c>
      <c r="K784" s="20">
        <v>0.0</v>
      </c>
      <c r="L784" s="20">
        <v>0.0</v>
      </c>
      <c r="M784" s="20">
        <v>0.0</v>
      </c>
      <c r="N784" s="20">
        <v>0.0</v>
      </c>
      <c r="O784" s="20">
        <v>0.0</v>
      </c>
      <c r="P784" s="20">
        <v>0.0</v>
      </c>
      <c r="Q784" s="20">
        <v>0.0</v>
      </c>
      <c r="R784" s="20">
        <v>0.0</v>
      </c>
      <c r="S784" s="20">
        <v>0.0</v>
      </c>
      <c r="T784" s="20">
        <v>0.0</v>
      </c>
      <c r="U784" s="20">
        <v>0.0</v>
      </c>
    </row>
    <row r="785" ht="23.25" customHeight="1">
      <c r="A785" s="1" t="str">
        <f>IF(COUNTIF('Icon Lookup'!C:C,B785)&gt;0,LOOKUP(B785,'Icon Lookup'!C:C,'Icon Lookup'!B:B),"")</f>
        <v/>
      </c>
      <c r="B785" s="15" t="s">
        <v>1176</v>
      </c>
      <c r="C785" s="1" t="s">
        <v>17</v>
      </c>
      <c r="D785" s="1" t="s">
        <v>1177</v>
      </c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ht="23.25" customHeight="1">
      <c r="A786" s="17" t="str">
        <f>IF(COUNTIF('Icon Lookup'!C:C,B786)&gt;0,LOOKUP(B786,'Icon Lookup'!C:C,'Icon Lookup'!B:B),"")</f>
        <v/>
      </c>
      <c r="B786" s="18" t="s">
        <v>1178</v>
      </c>
      <c r="C786" s="17" t="s">
        <v>17</v>
      </c>
      <c r="D786" s="17">
        <v>28.0</v>
      </c>
      <c r="E786" s="17" t="s">
        <v>1126</v>
      </c>
      <c r="G786" s="19"/>
      <c r="H786" s="20" t="s">
        <v>1179</v>
      </c>
      <c r="I786" s="17" t="s">
        <v>105</v>
      </c>
      <c r="J786" s="17">
        <v>0.0</v>
      </c>
      <c r="K786" s="17">
        <v>0.0</v>
      </c>
      <c r="L786" s="17">
        <v>0.0</v>
      </c>
      <c r="M786" s="17">
        <v>0.0</v>
      </c>
      <c r="N786" s="17">
        <v>0.0</v>
      </c>
      <c r="O786" s="17">
        <v>0.0</v>
      </c>
      <c r="P786" s="17">
        <v>0.0</v>
      </c>
      <c r="Q786" s="17">
        <v>0.0</v>
      </c>
      <c r="R786" s="17">
        <v>0.0</v>
      </c>
      <c r="S786" s="17">
        <v>0.0</v>
      </c>
      <c r="T786" s="17">
        <v>0.0</v>
      </c>
      <c r="U786" s="17">
        <v>0.0</v>
      </c>
    </row>
    <row r="787" ht="23.25" customHeight="1">
      <c r="A787" s="20" t="str">
        <f>IF(COUNTIF('Icon Lookup'!C:C,B787)&gt;0,LOOKUP(B787,'Icon Lookup'!C:C,'Icon Lookup'!B:B),"")</f>
        <v/>
      </c>
      <c r="B787" s="21" t="s">
        <v>449</v>
      </c>
      <c r="C787" s="20" t="s">
        <v>17</v>
      </c>
      <c r="D787" s="20">
        <v>28.0</v>
      </c>
      <c r="E787" s="20" t="s">
        <v>161</v>
      </c>
      <c r="G787" s="22"/>
      <c r="H787" s="23" t="s">
        <v>1180</v>
      </c>
      <c r="I787" s="20" t="s">
        <v>612</v>
      </c>
      <c r="J787" s="20">
        <v>0.0</v>
      </c>
      <c r="K787" s="20">
        <v>0.0</v>
      </c>
      <c r="L787" s="20">
        <v>0.0</v>
      </c>
      <c r="M787" s="20">
        <v>0.0</v>
      </c>
      <c r="N787" s="20">
        <v>0.0</v>
      </c>
      <c r="O787" s="20">
        <v>0.0</v>
      </c>
      <c r="P787" s="20">
        <v>0.0</v>
      </c>
      <c r="Q787" s="20">
        <v>0.0</v>
      </c>
      <c r="R787" s="20">
        <v>0.0</v>
      </c>
      <c r="S787" s="20">
        <v>0.0</v>
      </c>
      <c r="T787" s="20">
        <v>0.0</v>
      </c>
      <c r="U787" s="20">
        <v>0.0</v>
      </c>
    </row>
    <row r="788" ht="23.25" customHeight="1">
      <c r="A788" s="1" t="str">
        <f>IF(COUNTIF('Icon Lookup'!C:C,B788)&gt;0,LOOKUP(B788,'Icon Lookup'!C:C,'Icon Lookup'!B:B),"")</f>
        <v/>
      </c>
      <c r="B788" s="15" t="s">
        <v>1181</v>
      </c>
      <c r="C788" s="1" t="s">
        <v>17</v>
      </c>
      <c r="D788" s="1" t="s">
        <v>1182</v>
      </c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ht="23.25" customHeight="1">
      <c r="A789" s="17" t="str">
        <f>IF(COUNTIF('Icon Lookup'!C:C,B789)&gt;0,LOOKUP(B789,'Icon Lookup'!C:C,'Icon Lookup'!B:B),"")</f>
        <v/>
      </c>
      <c r="B789" s="18" t="s">
        <v>136</v>
      </c>
      <c r="C789" s="17" t="s">
        <v>17</v>
      </c>
      <c r="D789" s="17">
        <v>41.0</v>
      </c>
      <c r="E789" s="17" t="s">
        <v>137</v>
      </c>
      <c r="G789" s="19"/>
      <c r="H789" s="20" t="s">
        <v>1183</v>
      </c>
      <c r="I789" s="17" t="s">
        <v>22</v>
      </c>
      <c r="J789" s="17">
        <v>0.0</v>
      </c>
      <c r="K789" s="17">
        <v>0.0</v>
      </c>
      <c r="L789" s="17">
        <v>0.0</v>
      </c>
      <c r="M789" s="17">
        <v>0.0</v>
      </c>
      <c r="N789" s="17">
        <v>0.0</v>
      </c>
      <c r="O789" s="17">
        <v>0.0</v>
      </c>
      <c r="P789" s="17">
        <v>0.0</v>
      </c>
      <c r="Q789" s="17">
        <v>0.0</v>
      </c>
      <c r="R789" s="17">
        <v>0.0</v>
      </c>
      <c r="S789" s="17">
        <v>0.0</v>
      </c>
      <c r="T789" s="17">
        <v>0.0</v>
      </c>
      <c r="U789" s="17">
        <v>0.0</v>
      </c>
    </row>
    <row r="790" ht="23.25" customHeight="1">
      <c r="A790" s="20" t="str">
        <f>IF(COUNTIF('Icon Lookup'!C:C,B790)&gt;0,LOOKUP(B790,'Icon Lookup'!C:C,'Icon Lookup'!B:B),"")</f>
        <v/>
      </c>
      <c r="B790" s="21" t="s">
        <v>136</v>
      </c>
      <c r="C790" s="20" t="s">
        <v>17</v>
      </c>
      <c r="D790" s="20">
        <v>41.0</v>
      </c>
      <c r="E790" s="20" t="s">
        <v>137</v>
      </c>
      <c r="G790" s="22"/>
      <c r="H790" s="23" t="s">
        <v>1184</v>
      </c>
      <c r="I790" s="20" t="s">
        <v>22</v>
      </c>
      <c r="J790" s="20">
        <v>0.0</v>
      </c>
      <c r="K790" s="20">
        <v>0.0</v>
      </c>
      <c r="L790" s="20">
        <v>0.0</v>
      </c>
      <c r="M790" s="20">
        <v>0.0</v>
      </c>
      <c r="N790" s="20">
        <v>0.0</v>
      </c>
      <c r="O790" s="20">
        <v>0.0</v>
      </c>
      <c r="P790" s="20">
        <v>0.0</v>
      </c>
      <c r="Q790" s="20">
        <v>0.0</v>
      </c>
      <c r="R790" s="20">
        <v>0.0</v>
      </c>
      <c r="S790" s="20">
        <v>0.0</v>
      </c>
      <c r="T790" s="20">
        <v>0.0</v>
      </c>
      <c r="U790" s="20">
        <v>0.0</v>
      </c>
    </row>
    <row r="791" ht="23.25" customHeight="1">
      <c r="A791" s="17" t="str">
        <f>IF(COUNTIF('Icon Lookup'!C:C,B791)&gt;0,LOOKUP(B791,'Icon Lookup'!C:C,'Icon Lookup'!B:B),"")</f>
        <v/>
      </c>
      <c r="B791" s="18" t="s">
        <v>136</v>
      </c>
      <c r="C791" s="17" t="s">
        <v>17</v>
      </c>
      <c r="D791" s="17">
        <v>41.0</v>
      </c>
      <c r="E791" s="17" t="s">
        <v>137</v>
      </c>
      <c r="G791" s="19"/>
      <c r="H791" s="20" t="s">
        <v>1185</v>
      </c>
      <c r="I791" s="17" t="s">
        <v>52</v>
      </c>
      <c r="J791" s="17">
        <v>0.0</v>
      </c>
      <c r="K791" s="17">
        <v>0.0</v>
      </c>
      <c r="L791" s="17">
        <v>0.0</v>
      </c>
      <c r="M791" s="17">
        <v>0.0</v>
      </c>
      <c r="N791" s="17">
        <v>0.0</v>
      </c>
      <c r="O791" s="17">
        <v>0.0</v>
      </c>
      <c r="P791" s="17">
        <v>0.0</v>
      </c>
      <c r="Q791" s="17">
        <v>0.0</v>
      </c>
      <c r="R791" s="17">
        <v>0.0</v>
      </c>
      <c r="S791" s="17">
        <v>0.0</v>
      </c>
      <c r="T791" s="17">
        <v>0.0</v>
      </c>
      <c r="U791" s="17">
        <v>0.0</v>
      </c>
    </row>
    <row r="792" ht="23.25" customHeight="1">
      <c r="A792" s="20" t="str">
        <f>IF(COUNTIF('Icon Lookup'!C:C,B792)&gt;0,LOOKUP(B792,'Icon Lookup'!C:C,'Icon Lookup'!B:B),"")</f>
        <v/>
      </c>
      <c r="B792" s="21" t="s">
        <v>136</v>
      </c>
      <c r="C792" s="20" t="s">
        <v>17</v>
      </c>
      <c r="D792" s="20">
        <v>41.0</v>
      </c>
      <c r="E792" s="20" t="s">
        <v>137</v>
      </c>
      <c r="G792" s="22"/>
      <c r="H792" s="23" t="s">
        <v>1186</v>
      </c>
      <c r="I792" s="20" t="s">
        <v>52</v>
      </c>
      <c r="J792" s="20">
        <v>0.0</v>
      </c>
      <c r="K792" s="20">
        <v>0.0</v>
      </c>
      <c r="L792" s="20">
        <v>0.0</v>
      </c>
      <c r="M792" s="20">
        <v>0.0</v>
      </c>
      <c r="N792" s="20">
        <v>0.0</v>
      </c>
      <c r="O792" s="20">
        <v>0.0</v>
      </c>
      <c r="P792" s="20">
        <v>0.0</v>
      </c>
      <c r="Q792" s="20">
        <v>0.0</v>
      </c>
      <c r="R792" s="20">
        <v>0.0</v>
      </c>
      <c r="S792" s="20">
        <v>0.0</v>
      </c>
      <c r="T792" s="20">
        <v>0.0</v>
      </c>
      <c r="U792" s="20">
        <v>0.0</v>
      </c>
    </row>
    <row r="793" ht="23.25" customHeight="1">
      <c r="A793" s="1" t="str">
        <f>IF(COUNTIF('Icon Lookup'!C:C,B793)&gt;0,LOOKUP(B793,'Icon Lookup'!C:C,'Icon Lookup'!B:B),"")</f>
        <v/>
      </c>
      <c r="B793" s="15" t="s">
        <v>1187</v>
      </c>
      <c r="C793" s="1" t="s">
        <v>17</v>
      </c>
      <c r="D793" s="1" t="s">
        <v>1188</v>
      </c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ht="23.25" customHeight="1">
      <c r="A794" s="17" t="str">
        <f>IF(COUNTIF('Icon Lookup'!C:C,B794)&gt;0,LOOKUP(B794,'Icon Lookup'!C:C,'Icon Lookup'!B:B),"")</f>
        <v/>
      </c>
      <c r="B794" s="18" t="s">
        <v>302</v>
      </c>
      <c r="C794" s="17" t="s">
        <v>17</v>
      </c>
      <c r="D794" s="17">
        <v>20.0</v>
      </c>
      <c r="E794" s="17" t="s">
        <v>20</v>
      </c>
      <c r="G794" s="19"/>
      <c r="H794" s="20" t="s">
        <v>1189</v>
      </c>
      <c r="I794" s="17" t="s">
        <v>52</v>
      </c>
      <c r="J794" s="17">
        <v>0.0</v>
      </c>
      <c r="K794" s="17">
        <v>0.0</v>
      </c>
      <c r="L794" s="17">
        <v>0.0</v>
      </c>
      <c r="M794" s="17">
        <v>0.0</v>
      </c>
      <c r="N794" s="17">
        <v>0.0</v>
      </c>
      <c r="O794" s="17">
        <v>0.0</v>
      </c>
      <c r="P794" s="17">
        <v>0.0</v>
      </c>
      <c r="Q794" s="17">
        <v>0.0</v>
      </c>
      <c r="R794" s="17">
        <v>0.0</v>
      </c>
      <c r="S794" s="17">
        <v>0.0</v>
      </c>
      <c r="T794" s="17">
        <v>0.0</v>
      </c>
      <c r="U794" s="17">
        <v>0.0</v>
      </c>
    </row>
    <row r="795" ht="23.25" customHeight="1">
      <c r="A795" s="20" t="str">
        <f>IF(COUNTIF('Icon Lookup'!C:C,B795)&gt;0,LOOKUP(B795,'Icon Lookup'!C:C,'Icon Lookup'!B:B),"")</f>
        <v/>
      </c>
      <c r="B795" s="21" t="s">
        <v>90</v>
      </c>
      <c r="C795" s="20" t="s">
        <v>17</v>
      </c>
      <c r="D795" s="20">
        <v>20.0</v>
      </c>
      <c r="E795" s="20" t="s">
        <v>91</v>
      </c>
      <c r="G795" s="22"/>
      <c r="H795" s="23" t="s">
        <v>168</v>
      </c>
      <c r="I795" s="20" t="s">
        <v>22</v>
      </c>
      <c r="J795" s="20">
        <v>0.0</v>
      </c>
      <c r="K795" s="20">
        <v>0.0</v>
      </c>
      <c r="L795" s="20">
        <v>0.0</v>
      </c>
      <c r="M795" s="20">
        <v>0.0</v>
      </c>
      <c r="N795" s="20">
        <v>0.0</v>
      </c>
      <c r="O795" s="20">
        <v>0.0</v>
      </c>
      <c r="P795" s="20">
        <v>0.0</v>
      </c>
      <c r="Q795" s="20">
        <v>0.0</v>
      </c>
      <c r="R795" s="20">
        <v>0.0</v>
      </c>
      <c r="S795" s="20">
        <v>0.0</v>
      </c>
      <c r="T795" s="20">
        <v>0.0</v>
      </c>
      <c r="U795" s="20">
        <v>0.0</v>
      </c>
    </row>
    <row r="796" ht="23.25" customHeight="1">
      <c r="A796" s="1" t="str">
        <f>IF(COUNTIF('Icon Lookup'!C:C,B796)&gt;0,LOOKUP(B796,'Icon Lookup'!C:C,'Icon Lookup'!B:B),"")</f>
        <v/>
      </c>
      <c r="B796" s="15" t="s">
        <v>1190</v>
      </c>
      <c r="C796" s="1" t="s">
        <v>17</v>
      </c>
      <c r="D796" s="1" t="s">
        <v>1191</v>
      </c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ht="23.25" customHeight="1">
      <c r="A797" s="17" t="str">
        <f>IF(COUNTIF('Icon Lookup'!C:C,B797)&gt;0,LOOKUP(B797,'Icon Lookup'!C:C,'Icon Lookup'!B:B),"")</f>
        <v/>
      </c>
      <c r="B797" s="18" t="s">
        <v>304</v>
      </c>
      <c r="C797" s="17" t="s">
        <v>17</v>
      </c>
      <c r="D797" s="17">
        <v>42.0</v>
      </c>
      <c r="E797" s="17" t="s">
        <v>20</v>
      </c>
      <c r="G797" s="19"/>
      <c r="H797" s="20" t="s">
        <v>1192</v>
      </c>
      <c r="I797" s="17" t="s">
        <v>156</v>
      </c>
      <c r="J797" s="17">
        <v>0.0</v>
      </c>
      <c r="K797" s="17">
        <v>0.0</v>
      </c>
      <c r="L797" s="17">
        <v>0.0</v>
      </c>
      <c r="M797" s="17">
        <v>0.0</v>
      </c>
      <c r="N797" s="17">
        <v>0.0</v>
      </c>
      <c r="O797" s="17">
        <v>0.0</v>
      </c>
      <c r="P797" s="17">
        <v>0.0</v>
      </c>
      <c r="Q797" s="17">
        <v>0.0</v>
      </c>
      <c r="R797" s="17">
        <v>0.0</v>
      </c>
      <c r="S797" s="17">
        <v>0.0</v>
      </c>
      <c r="T797" s="17">
        <v>0.0</v>
      </c>
      <c r="U797" s="17">
        <v>0.0</v>
      </c>
    </row>
    <row r="798" ht="23.25" customHeight="1">
      <c r="A798" s="20" t="str">
        <f>IF(COUNTIF('Icon Lookup'!C:C,B798)&gt;0,LOOKUP(B798,'Icon Lookup'!C:C,'Icon Lookup'!B:B),"")</f>
        <v/>
      </c>
      <c r="B798" s="21" t="s">
        <v>275</v>
      </c>
      <c r="C798" s="20" t="s">
        <v>17</v>
      </c>
      <c r="D798" s="20">
        <v>42.0</v>
      </c>
      <c r="E798" s="20" t="s">
        <v>91</v>
      </c>
      <c r="G798" s="22"/>
      <c r="H798" s="23" t="s">
        <v>1193</v>
      </c>
      <c r="I798" s="20" t="s">
        <v>89</v>
      </c>
      <c r="J798" s="20">
        <v>0.0</v>
      </c>
      <c r="K798" s="20">
        <v>0.0</v>
      </c>
      <c r="L798" s="20">
        <v>0.0</v>
      </c>
      <c r="M798" s="20">
        <v>0.0</v>
      </c>
      <c r="N798" s="20">
        <v>0.0</v>
      </c>
      <c r="O798" s="20">
        <v>0.0</v>
      </c>
      <c r="P798" s="20">
        <v>0.0</v>
      </c>
      <c r="Q798" s="20">
        <v>0.0</v>
      </c>
      <c r="R798" s="20">
        <v>0.0</v>
      </c>
      <c r="S798" s="20">
        <v>0.0</v>
      </c>
      <c r="T798" s="20">
        <v>0.0</v>
      </c>
      <c r="U798" s="20">
        <v>0.0</v>
      </c>
    </row>
    <row r="799" ht="23.25" customHeight="1">
      <c r="A799" s="1" t="str">
        <f>IF(COUNTIF('Icon Lookup'!C:C,B799)&gt;0,LOOKUP(B799,'Icon Lookup'!C:C,'Icon Lookup'!B:B),"")</f>
        <v/>
      </c>
      <c r="B799" s="15" t="s">
        <v>1194</v>
      </c>
      <c r="C799" s="1" t="s">
        <v>17</v>
      </c>
      <c r="D799" s="1" t="s">
        <v>1195</v>
      </c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ht="23.25" customHeight="1">
      <c r="A800" s="17" t="str">
        <f>IF(COUNTIF('Icon Lookup'!C:C,B800)&gt;0,LOOKUP(B800,'Icon Lookup'!C:C,'Icon Lookup'!B:B),"")</f>
        <v/>
      </c>
      <c r="B800" s="18" t="s">
        <v>225</v>
      </c>
      <c r="C800" s="17" t="s">
        <v>17</v>
      </c>
      <c r="D800" s="17">
        <v>43.0</v>
      </c>
      <c r="E800" s="17" t="s">
        <v>26</v>
      </c>
      <c r="G800" s="19"/>
      <c r="H800" s="20" t="s">
        <v>1196</v>
      </c>
      <c r="I800" s="17" t="s">
        <v>22</v>
      </c>
      <c r="J800" s="17">
        <v>0.0</v>
      </c>
      <c r="K800" s="17">
        <v>0.0</v>
      </c>
      <c r="L800" s="17">
        <v>0.0</v>
      </c>
      <c r="M800" s="17">
        <v>0.0</v>
      </c>
      <c r="N800" s="17">
        <v>0.0</v>
      </c>
      <c r="O800" s="17">
        <v>0.0</v>
      </c>
      <c r="P800" s="17">
        <v>0.0</v>
      </c>
      <c r="Q800" s="17">
        <v>0.0</v>
      </c>
      <c r="R800" s="17">
        <v>0.0</v>
      </c>
      <c r="S800" s="17">
        <v>0.0</v>
      </c>
      <c r="T800" s="17">
        <v>0.0</v>
      </c>
      <c r="U800" s="17">
        <v>0.0</v>
      </c>
    </row>
    <row r="801" ht="23.25" customHeight="1">
      <c r="A801" s="1" t="str">
        <f>IF(COUNTIF('Icon Lookup'!C:C,B801)&gt;0,LOOKUP(B801,'Icon Lookup'!C:C,'Icon Lookup'!B:B),"")</f>
        <v/>
      </c>
      <c r="B801" s="15" t="s">
        <v>1197</v>
      </c>
      <c r="C801" s="1" t="s">
        <v>17</v>
      </c>
      <c r="D801" s="1" t="s">
        <v>1198</v>
      </c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ht="23.25" customHeight="1">
      <c r="A802" s="20" t="str">
        <f>IF(COUNTIF('Icon Lookup'!C:C,B802)&gt;0,LOOKUP(B802,'Icon Lookup'!C:C,'Icon Lookup'!B:B),"")</f>
        <v/>
      </c>
      <c r="B802" s="21" t="s">
        <v>524</v>
      </c>
      <c r="C802" s="20" t="s">
        <v>17</v>
      </c>
      <c r="D802" s="20">
        <v>43.0</v>
      </c>
      <c r="E802" s="20" t="s">
        <v>525</v>
      </c>
      <c r="G802" s="22"/>
      <c r="H802" s="23" t="s">
        <v>651</v>
      </c>
      <c r="I802" s="20" t="s">
        <v>105</v>
      </c>
      <c r="J802" s="20">
        <v>0.0</v>
      </c>
      <c r="K802" s="20">
        <v>0.0</v>
      </c>
      <c r="L802" s="20">
        <v>0.0</v>
      </c>
      <c r="M802" s="20">
        <v>0.0</v>
      </c>
      <c r="N802" s="20">
        <v>0.0</v>
      </c>
      <c r="O802" s="20">
        <v>0.0</v>
      </c>
      <c r="P802" s="20">
        <v>0.0</v>
      </c>
      <c r="Q802" s="20">
        <v>0.0</v>
      </c>
      <c r="R802" s="20">
        <v>0.0</v>
      </c>
      <c r="S802" s="20">
        <v>0.0</v>
      </c>
      <c r="T802" s="20">
        <v>0.0</v>
      </c>
      <c r="U802" s="20">
        <v>0.0</v>
      </c>
    </row>
    <row r="803" ht="23.25" customHeight="1">
      <c r="A803" s="1" t="str">
        <f>IF(COUNTIF('Icon Lookup'!C:C,B803)&gt;0,LOOKUP(B803,'Icon Lookup'!C:C,'Icon Lookup'!B:B),"")</f>
        <v/>
      </c>
      <c r="B803" s="15" t="s">
        <v>1199</v>
      </c>
      <c r="C803" s="1" t="s">
        <v>17</v>
      </c>
      <c r="D803" s="1" t="s">
        <v>1200</v>
      </c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ht="23.25" customHeight="1">
      <c r="A804" s="17" t="str">
        <f>IF(COUNTIF('Icon Lookup'!C:C,B804)&gt;0,LOOKUP(B804,'Icon Lookup'!C:C,'Icon Lookup'!B:B),"")</f>
        <v/>
      </c>
      <c r="B804" s="18" t="s">
        <v>524</v>
      </c>
      <c r="C804" s="17" t="s">
        <v>17</v>
      </c>
      <c r="D804" s="17">
        <v>27.0</v>
      </c>
      <c r="E804" s="17" t="s">
        <v>525</v>
      </c>
      <c r="G804" s="19"/>
      <c r="H804" s="20" t="s">
        <v>556</v>
      </c>
      <c r="I804" s="17" t="s">
        <v>156</v>
      </c>
      <c r="J804" s="17">
        <v>0.0</v>
      </c>
      <c r="K804" s="17">
        <v>0.0</v>
      </c>
      <c r="L804" s="17">
        <v>0.0</v>
      </c>
      <c r="M804" s="17">
        <v>0.0</v>
      </c>
      <c r="N804" s="17">
        <v>0.0</v>
      </c>
      <c r="O804" s="17">
        <v>0.0</v>
      </c>
      <c r="P804" s="17">
        <v>0.0</v>
      </c>
      <c r="Q804" s="17">
        <v>0.0</v>
      </c>
      <c r="R804" s="17">
        <v>0.0</v>
      </c>
      <c r="S804" s="17">
        <v>0.0</v>
      </c>
      <c r="T804" s="17">
        <v>0.0</v>
      </c>
      <c r="U804" s="17">
        <v>0.0</v>
      </c>
    </row>
    <row r="805" ht="23.25" customHeight="1">
      <c r="A805" s="20" t="str">
        <f>IF(COUNTIF('Icon Lookup'!C:C,B805)&gt;0,LOOKUP(B805,'Icon Lookup'!C:C,'Icon Lookup'!B:B),"")</f>
        <v/>
      </c>
      <c r="B805" s="21" t="s">
        <v>190</v>
      </c>
      <c r="C805" s="20" t="s">
        <v>17</v>
      </c>
      <c r="D805" s="20">
        <v>31.0</v>
      </c>
      <c r="E805" s="20" t="s">
        <v>26</v>
      </c>
      <c r="G805" s="22"/>
      <c r="H805" s="23" t="s">
        <v>191</v>
      </c>
      <c r="I805" s="20" t="s">
        <v>156</v>
      </c>
      <c r="J805" s="20">
        <v>0.0</v>
      </c>
      <c r="K805" s="20">
        <v>0.0</v>
      </c>
      <c r="L805" s="20">
        <v>0.0</v>
      </c>
      <c r="M805" s="20">
        <v>0.0</v>
      </c>
      <c r="N805" s="20">
        <v>0.0</v>
      </c>
      <c r="O805" s="20">
        <v>0.0</v>
      </c>
      <c r="P805" s="20">
        <v>0.0</v>
      </c>
      <c r="Q805" s="20">
        <v>0.0</v>
      </c>
      <c r="R805" s="20">
        <v>0.0</v>
      </c>
      <c r="S805" s="20">
        <v>0.0</v>
      </c>
      <c r="T805" s="20">
        <v>0.0</v>
      </c>
      <c r="U805" s="20">
        <v>0.0</v>
      </c>
    </row>
    <row r="806" ht="23.25" customHeight="1">
      <c r="A806" s="1" t="str">
        <f>IF(COUNTIF('Icon Lookup'!C:C,B806)&gt;0,LOOKUP(B806,'Icon Lookup'!C:C,'Icon Lookup'!B:B),"")</f>
        <v/>
      </c>
      <c r="B806" s="15" t="s">
        <v>1201</v>
      </c>
      <c r="C806" s="1" t="s">
        <v>17</v>
      </c>
      <c r="D806" s="1" t="s">
        <v>1202</v>
      </c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ht="23.25" customHeight="1">
      <c r="A807" s="17" t="str">
        <f>IF(COUNTIF('Icon Lookup'!C:C,B807)&gt;0,LOOKUP(B807,'Icon Lookup'!C:C,'Icon Lookup'!B:B),"")</f>
        <v/>
      </c>
      <c r="B807" s="18" t="s">
        <v>640</v>
      </c>
      <c r="C807" s="17" t="s">
        <v>17</v>
      </c>
      <c r="D807" s="17">
        <v>24.0</v>
      </c>
      <c r="E807" s="17" t="s">
        <v>20</v>
      </c>
      <c r="G807" s="19"/>
      <c r="H807" s="20" t="s">
        <v>1203</v>
      </c>
      <c r="I807" s="17" t="s">
        <v>22</v>
      </c>
      <c r="J807" s="17">
        <v>0.0</v>
      </c>
      <c r="K807" s="17">
        <v>0.0</v>
      </c>
      <c r="L807" s="17">
        <v>0.0</v>
      </c>
      <c r="M807" s="17">
        <v>0.0</v>
      </c>
      <c r="N807" s="17">
        <v>0.0</v>
      </c>
      <c r="O807" s="17">
        <v>0.0</v>
      </c>
      <c r="P807" s="17">
        <v>0.0</v>
      </c>
      <c r="Q807" s="17">
        <v>0.0</v>
      </c>
      <c r="R807" s="17">
        <v>0.0</v>
      </c>
      <c r="S807" s="17">
        <v>0.0</v>
      </c>
      <c r="T807" s="17">
        <v>0.0</v>
      </c>
      <c r="U807" s="17">
        <v>0.0</v>
      </c>
    </row>
    <row r="808" ht="23.25" customHeight="1">
      <c r="A808" s="20" t="str">
        <f>IF(COUNTIF('Icon Lookup'!C:C,B808)&gt;0,LOOKUP(B808,'Icon Lookup'!C:C,'Icon Lookup'!B:B),"")</f>
        <v/>
      </c>
      <c r="B808" s="21" t="s">
        <v>640</v>
      </c>
      <c r="C808" s="20" t="s">
        <v>17</v>
      </c>
      <c r="D808" s="20">
        <v>24.0</v>
      </c>
      <c r="E808" s="20" t="s">
        <v>20</v>
      </c>
      <c r="G808" s="22"/>
      <c r="H808" s="23" t="s">
        <v>1204</v>
      </c>
      <c r="I808" s="20" t="s">
        <v>550</v>
      </c>
      <c r="J808" s="20">
        <v>0.0</v>
      </c>
      <c r="K808" s="20">
        <v>0.0</v>
      </c>
      <c r="L808" s="20">
        <v>0.0</v>
      </c>
      <c r="M808" s="20">
        <v>0.0</v>
      </c>
      <c r="N808" s="20">
        <v>0.0</v>
      </c>
      <c r="O808" s="20">
        <v>0.0</v>
      </c>
      <c r="P808" s="20">
        <v>0.0</v>
      </c>
      <c r="Q808" s="20">
        <v>0.0</v>
      </c>
      <c r="R808" s="20">
        <v>0.0</v>
      </c>
      <c r="S808" s="20">
        <v>0.0</v>
      </c>
      <c r="T808" s="20">
        <v>0.0</v>
      </c>
      <c r="U808" s="20">
        <v>0.0</v>
      </c>
    </row>
    <row r="809" ht="23.25" customHeight="1">
      <c r="A809" s="1" t="str">
        <f>IF(COUNTIF('Icon Lookup'!C:C,B809)&gt;0,LOOKUP(B809,'Icon Lookup'!C:C,'Icon Lookup'!B:B),"")</f>
        <v/>
      </c>
      <c r="B809" s="15" t="s">
        <v>1205</v>
      </c>
      <c r="C809" s="1" t="s">
        <v>17</v>
      </c>
      <c r="D809" s="1" t="s">
        <v>1206</v>
      </c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ht="23.25" customHeight="1">
      <c r="A810" s="17" t="str">
        <f>IF(COUNTIF('Icon Lookup'!C:C,B810)&gt;0,LOOKUP(B810,'Icon Lookup'!C:C,'Icon Lookup'!B:B),"")</f>
        <v/>
      </c>
      <c r="B810" s="18" t="s">
        <v>442</v>
      </c>
      <c r="C810" s="17" t="s">
        <v>17</v>
      </c>
      <c r="D810" s="17">
        <v>30.0</v>
      </c>
      <c r="E810" s="17" t="s">
        <v>161</v>
      </c>
      <c r="G810" s="19"/>
      <c r="H810" s="20" t="s">
        <v>1207</v>
      </c>
      <c r="I810" s="17" t="s">
        <v>612</v>
      </c>
      <c r="J810" s="17">
        <v>0.0</v>
      </c>
      <c r="K810" s="17">
        <v>0.0</v>
      </c>
      <c r="L810" s="17">
        <v>0.0</v>
      </c>
      <c r="M810" s="17">
        <v>0.0</v>
      </c>
      <c r="N810" s="17">
        <v>0.0</v>
      </c>
      <c r="O810" s="17">
        <v>0.0</v>
      </c>
      <c r="P810" s="17">
        <v>0.0</v>
      </c>
      <c r="Q810" s="17">
        <v>0.0</v>
      </c>
      <c r="R810" s="17">
        <v>0.0</v>
      </c>
      <c r="S810" s="17">
        <v>0.0</v>
      </c>
      <c r="T810" s="17">
        <v>0.0</v>
      </c>
      <c r="U810" s="17">
        <v>0.0</v>
      </c>
    </row>
    <row r="811" ht="23.25" customHeight="1">
      <c r="A811" s="1" t="str">
        <f>IF(COUNTIF('Icon Lookup'!C:C,B811)&gt;0,LOOKUP(B811,'Icon Lookup'!C:C,'Icon Lookup'!B:B),"")</f>
        <v/>
      </c>
      <c r="B811" s="15" t="s">
        <v>1208</v>
      </c>
      <c r="C811" s="1" t="s">
        <v>17</v>
      </c>
      <c r="D811" s="1" t="s">
        <v>1209</v>
      </c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ht="23.25" customHeight="1">
      <c r="A812" s="20" t="str">
        <f>IF(COUNTIF('Icon Lookup'!C:C,B812)&gt;0,LOOKUP(B812,'Icon Lookup'!C:C,'Icon Lookup'!B:B),"")</f>
        <v/>
      </c>
      <c r="B812" s="21" t="s">
        <v>476</v>
      </c>
      <c r="C812" s="20" t="s">
        <v>17</v>
      </c>
      <c r="D812" s="20">
        <v>44.0</v>
      </c>
      <c r="E812" s="20" t="s">
        <v>203</v>
      </c>
      <c r="G812" s="22"/>
      <c r="H812" s="23" t="s">
        <v>1210</v>
      </c>
      <c r="I812" s="20" t="s">
        <v>52</v>
      </c>
      <c r="J812" s="20">
        <v>0.0</v>
      </c>
      <c r="K812" s="20">
        <v>0.0</v>
      </c>
      <c r="L812" s="20">
        <v>0.0</v>
      </c>
      <c r="M812" s="20">
        <v>0.0</v>
      </c>
      <c r="N812" s="20">
        <v>0.0</v>
      </c>
      <c r="O812" s="20">
        <v>0.0</v>
      </c>
      <c r="P812" s="20">
        <v>0.0</v>
      </c>
      <c r="Q812" s="20">
        <v>0.0</v>
      </c>
      <c r="R812" s="20">
        <v>0.0</v>
      </c>
      <c r="S812" s="20">
        <v>0.0</v>
      </c>
      <c r="T812" s="20">
        <v>0.0</v>
      </c>
      <c r="U812" s="20">
        <v>0.0</v>
      </c>
    </row>
    <row r="813" ht="23.25" customHeight="1">
      <c r="A813" s="1" t="str">
        <f>IF(COUNTIF('Icon Lookup'!C:C,B813)&gt;0,LOOKUP(B813,'Icon Lookup'!C:C,'Icon Lookup'!B:B),"")</f>
        <v/>
      </c>
      <c r="B813" s="15" t="s">
        <v>1211</v>
      </c>
      <c r="C813" s="1" t="s">
        <v>17</v>
      </c>
      <c r="D813" s="1" t="s">
        <v>1212</v>
      </c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ht="23.25" customHeight="1">
      <c r="A814" s="17" t="str">
        <f>IF(COUNTIF('Icon Lookup'!C:C,B814)&gt;0,LOOKUP(B814,'Icon Lookup'!C:C,'Icon Lookup'!B:B),"")</f>
        <v/>
      </c>
      <c r="B814" s="18" t="s">
        <v>704</v>
      </c>
      <c r="C814" s="17" t="s">
        <v>17</v>
      </c>
      <c r="D814" s="17">
        <v>6.0</v>
      </c>
      <c r="E814" s="17" t="s">
        <v>387</v>
      </c>
      <c r="G814" s="19"/>
      <c r="H814" s="20" t="s">
        <v>1213</v>
      </c>
      <c r="I814" s="17" t="s">
        <v>40</v>
      </c>
      <c r="J814" s="17">
        <v>0.0</v>
      </c>
      <c r="K814" s="17">
        <v>0.0</v>
      </c>
      <c r="L814" s="17">
        <v>0.0</v>
      </c>
      <c r="M814" s="17">
        <v>0.0</v>
      </c>
      <c r="N814" s="17">
        <v>0.0</v>
      </c>
      <c r="O814" s="17">
        <v>0.0</v>
      </c>
      <c r="P814" s="17">
        <v>0.0</v>
      </c>
      <c r="Q814" s="17">
        <v>0.0</v>
      </c>
      <c r="R814" s="17">
        <v>0.0</v>
      </c>
      <c r="S814" s="17">
        <v>0.0</v>
      </c>
      <c r="T814" s="17">
        <v>0.0</v>
      </c>
      <c r="U814" s="17">
        <v>0.0</v>
      </c>
    </row>
    <row r="815" ht="23.25" customHeight="1">
      <c r="A815" s="1" t="str">
        <f>IF(COUNTIF('Icon Lookup'!C:C,B815)&gt;0,LOOKUP(B815,'Icon Lookup'!C:C,'Icon Lookup'!B:B),"")</f>
        <v/>
      </c>
      <c r="B815" s="15" t="s">
        <v>1214</v>
      </c>
      <c r="C815" s="1" t="s">
        <v>17</v>
      </c>
      <c r="D815" s="1" t="s">
        <v>1215</v>
      </c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ht="23.25" customHeight="1">
      <c r="A816" s="20" t="str">
        <f>IF(COUNTIF('Icon Lookup'!C:C,B816)&gt;0,LOOKUP(B816,'Icon Lookup'!C:C,'Icon Lookup'!B:B),"")</f>
        <v/>
      </c>
      <c r="B816" s="21" t="s">
        <v>1178</v>
      </c>
      <c r="C816" s="20" t="s">
        <v>17</v>
      </c>
      <c r="D816" s="20">
        <v>28.0</v>
      </c>
      <c r="E816" s="20" t="s">
        <v>1126</v>
      </c>
      <c r="G816" s="22"/>
      <c r="H816" s="23" t="s">
        <v>1179</v>
      </c>
      <c r="I816" s="20" t="s">
        <v>105</v>
      </c>
      <c r="J816" s="20">
        <v>0.0</v>
      </c>
      <c r="K816" s="20">
        <v>0.0</v>
      </c>
      <c r="L816" s="20">
        <v>0.0</v>
      </c>
      <c r="M816" s="20">
        <v>0.0</v>
      </c>
      <c r="N816" s="20">
        <v>0.0</v>
      </c>
      <c r="O816" s="20">
        <v>0.0</v>
      </c>
      <c r="P816" s="20">
        <v>0.0</v>
      </c>
      <c r="Q816" s="20">
        <v>0.0</v>
      </c>
      <c r="R816" s="20">
        <v>0.0</v>
      </c>
      <c r="S816" s="20">
        <v>0.0</v>
      </c>
      <c r="T816" s="20">
        <v>0.0</v>
      </c>
      <c r="U816" s="20">
        <v>0.0</v>
      </c>
    </row>
    <row r="817" ht="23.25" customHeight="1">
      <c r="A817" s="17" t="str">
        <f>IF(COUNTIF('Icon Lookup'!C:C,B817)&gt;0,LOOKUP(B817,'Icon Lookup'!C:C,'Icon Lookup'!B:B),"")</f>
        <v/>
      </c>
      <c r="B817" s="18" t="s">
        <v>1178</v>
      </c>
      <c r="C817" s="17" t="s">
        <v>17</v>
      </c>
      <c r="D817" s="17">
        <v>28.0</v>
      </c>
      <c r="E817" s="17" t="s">
        <v>991</v>
      </c>
      <c r="G817" s="19"/>
      <c r="H817" s="20" t="s">
        <v>1216</v>
      </c>
      <c r="I817" s="17" t="s">
        <v>52</v>
      </c>
      <c r="J817" s="17">
        <v>0.0</v>
      </c>
      <c r="K817" s="17">
        <v>0.0</v>
      </c>
      <c r="L817" s="17">
        <v>0.0</v>
      </c>
      <c r="M817" s="17">
        <v>0.0</v>
      </c>
      <c r="N817" s="17">
        <v>0.0</v>
      </c>
      <c r="O817" s="17">
        <v>0.0</v>
      </c>
      <c r="P817" s="17">
        <v>0.0</v>
      </c>
      <c r="Q817" s="17">
        <v>0.0</v>
      </c>
      <c r="R817" s="17">
        <v>0.0</v>
      </c>
      <c r="S817" s="17">
        <v>0.0</v>
      </c>
      <c r="T817" s="17">
        <v>0.0</v>
      </c>
      <c r="U817" s="17">
        <v>0.0</v>
      </c>
    </row>
    <row r="818" ht="23.25" customHeight="1">
      <c r="A818" s="1" t="str">
        <f>IF(COUNTIF('Icon Lookup'!C:C,B818)&gt;0,LOOKUP(B818,'Icon Lookup'!C:C,'Icon Lookup'!B:B),"")</f>
        <v/>
      </c>
      <c r="B818" s="15" t="s">
        <v>1217</v>
      </c>
      <c r="C818" s="1" t="s">
        <v>17</v>
      </c>
      <c r="D818" s="1" t="s">
        <v>1218</v>
      </c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ht="23.25" customHeight="1">
      <c r="A819" s="20" t="str">
        <f>IF(COUNTIF('Icon Lookup'!C:C,B819)&gt;0,LOOKUP(B819,'Icon Lookup'!C:C,'Icon Lookup'!B:B),"")</f>
        <v/>
      </c>
      <c r="B819" s="21" t="s">
        <v>70</v>
      </c>
      <c r="C819" s="20" t="s">
        <v>17</v>
      </c>
      <c r="D819" s="20">
        <v>44.0</v>
      </c>
      <c r="E819" s="20" t="s">
        <v>71</v>
      </c>
      <c r="G819" s="22"/>
      <c r="H819" s="23" t="s">
        <v>1219</v>
      </c>
      <c r="I819" s="20" t="s">
        <v>22</v>
      </c>
      <c r="J819" s="20">
        <v>0.0</v>
      </c>
      <c r="K819" s="20">
        <v>0.0</v>
      </c>
      <c r="L819" s="20">
        <v>0.0</v>
      </c>
      <c r="M819" s="20">
        <v>0.0</v>
      </c>
      <c r="N819" s="20">
        <v>0.0</v>
      </c>
      <c r="O819" s="20">
        <v>0.0</v>
      </c>
      <c r="P819" s="20">
        <v>0.0</v>
      </c>
      <c r="Q819" s="20">
        <v>0.0</v>
      </c>
      <c r="R819" s="20">
        <v>0.0</v>
      </c>
      <c r="S819" s="20">
        <v>0.0</v>
      </c>
      <c r="T819" s="20">
        <v>0.0</v>
      </c>
      <c r="U819" s="20">
        <v>0.0</v>
      </c>
    </row>
    <row r="820" ht="23.25" customHeight="1">
      <c r="A820" s="1" t="str">
        <f>IF(COUNTIF('Icon Lookup'!C:C,B820)&gt;0,LOOKUP(B820,'Icon Lookup'!C:C,'Icon Lookup'!B:B),"")</f>
        <v/>
      </c>
      <c r="B820" s="15" t="s">
        <v>1220</v>
      </c>
      <c r="C820" s="1" t="s">
        <v>17</v>
      </c>
      <c r="D820" s="1" t="s">
        <v>1221</v>
      </c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ht="23.25" customHeight="1">
      <c r="A821" s="17" t="str">
        <f>IF(COUNTIF('Icon Lookup'!C:C,B821)&gt;0,LOOKUP(B821,'Icon Lookup'!C:C,'Icon Lookup'!B:B),"")</f>
        <v/>
      </c>
      <c r="B821" s="18" t="s">
        <v>704</v>
      </c>
      <c r="C821" s="17" t="s">
        <v>17</v>
      </c>
      <c r="D821" s="17">
        <v>6.0</v>
      </c>
      <c r="E821" s="17" t="s">
        <v>387</v>
      </c>
      <c r="G821" s="19"/>
      <c r="H821" s="20" t="s">
        <v>1213</v>
      </c>
      <c r="I821" s="17" t="s">
        <v>52</v>
      </c>
      <c r="J821" s="17">
        <v>0.0</v>
      </c>
      <c r="K821" s="17">
        <v>0.0</v>
      </c>
      <c r="L821" s="17">
        <v>0.0</v>
      </c>
      <c r="M821" s="17">
        <v>0.0</v>
      </c>
      <c r="N821" s="17">
        <v>0.0</v>
      </c>
      <c r="O821" s="17">
        <v>0.0</v>
      </c>
      <c r="P821" s="17">
        <v>0.0</v>
      </c>
      <c r="Q821" s="17">
        <v>0.0</v>
      </c>
      <c r="R821" s="17">
        <v>0.0</v>
      </c>
      <c r="S821" s="17">
        <v>0.0</v>
      </c>
      <c r="T821" s="17">
        <v>0.0</v>
      </c>
      <c r="U821" s="17">
        <v>0.0</v>
      </c>
    </row>
    <row r="822" ht="23.25" customHeight="1">
      <c r="A822" s="1" t="str">
        <f>IF(COUNTIF('Icon Lookup'!C:C,B822)&gt;0,LOOKUP(B822,'Icon Lookup'!C:C,'Icon Lookup'!B:B),"")</f>
        <v/>
      </c>
      <c r="B822" s="15" t="s">
        <v>1222</v>
      </c>
      <c r="C822" s="1" t="s">
        <v>17</v>
      </c>
      <c r="D822" s="1" t="s">
        <v>1223</v>
      </c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ht="23.25" customHeight="1">
      <c r="A823" s="20" t="str">
        <f>IF(COUNTIF('Icon Lookup'!C:C,B823)&gt;0,LOOKUP(B823,'Icon Lookup'!C:C,'Icon Lookup'!B:B),"")</f>
        <v/>
      </c>
      <c r="B823" s="21" t="s">
        <v>1003</v>
      </c>
      <c r="C823" s="20" t="s">
        <v>17</v>
      </c>
      <c r="D823" s="20">
        <v>23.0</v>
      </c>
      <c r="E823" s="20" t="s">
        <v>1004</v>
      </c>
      <c r="G823" s="22"/>
      <c r="H823" s="23" t="s">
        <v>1224</v>
      </c>
      <c r="I823" s="20" t="s">
        <v>22</v>
      </c>
      <c r="J823" s="20">
        <v>0.0</v>
      </c>
      <c r="K823" s="20">
        <v>0.0</v>
      </c>
      <c r="L823" s="20">
        <v>0.0</v>
      </c>
      <c r="M823" s="20">
        <v>0.0</v>
      </c>
      <c r="N823" s="20">
        <v>0.0</v>
      </c>
      <c r="O823" s="20">
        <v>0.0</v>
      </c>
      <c r="P823" s="20">
        <v>0.0</v>
      </c>
      <c r="Q823" s="20">
        <v>0.0</v>
      </c>
      <c r="R823" s="20">
        <v>0.0</v>
      </c>
      <c r="S823" s="20">
        <v>0.0</v>
      </c>
      <c r="T823" s="20">
        <v>0.0</v>
      </c>
      <c r="U823" s="20">
        <v>0.0</v>
      </c>
    </row>
    <row r="824" ht="23.25" customHeight="1">
      <c r="A824" s="1" t="str">
        <f>IF(COUNTIF('Icon Lookup'!C:C,B824)&gt;0,LOOKUP(B824,'Icon Lookup'!C:C,'Icon Lookup'!B:B),"")</f>
        <v/>
      </c>
      <c r="B824" s="15" t="s">
        <v>1225</v>
      </c>
      <c r="C824" s="1" t="s">
        <v>17</v>
      </c>
      <c r="D824" s="1" t="s">
        <v>1226</v>
      </c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ht="23.25" customHeight="1">
      <c r="A825" s="17" t="str">
        <f>IF(COUNTIF('Icon Lookup'!C:C,B825)&gt;0,LOOKUP(B825,'Icon Lookup'!C:C,'Icon Lookup'!B:B),"")</f>
        <v/>
      </c>
      <c r="B825" s="18" t="s">
        <v>198</v>
      </c>
      <c r="C825" s="17" t="s">
        <v>17</v>
      </c>
      <c r="D825" s="17">
        <v>17.0</v>
      </c>
      <c r="E825" s="17" t="s">
        <v>50</v>
      </c>
      <c r="G825" s="19"/>
      <c r="H825" s="20" t="s">
        <v>1227</v>
      </c>
      <c r="I825" s="17" t="s">
        <v>52</v>
      </c>
      <c r="J825" s="17">
        <v>0.0</v>
      </c>
      <c r="K825" s="17">
        <v>0.0</v>
      </c>
      <c r="L825" s="17">
        <v>0.0</v>
      </c>
      <c r="M825" s="17">
        <v>0.0</v>
      </c>
      <c r="N825" s="17">
        <v>0.0</v>
      </c>
      <c r="O825" s="17">
        <v>0.0</v>
      </c>
      <c r="P825" s="17">
        <v>0.0</v>
      </c>
      <c r="Q825" s="17">
        <v>0.0</v>
      </c>
      <c r="R825" s="17">
        <v>0.0</v>
      </c>
      <c r="S825" s="17">
        <v>0.0</v>
      </c>
      <c r="T825" s="17">
        <v>0.0</v>
      </c>
      <c r="U825" s="17">
        <v>0.0</v>
      </c>
    </row>
    <row r="826" ht="23.25" customHeight="1">
      <c r="A826" s="1" t="str">
        <f>IF(COUNTIF('Icon Lookup'!C:C,B826)&gt;0,LOOKUP(B826,'Icon Lookup'!C:C,'Icon Lookup'!B:B),"")</f>
        <v/>
      </c>
      <c r="B826" s="15" t="s">
        <v>1228</v>
      </c>
      <c r="C826" s="1" t="s">
        <v>17</v>
      </c>
      <c r="D826" s="1" t="s">
        <v>1229</v>
      </c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ht="23.25" customHeight="1">
      <c r="A827" s="20" t="str">
        <f>IF(COUNTIF('Icon Lookup'!C:C,B827)&gt;0,LOOKUP(B827,'Icon Lookup'!C:C,'Icon Lookup'!B:B),"")</f>
        <v/>
      </c>
      <c r="B827" s="21" t="s">
        <v>57</v>
      </c>
      <c r="C827" s="20" t="s">
        <v>17</v>
      </c>
      <c r="D827" s="20">
        <v>7.0</v>
      </c>
      <c r="E827" s="20" t="s">
        <v>58</v>
      </c>
      <c r="G827" s="22"/>
      <c r="H827" s="23" t="s">
        <v>59</v>
      </c>
      <c r="I827" s="20" t="s">
        <v>22</v>
      </c>
      <c r="J827" s="20">
        <v>0.0</v>
      </c>
      <c r="K827" s="20">
        <v>0.0</v>
      </c>
      <c r="L827" s="20">
        <v>0.0</v>
      </c>
      <c r="M827" s="20">
        <v>0.0</v>
      </c>
      <c r="N827" s="20">
        <v>0.0</v>
      </c>
      <c r="O827" s="20">
        <v>0.0</v>
      </c>
      <c r="P827" s="20">
        <v>0.0</v>
      </c>
      <c r="Q827" s="20">
        <v>0.0</v>
      </c>
      <c r="R827" s="20">
        <v>0.0</v>
      </c>
      <c r="S827" s="20">
        <v>0.0</v>
      </c>
      <c r="T827" s="20">
        <v>0.0</v>
      </c>
      <c r="U827" s="20">
        <v>0.0</v>
      </c>
    </row>
    <row r="828" ht="23.25" customHeight="1">
      <c r="A828" s="1" t="str">
        <f>IF(COUNTIF('Icon Lookup'!C:C,B828)&gt;0,LOOKUP(B828,'Icon Lookup'!C:C,'Icon Lookup'!B:B),"")</f>
        <v/>
      </c>
      <c r="B828" s="15" t="s">
        <v>1230</v>
      </c>
      <c r="C828" s="1" t="s">
        <v>17</v>
      </c>
      <c r="D828" s="1" t="s">
        <v>1231</v>
      </c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ht="23.25" customHeight="1">
      <c r="A829" s="17" t="str">
        <f>IF(COUNTIF('Icon Lookup'!C:C,B829)&gt;0,LOOKUP(B829,'Icon Lookup'!C:C,'Icon Lookup'!B:B),"")</f>
        <v/>
      </c>
      <c r="B829" s="18" t="s">
        <v>90</v>
      </c>
      <c r="C829" s="17" t="s">
        <v>17</v>
      </c>
      <c r="D829" s="17">
        <v>7.0</v>
      </c>
      <c r="E829" s="17" t="s">
        <v>276</v>
      </c>
      <c r="G829" s="19"/>
      <c r="H829" s="20" t="s">
        <v>1232</v>
      </c>
      <c r="I829" s="17" t="s">
        <v>46</v>
      </c>
      <c r="J829" s="17">
        <v>0.0</v>
      </c>
      <c r="K829" s="17">
        <v>0.0</v>
      </c>
      <c r="L829" s="17">
        <v>0.0</v>
      </c>
      <c r="M829" s="17">
        <v>0.0</v>
      </c>
      <c r="N829" s="17">
        <v>0.0</v>
      </c>
      <c r="O829" s="17">
        <v>0.0</v>
      </c>
      <c r="P829" s="17">
        <v>0.0</v>
      </c>
      <c r="Q829" s="17">
        <v>0.0</v>
      </c>
      <c r="R829" s="17">
        <v>0.0</v>
      </c>
      <c r="S829" s="17">
        <v>0.0</v>
      </c>
      <c r="T829" s="17">
        <v>0.0</v>
      </c>
      <c r="U829" s="17">
        <v>0.0</v>
      </c>
    </row>
    <row r="830" ht="23.25" customHeight="1">
      <c r="A830" s="1" t="str">
        <f>IF(COUNTIF('Icon Lookup'!C:C,B830)&gt;0,LOOKUP(B830,'Icon Lookup'!C:C,'Icon Lookup'!B:B),"")</f>
        <v/>
      </c>
      <c r="B830" s="15" t="s">
        <v>1233</v>
      </c>
      <c r="C830" s="1" t="s">
        <v>17</v>
      </c>
      <c r="D830" s="1" t="s">
        <v>1234</v>
      </c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ht="23.25" customHeight="1">
      <c r="A831" s="20" t="str">
        <f>IF(COUNTIF('Icon Lookup'!C:C,B831)&gt;0,LOOKUP(B831,'Icon Lookup'!C:C,'Icon Lookup'!B:B),"")</f>
        <v/>
      </c>
      <c r="B831" s="21" t="s">
        <v>447</v>
      </c>
      <c r="C831" s="20" t="s">
        <v>17</v>
      </c>
      <c r="D831" s="20">
        <v>27.0</v>
      </c>
      <c r="E831" s="20" t="s">
        <v>161</v>
      </c>
      <c r="G831" s="22"/>
      <c r="H831" s="23" t="s">
        <v>1235</v>
      </c>
      <c r="I831" s="20" t="s">
        <v>52</v>
      </c>
      <c r="J831" s="20">
        <v>0.0</v>
      </c>
      <c r="K831" s="20">
        <v>0.0</v>
      </c>
      <c r="L831" s="20">
        <v>0.0</v>
      </c>
      <c r="M831" s="20">
        <v>0.0</v>
      </c>
      <c r="N831" s="20">
        <v>0.0</v>
      </c>
      <c r="O831" s="20">
        <v>0.0</v>
      </c>
      <c r="P831" s="20">
        <v>0.0</v>
      </c>
      <c r="Q831" s="20">
        <v>0.0</v>
      </c>
      <c r="R831" s="20">
        <v>0.0</v>
      </c>
      <c r="S831" s="20">
        <v>0.0</v>
      </c>
      <c r="T831" s="20">
        <v>0.0</v>
      </c>
      <c r="U831" s="20">
        <v>0.0</v>
      </c>
    </row>
    <row r="832" ht="23.25" customHeight="1">
      <c r="A832" s="17" t="str">
        <f>IF(COUNTIF('Icon Lookup'!C:C,B832)&gt;0,LOOKUP(B832,'Icon Lookup'!C:C,'Icon Lookup'!B:B),"")</f>
        <v/>
      </c>
      <c r="B832" s="18" t="s">
        <v>442</v>
      </c>
      <c r="C832" s="17" t="s">
        <v>17</v>
      </c>
      <c r="D832" s="17">
        <v>29.0</v>
      </c>
      <c r="E832" s="17" t="s">
        <v>161</v>
      </c>
      <c r="G832" s="19"/>
      <c r="H832" s="20" t="s">
        <v>1236</v>
      </c>
      <c r="I832" s="17" t="s">
        <v>612</v>
      </c>
      <c r="J832" s="17">
        <v>0.0</v>
      </c>
      <c r="K832" s="17">
        <v>0.0</v>
      </c>
      <c r="L832" s="17">
        <v>0.0</v>
      </c>
      <c r="M832" s="17">
        <v>0.0</v>
      </c>
      <c r="N832" s="17">
        <v>0.0</v>
      </c>
      <c r="O832" s="17">
        <v>0.0</v>
      </c>
      <c r="P832" s="17">
        <v>0.0</v>
      </c>
      <c r="Q832" s="17">
        <v>0.0</v>
      </c>
      <c r="R832" s="17">
        <v>0.0</v>
      </c>
      <c r="S832" s="17">
        <v>0.0</v>
      </c>
      <c r="T832" s="17">
        <v>0.0</v>
      </c>
      <c r="U832" s="17">
        <v>0.0</v>
      </c>
    </row>
    <row r="833" ht="23.25" customHeight="1">
      <c r="A833" s="1" t="str">
        <f>IF(COUNTIF('Icon Lookup'!C:C,B833)&gt;0,LOOKUP(B833,'Icon Lookup'!C:C,'Icon Lookup'!B:B),"")</f>
        <v/>
      </c>
      <c r="B833" s="15" t="s">
        <v>1237</v>
      </c>
      <c r="C833" s="1" t="s">
        <v>17</v>
      </c>
      <c r="D833" s="1" t="s">
        <v>1238</v>
      </c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ht="23.25" customHeight="1">
      <c r="A834" s="20" t="str">
        <f>IF(COUNTIF('Icon Lookup'!C:C,B834)&gt;0,LOOKUP(B834,'Icon Lookup'!C:C,'Icon Lookup'!B:B),"")</f>
        <v/>
      </c>
      <c r="B834" s="21" t="s">
        <v>365</v>
      </c>
      <c r="C834" s="20" t="s">
        <v>17</v>
      </c>
      <c r="D834" s="20">
        <v>29.0</v>
      </c>
      <c r="E834" s="20" t="s">
        <v>366</v>
      </c>
      <c r="G834" s="22"/>
      <c r="H834" s="23" t="s">
        <v>367</v>
      </c>
      <c r="I834" s="20" t="s">
        <v>40</v>
      </c>
      <c r="J834" s="20">
        <v>0.0</v>
      </c>
      <c r="K834" s="20">
        <v>0.0</v>
      </c>
      <c r="L834" s="20">
        <v>0.0</v>
      </c>
      <c r="M834" s="20">
        <v>0.0</v>
      </c>
      <c r="N834" s="20">
        <v>0.0</v>
      </c>
      <c r="O834" s="20">
        <v>0.0</v>
      </c>
      <c r="P834" s="20">
        <v>0.0</v>
      </c>
      <c r="Q834" s="20">
        <v>0.0</v>
      </c>
      <c r="R834" s="20">
        <v>0.0</v>
      </c>
      <c r="S834" s="20">
        <v>0.0</v>
      </c>
      <c r="T834" s="20">
        <v>0.0</v>
      </c>
      <c r="U834" s="20">
        <v>0.0</v>
      </c>
    </row>
    <row r="835" ht="23.25" customHeight="1">
      <c r="A835" s="17" t="str">
        <f>IF(COUNTIF('Icon Lookup'!C:C,B835)&gt;0,LOOKUP(B835,'Icon Lookup'!C:C,'Icon Lookup'!B:B),"")</f>
        <v/>
      </c>
      <c r="B835" s="18" t="s">
        <v>365</v>
      </c>
      <c r="C835" s="17" t="s">
        <v>17</v>
      </c>
      <c r="D835" s="17">
        <v>29.0</v>
      </c>
      <c r="E835" s="17" t="s">
        <v>366</v>
      </c>
      <c r="G835" s="19"/>
      <c r="H835" s="20" t="s">
        <v>587</v>
      </c>
      <c r="I835" s="17" t="s">
        <v>40</v>
      </c>
      <c r="J835" s="17">
        <v>0.0</v>
      </c>
      <c r="K835" s="17">
        <v>0.0</v>
      </c>
      <c r="L835" s="17">
        <v>0.0</v>
      </c>
      <c r="M835" s="17">
        <v>0.0</v>
      </c>
      <c r="N835" s="17">
        <v>0.0</v>
      </c>
      <c r="O835" s="17">
        <v>0.0</v>
      </c>
      <c r="P835" s="17">
        <v>0.0</v>
      </c>
      <c r="Q835" s="17">
        <v>0.0</v>
      </c>
      <c r="R835" s="17">
        <v>0.0</v>
      </c>
      <c r="S835" s="17">
        <v>0.0</v>
      </c>
      <c r="T835" s="17">
        <v>0.0</v>
      </c>
      <c r="U835" s="17">
        <v>0.0</v>
      </c>
    </row>
    <row r="836" ht="23.25" customHeight="1">
      <c r="A836" s="1" t="str">
        <f>IF(COUNTIF('Icon Lookup'!C:C,B836)&gt;0,LOOKUP(B836,'Icon Lookup'!C:C,'Icon Lookup'!B:B),"")</f>
        <v/>
      </c>
      <c r="B836" s="15" t="s">
        <v>1239</v>
      </c>
      <c r="C836" s="1" t="s">
        <v>17</v>
      </c>
      <c r="D836" s="1" t="s">
        <v>1240</v>
      </c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ht="23.25" customHeight="1">
      <c r="A837" s="20" t="str">
        <f>IF(COUNTIF('Icon Lookup'!C:C,B837)&gt;0,LOOKUP(B837,'Icon Lookup'!C:C,'Icon Lookup'!B:B),"")</f>
        <v/>
      </c>
      <c r="B837" s="21" t="s">
        <v>427</v>
      </c>
      <c r="C837" s="20" t="s">
        <v>17</v>
      </c>
      <c r="D837" s="20">
        <v>43.0</v>
      </c>
      <c r="E837" s="20" t="s">
        <v>557</v>
      </c>
      <c r="G837" s="22"/>
      <c r="H837" s="23" t="s">
        <v>1241</v>
      </c>
      <c r="I837" s="20" t="s">
        <v>36</v>
      </c>
      <c r="J837" s="20">
        <v>0.0</v>
      </c>
      <c r="K837" s="20">
        <v>0.0</v>
      </c>
      <c r="L837" s="20">
        <v>0.0</v>
      </c>
      <c r="M837" s="20">
        <v>0.0</v>
      </c>
      <c r="N837" s="20">
        <v>0.0</v>
      </c>
      <c r="O837" s="20">
        <v>0.0</v>
      </c>
      <c r="P837" s="20">
        <v>0.0</v>
      </c>
      <c r="Q837" s="20">
        <v>0.0</v>
      </c>
      <c r="R837" s="20">
        <v>0.0</v>
      </c>
      <c r="S837" s="20">
        <v>0.0</v>
      </c>
      <c r="T837" s="20">
        <v>0.0</v>
      </c>
      <c r="U837" s="20">
        <v>0.0</v>
      </c>
    </row>
    <row r="838" ht="23.25" customHeight="1">
      <c r="A838" s="1" t="str">
        <f>IF(COUNTIF('Icon Lookup'!C:C,B838)&gt;0,LOOKUP(B838,'Icon Lookup'!C:C,'Icon Lookup'!B:B),"")</f>
        <v/>
      </c>
      <c r="B838" s="15" t="s">
        <v>1242</v>
      </c>
      <c r="C838" s="1" t="s">
        <v>17</v>
      </c>
      <c r="D838" s="1" t="s">
        <v>1243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ht="23.25" customHeight="1">
      <c r="A839" s="17" t="str">
        <f>IF(COUNTIF('Icon Lookup'!C:C,B839)&gt;0,LOOKUP(B839,'Icon Lookup'!C:C,'Icon Lookup'!B:B),"")</f>
        <v/>
      </c>
      <c r="B839" s="18" t="s">
        <v>381</v>
      </c>
      <c r="C839" s="17" t="s">
        <v>17</v>
      </c>
      <c r="D839" s="17">
        <v>29.0</v>
      </c>
      <c r="E839" s="17" t="s">
        <v>382</v>
      </c>
      <c r="G839" s="19"/>
      <c r="H839" s="20" t="s">
        <v>1244</v>
      </c>
      <c r="I839" s="17" t="s">
        <v>73</v>
      </c>
      <c r="J839" s="17">
        <v>0.0</v>
      </c>
      <c r="K839" s="17">
        <v>0.0</v>
      </c>
      <c r="L839" s="17">
        <v>0.0</v>
      </c>
      <c r="M839" s="17">
        <v>0.0</v>
      </c>
      <c r="N839" s="17">
        <v>0.0</v>
      </c>
      <c r="O839" s="17">
        <v>0.0</v>
      </c>
      <c r="P839" s="17">
        <v>0.0</v>
      </c>
      <c r="Q839" s="17">
        <v>0.0</v>
      </c>
      <c r="R839" s="17">
        <v>0.0</v>
      </c>
      <c r="S839" s="17">
        <v>0.0</v>
      </c>
      <c r="T839" s="17">
        <v>0.0</v>
      </c>
      <c r="U839" s="17">
        <v>0.0</v>
      </c>
    </row>
    <row r="840" ht="23.25" customHeight="1">
      <c r="A840" s="20" t="str">
        <f>IF(COUNTIF('Icon Lookup'!C:C,B840)&gt;0,LOOKUP(B840,'Icon Lookup'!C:C,'Icon Lookup'!B:B),"")</f>
        <v/>
      </c>
      <c r="B840" s="21" t="s">
        <v>381</v>
      </c>
      <c r="C840" s="20" t="s">
        <v>17</v>
      </c>
      <c r="D840" s="20">
        <v>29.0</v>
      </c>
      <c r="E840" s="20" t="s">
        <v>382</v>
      </c>
      <c r="G840" s="22"/>
      <c r="H840" s="23" t="s">
        <v>604</v>
      </c>
      <c r="I840" s="20" t="s">
        <v>73</v>
      </c>
      <c r="J840" s="20">
        <v>0.0</v>
      </c>
      <c r="K840" s="20">
        <v>0.0</v>
      </c>
      <c r="L840" s="20">
        <v>0.0</v>
      </c>
      <c r="M840" s="20">
        <v>0.0</v>
      </c>
      <c r="N840" s="20">
        <v>0.0</v>
      </c>
      <c r="O840" s="20">
        <v>0.0</v>
      </c>
      <c r="P840" s="20">
        <v>0.0</v>
      </c>
      <c r="Q840" s="20">
        <v>0.0</v>
      </c>
      <c r="R840" s="20">
        <v>0.0</v>
      </c>
      <c r="S840" s="20">
        <v>0.0</v>
      </c>
      <c r="T840" s="20">
        <v>0.0</v>
      </c>
      <c r="U840" s="20">
        <v>0.0</v>
      </c>
    </row>
    <row r="841" ht="23.25" customHeight="1">
      <c r="A841" s="1" t="str">
        <f>IF(COUNTIF('Icon Lookup'!C:C,B841)&gt;0,LOOKUP(B841,'Icon Lookup'!C:C,'Icon Lookup'!B:B),"")</f>
        <v/>
      </c>
      <c r="B841" s="15" t="s">
        <v>1245</v>
      </c>
      <c r="C841" s="1" t="s">
        <v>17</v>
      </c>
      <c r="D841" s="1" t="s">
        <v>1246</v>
      </c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ht="23.25" customHeight="1">
      <c r="A842" s="17" t="str">
        <f>IF(COUNTIF('Icon Lookup'!C:C,B842)&gt;0,LOOKUP(B842,'Icon Lookup'!C:C,'Icon Lookup'!B:B),"")</f>
        <v/>
      </c>
      <c r="B842" s="18" t="s">
        <v>427</v>
      </c>
      <c r="C842" s="17" t="s">
        <v>17</v>
      </c>
      <c r="D842" s="17">
        <v>43.0</v>
      </c>
      <c r="E842" s="17" t="s">
        <v>428</v>
      </c>
      <c r="G842" s="19"/>
      <c r="H842" s="20" t="s">
        <v>652</v>
      </c>
      <c r="I842" s="17" t="s">
        <v>73</v>
      </c>
      <c r="J842" s="17">
        <v>0.0</v>
      </c>
      <c r="K842" s="17">
        <v>0.0</v>
      </c>
      <c r="L842" s="17">
        <v>0.0</v>
      </c>
      <c r="M842" s="17">
        <v>0.0</v>
      </c>
      <c r="N842" s="17">
        <v>0.0</v>
      </c>
      <c r="O842" s="17">
        <v>0.0</v>
      </c>
      <c r="P842" s="17">
        <v>0.0</v>
      </c>
      <c r="Q842" s="17">
        <v>0.0</v>
      </c>
      <c r="R842" s="17">
        <v>0.0</v>
      </c>
      <c r="S842" s="17">
        <v>0.0</v>
      </c>
      <c r="T842" s="17">
        <v>0.0</v>
      </c>
      <c r="U842" s="17">
        <v>0.0</v>
      </c>
    </row>
    <row r="843" ht="23.25" customHeight="1">
      <c r="A843" s="1" t="str">
        <f>IF(COUNTIF('Icon Lookup'!C:C,B843)&gt;0,LOOKUP(B843,'Icon Lookup'!C:C,'Icon Lookup'!B:B),"")</f>
        <v/>
      </c>
      <c r="B843" s="15" t="s">
        <v>1247</v>
      </c>
      <c r="C843" s="1" t="s">
        <v>17</v>
      </c>
      <c r="D843" s="1" t="s">
        <v>1248</v>
      </c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ht="23.25" customHeight="1">
      <c r="A844" s="20" t="str">
        <f>IF(COUNTIF('Icon Lookup'!C:C,B844)&gt;0,LOOKUP(B844,'Icon Lookup'!C:C,'Icon Lookup'!B:B),"")</f>
        <v/>
      </c>
      <c r="B844" s="21" t="s">
        <v>117</v>
      </c>
      <c r="C844" s="20" t="s">
        <v>17</v>
      </c>
      <c r="D844" s="20">
        <v>52.0</v>
      </c>
      <c r="E844" s="20" t="s">
        <v>26</v>
      </c>
      <c r="G844" s="22"/>
      <c r="H844" s="23" t="s">
        <v>1249</v>
      </c>
      <c r="I844" s="20" t="s">
        <v>22</v>
      </c>
      <c r="J844" s="20">
        <v>0.0</v>
      </c>
      <c r="K844" s="20">
        <v>0.0</v>
      </c>
      <c r="L844" s="20">
        <v>0.0</v>
      </c>
      <c r="M844" s="20">
        <v>0.0</v>
      </c>
      <c r="N844" s="20">
        <v>0.0</v>
      </c>
      <c r="O844" s="20">
        <v>0.0</v>
      </c>
      <c r="P844" s="20">
        <v>0.0</v>
      </c>
      <c r="Q844" s="20">
        <v>0.0</v>
      </c>
      <c r="R844" s="20">
        <v>0.0</v>
      </c>
      <c r="S844" s="20">
        <v>0.0</v>
      </c>
      <c r="T844" s="20">
        <v>0.0</v>
      </c>
      <c r="U844" s="20">
        <v>0.0</v>
      </c>
    </row>
    <row r="845" ht="23.25" customHeight="1">
      <c r="A845" s="17" t="str">
        <f>IF(COUNTIF('Icon Lookup'!C:C,B845)&gt;0,LOOKUP(B845,'Icon Lookup'!C:C,'Icon Lookup'!B:B),"")</f>
        <v/>
      </c>
      <c r="B845" s="18" t="s">
        <v>410</v>
      </c>
      <c r="C845" s="17" t="s">
        <v>17</v>
      </c>
      <c r="D845" s="17">
        <v>53.0</v>
      </c>
      <c r="E845" s="17" t="s">
        <v>411</v>
      </c>
      <c r="G845" s="19"/>
      <c r="H845" s="20" t="s">
        <v>1250</v>
      </c>
      <c r="I845" s="17" t="s">
        <v>612</v>
      </c>
      <c r="J845" s="17">
        <v>0.0</v>
      </c>
      <c r="K845" s="17">
        <v>0.0</v>
      </c>
      <c r="L845" s="17">
        <v>0.0</v>
      </c>
      <c r="M845" s="17">
        <v>0.0</v>
      </c>
      <c r="N845" s="17">
        <v>0.0</v>
      </c>
      <c r="O845" s="17">
        <v>0.0</v>
      </c>
      <c r="P845" s="17">
        <v>0.0</v>
      </c>
      <c r="Q845" s="17">
        <v>0.0</v>
      </c>
      <c r="R845" s="17">
        <v>0.0</v>
      </c>
      <c r="S845" s="17">
        <v>0.0</v>
      </c>
      <c r="T845" s="17">
        <v>0.0</v>
      </c>
      <c r="U845" s="17">
        <v>0.0</v>
      </c>
    </row>
    <row r="846" ht="23.25" customHeight="1">
      <c r="A846" s="20" t="str">
        <f>IF(COUNTIF('Icon Lookup'!C:C,B846)&gt;0,LOOKUP(B846,'Icon Lookup'!C:C,'Icon Lookup'!B:B),"")</f>
        <v/>
      </c>
      <c r="B846" s="21" t="s">
        <v>174</v>
      </c>
      <c r="C846" s="20" t="s">
        <v>17</v>
      </c>
      <c r="D846" s="20">
        <v>54.0</v>
      </c>
      <c r="E846" s="20" t="s">
        <v>38</v>
      </c>
      <c r="G846" s="22"/>
      <c r="H846" s="23" t="s">
        <v>1251</v>
      </c>
      <c r="I846" s="20" t="s">
        <v>22</v>
      </c>
      <c r="J846" s="20">
        <v>0.0</v>
      </c>
      <c r="K846" s="20">
        <v>0.0</v>
      </c>
      <c r="L846" s="20">
        <v>0.0</v>
      </c>
      <c r="M846" s="20">
        <v>0.0</v>
      </c>
      <c r="N846" s="20">
        <v>0.0</v>
      </c>
      <c r="O846" s="20">
        <v>0.0</v>
      </c>
      <c r="P846" s="20">
        <v>0.0</v>
      </c>
      <c r="Q846" s="20">
        <v>0.0</v>
      </c>
      <c r="R846" s="20">
        <v>0.0</v>
      </c>
      <c r="S846" s="20">
        <v>0.0</v>
      </c>
      <c r="T846" s="20">
        <v>0.0</v>
      </c>
      <c r="U846" s="20">
        <v>0.0</v>
      </c>
    </row>
    <row r="847" ht="23.25" customHeight="1">
      <c r="A847" s="1" t="str">
        <f>IF(COUNTIF('Icon Lookup'!C:C,B847)&gt;0,LOOKUP(B847,'Icon Lookup'!C:C,'Icon Lookup'!B:B),"")</f>
        <v/>
      </c>
      <c r="B847" s="15" t="s">
        <v>1252</v>
      </c>
      <c r="C847" s="1" t="s">
        <v>17</v>
      </c>
      <c r="D847" s="1" t="s">
        <v>1253</v>
      </c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ht="23.25" customHeight="1">
      <c r="A848" s="17" t="str">
        <f>IF(COUNTIF('Icon Lookup'!C:C,B848)&gt;0,LOOKUP(B848,'Icon Lookup'!C:C,'Icon Lookup'!B:B),"")</f>
        <v/>
      </c>
      <c r="B848" s="18" t="s">
        <v>245</v>
      </c>
      <c r="C848" s="17" t="s">
        <v>17</v>
      </c>
      <c r="D848" s="17">
        <v>22.0</v>
      </c>
      <c r="E848" s="17" t="s">
        <v>218</v>
      </c>
      <c r="G848" s="19"/>
      <c r="H848" s="20" t="s">
        <v>1254</v>
      </c>
      <c r="I848" s="17" t="s">
        <v>105</v>
      </c>
      <c r="J848" s="17">
        <v>0.0</v>
      </c>
      <c r="K848" s="17">
        <v>0.0</v>
      </c>
      <c r="L848" s="17">
        <v>0.0</v>
      </c>
      <c r="M848" s="17">
        <v>0.0</v>
      </c>
      <c r="N848" s="17">
        <v>0.0</v>
      </c>
      <c r="O848" s="17">
        <v>0.0</v>
      </c>
      <c r="P848" s="17">
        <v>0.0</v>
      </c>
      <c r="Q848" s="17">
        <v>0.0</v>
      </c>
      <c r="R848" s="17">
        <v>0.0</v>
      </c>
      <c r="S848" s="17">
        <v>0.0</v>
      </c>
      <c r="T848" s="17">
        <v>0.0</v>
      </c>
      <c r="U848" s="17">
        <v>0.0</v>
      </c>
    </row>
    <row r="849" ht="23.25" customHeight="1">
      <c r="A849" s="1" t="str">
        <f>IF(COUNTIF('Icon Lookup'!C:C,B849)&gt;0,LOOKUP(B849,'Icon Lookup'!C:C,'Icon Lookup'!B:B),"")</f>
        <v/>
      </c>
      <c r="B849" s="15" t="s">
        <v>1255</v>
      </c>
      <c r="C849" s="1" t="s">
        <v>17</v>
      </c>
      <c r="D849" s="1" t="s">
        <v>1256</v>
      </c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ht="23.25" customHeight="1">
      <c r="A850" s="20" t="str">
        <f>IF(COUNTIF('Icon Lookup'!C:C,B850)&gt;0,LOOKUP(B850,'Icon Lookup'!C:C,'Icon Lookup'!B:B),"")</f>
        <v/>
      </c>
      <c r="B850" s="21" t="s">
        <v>97</v>
      </c>
      <c r="C850" s="20" t="s">
        <v>17</v>
      </c>
      <c r="D850" s="20">
        <v>29.0</v>
      </c>
      <c r="E850" s="20" t="s">
        <v>87</v>
      </c>
      <c r="G850" s="22"/>
      <c r="H850" s="23" t="s">
        <v>1257</v>
      </c>
      <c r="I850" s="20" t="s">
        <v>89</v>
      </c>
      <c r="J850" s="20">
        <v>0.0</v>
      </c>
      <c r="K850" s="20">
        <v>0.0</v>
      </c>
      <c r="L850" s="20">
        <v>0.0</v>
      </c>
      <c r="M850" s="20">
        <v>0.0</v>
      </c>
      <c r="N850" s="20">
        <v>0.0</v>
      </c>
      <c r="O850" s="20">
        <v>0.0</v>
      </c>
      <c r="P850" s="20">
        <v>0.0</v>
      </c>
      <c r="Q850" s="20">
        <v>0.0</v>
      </c>
      <c r="R850" s="20">
        <v>0.0</v>
      </c>
      <c r="S850" s="20">
        <v>0.0</v>
      </c>
      <c r="T850" s="20">
        <v>0.0</v>
      </c>
      <c r="U850" s="20">
        <v>0.0</v>
      </c>
    </row>
    <row r="851" ht="23.25" customHeight="1">
      <c r="A851" s="17" t="str">
        <f>IF(COUNTIF('Icon Lookup'!C:C,B851)&gt;0,LOOKUP(B851,'Icon Lookup'!C:C,'Icon Lookup'!B:B),"")</f>
        <v/>
      </c>
      <c r="B851" s="18" t="s">
        <v>97</v>
      </c>
      <c r="C851" s="17" t="s">
        <v>17</v>
      </c>
      <c r="D851" s="17">
        <v>29.0</v>
      </c>
      <c r="E851" s="17" t="s">
        <v>87</v>
      </c>
      <c r="G851" s="19"/>
      <c r="H851" s="20" t="s">
        <v>1258</v>
      </c>
      <c r="I851" s="17" t="s">
        <v>89</v>
      </c>
      <c r="J851" s="17">
        <v>0.0</v>
      </c>
      <c r="K851" s="17">
        <v>0.0</v>
      </c>
      <c r="L851" s="17">
        <v>0.0</v>
      </c>
      <c r="M851" s="17">
        <v>0.0</v>
      </c>
      <c r="N851" s="17">
        <v>0.0</v>
      </c>
      <c r="O851" s="17">
        <v>0.0</v>
      </c>
      <c r="P851" s="17">
        <v>0.0</v>
      </c>
      <c r="Q851" s="17">
        <v>0.0</v>
      </c>
      <c r="R851" s="17">
        <v>0.0</v>
      </c>
      <c r="S851" s="17">
        <v>0.0</v>
      </c>
      <c r="T851" s="17">
        <v>0.0</v>
      </c>
      <c r="U851" s="17">
        <v>0.0</v>
      </c>
    </row>
    <row r="852" ht="23.25" customHeight="1">
      <c r="A852" s="1" t="str">
        <f>IF(COUNTIF('Icon Lookup'!C:C,B852)&gt;0,LOOKUP(B852,'Icon Lookup'!C:C,'Icon Lookup'!B:B),"")</f>
        <v/>
      </c>
      <c r="B852" s="15" t="s">
        <v>1259</v>
      </c>
      <c r="C852" s="1" t="s">
        <v>17</v>
      </c>
      <c r="D852" s="1" t="s">
        <v>1260</v>
      </c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ht="23.25" customHeight="1">
      <c r="A853" s="20" t="str">
        <f>IF(COUNTIF('Icon Lookup'!C:C,B853)&gt;0,LOOKUP(B853,'Icon Lookup'!C:C,'Icon Lookup'!B:B),"")</f>
        <v/>
      </c>
      <c r="B853" s="21" t="s">
        <v>1261</v>
      </c>
      <c r="C853" s="20" t="s">
        <v>17</v>
      </c>
      <c r="D853" s="20">
        <v>17.0</v>
      </c>
      <c r="E853" s="20" t="s">
        <v>525</v>
      </c>
      <c r="G853" s="22"/>
      <c r="H853" s="23" t="s">
        <v>1262</v>
      </c>
      <c r="I853" s="20" t="s">
        <v>211</v>
      </c>
      <c r="J853" s="20">
        <v>0.0</v>
      </c>
      <c r="K853" s="20">
        <v>0.0</v>
      </c>
      <c r="L853" s="20">
        <v>0.0</v>
      </c>
      <c r="M853" s="20">
        <v>0.0</v>
      </c>
      <c r="N853" s="20">
        <v>0.0</v>
      </c>
      <c r="O853" s="20">
        <v>0.0</v>
      </c>
      <c r="P853" s="20">
        <v>0.0</v>
      </c>
      <c r="Q853" s="20">
        <v>0.0</v>
      </c>
      <c r="R853" s="20">
        <v>0.0</v>
      </c>
      <c r="S853" s="20">
        <v>0.0</v>
      </c>
      <c r="T853" s="20">
        <v>0.0</v>
      </c>
      <c r="U853" s="20">
        <v>0.0</v>
      </c>
    </row>
    <row r="854" ht="23.25" customHeight="1">
      <c r="A854" s="1" t="str">
        <f>IF(COUNTIF('Icon Lookup'!C:C,B854)&gt;0,LOOKUP(B854,'Icon Lookup'!C:C,'Icon Lookup'!B:B),"")</f>
        <v/>
      </c>
      <c r="B854" s="15" t="s">
        <v>1263</v>
      </c>
      <c r="C854" s="1" t="s">
        <v>17</v>
      </c>
      <c r="D854" s="1" t="s">
        <v>1264</v>
      </c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ht="23.25" customHeight="1">
      <c r="A855" s="17" t="str">
        <f>IF(COUNTIF('Icon Lookup'!C:C,B855)&gt;0,LOOKUP(B855,'Icon Lookup'!C:C,'Icon Lookup'!B:B),"")</f>
        <v/>
      </c>
      <c r="B855" s="18" t="s">
        <v>381</v>
      </c>
      <c r="C855" s="17" t="s">
        <v>17</v>
      </c>
      <c r="D855" s="17">
        <v>17.0</v>
      </c>
      <c r="E855" s="17" t="s">
        <v>382</v>
      </c>
      <c r="G855" s="19"/>
      <c r="H855" s="20" t="s">
        <v>662</v>
      </c>
      <c r="I855" s="17" t="s">
        <v>94</v>
      </c>
      <c r="J855" s="17">
        <v>0.0</v>
      </c>
      <c r="K855" s="17">
        <v>0.0</v>
      </c>
      <c r="L855" s="17">
        <v>0.0</v>
      </c>
      <c r="M855" s="17">
        <v>0.0</v>
      </c>
      <c r="N855" s="17">
        <v>0.0</v>
      </c>
      <c r="O855" s="17">
        <v>0.0</v>
      </c>
      <c r="P855" s="17">
        <v>0.0</v>
      </c>
      <c r="Q855" s="17">
        <v>0.0</v>
      </c>
      <c r="R855" s="17">
        <v>0.0</v>
      </c>
      <c r="S855" s="17">
        <v>0.0</v>
      </c>
      <c r="T855" s="17">
        <v>0.0</v>
      </c>
      <c r="U855" s="17">
        <v>0.0</v>
      </c>
    </row>
    <row r="856" ht="23.25" customHeight="1">
      <c r="A856" s="1" t="str">
        <f>IF(COUNTIF('Icon Lookup'!C:C,B856)&gt;0,LOOKUP(B856,'Icon Lookup'!C:C,'Icon Lookup'!B:B),"")</f>
        <v/>
      </c>
      <c r="B856" s="15" t="s">
        <v>1265</v>
      </c>
      <c r="C856" s="1" t="s">
        <v>17</v>
      </c>
      <c r="D856" s="1" t="s">
        <v>1266</v>
      </c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ht="23.25" customHeight="1">
      <c r="A857" s="20" t="str">
        <f>IF(COUNTIF('Icon Lookup'!C:C,B857)&gt;0,LOOKUP(B857,'Icon Lookup'!C:C,'Icon Lookup'!B:B),"")</f>
        <v/>
      </c>
      <c r="B857" s="21" t="s">
        <v>70</v>
      </c>
      <c r="C857" s="20" t="s">
        <v>17</v>
      </c>
      <c r="D857" s="20">
        <v>17.0</v>
      </c>
      <c r="E857" s="20" t="s">
        <v>71</v>
      </c>
      <c r="G857" s="22"/>
      <c r="H857" s="23" t="s">
        <v>1267</v>
      </c>
      <c r="I857" s="20" t="s">
        <v>156</v>
      </c>
      <c r="J857" s="20">
        <v>0.0</v>
      </c>
      <c r="K857" s="20">
        <v>0.0</v>
      </c>
      <c r="L857" s="20">
        <v>0.0</v>
      </c>
      <c r="M857" s="20">
        <v>0.0</v>
      </c>
      <c r="N857" s="20">
        <v>0.0</v>
      </c>
      <c r="O857" s="20">
        <v>0.0</v>
      </c>
      <c r="P857" s="20">
        <v>0.0</v>
      </c>
      <c r="Q857" s="20">
        <v>0.0</v>
      </c>
      <c r="R857" s="20">
        <v>0.0</v>
      </c>
      <c r="S857" s="20">
        <v>0.0</v>
      </c>
      <c r="T857" s="20">
        <v>0.0</v>
      </c>
      <c r="U857" s="20">
        <v>0.0</v>
      </c>
    </row>
    <row r="858" ht="23.25" customHeight="1">
      <c r="A858" s="1" t="str">
        <f>IF(COUNTIF('Icon Lookup'!C:C,B858)&gt;0,LOOKUP(B858,'Icon Lookup'!C:C,'Icon Lookup'!B:B),"")</f>
        <v/>
      </c>
      <c r="B858" s="15" t="s">
        <v>1268</v>
      </c>
      <c r="C858" s="1" t="s">
        <v>17</v>
      </c>
      <c r="D858" s="1" t="s">
        <v>1269</v>
      </c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ht="23.25" customHeight="1">
      <c r="A859" s="17" t="str">
        <f>IF(COUNTIF('Icon Lookup'!C:C,B859)&gt;0,LOOKUP(B859,'Icon Lookup'!C:C,'Icon Lookup'!B:B),"")</f>
        <v/>
      </c>
      <c r="B859" s="18" t="s">
        <v>341</v>
      </c>
      <c r="C859" s="17" t="s">
        <v>17</v>
      </c>
      <c r="D859" s="17">
        <v>17.0</v>
      </c>
      <c r="E859" s="17" t="s">
        <v>20</v>
      </c>
      <c r="G859" s="19"/>
      <c r="H859" s="20" t="s">
        <v>1270</v>
      </c>
      <c r="I859" s="17" t="s">
        <v>205</v>
      </c>
      <c r="J859" s="17">
        <v>0.0</v>
      </c>
      <c r="K859" s="17">
        <v>0.0</v>
      </c>
      <c r="L859" s="17">
        <v>0.0</v>
      </c>
      <c r="M859" s="17">
        <v>0.0</v>
      </c>
      <c r="N859" s="17">
        <v>0.0</v>
      </c>
      <c r="O859" s="17">
        <v>0.0</v>
      </c>
      <c r="P859" s="17">
        <v>0.0</v>
      </c>
      <c r="Q859" s="17">
        <v>0.0</v>
      </c>
      <c r="R859" s="17">
        <v>0.0</v>
      </c>
      <c r="S859" s="17">
        <v>0.0</v>
      </c>
      <c r="T859" s="17">
        <v>0.0</v>
      </c>
      <c r="U859" s="17">
        <v>0.0</v>
      </c>
    </row>
    <row r="860" ht="23.25" customHeight="1">
      <c r="A860" s="1" t="str">
        <f>IF(COUNTIF('Icon Lookup'!C:C,B860)&gt;0,LOOKUP(B860,'Icon Lookup'!C:C,'Icon Lookup'!B:B),"")</f>
        <v/>
      </c>
      <c r="B860" s="15" t="s">
        <v>1271</v>
      </c>
      <c r="C860" s="1" t="s">
        <v>17</v>
      </c>
      <c r="D860" s="1" t="s">
        <v>1272</v>
      </c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ht="23.25" customHeight="1">
      <c r="A861" s="20" t="str">
        <f>IF(COUNTIF('Icon Lookup'!C:C,B861)&gt;0,LOOKUP(B861,'Icon Lookup'!C:C,'Icon Lookup'!B:B),"")</f>
        <v/>
      </c>
      <c r="B861" s="21" t="s">
        <v>136</v>
      </c>
      <c r="C861" s="20" t="s">
        <v>17</v>
      </c>
      <c r="D861" s="20">
        <v>15.0</v>
      </c>
      <c r="E861" s="20" t="s">
        <v>137</v>
      </c>
      <c r="G861" s="22"/>
      <c r="H861" s="23" t="s">
        <v>1273</v>
      </c>
      <c r="I861" s="20" t="s">
        <v>265</v>
      </c>
      <c r="J861" s="20">
        <v>0.0</v>
      </c>
      <c r="K861" s="20">
        <v>0.0</v>
      </c>
      <c r="L861" s="20">
        <v>0.0</v>
      </c>
      <c r="M861" s="20">
        <v>0.0</v>
      </c>
      <c r="N861" s="20">
        <v>0.0</v>
      </c>
      <c r="O861" s="20">
        <v>0.0</v>
      </c>
      <c r="P861" s="20">
        <v>0.0</v>
      </c>
      <c r="Q861" s="20">
        <v>0.0</v>
      </c>
      <c r="R861" s="20">
        <v>0.0</v>
      </c>
      <c r="S861" s="20">
        <v>0.0</v>
      </c>
      <c r="T861" s="20">
        <v>0.0</v>
      </c>
      <c r="U861" s="20">
        <v>0.0</v>
      </c>
    </row>
    <row r="862" ht="23.25" customHeight="1">
      <c r="A862" s="17" t="str">
        <f>IF(COUNTIF('Icon Lookup'!C:C,B862)&gt;0,LOOKUP(B862,'Icon Lookup'!C:C,'Icon Lookup'!B:B),"")</f>
        <v/>
      </c>
      <c r="B862" s="18" t="s">
        <v>245</v>
      </c>
      <c r="C862" s="17" t="s">
        <v>17</v>
      </c>
      <c r="D862" s="17">
        <v>15.0</v>
      </c>
      <c r="E862" s="17" t="s">
        <v>218</v>
      </c>
      <c r="G862" s="19"/>
      <c r="H862" s="20" t="s">
        <v>1274</v>
      </c>
      <c r="I862" s="17" t="s">
        <v>105</v>
      </c>
      <c r="J862" s="17">
        <v>0.0</v>
      </c>
      <c r="K862" s="17">
        <v>0.0</v>
      </c>
      <c r="L862" s="17">
        <v>0.0</v>
      </c>
      <c r="M862" s="17">
        <v>0.0</v>
      </c>
      <c r="N862" s="17">
        <v>0.0</v>
      </c>
      <c r="O862" s="17">
        <v>0.0</v>
      </c>
      <c r="P862" s="17">
        <v>0.0</v>
      </c>
      <c r="Q862" s="17">
        <v>0.0</v>
      </c>
      <c r="R862" s="17">
        <v>0.0</v>
      </c>
      <c r="S862" s="17">
        <v>0.0</v>
      </c>
      <c r="T862" s="17">
        <v>0.0</v>
      </c>
      <c r="U862" s="17">
        <v>0.0</v>
      </c>
    </row>
    <row r="863" ht="23.25" customHeight="1">
      <c r="A863" s="1" t="str">
        <f>IF(COUNTIF('Icon Lookup'!C:C,B863)&gt;0,LOOKUP(B863,'Icon Lookup'!C:C,'Icon Lookup'!B:B),"")</f>
        <v/>
      </c>
      <c r="B863" s="15" t="s">
        <v>1275</v>
      </c>
      <c r="C863" s="1" t="s">
        <v>17</v>
      </c>
      <c r="D863" s="1" t="s">
        <v>1276</v>
      </c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ht="23.25" customHeight="1">
      <c r="A864" s="20" t="str">
        <f>IF(COUNTIF('Icon Lookup'!C:C,B864)&gt;0,LOOKUP(B864,'Icon Lookup'!C:C,'Icon Lookup'!B:B),"")</f>
        <v/>
      </c>
      <c r="B864" s="21" t="s">
        <v>582</v>
      </c>
      <c r="C864" s="20" t="s">
        <v>17</v>
      </c>
      <c r="D864" s="20">
        <v>34.0</v>
      </c>
      <c r="E864" s="20" t="s">
        <v>166</v>
      </c>
      <c r="G864" s="22"/>
      <c r="H864" s="23" t="s">
        <v>1277</v>
      </c>
      <c r="I864" s="20" t="s">
        <v>73</v>
      </c>
      <c r="J864" s="20">
        <v>0.0</v>
      </c>
      <c r="K864" s="20">
        <v>0.0</v>
      </c>
      <c r="L864" s="20">
        <v>0.0</v>
      </c>
      <c r="M864" s="20">
        <v>0.0</v>
      </c>
      <c r="N864" s="20">
        <v>0.0</v>
      </c>
      <c r="O864" s="20">
        <v>0.0</v>
      </c>
      <c r="P864" s="20">
        <v>0.0</v>
      </c>
      <c r="Q864" s="20">
        <v>0.0</v>
      </c>
      <c r="R864" s="20">
        <v>0.0</v>
      </c>
      <c r="S864" s="20">
        <v>0.0</v>
      </c>
      <c r="T864" s="20">
        <v>0.0</v>
      </c>
      <c r="U864" s="20">
        <v>0.0</v>
      </c>
    </row>
    <row r="865" ht="23.25" customHeight="1">
      <c r="A865" s="1" t="str">
        <f>IF(COUNTIF('Icon Lookup'!C:C,B865)&gt;0,LOOKUP(B865,'Icon Lookup'!C:C,'Icon Lookup'!B:B),"")</f>
        <v/>
      </c>
      <c r="B865" s="15" t="s">
        <v>1278</v>
      </c>
      <c r="C865" s="1" t="s">
        <v>17</v>
      </c>
      <c r="D865" s="1" t="s">
        <v>1279</v>
      </c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ht="23.25" customHeight="1">
      <c r="A866" s="17" t="str">
        <f>IF(COUNTIF('Icon Lookup'!C:C,B866)&gt;0,LOOKUP(B866,'Icon Lookup'!C:C,'Icon Lookup'!B:B),"")</f>
        <v/>
      </c>
      <c r="B866" s="18" t="s">
        <v>1280</v>
      </c>
      <c r="C866" s="17" t="s">
        <v>17</v>
      </c>
      <c r="D866" s="17">
        <v>53.0</v>
      </c>
      <c r="E866" s="17" t="s">
        <v>719</v>
      </c>
      <c r="G866" s="19"/>
      <c r="H866" s="20" t="s">
        <v>1281</v>
      </c>
      <c r="I866" s="17" t="s">
        <v>197</v>
      </c>
      <c r="J866" s="17">
        <v>0.0</v>
      </c>
      <c r="K866" s="17">
        <v>0.0</v>
      </c>
      <c r="L866" s="17">
        <v>0.0</v>
      </c>
      <c r="M866" s="17">
        <v>0.0</v>
      </c>
      <c r="N866" s="17">
        <v>0.0</v>
      </c>
      <c r="O866" s="17">
        <v>0.0</v>
      </c>
      <c r="P866" s="17">
        <v>0.0</v>
      </c>
      <c r="Q866" s="17">
        <v>0.0</v>
      </c>
      <c r="R866" s="17">
        <v>0.0</v>
      </c>
      <c r="S866" s="17">
        <v>0.0</v>
      </c>
      <c r="T866" s="17">
        <v>0.0</v>
      </c>
      <c r="U866" s="17">
        <v>0.0</v>
      </c>
    </row>
    <row r="867" ht="23.25" customHeight="1">
      <c r="A867" s="20" t="str">
        <f>IF(COUNTIF('Icon Lookup'!C:C,B867)&gt;0,LOOKUP(B867,'Icon Lookup'!C:C,'Icon Lookup'!B:B),"")</f>
        <v/>
      </c>
      <c r="B867" s="21" t="s">
        <v>718</v>
      </c>
      <c r="C867" s="20" t="s">
        <v>17</v>
      </c>
      <c r="D867" s="20">
        <v>57.0</v>
      </c>
      <c r="E867" s="20" t="s">
        <v>719</v>
      </c>
      <c r="G867" s="22"/>
      <c r="H867" s="23" t="s">
        <v>720</v>
      </c>
      <c r="I867" s="20" t="s">
        <v>197</v>
      </c>
      <c r="J867" s="20">
        <v>0.0</v>
      </c>
      <c r="K867" s="20">
        <v>0.0</v>
      </c>
      <c r="L867" s="20">
        <v>0.0</v>
      </c>
      <c r="M867" s="20">
        <v>0.0</v>
      </c>
      <c r="N867" s="20">
        <v>0.0</v>
      </c>
      <c r="O867" s="20">
        <v>0.0</v>
      </c>
      <c r="P867" s="20">
        <v>0.0</v>
      </c>
      <c r="Q867" s="20">
        <v>0.0</v>
      </c>
      <c r="R867" s="20">
        <v>0.0</v>
      </c>
      <c r="S867" s="20">
        <v>0.0</v>
      </c>
      <c r="T867" s="20">
        <v>0.0</v>
      </c>
      <c r="U867" s="20">
        <v>0.0</v>
      </c>
    </row>
    <row r="868" ht="23.25" customHeight="1">
      <c r="A868" s="1" t="str">
        <f>IF(COUNTIF('Icon Lookup'!C:C,B868)&gt;0,LOOKUP(B868,'Icon Lookup'!C:C,'Icon Lookup'!B:B),"")</f>
        <v/>
      </c>
      <c r="B868" s="15" t="s">
        <v>1282</v>
      </c>
      <c r="C868" s="1" t="s">
        <v>17</v>
      </c>
      <c r="D868" s="1" t="s">
        <v>1283</v>
      </c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ht="23.25" customHeight="1">
      <c r="A869" s="17" t="str">
        <f>IF(COUNTIF('Icon Lookup'!C:C,B869)&gt;0,LOOKUP(B869,'Icon Lookup'!C:C,'Icon Lookup'!B:B),"")</f>
        <v/>
      </c>
      <c r="B869" s="18" t="s">
        <v>86</v>
      </c>
      <c r="C869" s="17" t="s">
        <v>17</v>
      </c>
      <c r="D869" s="17">
        <v>14.0</v>
      </c>
      <c r="E869" s="17" t="s">
        <v>87</v>
      </c>
      <c r="G869" s="19"/>
      <c r="H869" s="20" t="s">
        <v>1284</v>
      </c>
      <c r="I869" s="17" t="s">
        <v>211</v>
      </c>
      <c r="J869" s="17">
        <v>0.0</v>
      </c>
      <c r="K869" s="17">
        <v>0.0</v>
      </c>
      <c r="L869" s="17">
        <v>0.0</v>
      </c>
      <c r="M869" s="17">
        <v>0.0</v>
      </c>
      <c r="N869" s="17">
        <v>0.0</v>
      </c>
      <c r="O869" s="17">
        <v>0.0</v>
      </c>
      <c r="P869" s="17">
        <v>0.0</v>
      </c>
      <c r="Q869" s="17">
        <v>0.0</v>
      </c>
      <c r="R869" s="17">
        <v>0.0</v>
      </c>
      <c r="S869" s="17">
        <v>0.0</v>
      </c>
      <c r="T869" s="17">
        <v>0.0</v>
      </c>
      <c r="U869" s="17">
        <v>0.0</v>
      </c>
    </row>
    <row r="870" ht="23.25" customHeight="1">
      <c r="A870" s="1" t="str">
        <f>IF(COUNTIF('Icon Lookup'!C:C,B870)&gt;0,LOOKUP(B870,'Icon Lookup'!C:C,'Icon Lookup'!B:B),"")</f>
        <v/>
      </c>
      <c r="B870" s="15" t="s">
        <v>1285</v>
      </c>
      <c r="C870" s="1" t="s">
        <v>17</v>
      </c>
      <c r="D870" s="1" t="s">
        <v>1286</v>
      </c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ht="23.25" customHeight="1">
      <c r="A871" s="20" t="str">
        <f>IF(COUNTIF('Icon Lookup'!C:C,B871)&gt;0,LOOKUP(B871,'Icon Lookup'!C:C,'Icon Lookup'!B:B),"")</f>
        <v/>
      </c>
      <c r="B871" s="21" t="s">
        <v>225</v>
      </c>
      <c r="C871" s="20" t="s">
        <v>17</v>
      </c>
      <c r="D871" s="20">
        <v>31.0</v>
      </c>
      <c r="E871" s="20" t="s">
        <v>26</v>
      </c>
      <c r="G871" s="22"/>
      <c r="H871" s="23" t="s">
        <v>1287</v>
      </c>
      <c r="I871" s="20" t="s">
        <v>36</v>
      </c>
      <c r="J871" s="20">
        <v>0.0</v>
      </c>
      <c r="K871" s="20">
        <v>0.0</v>
      </c>
      <c r="L871" s="20">
        <v>0.0</v>
      </c>
      <c r="M871" s="20">
        <v>0.0</v>
      </c>
      <c r="N871" s="20">
        <v>0.0</v>
      </c>
      <c r="O871" s="20">
        <v>0.0</v>
      </c>
      <c r="P871" s="20">
        <v>0.0</v>
      </c>
      <c r="Q871" s="20">
        <v>0.0</v>
      </c>
      <c r="R871" s="20">
        <v>0.0</v>
      </c>
      <c r="S871" s="20">
        <v>0.0</v>
      </c>
      <c r="T871" s="20">
        <v>0.0</v>
      </c>
      <c r="U871" s="20">
        <v>0.0</v>
      </c>
    </row>
    <row r="872" ht="23.25" customHeight="1">
      <c r="A872" s="17" t="str">
        <f>IF(COUNTIF('Icon Lookup'!C:C,B872)&gt;0,LOOKUP(B872,'Icon Lookup'!C:C,'Icon Lookup'!B:B),"")</f>
        <v/>
      </c>
      <c r="B872" s="18" t="s">
        <v>1017</v>
      </c>
      <c r="C872" s="17" t="s">
        <v>17</v>
      </c>
      <c r="D872" s="17">
        <v>31.0</v>
      </c>
      <c r="E872" s="17" t="s">
        <v>1018</v>
      </c>
      <c r="G872" s="19"/>
      <c r="H872" s="20" t="s">
        <v>1288</v>
      </c>
      <c r="I872" s="17" t="s">
        <v>46</v>
      </c>
      <c r="J872" s="17">
        <v>0.0</v>
      </c>
      <c r="K872" s="17">
        <v>0.0</v>
      </c>
      <c r="L872" s="17">
        <v>0.0</v>
      </c>
      <c r="M872" s="17">
        <v>0.0</v>
      </c>
      <c r="N872" s="17">
        <v>0.0</v>
      </c>
      <c r="O872" s="17">
        <v>0.0</v>
      </c>
      <c r="P872" s="17">
        <v>0.0</v>
      </c>
      <c r="Q872" s="17">
        <v>0.0</v>
      </c>
      <c r="R872" s="17">
        <v>0.0</v>
      </c>
      <c r="S872" s="17">
        <v>0.0</v>
      </c>
      <c r="T872" s="17">
        <v>0.0</v>
      </c>
      <c r="U872" s="17">
        <v>0.0</v>
      </c>
    </row>
    <row r="873" ht="23.25" customHeight="1">
      <c r="A873" s="1" t="str">
        <f>IF(COUNTIF('Icon Lookup'!C:C,B873)&gt;0,LOOKUP(B873,'Icon Lookup'!C:C,'Icon Lookup'!B:B),"")</f>
        <v/>
      </c>
      <c r="B873" s="15" t="s">
        <v>1289</v>
      </c>
      <c r="C873" s="1" t="s">
        <v>17</v>
      </c>
      <c r="D873" s="1" t="s">
        <v>1290</v>
      </c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ht="23.25" customHeight="1">
      <c r="A874" s="20" t="str">
        <f>IF(COUNTIF('Icon Lookup'!C:C,B874)&gt;0,LOOKUP(B874,'Icon Lookup'!C:C,'Icon Lookup'!B:B),"")</f>
        <v/>
      </c>
      <c r="B874" s="21" t="s">
        <v>691</v>
      </c>
      <c r="C874" s="20" t="s">
        <v>17</v>
      </c>
      <c r="D874" s="20">
        <v>13.0</v>
      </c>
      <c r="E874" s="20" t="s">
        <v>58</v>
      </c>
      <c r="G874" s="22"/>
      <c r="H874" s="23" t="s">
        <v>1291</v>
      </c>
      <c r="I874" s="20" t="s">
        <v>46</v>
      </c>
      <c r="J874" s="20">
        <v>0.0</v>
      </c>
      <c r="K874" s="20">
        <v>0.0</v>
      </c>
      <c r="L874" s="20">
        <v>0.0</v>
      </c>
      <c r="M874" s="20">
        <v>0.0</v>
      </c>
      <c r="N874" s="20">
        <v>0.0</v>
      </c>
      <c r="O874" s="20">
        <v>0.0</v>
      </c>
      <c r="P874" s="20">
        <v>0.0</v>
      </c>
      <c r="Q874" s="20">
        <v>0.0</v>
      </c>
      <c r="R874" s="20">
        <v>0.0</v>
      </c>
      <c r="S874" s="20">
        <v>0.0</v>
      </c>
      <c r="T874" s="20">
        <v>0.0</v>
      </c>
      <c r="U874" s="20">
        <v>0.0</v>
      </c>
    </row>
    <row r="875" ht="23.25" customHeight="1">
      <c r="A875" s="17" t="str">
        <f>IF(COUNTIF('Icon Lookup'!C:C,B875)&gt;0,LOOKUP(B875,'Icon Lookup'!C:C,'Icon Lookup'!B:B),"")</f>
        <v/>
      </c>
      <c r="B875" s="18" t="s">
        <v>293</v>
      </c>
      <c r="C875" s="17" t="s">
        <v>17</v>
      </c>
      <c r="D875" s="17">
        <v>17.0</v>
      </c>
      <c r="E875" s="17" t="s">
        <v>61</v>
      </c>
      <c r="G875" s="19"/>
      <c r="H875" s="20" t="s">
        <v>1292</v>
      </c>
      <c r="I875" s="17" t="s">
        <v>40</v>
      </c>
      <c r="J875" s="17">
        <v>0.0</v>
      </c>
      <c r="K875" s="17">
        <v>0.0</v>
      </c>
      <c r="L875" s="17">
        <v>0.0</v>
      </c>
      <c r="M875" s="17">
        <v>0.0</v>
      </c>
      <c r="N875" s="17">
        <v>0.0</v>
      </c>
      <c r="O875" s="17">
        <v>0.0</v>
      </c>
      <c r="P875" s="17">
        <v>0.0</v>
      </c>
      <c r="Q875" s="17">
        <v>0.0</v>
      </c>
      <c r="R875" s="17">
        <v>0.0</v>
      </c>
      <c r="S875" s="17">
        <v>0.0</v>
      </c>
      <c r="T875" s="17">
        <v>0.0</v>
      </c>
      <c r="U875" s="17">
        <v>0.0</v>
      </c>
    </row>
    <row r="876" ht="23.25" customHeight="1">
      <c r="A876" s="1" t="str">
        <f>IF(COUNTIF('Icon Lookup'!C:C,B876)&gt;0,LOOKUP(B876,'Icon Lookup'!C:C,'Icon Lookup'!B:B),"")</f>
        <v/>
      </c>
      <c r="B876" s="15" t="s">
        <v>1293</v>
      </c>
      <c r="C876" s="1" t="s">
        <v>17</v>
      </c>
      <c r="D876" s="1" t="s">
        <v>1294</v>
      </c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ht="23.25" customHeight="1">
      <c r="A877" s="20" t="str">
        <f>IF(COUNTIF('Icon Lookup'!C:C,B877)&gt;0,LOOKUP(B877,'Icon Lookup'!C:C,'Icon Lookup'!B:B),"")</f>
        <v/>
      </c>
      <c r="B877" s="21" t="s">
        <v>271</v>
      </c>
      <c r="C877" s="20" t="s">
        <v>17</v>
      </c>
      <c r="D877" s="20">
        <v>15.0</v>
      </c>
      <c r="E877" s="20" t="s">
        <v>44</v>
      </c>
      <c r="G877" s="22"/>
      <c r="H877" s="23" t="s">
        <v>1295</v>
      </c>
      <c r="I877" s="20" t="s">
        <v>46</v>
      </c>
      <c r="J877" s="20">
        <v>0.0</v>
      </c>
      <c r="K877" s="20">
        <v>0.0</v>
      </c>
      <c r="L877" s="20">
        <v>0.0</v>
      </c>
      <c r="M877" s="20">
        <v>0.0</v>
      </c>
      <c r="N877" s="20">
        <v>0.0</v>
      </c>
      <c r="O877" s="20">
        <v>0.0</v>
      </c>
      <c r="P877" s="20">
        <v>0.0</v>
      </c>
      <c r="Q877" s="20">
        <v>0.0</v>
      </c>
      <c r="R877" s="20">
        <v>0.0</v>
      </c>
      <c r="S877" s="20">
        <v>0.0</v>
      </c>
      <c r="T877" s="20">
        <v>0.0</v>
      </c>
      <c r="U877" s="20">
        <v>0.0</v>
      </c>
    </row>
    <row r="878" ht="23.25" customHeight="1">
      <c r="A878" s="17" t="str">
        <f>IF(COUNTIF('Icon Lookup'!C:C,B878)&gt;0,LOOKUP(B878,'Icon Lookup'!C:C,'Icon Lookup'!B:B),"")</f>
        <v/>
      </c>
      <c r="B878" s="18" t="s">
        <v>25</v>
      </c>
      <c r="C878" s="17" t="s">
        <v>17</v>
      </c>
      <c r="D878" s="17">
        <v>15.0</v>
      </c>
      <c r="E878" s="17" t="s">
        <v>26</v>
      </c>
      <c r="G878" s="19"/>
      <c r="H878" s="20" t="s">
        <v>1296</v>
      </c>
      <c r="I878" s="17" t="s">
        <v>36</v>
      </c>
      <c r="J878" s="17">
        <v>0.0</v>
      </c>
      <c r="K878" s="17">
        <v>0.0</v>
      </c>
      <c r="L878" s="17">
        <v>0.0</v>
      </c>
      <c r="M878" s="17">
        <v>0.0</v>
      </c>
      <c r="N878" s="17">
        <v>0.0</v>
      </c>
      <c r="O878" s="17">
        <v>0.0</v>
      </c>
      <c r="P878" s="17">
        <v>0.0</v>
      </c>
      <c r="Q878" s="17">
        <v>0.0</v>
      </c>
      <c r="R878" s="17">
        <v>0.0</v>
      </c>
      <c r="S878" s="17">
        <v>0.0</v>
      </c>
      <c r="T878" s="17">
        <v>0.0</v>
      </c>
      <c r="U878" s="17">
        <v>0.0</v>
      </c>
    </row>
    <row r="879" ht="23.25" customHeight="1">
      <c r="A879" s="1" t="str">
        <f>IF(COUNTIF('Icon Lookup'!C:C,B879)&gt;0,LOOKUP(B879,'Icon Lookup'!C:C,'Icon Lookup'!B:B),"")</f>
        <v/>
      </c>
      <c r="B879" s="15" t="s">
        <v>1297</v>
      </c>
      <c r="C879" s="1" t="s">
        <v>17</v>
      </c>
      <c r="D879" s="1" t="s">
        <v>1298</v>
      </c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ht="23.25" customHeight="1">
      <c r="A880" s="20" t="str">
        <f>IF(COUNTIF('Icon Lookup'!C:C,B880)&gt;0,LOOKUP(B880,'Icon Lookup'!C:C,'Icon Lookup'!B:B),"")</f>
        <v/>
      </c>
      <c r="B880" s="21" t="s">
        <v>86</v>
      </c>
      <c r="C880" s="20" t="s">
        <v>17</v>
      </c>
      <c r="D880" s="20">
        <v>18.0</v>
      </c>
      <c r="E880" s="20" t="s">
        <v>87</v>
      </c>
      <c r="G880" s="22"/>
      <c r="H880" s="23" t="s">
        <v>1299</v>
      </c>
      <c r="I880" s="20" t="s">
        <v>89</v>
      </c>
      <c r="J880" s="20">
        <v>0.0</v>
      </c>
      <c r="K880" s="20">
        <v>0.0</v>
      </c>
      <c r="L880" s="20">
        <v>0.0</v>
      </c>
      <c r="M880" s="20">
        <v>0.0</v>
      </c>
      <c r="N880" s="20">
        <v>0.0</v>
      </c>
      <c r="O880" s="20">
        <v>0.0</v>
      </c>
      <c r="P880" s="20">
        <v>0.0</v>
      </c>
      <c r="Q880" s="20">
        <v>0.0</v>
      </c>
      <c r="R880" s="20">
        <v>0.0</v>
      </c>
      <c r="S880" s="20">
        <v>0.0</v>
      </c>
      <c r="T880" s="20">
        <v>0.0</v>
      </c>
      <c r="U880" s="20">
        <v>0.0</v>
      </c>
    </row>
    <row r="881" ht="23.25" customHeight="1">
      <c r="A881" s="17" t="str">
        <f>IF(COUNTIF('Icon Lookup'!C:C,B881)&gt;0,LOOKUP(B881,'Icon Lookup'!C:C,'Icon Lookup'!B:B),"")</f>
        <v/>
      </c>
      <c r="B881" s="18" t="s">
        <v>86</v>
      </c>
      <c r="C881" s="17" t="s">
        <v>17</v>
      </c>
      <c r="D881" s="17">
        <v>17.0</v>
      </c>
      <c r="E881" s="17" t="s">
        <v>87</v>
      </c>
      <c r="G881" s="19"/>
      <c r="H881" s="20" t="s">
        <v>1300</v>
      </c>
      <c r="I881" s="17" t="s">
        <v>89</v>
      </c>
      <c r="J881" s="17">
        <v>0.0</v>
      </c>
      <c r="K881" s="17">
        <v>0.0</v>
      </c>
      <c r="L881" s="17">
        <v>0.0</v>
      </c>
      <c r="M881" s="17">
        <v>0.0</v>
      </c>
      <c r="N881" s="17">
        <v>0.0</v>
      </c>
      <c r="O881" s="17">
        <v>0.0</v>
      </c>
      <c r="P881" s="17">
        <v>0.0</v>
      </c>
      <c r="Q881" s="17">
        <v>0.0</v>
      </c>
      <c r="R881" s="17">
        <v>0.0</v>
      </c>
      <c r="S881" s="17">
        <v>0.0</v>
      </c>
      <c r="T881" s="17">
        <v>0.0</v>
      </c>
      <c r="U881" s="17">
        <v>0.0</v>
      </c>
    </row>
    <row r="882" ht="23.25" customHeight="1">
      <c r="A882" s="20" t="str">
        <f>IF(COUNTIF('Icon Lookup'!C:C,B882)&gt;0,LOOKUP(B882,'Icon Lookup'!C:C,'Icon Lookup'!B:B),"")</f>
        <v/>
      </c>
      <c r="B882" s="21" t="s">
        <v>86</v>
      </c>
      <c r="C882" s="20" t="s">
        <v>17</v>
      </c>
      <c r="D882" s="20">
        <v>19.0</v>
      </c>
      <c r="E882" s="20" t="s">
        <v>87</v>
      </c>
      <c r="G882" s="22"/>
      <c r="H882" s="23" t="s">
        <v>1301</v>
      </c>
      <c r="I882" s="20" t="s">
        <v>89</v>
      </c>
      <c r="J882" s="20">
        <v>0.0</v>
      </c>
      <c r="K882" s="20">
        <v>0.0</v>
      </c>
      <c r="L882" s="20">
        <v>0.0</v>
      </c>
      <c r="M882" s="20">
        <v>0.0</v>
      </c>
      <c r="N882" s="20">
        <v>0.0</v>
      </c>
      <c r="O882" s="20">
        <v>0.0</v>
      </c>
      <c r="P882" s="20">
        <v>0.0</v>
      </c>
      <c r="Q882" s="20">
        <v>0.0</v>
      </c>
      <c r="R882" s="20">
        <v>0.0</v>
      </c>
      <c r="S882" s="20">
        <v>0.0</v>
      </c>
      <c r="T882" s="20">
        <v>0.0</v>
      </c>
      <c r="U882" s="20">
        <v>0.0</v>
      </c>
    </row>
    <row r="883" ht="23.25" customHeight="1">
      <c r="A883" s="1" t="str">
        <f>IF(COUNTIF('Icon Lookup'!C:C,B883)&gt;0,LOOKUP(B883,'Icon Lookup'!C:C,'Icon Lookup'!B:B),"")</f>
        <v/>
      </c>
      <c r="B883" s="15" t="s">
        <v>1302</v>
      </c>
      <c r="C883" s="1" t="s">
        <v>17</v>
      </c>
      <c r="D883" s="1" t="s">
        <v>1303</v>
      </c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ht="23.25" customHeight="1">
      <c r="A884" s="17" t="str">
        <f>IF(COUNTIF('Icon Lookup'!C:C,B884)&gt;0,LOOKUP(B884,'Icon Lookup'!C:C,'Icon Lookup'!B:B),"")</f>
        <v/>
      </c>
      <c r="B884" s="18" t="s">
        <v>271</v>
      </c>
      <c r="C884" s="17" t="s">
        <v>17</v>
      </c>
      <c r="D884" s="17">
        <v>21.0</v>
      </c>
      <c r="E884" s="17" t="s">
        <v>44</v>
      </c>
      <c r="G884" s="19"/>
      <c r="H884" s="20" t="s">
        <v>1304</v>
      </c>
      <c r="I884" s="17" t="s">
        <v>89</v>
      </c>
      <c r="J884" s="17">
        <v>0.0</v>
      </c>
      <c r="K884" s="17">
        <v>0.0</v>
      </c>
      <c r="L884" s="17">
        <v>0.0</v>
      </c>
      <c r="M884" s="17">
        <v>0.0</v>
      </c>
      <c r="N884" s="17">
        <v>0.0</v>
      </c>
      <c r="O884" s="17">
        <v>0.0</v>
      </c>
      <c r="P884" s="17">
        <v>0.0</v>
      </c>
      <c r="Q884" s="17">
        <v>0.0</v>
      </c>
      <c r="R884" s="17">
        <v>0.0</v>
      </c>
      <c r="S884" s="17">
        <v>0.0</v>
      </c>
      <c r="T884" s="17">
        <v>0.0</v>
      </c>
      <c r="U884" s="17">
        <v>0.0</v>
      </c>
    </row>
    <row r="885" ht="23.25" customHeight="1">
      <c r="A885" s="20" t="str">
        <f>IF(COUNTIF('Icon Lookup'!C:C,B885)&gt;0,LOOKUP(B885,'Icon Lookup'!C:C,'Icon Lookup'!B:B),"")</f>
        <v/>
      </c>
      <c r="B885" s="21" t="s">
        <v>271</v>
      </c>
      <c r="C885" s="20" t="s">
        <v>17</v>
      </c>
      <c r="D885" s="20">
        <v>21.0</v>
      </c>
      <c r="E885" s="20" t="s">
        <v>44</v>
      </c>
      <c r="G885" s="22"/>
      <c r="H885" s="23" t="s">
        <v>1305</v>
      </c>
      <c r="I885" s="20" t="s">
        <v>89</v>
      </c>
      <c r="J885" s="20">
        <v>0.0</v>
      </c>
      <c r="K885" s="20">
        <v>0.0</v>
      </c>
      <c r="L885" s="20">
        <v>0.0</v>
      </c>
      <c r="M885" s="20">
        <v>0.0</v>
      </c>
      <c r="N885" s="20">
        <v>0.0</v>
      </c>
      <c r="O885" s="20">
        <v>0.0</v>
      </c>
      <c r="P885" s="20">
        <v>0.0</v>
      </c>
      <c r="Q885" s="20">
        <v>0.0</v>
      </c>
      <c r="R885" s="20">
        <v>0.0</v>
      </c>
      <c r="S885" s="20">
        <v>0.0</v>
      </c>
      <c r="T885" s="20">
        <v>0.0</v>
      </c>
      <c r="U885" s="20">
        <v>0.0</v>
      </c>
    </row>
    <row r="886" ht="23.25" customHeight="1">
      <c r="A886" s="17" t="str">
        <f>IF(COUNTIF('Icon Lookup'!C:C,B886)&gt;0,LOOKUP(B886,'Icon Lookup'!C:C,'Icon Lookup'!B:B),"")</f>
        <v/>
      </c>
      <c r="B886" s="18" t="s">
        <v>271</v>
      </c>
      <c r="C886" s="17" t="s">
        <v>17</v>
      </c>
      <c r="D886" s="17">
        <v>24.0</v>
      </c>
      <c r="E886" s="17" t="s">
        <v>44</v>
      </c>
      <c r="G886" s="19"/>
      <c r="H886" s="20" t="s">
        <v>581</v>
      </c>
      <c r="I886" s="17" t="s">
        <v>89</v>
      </c>
      <c r="J886" s="17">
        <v>0.0</v>
      </c>
      <c r="K886" s="17">
        <v>0.0</v>
      </c>
      <c r="L886" s="17">
        <v>0.0</v>
      </c>
      <c r="M886" s="17">
        <v>0.0</v>
      </c>
      <c r="N886" s="17">
        <v>0.0</v>
      </c>
      <c r="O886" s="17">
        <v>0.0</v>
      </c>
      <c r="P886" s="17">
        <v>0.0</v>
      </c>
      <c r="Q886" s="17">
        <v>0.0</v>
      </c>
      <c r="R886" s="17">
        <v>0.0</v>
      </c>
      <c r="S886" s="17">
        <v>0.0</v>
      </c>
      <c r="T886" s="17">
        <v>0.0</v>
      </c>
      <c r="U886" s="17">
        <v>0.0</v>
      </c>
    </row>
    <row r="887" ht="23.25" customHeight="1">
      <c r="A887" s="1" t="str">
        <f>IF(COUNTIF('Icon Lookup'!C:C,B887)&gt;0,LOOKUP(B887,'Icon Lookup'!C:C,'Icon Lookup'!B:B),"")</f>
        <v/>
      </c>
      <c r="B887" s="15" t="s">
        <v>1306</v>
      </c>
      <c r="C887" s="1" t="s">
        <v>17</v>
      </c>
      <c r="D887" s="1" t="s">
        <v>1307</v>
      </c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ht="23.25" customHeight="1">
      <c r="A888" s="20" t="str">
        <f>IF(COUNTIF('Icon Lookup'!C:C,B888)&gt;0,LOOKUP(B888,'Icon Lookup'!C:C,'Icon Lookup'!B:B),"")</f>
        <v/>
      </c>
      <c r="B888" s="21" t="s">
        <v>447</v>
      </c>
      <c r="C888" s="20" t="s">
        <v>17</v>
      </c>
      <c r="D888" s="20">
        <v>12.0</v>
      </c>
      <c r="E888" s="20" t="s">
        <v>161</v>
      </c>
      <c r="G888" s="22"/>
      <c r="H888" s="23" t="s">
        <v>1308</v>
      </c>
      <c r="I888" s="20" t="s">
        <v>156</v>
      </c>
      <c r="J888" s="20">
        <v>0.0</v>
      </c>
      <c r="K888" s="20">
        <v>0.0</v>
      </c>
      <c r="L888" s="20">
        <v>0.0</v>
      </c>
      <c r="M888" s="20">
        <v>0.0</v>
      </c>
      <c r="N888" s="20">
        <v>0.0</v>
      </c>
      <c r="O888" s="20">
        <v>0.0</v>
      </c>
      <c r="P888" s="20">
        <v>0.0</v>
      </c>
      <c r="Q888" s="20">
        <v>0.0</v>
      </c>
      <c r="R888" s="20">
        <v>0.0</v>
      </c>
      <c r="S888" s="20">
        <v>0.0</v>
      </c>
      <c r="T888" s="20">
        <v>0.0</v>
      </c>
      <c r="U888" s="20">
        <v>0.0</v>
      </c>
    </row>
    <row r="889" ht="23.25" customHeight="1">
      <c r="A889" s="17" t="str">
        <f>IF(COUNTIF('Icon Lookup'!C:C,B889)&gt;0,LOOKUP(B889,'Icon Lookup'!C:C,'Icon Lookup'!B:B),"")</f>
        <v/>
      </c>
      <c r="B889" s="18" t="s">
        <v>447</v>
      </c>
      <c r="C889" s="17" t="s">
        <v>17</v>
      </c>
      <c r="D889" s="17">
        <v>13.0</v>
      </c>
      <c r="E889" s="17" t="s">
        <v>161</v>
      </c>
      <c r="G889" s="19"/>
      <c r="H889" s="20" t="s">
        <v>1308</v>
      </c>
      <c r="I889" s="17" t="s">
        <v>156</v>
      </c>
      <c r="J889" s="17">
        <v>0.0</v>
      </c>
      <c r="K889" s="17">
        <v>0.0</v>
      </c>
      <c r="L889" s="17">
        <v>0.0</v>
      </c>
      <c r="M889" s="17">
        <v>0.0</v>
      </c>
      <c r="N889" s="17">
        <v>0.0</v>
      </c>
      <c r="O889" s="17">
        <v>0.0</v>
      </c>
      <c r="P889" s="17">
        <v>0.0</v>
      </c>
      <c r="Q889" s="17">
        <v>0.0</v>
      </c>
      <c r="R889" s="17">
        <v>0.0</v>
      </c>
      <c r="S889" s="17">
        <v>0.0</v>
      </c>
      <c r="T889" s="17">
        <v>0.0</v>
      </c>
      <c r="U889" s="17">
        <v>0.0</v>
      </c>
    </row>
    <row r="890" ht="23.25" customHeight="1">
      <c r="A890" s="20" t="str">
        <f>IF(COUNTIF('Icon Lookup'!C:C,B890)&gt;0,LOOKUP(B890,'Icon Lookup'!C:C,'Icon Lookup'!B:B),"")</f>
        <v/>
      </c>
      <c r="B890" s="21" t="s">
        <v>447</v>
      </c>
      <c r="C890" s="20" t="s">
        <v>17</v>
      </c>
      <c r="D890" s="20">
        <v>17.0</v>
      </c>
      <c r="E890" s="20" t="s">
        <v>161</v>
      </c>
      <c r="G890" s="22"/>
      <c r="H890" s="23" t="s">
        <v>1309</v>
      </c>
      <c r="I890" s="20" t="s">
        <v>156</v>
      </c>
      <c r="J890" s="20">
        <v>0.0</v>
      </c>
      <c r="K890" s="20">
        <v>0.0</v>
      </c>
      <c r="L890" s="20">
        <v>0.0</v>
      </c>
      <c r="M890" s="20">
        <v>0.0</v>
      </c>
      <c r="N890" s="20">
        <v>0.0</v>
      </c>
      <c r="O890" s="20">
        <v>0.0</v>
      </c>
      <c r="P890" s="20">
        <v>0.0</v>
      </c>
      <c r="Q890" s="20">
        <v>0.0</v>
      </c>
      <c r="R890" s="20">
        <v>0.0</v>
      </c>
      <c r="S890" s="20">
        <v>0.0</v>
      </c>
      <c r="T890" s="20">
        <v>0.0</v>
      </c>
      <c r="U890" s="20">
        <v>0.0</v>
      </c>
    </row>
    <row r="891" ht="23.25" customHeight="1">
      <c r="A891" s="1" t="str">
        <f>IF(COUNTIF('Icon Lookup'!C:C,B891)&gt;0,LOOKUP(B891,'Icon Lookup'!C:C,'Icon Lookup'!B:B),"")</f>
        <v/>
      </c>
      <c r="B891" s="15" t="s">
        <v>1310</v>
      </c>
      <c r="C891" s="1" t="s">
        <v>17</v>
      </c>
      <c r="D891" s="1" t="s">
        <v>1311</v>
      </c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ht="23.25" customHeight="1">
      <c r="A892" s="17" t="str">
        <f>IF(COUNTIF('Icon Lookup'!C:C,B892)&gt;0,LOOKUP(B892,'Icon Lookup'!C:C,'Icon Lookup'!B:B),"")</f>
        <v/>
      </c>
      <c r="B892" s="18" t="s">
        <v>747</v>
      </c>
      <c r="C892" s="17" t="s">
        <v>17</v>
      </c>
      <c r="D892" s="17">
        <v>56.0</v>
      </c>
      <c r="E892" s="17" t="s">
        <v>298</v>
      </c>
      <c r="G892" s="19"/>
      <c r="H892" s="20" t="s">
        <v>1312</v>
      </c>
      <c r="I892" s="17" t="s">
        <v>89</v>
      </c>
      <c r="J892" s="17">
        <v>0.0</v>
      </c>
      <c r="K892" s="17">
        <v>0.0</v>
      </c>
      <c r="L892" s="17">
        <v>0.0</v>
      </c>
      <c r="M892" s="17">
        <v>0.0</v>
      </c>
      <c r="N892" s="17">
        <v>0.0</v>
      </c>
      <c r="O892" s="17">
        <v>0.0</v>
      </c>
      <c r="P892" s="17">
        <v>0.0</v>
      </c>
      <c r="Q892" s="17">
        <v>0.0</v>
      </c>
      <c r="R892" s="17">
        <v>0.0</v>
      </c>
      <c r="S892" s="17">
        <v>0.0</v>
      </c>
      <c r="T892" s="17">
        <v>0.0</v>
      </c>
      <c r="U892" s="17">
        <v>0.0</v>
      </c>
    </row>
    <row r="893" ht="23.25" customHeight="1">
      <c r="A893" s="20" t="str">
        <f>IF(COUNTIF('Icon Lookup'!C:C,B893)&gt;0,LOOKUP(B893,'Icon Lookup'!C:C,'Icon Lookup'!B:B),"")</f>
        <v/>
      </c>
      <c r="B893" s="21" t="s">
        <v>190</v>
      </c>
      <c r="C893" s="20" t="s">
        <v>17</v>
      </c>
      <c r="D893" s="20">
        <v>56.0</v>
      </c>
      <c r="E893" s="20" t="s">
        <v>26</v>
      </c>
      <c r="G893" s="22"/>
      <c r="H893" s="23" t="s">
        <v>613</v>
      </c>
      <c r="I893" s="20" t="s">
        <v>156</v>
      </c>
      <c r="J893" s="20">
        <v>0.0</v>
      </c>
      <c r="K893" s="20">
        <v>0.0</v>
      </c>
      <c r="L893" s="20">
        <v>0.0</v>
      </c>
      <c r="M893" s="20">
        <v>0.0</v>
      </c>
      <c r="N893" s="20">
        <v>0.0</v>
      </c>
      <c r="O893" s="20">
        <v>0.0</v>
      </c>
      <c r="P893" s="20">
        <v>0.0</v>
      </c>
      <c r="Q893" s="20">
        <v>0.0</v>
      </c>
      <c r="R893" s="20">
        <v>0.0</v>
      </c>
      <c r="S893" s="20">
        <v>0.0</v>
      </c>
      <c r="T893" s="20">
        <v>0.0</v>
      </c>
      <c r="U893" s="20">
        <v>0.0</v>
      </c>
    </row>
    <row r="894" ht="23.25" customHeight="1">
      <c r="A894" s="1" t="str">
        <f>IF(COUNTIF('Icon Lookup'!C:C,B894)&gt;0,LOOKUP(B894,'Icon Lookup'!C:C,'Icon Lookup'!B:B),"")</f>
        <v/>
      </c>
      <c r="B894" s="15" t="s">
        <v>1313</v>
      </c>
      <c r="C894" s="1" t="s">
        <v>17</v>
      </c>
      <c r="D894" s="1" t="s">
        <v>1314</v>
      </c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ht="23.25" customHeight="1">
      <c r="A895" s="17" t="str">
        <f>IF(COUNTIF('Icon Lookup'!C:C,B895)&gt;0,LOOKUP(B895,'Icon Lookup'!C:C,'Icon Lookup'!B:B),"")</f>
        <v/>
      </c>
      <c r="B895" s="18" t="s">
        <v>78</v>
      </c>
      <c r="C895" s="17" t="s">
        <v>17</v>
      </c>
      <c r="D895" s="17">
        <v>31.0</v>
      </c>
      <c r="E895" s="17" t="s">
        <v>121</v>
      </c>
      <c r="G895" s="19"/>
      <c r="H895" s="20" t="s">
        <v>1315</v>
      </c>
      <c r="I895" s="17" t="s">
        <v>156</v>
      </c>
      <c r="J895" s="17">
        <v>0.0</v>
      </c>
      <c r="K895" s="17">
        <v>0.0</v>
      </c>
      <c r="L895" s="17">
        <v>0.0</v>
      </c>
      <c r="M895" s="17">
        <v>0.0</v>
      </c>
      <c r="N895" s="17">
        <v>0.0</v>
      </c>
      <c r="O895" s="17">
        <v>0.0</v>
      </c>
      <c r="P895" s="17">
        <v>0.0</v>
      </c>
      <c r="Q895" s="17">
        <v>0.0</v>
      </c>
      <c r="R895" s="17">
        <v>0.0</v>
      </c>
      <c r="S895" s="17">
        <v>0.0</v>
      </c>
      <c r="T895" s="17">
        <v>0.0</v>
      </c>
      <c r="U895" s="17">
        <v>0.0</v>
      </c>
    </row>
    <row r="896" ht="23.25" customHeight="1">
      <c r="A896" s="20" t="str">
        <f>IF(COUNTIF('Icon Lookup'!C:C,B896)&gt;0,LOOKUP(B896,'Icon Lookup'!C:C,'Icon Lookup'!B:B),"")</f>
        <v/>
      </c>
      <c r="B896" s="21" t="s">
        <v>442</v>
      </c>
      <c r="C896" s="20" t="s">
        <v>17</v>
      </c>
      <c r="D896" s="20">
        <v>31.0</v>
      </c>
      <c r="E896" s="20" t="s">
        <v>161</v>
      </c>
      <c r="G896" s="22"/>
      <c r="H896" s="23" t="s">
        <v>1316</v>
      </c>
      <c r="I896" s="20" t="s">
        <v>156</v>
      </c>
      <c r="J896" s="20">
        <v>0.0</v>
      </c>
      <c r="K896" s="20">
        <v>0.0</v>
      </c>
      <c r="L896" s="20">
        <v>0.0</v>
      </c>
      <c r="M896" s="20">
        <v>0.0</v>
      </c>
      <c r="N896" s="20">
        <v>0.0</v>
      </c>
      <c r="O896" s="20">
        <v>0.0</v>
      </c>
      <c r="P896" s="20">
        <v>0.0</v>
      </c>
      <c r="Q896" s="20">
        <v>0.0</v>
      </c>
      <c r="R896" s="20">
        <v>0.0</v>
      </c>
      <c r="S896" s="20">
        <v>0.0</v>
      </c>
      <c r="T896" s="20">
        <v>0.0</v>
      </c>
      <c r="U896" s="20">
        <v>0.0</v>
      </c>
    </row>
    <row r="897" ht="23.25" customHeight="1">
      <c r="A897" s="17" t="str">
        <f>IF(COUNTIF('Icon Lookup'!C:C,B897)&gt;0,LOOKUP(B897,'Icon Lookup'!C:C,'Icon Lookup'!B:B),"")</f>
        <v/>
      </c>
      <c r="B897" s="18" t="s">
        <v>921</v>
      </c>
      <c r="C897" s="17" t="s">
        <v>17</v>
      </c>
      <c r="D897" s="17">
        <v>34.0</v>
      </c>
      <c r="E897" s="17" t="s">
        <v>44</v>
      </c>
      <c r="G897" s="19"/>
      <c r="H897" s="20" t="s">
        <v>581</v>
      </c>
      <c r="I897" s="17" t="s">
        <v>89</v>
      </c>
      <c r="J897" s="17">
        <v>0.0</v>
      </c>
      <c r="K897" s="17">
        <v>0.0</v>
      </c>
      <c r="L897" s="17">
        <v>0.0</v>
      </c>
      <c r="M897" s="17">
        <v>0.0</v>
      </c>
      <c r="N897" s="17">
        <v>0.0</v>
      </c>
      <c r="O897" s="17">
        <v>0.0</v>
      </c>
      <c r="P897" s="17">
        <v>0.0</v>
      </c>
      <c r="Q897" s="17">
        <v>0.0</v>
      </c>
      <c r="R897" s="17">
        <v>0.0</v>
      </c>
      <c r="S897" s="17">
        <v>0.0</v>
      </c>
      <c r="T897" s="17">
        <v>0.0</v>
      </c>
      <c r="U897" s="17">
        <v>0.0</v>
      </c>
    </row>
    <row r="898" ht="23.25" customHeight="1">
      <c r="A898" s="1" t="str">
        <f>IF(COUNTIF('Icon Lookup'!C:C,B898)&gt;0,LOOKUP(B898,'Icon Lookup'!C:C,'Icon Lookup'!B:B),"")</f>
        <v/>
      </c>
      <c r="B898" s="15" t="s">
        <v>1317</v>
      </c>
      <c r="C898" s="1" t="s">
        <v>17</v>
      </c>
      <c r="D898" s="1" t="s">
        <v>1318</v>
      </c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ht="23.25" customHeight="1">
      <c r="A899" s="20" t="str">
        <f>IF(COUNTIF('Icon Lookup'!C:C,B899)&gt;0,LOOKUP(B899,'Icon Lookup'!C:C,'Icon Lookup'!B:B),"")</f>
        <v/>
      </c>
      <c r="B899" s="21" t="s">
        <v>419</v>
      </c>
      <c r="C899" s="20" t="s">
        <v>17</v>
      </c>
      <c r="D899" s="20">
        <v>54.0</v>
      </c>
      <c r="E899" s="20" t="s">
        <v>1058</v>
      </c>
      <c r="G899" s="22"/>
      <c r="H899" s="23" t="s">
        <v>1319</v>
      </c>
      <c r="I899" s="20" t="s">
        <v>94</v>
      </c>
      <c r="J899" s="20">
        <v>0.0</v>
      </c>
      <c r="K899" s="20">
        <v>0.0</v>
      </c>
      <c r="L899" s="20">
        <v>0.0</v>
      </c>
      <c r="M899" s="20">
        <v>0.0</v>
      </c>
      <c r="N899" s="20">
        <v>0.0</v>
      </c>
      <c r="O899" s="20">
        <v>0.0</v>
      </c>
      <c r="P899" s="20">
        <v>0.0</v>
      </c>
      <c r="Q899" s="20">
        <v>0.0</v>
      </c>
      <c r="R899" s="20">
        <v>0.0</v>
      </c>
      <c r="S899" s="20">
        <v>0.0</v>
      </c>
      <c r="T899" s="20">
        <v>0.0</v>
      </c>
      <c r="U899" s="20">
        <v>0.0</v>
      </c>
    </row>
    <row r="900" ht="23.25" customHeight="1">
      <c r="A900" s="17" t="str">
        <f>IF(COUNTIF('Icon Lookup'!C:C,B900)&gt;0,LOOKUP(B900,'Icon Lookup'!C:C,'Icon Lookup'!B:B),"")</f>
        <v/>
      </c>
      <c r="B900" s="18" t="s">
        <v>710</v>
      </c>
      <c r="C900" s="17" t="s">
        <v>17</v>
      </c>
      <c r="D900" s="17">
        <v>54.0</v>
      </c>
      <c r="E900" s="17" t="s">
        <v>121</v>
      </c>
      <c r="G900" s="19"/>
      <c r="H900" s="20" t="s">
        <v>1320</v>
      </c>
      <c r="I900" s="17" t="s">
        <v>156</v>
      </c>
      <c r="J900" s="17">
        <v>0.0</v>
      </c>
      <c r="K900" s="17">
        <v>0.0</v>
      </c>
      <c r="L900" s="17">
        <v>0.0</v>
      </c>
      <c r="M900" s="17">
        <v>0.0</v>
      </c>
      <c r="N900" s="17">
        <v>0.0</v>
      </c>
      <c r="O900" s="17">
        <v>0.0</v>
      </c>
      <c r="P900" s="17">
        <v>0.0</v>
      </c>
      <c r="Q900" s="17">
        <v>0.0</v>
      </c>
      <c r="R900" s="17">
        <v>0.0</v>
      </c>
      <c r="S900" s="17">
        <v>0.0</v>
      </c>
      <c r="T900" s="17">
        <v>0.0</v>
      </c>
      <c r="U900" s="17">
        <v>0.0</v>
      </c>
    </row>
    <row r="901" ht="23.25" customHeight="1">
      <c r="A901" s="20" t="str">
        <f>IF(COUNTIF('Icon Lookup'!C:C,B901)&gt;0,LOOKUP(B901,'Icon Lookup'!C:C,'Icon Lookup'!B:B),"")</f>
        <v/>
      </c>
      <c r="B901" s="21" t="s">
        <v>687</v>
      </c>
      <c r="C901" s="20" t="s">
        <v>17</v>
      </c>
      <c r="D901" s="20">
        <v>54.0</v>
      </c>
      <c r="E901" s="20" t="s">
        <v>258</v>
      </c>
      <c r="G901" s="22"/>
      <c r="H901" s="23" t="s">
        <v>1321</v>
      </c>
      <c r="I901" s="20" t="s">
        <v>94</v>
      </c>
      <c r="J901" s="20">
        <v>0.0</v>
      </c>
      <c r="K901" s="20">
        <v>0.0</v>
      </c>
      <c r="L901" s="20">
        <v>0.0</v>
      </c>
      <c r="M901" s="20">
        <v>0.0</v>
      </c>
      <c r="N901" s="20">
        <v>0.0</v>
      </c>
      <c r="O901" s="20">
        <v>0.0</v>
      </c>
      <c r="P901" s="20">
        <v>0.0</v>
      </c>
      <c r="Q901" s="20">
        <v>0.0</v>
      </c>
      <c r="R901" s="20">
        <v>0.0</v>
      </c>
      <c r="S901" s="20">
        <v>0.0</v>
      </c>
      <c r="T901" s="20">
        <v>0.0</v>
      </c>
      <c r="U901" s="20">
        <v>0.0</v>
      </c>
    </row>
    <row r="902" ht="23.25" customHeight="1">
      <c r="A902" s="1" t="str">
        <f>IF(COUNTIF('Icon Lookup'!C:C,B902)&gt;0,LOOKUP(B902,'Icon Lookup'!C:C,'Icon Lookup'!B:B),"")</f>
        <v/>
      </c>
      <c r="B902" s="15" t="s">
        <v>1322</v>
      </c>
      <c r="C902" s="1" t="s">
        <v>17</v>
      </c>
      <c r="D902" s="1" t="s">
        <v>1323</v>
      </c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ht="23.25" customHeight="1">
      <c r="A903" s="17" t="str">
        <f>IF(COUNTIF('Icon Lookup'!C:C,B903)&gt;0,LOOKUP(B903,'Icon Lookup'!C:C,'Icon Lookup'!B:B),"")</f>
        <v/>
      </c>
      <c r="B903" s="18" t="s">
        <v>311</v>
      </c>
      <c r="C903" s="17" t="s">
        <v>17</v>
      </c>
      <c r="D903" s="17">
        <v>55.0</v>
      </c>
      <c r="E903" s="17" t="s">
        <v>137</v>
      </c>
      <c r="G903" s="19"/>
      <c r="H903" s="20" t="s">
        <v>1324</v>
      </c>
      <c r="I903" s="17" t="s">
        <v>156</v>
      </c>
      <c r="J903" s="17">
        <v>0.0</v>
      </c>
      <c r="K903" s="17">
        <v>0.0</v>
      </c>
      <c r="L903" s="17">
        <v>0.0</v>
      </c>
      <c r="M903" s="17">
        <v>0.0</v>
      </c>
      <c r="N903" s="17">
        <v>0.0</v>
      </c>
      <c r="O903" s="17">
        <v>0.0</v>
      </c>
      <c r="P903" s="17">
        <v>0.0</v>
      </c>
      <c r="Q903" s="17">
        <v>0.0</v>
      </c>
      <c r="R903" s="17">
        <v>0.0</v>
      </c>
      <c r="S903" s="17">
        <v>0.0</v>
      </c>
      <c r="T903" s="17">
        <v>0.0</v>
      </c>
      <c r="U903" s="17">
        <v>0.0</v>
      </c>
    </row>
    <row r="904" ht="23.25" customHeight="1">
      <c r="A904" s="20" t="str">
        <f>IF(COUNTIF('Icon Lookup'!C:C,B904)&gt;0,LOOKUP(B904,'Icon Lookup'!C:C,'Icon Lookup'!B:B),"")</f>
        <v/>
      </c>
      <c r="B904" s="21" t="s">
        <v>586</v>
      </c>
      <c r="C904" s="20" t="s">
        <v>17</v>
      </c>
      <c r="D904" s="20">
        <v>55.0</v>
      </c>
      <c r="E904" s="20" t="s">
        <v>366</v>
      </c>
      <c r="G904" s="22"/>
      <c r="H904" s="23" t="s">
        <v>1325</v>
      </c>
      <c r="I904" s="20" t="s">
        <v>156</v>
      </c>
      <c r="J904" s="20">
        <v>0.0</v>
      </c>
      <c r="K904" s="20">
        <v>0.0</v>
      </c>
      <c r="L904" s="20">
        <v>0.0</v>
      </c>
      <c r="M904" s="20">
        <v>0.0</v>
      </c>
      <c r="N904" s="20">
        <v>0.0</v>
      </c>
      <c r="O904" s="20">
        <v>0.0</v>
      </c>
      <c r="P904" s="20">
        <v>0.0</v>
      </c>
      <c r="Q904" s="20">
        <v>0.0</v>
      </c>
      <c r="R904" s="20">
        <v>0.0</v>
      </c>
      <c r="S904" s="20">
        <v>0.0</v>
      </c>
      <c r="T904" s="20">
        <v>0.0</v>
      </c>
      <c r="U904" s="20">
        <v>0.0</v>
      </c>
    </row>
    <row r="905" ht="23.25" customHeight="1">
      <c r="A905" s="1" t="str">
        <f>IF(COUNTIF('Icon Lookup'!C:C,B905)&gt;0,LOOKUP(B905,'Icon Lookup'!C:C,'Icon Lookup'!B:B),"")</f>
        <v/>
      </c>
      <c r="B905" s="15" t="s">
        <v>1326</v>
      </c>
      <c r="C905" s="1" t="s">
        <v>17</v>
      </c>
      <c r="D905" s="1" t="s">
        <v>1327</v>
      </c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ht="23.25" customHeight="1">
      <c r="A906" s="17" t="str">
        <f>IF(COUNTIF('Icon Lookup'!C:C,B906)&gt;0,LOOKUP(B906,'Icon Lookup'!C:C,'Icon Lookup'!B:B),"")</f>
        <v/>
      </c>
      <c r="B906" s="18" t="s">
        <v>410</v>
      </c>
      <c r="C906" s="17" t="s">
        <v>17</v>
      </c>
      <c r="D906" s="17">
        <v>33.0</v>
      </c>
      <c r="E906" s="17" t="s">
        <v>20</v>
      </c>
      <c r="G906" s="19"/>
      <c r="H906" s="20" t="s">
        <v>509</v>
      </c>
      <c r="I906" s="17" t="s">
        <v>205</v>
      </c>
      <c r="J906" s="17">
        <v>0.0</v>
      </c>
      <c r="K906" s="17">
        <v>0.0</v>
      </c>
      <c r="L906" s="17">
        <v>0.0</v>
      </c>
      <c r="M906" s="17">
        <v>0.0</v>
      </c>
      <c r="N906" s="17">
        <v>0.0</v>
      </c>
      <c r="O906" s="17">
        <v>0.0</v>
      </c>
      <c r="P906" s="17">
        <v>0.0</v>
      </c>
      <c r="Q906" s="17">
        <v>0.0</v>
      </c>
      <c r="R906" s="17">
        <v>0.0</v>
      </c>
      <c r="S906" s="17">
        <v>0.0</v>
      </c>
      <c r="T906" s="17">
        <v>0.0</v>
      </c>
      <c r="U906" s="17">
        <v>0.0</v>
      </c>
    </row>
    <row r="907" ht="23.25" customHeight="1">
      <c r="A907" s="20" t="str">
        <f>IF(COUNTIF('Icon Lookup'!C:C,B907)&gt;0,LOOKUP(B907,'Icon Lookup'!C:C,'Icon Lookup'!B:B),"")</f>
        <v/>
      </c>
      <c r="B907" s="21" t="s">
        <v>488</v>
      </c>
      <c r="C907" s="20" t="s">
        <v>17</v>
      </c>
      <c r="D907" s="20">
        <v>33.0</v>
      </c>
      <c r="E907" s="20" t="s">
        <v>87</v>
      </c>
      <c r="G907" s="22"/>
      <c r="H907" s="23" t="s">
        <v>1328</v>
      </c>
      <c r="I907" s="20" t="s">
        <v>211</v>
      </c>
      <c r="J907" s="20">
        <v>0.0</v>
      </c>
      <c r="K907" s="20">
        <v>0.0</v>
      </c>
      <c r="L907" s="20">
        <v>0.0</v>
      </c>
      <c r="M907" s="20">
        <v>0.0</v>
      </c>
      <c r="N907" s="20">
        <v>0.0</v>
      </c>
      <c r="O907" s="20">
        <v>0.0</v>
      </c>
      <c r="P907" s="20">
        <v>0.0</v>
      </c>
      <c r="Q907" s="20">
        <v>0.0</v>
      </c>
      <c r="R907" s="20">
        <v>0.0</v>
      </c>
      <c r="S907" s="20">
        <v>0.0</v>
      </c>
      <c r="T907" s="20">
        <v>0.0</v>
      </c>
      <c r="U907" s="20">
        <v>0.0</v>
      </c>
    </row>
    <row r="908" ht="23.25" customHeight="1">
      <c r="A908" s="1" t="str">
        <f>IF(COUNTIF('Icon Lookup'!C:C,B908)&gt;0,LOOKUP(B908,'Icon Lookup'!C:C,'Icon Lookup'!B:B),"")</f>
        <v/>
      </c>
      <c r="B908" s="15" t="s">
        <v>1329</v>
      </c>
      <c r="C908" s="1" t="s">
        <v>17</v>
      </c>
      <c r="D908" s="1" t="s">
        <v>1330</v>
      </c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ht="23.25" customHeight="1">
      <c r="A909" s="17" t="str">
        <f>IF(COUNTIF('Icon Lookup'!C:C,B909)&gt;0,LOOKUP(B909,'Icon Lookup'!C:C,'Icon Lookup'!B:B),"")</f>
        <v/>
      </c>
      <c r="B909" s="18" t="s">
        <v>70</v>
      </c>
      <c r="C909" s="17" t="s">
        <v>17</v>
      </c>
      <c r="D909" s="17">
        <v>54.0</v>
      </c>
      <c r="E909" s="17" t="s">
        <v>71</v>
      </c>
      <c r="G909" s="19"/>
      <c r="H909" s="20" t="s">
        <v>1331</v>
      </c>
      <c r="I909" s="17" t="s">
        <v>197</v>
      </c>
      <c r="J909" s="17">
        <v>0.0</v>
      </c>
      <c r="K909" s="17">
        <v>0.0</v>
      </c>
      <c r="L909" s="17">
        <v>0.0</v>
      </c>
      <c r="M909" s="17">
        <v>0.0</v>
      </c>
      <c r="N909" s="17">
        <v>0.0</v>
      </c>
      <c r="O909" s="17">
        <v>0.0</v>
      </c>
      <c r="P909" s="17">
        <v>0.0</v>
      </c>
      <c r="Q909" s="17">
        <v>0.0</v>
      </c>
      <c r="R909" s="17">
        <v>0.0</v>
      </c>
      <c r="S909" s="17">
        <v>0.0</v>
      </c>
      <c r="T909" s="17">
        <v>0.0</v>
      </c>
      <c r="U909" s="17">
        <v>0.0</v>
      </c>
    </row>
    <row r="910" ht="23.25" customHeight="1">
      <c r="A910" s="20" t="str">
        <f>IF(COUNTIF('Icon Lookup'!C:C,B910)&gt;0,LOOKUP(B910,'Icon Lookup'!C:C,'Icon Lookup'!B:B),"")</f>
        <v/>
      </c>
      <c r="B910" s="21" t="s">
        <v>405</v>
      </c>
      <c r="C910" s="20" t="s">
        <v>17</v>
      </c>
      <c r="D910" s="20">
        <v>54.0</v>
      </c>
      <c r="E910" s="20" t="s">
        <v>382</v>
      </c>
      <c r="G910" s="22"/>
      <c r="H910" s="23" t="s">
        <v>1332</v>
      </c>
      <c r="I910" s="20" t="s">
        <v>197</v>
      </c>
      <c r="J910" s="20">
        <v>0.0</v>
      </c>
      <c r="K910" s="20">
        <v>0.0</v>
      </c>
      <c r="L910" s="20">
        <v>0.0</v>
      </c>
      <c r="M910" s="20">
        <v>0.0</v>
      </c>
      <c r="N910" s="20">
        <v>0.0</v>
      </c>
      <c r="O910" s="20">
        <v>0.0</v>
      </c>
      <c r="P910" s="20">
        <v>0.0</v>
      </c>
      <c r="Q910" s="20">
        <v>0.0</v>
      </c>
      <c r="R910" s="20">
        <v>0.0</v>
      </c>
      <c r="S910" s="20">
        <v>0.0</v>
      </c>
      <c r="T910" s="20">
        <v>0.0</v>
      </c>
      <c r="U910" s="20">
        <v>0.0</v>
      </c>
    </row>
    <row r="911" ht="23.25" customHeight="1">
      <c r="A911" s="17" t="str">
        <f>IF(COUNTIF('Icon Lookup'!C:C,B911)&gt;0,LOOKUP(B911,'Icon Lookup'!C:C,'Icon Lookup'!B:B),"")</f>
        <v/>
      </c>
      <c r="B911" s="18" t="s">
        <v>724</v>
      </c>
      <c r="C911" s="17" t="s">
        <v>17</v>
      </c>
      <c r="D911" s="17">
        <v>54.0</v>
      </c>
      <c r="E911" s="17" t="s">
        <v>240</v>
      </c>
      <c r="G911" s="19"/>
      <c r="H911" s="20" t="s">
        <v>1333</v>
      </c>
      <c r="I911" s="17" t="s">
        <v>105</v>
      </c>
      <c r="J911" s="17">
        <v>0.0</v>
      </c>
      <c r="K911" s="17">
        <v>0.0</v>
      </c>
      <c r="L911" s="17">
        <v>0.0</v>
      </c>
      <c r="M911" s="17">
        <v>0.0</v>
      </c>
      <c r="N911" s="17">
        <v>0.0</v>
      </c>
      <c r="O911" s="17">
        <v>0.0</v>
      </c>
      <c r="P911" s="17">
        <v>0.0</v>
      </c>
      <c r="Q911" s="17">
        <v>0.0</v>
      </c>
      <c r="R911" s="17">
        <v>0.0</v>
      </c>
      <c r="S911" s="17">
        <v>0.0</v>
      </c>
      <c r="T911" s="17">
        <v>0.0</v>
      </c>
      <c r="U911" s="17">
        <v>0.0</v>
      </c>
    </row>
    <row r="912" ht="23.25" customHeight="1">
      <c r="A912" s="1" t="str">
        <f>IF(COUNTIF('Icon Lookup'!C:C,B912)&gt;0,LOOKUP(B912,'Icon Lookup'!C:C,'Icon Lookup'!B:B),"")</f>
        <v/>
      </c>
      <c r="B912" s="15" t="s">
        <v>1334</v>
      </c>
      <c r="C912" s="1" t="s">
        <v>17</v>
      </c>
      <c r="D912" s="1" t="s">
        <v>1335</v>
      </c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ht="23.25" customHeight="1">
      <c r="A913" s="20" t="str">
        <f>IF(COUNTIF('Icon Lookup'!C:C,B913)&gt;0,LOOKUP(B913,'Icon Lookup'!C:C,'Icon Lookup'!B:B),"")</f>
        <v/>
      </c>
      <c r="B913" s="21" t="s">
        <v>482</v>
      </c>
      <c r="C913" s="20" t="s">
        <v>17</v>
      </c>
      <c r="D913" s="20">
        <v>54.0</v>
      </c>
      <c r="E913" s="20" t="s">
        <v>218</v>
      </c>
      <c r="G913" s="22"/>
      <c r="H913" s="23" t="s">
        <v>1336</v>
      </c>
      <c r="I913" s="20" t="s">
        <v>105</v>
      </c>
      <c r="J913" s="20">
        <v>0.0</v>
      </c>
      <c r="K913" s="20">
        <v>0.0</v>
      </c>
      <c r="L913" s="20">
        <v>0.0</v>
      </c>
      <c r="M913" s="20">
        <v>0.0</v>
      </c>
      <c r="N913" s="20">
        <v>0.0</v>
      </c>
      <c r="O913" s="20">
        <v>0.0</v>
      </c>
      <c r="P913" s="20">
        <v>0.0</v>
      </c>
      <c r="Q913" s="20">
        <v>0.0</v>
      </c>
      <c r="R913" s="20">
        <v>0.0</v>
      </c>
      <c r="S913" s="20">
        <v>0.0</v>
      </c>
      <c r="T913" s="20">
        <v>0.0</v>
      </c>
      <c r="U913" s="20">
        <v>0.0</v>
      </c>
    </row>
    <row r="914" ht="23.25" customHeight="1">
      <c r="A914" s="17" t="str">
        <f>IF(COUNTIF('Icon Lookup'!C:C,B914)&gt;0,LOOKUP(B914,'Icon Lookup'!C:C,'Icon Lookup'!B:B),"")</f>
        <v/>
      </c>
      <c r="B914" s="18" t="s">
        <v>410</v>
      </c>
      <c r="C914" s="17" t="s">
        <v>17</v>
      </c>
      <c r="D914" s="17">
        <v>54.0</v>
      </c>
      <c r="E914" s="17" t="s">
        <v>411</v>
      </c>
      <c r="G914" s="19"/>
      <c r="H914" s="20" t="s">
        <v>1337</v>
      </c>
      <c r="I914" s="17" t="s">
        <v>205</v>
      </c>
      <c r="J914" s="17">
        <v>0.0</v>
      </c>
      <c r="K914" s="17">
        <v>0.0</v>
      </c>
      <c r="L914" s="17">
        <v>0.0</v>
      </c>
      <c r="M914" s="17">
        <v>0.0</v>
      </c>
      <c r="N914" s="17">
        <v>0.0</v>
      </c>
      <c r="O914" s="17">
        <v>0.0</v>
      </c>
      <c r="P914" s="17">
        <v>0.0</v>
      </c>
      <c r="Q914" s="17">
        <v>0.0</v>
      </c>
      <c r="R914" s="17">
        <v>0.0</v>
      </c>
      <c r="S914" s="17">
        <v>0.0</v>
      </c>
      <c r="T914" s="17">
        <v>0.0</v>
      </c>
      <c r="U914" s="17">
        <v>0.0</v>
      </c>
    </row>
    <row r="915" ht="23.25" customHeight="1">
      <c r="A915" s="20" t="str">
        <f>IF(COUNTIF('Icon Lookup'!C:C,B915)&gt;0,LOOKUP(B915,'Icon Lookup'!C:C,'Icon Lookup'!B:B),"")</f>
        <v/>
      </c>
      <c r="B915" s="21" t="s">
        <v>643</v>
      </c>
      <c r="C915" s="20" t="s">
        <v>17</v>
      </c>
      <c r="D915" s="20">
        <v>54.0</v>
      </c>
      <c r="E915" s="20" t="s">
        <v>525</v>
      </c>
      <c r="G915" s="22"/>
      <c r="H915" s="23" t="s">
        <v>1338</v>
      </c>
      <c r="I915" s="20" t="s">
        <v>211</v>
      </c>
      <c r="J915" s="20">
        <v>0.0</v>
      </c>
      <c r="K915" s="20">
        <v>0.0</v>
      </c>
      <c r="L915" s="20">
        <v>0.0</v>
      </c>
      <c r="M915" s="20">
        <v>0.0</v>
      </c>
      <c r="N915" s="20">
        <v>0.0</v>
      </c>
      <c r="O915" s="20">
        <v>0.0</v>
      </c>
      <c r="P915" s="20">
        <v>0.0</v>
      </c>
      <c r="Q915" s="20">
        <v>0.0</v>
      </c>
      <c r="R915" s="20">
        <v>0.0</v>
      </c>
      <c r="S915" s="20">
        <v>0.0</v>
      </c>
      <c r="T915" s="20">
        <v>0.0</v>
      </c>
      <c r="U915" s="20">
        <v>0.0</v>
      </c>
    </row>
    <row r="916" ht="23.25" customHeight="1">
      <c r="A916" s="1" t="str">
        <f>IF(COUNTIF('Icon Lookup'!C:C,B916)&gt;0,LOOKUP(B916,'Icon Lookup'!C:C,'Icon Lookup'!B:B),"")</f>
        <v/>
      </c>
      <c r="B916" s="15" t="s">
        <v>1339</v>
      </c>
      <c r="C916" s="1" t="s">
        <v>17</v>
      </c>
      <c r="D916" s="1" t="s">
        <v>1340</v>
      </c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ht="23.25" customHeight="1">
      <c r="A917" s="17" t="str">
        <f>IF(COUNTIF('Icon Lookup'!C:C,B917)&gt;0,LOOKUP(B917,'Icon Lookup'!C:C,'Icon Lookup'!B:B),"")</f>
        <v/>
      </c>
      <c r="B917" s="18" t="s">
        <v>165</v>
      </c>
      <c r="C917" s="17" t="s">
        <v>17</v>
      </c>
      <c r="D917" s="17">
        <v>15.0</v>
      </c>
      <c r="E917" s="17" t="s">
        <v>166</v>
      </c>
      <c r="G917" s="19"/>
      <c r="H917" s="20" t="s">
        <v>1341</v>
      </c>
      <c r="I917" s="17" t="s">
        <v>94</v>
      </c>
      <c r="J917" s="17">
        <v>0.0</v>
      </c>
      <c r="K917" s="17">
        <v>0.0</v>
      </c>
      <c r="L917" s="17">
        <v>0.0</v>
      </c>
      <c r="M917" s="17">
        <v>0.0</v>
      </c>
      <c r="N917" s="17">
        <v>0.0</v>
      </c>
      <c r="O917" s="17">
        <v>0.0</v>
      </c>
      <c r="P917" s="17">
        <v>0.0</v>
      </c>
      <c r="Q917" s="17">
        <v>0.0</v>
      </c>
      <c r="R917" s="17">
        <v>0.0</v>
      </c>
      <c r="S917" s="17">
        <v>0.0</v>
      </c>
      <c r="T917" s="17">
        <v>0.0</v>
      </c>
      <c r="U917" s="17">
        <v>0.0</v>
      </c>
    </row>
    <row r="918" ht="23.25" customHeight="1">
      <c r="A918" s="1" t="str">
        <f>IF(COUNTIF('Icon Lookup'!C:C,B918)&gt;0,LOOKUP(B918,'Icon Lookup'!C:C,'Icon Lookup'!B:B),"")</f>
        <v/>
      </c>
      <c r="B918" s="15" t="s">
        <v>1342</v>
      </c>
      <c r="C918" s="1" t="s">
        <v>17</v>
      </c>
      <c r="D918" s="1" t="s">
        <v>1343</v>
      </c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ht="23.25" customHeight="1">
      <c r="A919" s="20" t="str">
        <f>IF(COUNTIF('Icon Lookup'!C:C,B919)&gt;0,LOOKUP(B919,'Icon Lookup'!C:C,'Icon Lookup'!B:B),"")</f>
        <v/>
      </c>
      <c r="B919" s="21" t="s">
        <v>476</v>
      </c>
      <c r="C919" s="20" t="s">
        <v>17</v>
      </c>
      <c r="D919" s="20">
        <v>56.0</v>
      </c>
      <c r="E919" s="20" t="s">
        <v>950</v>
      </c>
      <c r="G919" s="22"/>
      <c r="H919" s="23" t="s">
        <v>1344</v>
      </c>
      <c r="I919" s="20" t="s">
        <v>156</v>
      </c>
      <c r="J919" s="20">
        <v>0.0</v>
      </c>
      <c r="K919" s="20">
        <v>0.0</v>
      </c>
      <c r="L919" s="20">
        <v>0.0</v>
      </c>
      <c r="M919" s="20">
        <v>0.0</v>
      </c>
      <c r="N919" s="20">
        <v>0.0</v>
      </c>
      <c r="O919" s="20">
        <v>0.0</v>
      </c>
      <c r="P919" s="20">
        <v>0.0</v>
      </c>
      <c r="Q919" s="20">
        <v>0.0</v>
      </c>
      <c r="R919" s="20">
        <v>0.0</v>
      </c>
      <c r="S919" s="20">
        <v>0.0</v>
      </c>
      <c r="T919" s="20">
        <v>0.0</v>
      </c>
      <c r="U919" s="20">
        <v>0.0</v>
      </c>
    </row>
    <row r="920" ht="23.25" customHeight="1">
      <c r="A920" s="1" t="str">
        <f>IF(COUNTIF('Icon Lookup'!C:C,B920)&gt;0,LOOKUP(B920,'Icon Lookup'!C:C,'Icon Lookup'!B:B),"")</f>
        <v/>
      </c>
      <c r="B920" s="15" t="s">
        <v>1345</v>
      </c>
      <c r="C920" s="1" t="s">
        <v>17</v>
      </c>
      <c r="D920" s="1" t="s">
        <v>1346</v>
      </c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ht="23.25" customHeight="1">
      <c r="A921" s="17" t="str">
        <f>IF(COUNTIF('Icon Lookup'!C:C,B921)&gt;0,LOOKUP(B921,'Icon Lookup'!C:C,'Icon Lookup'!B:B),"")</f>
        <v/>
      </c>
      <c r="B921" s="18" t="s">
        <v>273</v>
      </c>
      <c r="C921" s="17" t="s">
        <v>17</v>
      </c>
      <c r="D921" s="17">
        <v>56.0</v>
      </c>
      <c r="E921" s="17" t="s">
        <v>38</v>
      </c>
      <c r="G921" s="19"/>
      <c r="H921" s="20" t="s">
        <v>1347</v>
      </c>
      <c r="I921" s="17" t="s">
        <v>94</v>
      </c>
      <c r="J921" s="17">
        <v>0.0</v>
      </c>
      <c r="K921" s="17">
        <v>0.0</v>
      </c>
      <c r="L921" s="17">
        <v>0.0</v>
      </c>
      <c r="M921" s="17">
        <v>0.0</v>
      </c>
      <c r="N921" s="17">
        <v>0.0</v>
      </c>
      <c r="O921" s="17">
        <v>0.0</v>
      </c>
      <c r="P921" s="17">
        <v>0.0</v>
      </c>
      <c r="Q921" s="17">
        <v>0.0</v>
      </c>
      <c r="R921" s="17">
        <v>0.0</v>
      </c>
      <c r="S921" s="17">
        <v>0.0</v>
      </c>
      <c r="T921" s="17">
        <v>0.0</v>
      </c>
      <c r="U921" s="17">
        <v>0.0</v>
      </c>
    </row>
    <row r="922" ht="23.25" customHeight="1">
      <c r="A922" s="1" t="str">
        <f>IF(COUNTIF('Icon Lookup'!C:C,B922)&gt;0,LOOKUP(B922,'Icon Lookup'!C:C,'Icon Lookup'!B:B),"")</f>
        <v/>
      </c>
      <c r="B922" s="15" t="s">
        <v>1348</v>
      </c>
      <c r="C922" s="1" t="s">
        <v>17</v>
      </c>
      <c r="D922" s="1" t="s">
        <v>1349</v>
      </c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ht="23.25" customHeight="1">
      <c r="A923" s="20" t="str">
        <f>IF(COUNTIF('Icon Lookup'!C:C,B923)&gt;0,LOOKUP(B923,'Icon Lookup'!C:C,'Icon Lookup'!B:B),"")</f>
        <v/>
      </c>
      <c r="B923" s="21" t="s">
        <v>577</v>
      </c>
      <c r="C923" s="20" t="s">
        <v>17</v>
      </c>
      <c r="D923" s="20">
        <v>15.0</v>
      </c>
      <c r="E923" s="20" t="s">
        <v>399</v>
      </c>
      <c r="G923" s="22"/>
      <c r="H923" s="23" t="s">
        <v>1350</v>
      </c>
      <c r="I923" s="20" t="s">
        <v>105</v>
      </c>
      <c r="J923" s="20">
        <v>0.0</v>
      </c>
      <c r="K923" s="20">
        <v>0.0</v>
      </c>
      <c r="L923" s="20">
        <v>0.0</v>
      </c>
      <c r="M923" s="20">
        <v>0.0</v>
      </c>
      <c r="N923" s="20">
        <v>0.0</v>
      </c>
      <c r="O923" s="20">
        <v>0.0</v>
      </c>
      <c r="P923" s="20">
        <v>0.0</v>
      </c>
      <c r="Q923" s="20">
        <v>0.0</v>
      </c>
      <c r="R923" s="20">
        <v>0.0</v>
      </c>
      <c r="S923" s="20">
        <v>0.0</v>
      </c>
      <c r="T923" s="20">
        <v>0.0</v>
      </c>
      <c r="U923" s="20">
        <v>0.0</v>
      </c>
    </row>
    <row r="924" ht="23.25" customHeight="1">
      <c r="A924" s="1" t="str">
        <f>IF(COUNTIF('Icon Lookup'!C:C,B924)&gt;0,LOOKUP(B924,'Icon Lookup'!C:C,'Icon Lookup'!B:B),"")</f>
        <v/>
      </c>
      <c r="B924" s="15" t="s">
        <v>1351</v>
      </c>
      <c r="C924" s="1" t="s">
        <v>17</v>
      </c>
      <c r="D924" s="1" t="s">
        <v>1352</v>
      </c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ht="23.25" customHeight="1">
      <c r="A925" s="17" t="str">
        <f>IF(COUNTIF('Icon Lookup'!C:C,B925)&gt;0,LOOKUP(B925,'Icon Lookup'!C:C,'Icon Lookup'!B:B),"")</f>
        <v/>
      </c>
      <c r="B925" s="18" t="s">
        <v>386</v>
      </c>
      <c r="C925" s="17" t="s">
        <v>17</v>
      </c>
      <c r="D925" s="17">
        <v>54.0</v>
      </c>
      <c r="E925" s="17" t="s">
        <v>38</v>
      </c>
      <c r="G925" s="19"/>
      <c r="H925" s="20" t="s">
        <v>1353</v>
      </c>
      <c r="I925" s="17" t="s">
        <v>105</v>
      </c>
      <c r="J925" s="17">
        <v>0.0</v>
      </c>
      <c r="K925" s="17">
        <v>0.0</v>
      </c>
      <c r="L925" s="17">
        <v>0.0</v>
      </c>
      <c r="M925" s="17">
        <v>0.0</v>
      </c>
      <c r="N925" s="17">
        <v>0.0</v>
      </c>
      <c r="O925" s="17">
        <v>0.0</v>
      </c>
      <c r="P925" s="17">
        <v>0.0</v>
      </c>
      <c r="Q925" s="17">
        <v>0.0</v>
      </c>
      <c r="R925" s="17">
        <v>0.0</v>
      </c>
      <c r="S925" s="17">
        <v>0.0</v>
      </c>
      <c r="T925" s="17">
        <v>0.0</v>
      </c>
      <c r="U925" s="17">
        <v>0.0</v>
      </c>
    </row>
    <row r="926" ht="23.25" customHeight="1">
      <c r="A926" s="20" t="str">
        <f>IF(COUNTIF('Icon Lookup'!C:C,B926)&gt;0,LOOKUP(B926,'Icon Lookup'!C:C,'Icon Lookup'!B:B),"")</f>
        <v/>
      </c>
      <c r="B926" s="21" t="s">
        <v>386</v>
      </c>
      <c r="C926" s="20" t="s">
        <v>17</v>
      </c>
      <c r="D926" s="20">
        <v>54.0</v>
      </c>
      <c r="E926" s="20" t="s">
        <v>387</v>
      </c>
      <c r="G926" s="22"/>
      <c r="H926" s="23" t="s">
        <v>1354</v>
      </c>
      <c r="I926" s="20" t="s">
        <v>105</v>
      </c>
      <c r="J926" s="20">
        <v>0.0</v>
      </c>
      <c r="K926" s="20">
        <v>0.0</v>
      </c>
      <c r="L926" s="20">
        <v>0.0</v>
      </c>
      <c r="M926" s="20">
        <v>0.0</v>
      </c>
      <c r="N926" s="20">
        <v>0.0</v>
      </c>
      <c r="O926" s="20">
        <v>0.0</v>
      </c>
      <c r="P926" s="20">
        <v>0.0</v>
      </c>
      <c r="Q926" s="20">
        <v>0.0</v>
      </c>
      <c r="R926" s="20">
        <v>0.0</v>
      </c>
      <c r="S926" s="20">
        <v>0.0</v>
      </c>
      <c r="T926" s="20">
        <v>0.0</v>
      </c>
      <c r="U926" s="20">
        <v>0.0</v>
      </c>
    </row>
    <row r="927" ht="23.25" customHeight="1">
      <c r="A927" s="1" t="str">
        <f>IF(COUNTIF('Icon Lookup'!C:C,B927)&gt;0,LOOKUP(B927,'Icon Lookup'!C:C,'Icon Lookup'!B:B),"")</f>
        <v/>
      </c>
      <c r="B927" s="15" t="s">
        <v>1355</v>
      </c>
      <c r="C927" s="1" t="s">
        <v>17</v>
      </c>
      <c r="D927" s="1" t="s">
        <v>1356</v>
      </c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ht="23.25" customHeight="1">
      <c r="A928" s="17" t="str">
        <f>IF(COUNTIF('Icon Lookup'!C:C,B928)&gt;0,LOOKUP(B928,'Icon Lookup'!C:C,'Icon Lookup'!B:B),"")</f>
        <v/>
      </c>
      <c r="B928" s="18" t="s">
        <v>772</v>
      </c>
      <c r="C928" s="17" t="s">
        <v>17</v>
      </c>
      <c r="D928" s="17">
        <v>53.0</v>
      </c>
      <c r="E928" s="17" t="s">
        <v>161</v>
      </c>
      <c r="G928" s="19"/>
      <c r="H928" s="20" t="s">
        <v>1357</v>
      </c>
      <c r="I928" s="17" t="s">
        <v>197</v>
      </c>
      <c r="J928" s="17">
        <v>0.0</v>
      </c>
      <c r="K928" s="17">
        <v>0.0</v>
      </c>
      <c r="L928" s="17">
        <v>0.0</v>
      </c>
      <c r="M928" s="17">
        <v>0.0</v>
      </c>
      <c r="N928" s="17">
        <v>0.0</v>
      </c>
      <c r="O928" s="17">
        <v>0.0</v>
      </c>
      <c r="P928" s="17">
        <v>0.0</v>
      </c>
      <c r="Q928" s="17">
        <v>0.0</v>
      </c>
      <c r="R928" s="17">
        <v>0.0</v>
      </c>
      <c r="S928" s="17">
        <v>0.0</v>
      </c>
      <c r="T928" s="17">
        <v>0.0</v>
      </c>
      <c r="U928" s="17">
        <v>0.0</v>
      </c>
    </row>
    <row r="929" ht="23.25" customHeight="1">
      <c r="A929" s="20" t="str">
        <f>IF(COUNTIF('Icon Lookup'!C:C,B929)&gt;0,LOOKUP(B929,'Icon Lookup'!C:C,'Icon Lookup'!B:B),"")</f>
        <v/>
      </c>
      <c r="B929" s="21" t="s">
        <v>774</v>
      </c>
      <c r="C929" s="20" t="s">
        <v>17</v>
      </c>
      <c r="D929" s="20">
        <v>55.0</v>
      </c>
      <c r="E929" s="20" t="s">
        <v>161</v>
      </c>
      <c r="G929" s="22"/>
      <c r="H929" s="23" t="s">
        <v>1358</v>
      </c>
      <c r="I929" s="20" t="s">
        <v>105</v>
      </c>
      <c r="J929" s="20">
        <v>0.0</v>
      </c>
      <c r="K929" s="20">
        <v>0.0</v>
      </c>
      <c r="L929" s="20">
        <v>0.0</v>
      </c>
      <c r="M929" s="20">
        <v>0.0</v>
      </c>
      <c r="N929" s="20">
        <v>0.0</v>
      </c>
      <c r="O929" s="20">
        <v>0.0</v>
      </c>
      <c r="P929" s="20">
        <v>0.0</v>
      </c>
      <c r="Q929" s="20">
        <v>0.0</v>
      </c>
      <c r="R929" s="20">
        <v>0.0</v>
      </c>
      <c r="S929" s="20">
        <v>0.0</v>
      </c>
      <c r="T929" s="20">
        <v>0.0</v>
      </c>
      <c r="U929" s="20">
        <v>0.0</v>
      </c>
    </row>
    <row r="930" ht="23.25" customHeight="1">
      <c r="A930" s="1" t="str">
        <f>IF(COUNTIF('Icon Lookup'!C:C,B930)&gt;0,LOOKUP(B930,'Icon Lookup'!C:C,'Icon Lookup'!B:B),"")</f>
        <v/>
      </c>
      <c r="B930" s="15" t="s">
        <v>1359</v>
      </c>
      <c r="C930" s="1" t="s">
        <v>17</v>
      </c>
      <c r="D930" s="1" t="s">
        <v>1360</v>
      </c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ht="23.25" customHeight="1">
      <c r="A931" s="17" t="str">
        <f>IF(COUNTIF('Icon Lookup'!C:C,B931)&gt;0,LOOKUP(B931,'Icon Lookup'!C:C,'Icon Lookup'!B:B),"")</f>
        <v/>
      </c>
      <c r="B931" s="18" t="s">
        <v>187</v>
      </c>
      <c r="C931" s="17" t="s">
        <v>17</v>
      </c>
      <c r="D931" s="17">
        <v>26.0</v>
      </c>
      <c r="E931" s="17" t="s">
        <v>188</v>
      </c>
      <c r="G931" s="19"/>
      <c r="H931" s="20" t="s">
        <v>1361</v>
      </c>
      <c r="I931" s="17" t="s">
        <v>22</v>
      </c>
      <c r="J931" s="17">
        <v>0.0</v>
      </c>
      <c r="K931" s="17">
        <v>0.0</v>
      </c>
      <c r="L931" s="17">
        <v>0.0</v>
      </c>
      <c r="M931" s="17">
        <v>0.0</v>
      </c>
      <c r="N931" s="17">
        <v>0.0</v>
      </c>
      <c r="O931" s="17">
        <v>0.0</v>
      </c>
      <c r="P931" s="17">
        <v>0.0</v>
      </c>
      <c r="Q931" s="17">
        <v>0.0</v>
      </c>
      <c r="R931" s="17">
        <v>0.0</v>
      </c>
      <c r="S931" s="17">
        <v>0.0</v>
      </c>
      <c r="T931" s="17">
        <v>0.0</v>
      </c>
      <c r="U931" s="17">
        <v>0.0</v>
      </c>
    </row>
    <row r="932" ht="23.25" customHeight="1">
      <c r="A932" s="1" t="str">
        <f>IF(COUNTIF('Icon Lookup'!C:C,B932)&gt;0,LOOKUP(B932,'Icon Lookup'!C:C,'Icon Lookup'!B:B),"")</f>
        <v/>
      </c>
      <c r="B932" s="15" t="s">
        <v>1362</v>
      </c>
      <c r="C932" s="1" t="s">
        <v>17</v>
      </c>
      <c r="D932" s="1" t="s">
        <v>1363</v>
      </c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ht="23.25" customHeight="1">
      <c r="A933" s="20" t="str">
        <f>IF(COUNTIF('Icon Lookup'!C:C,B933)&gt;0,LOOKUP(B933,'Icon Lookup'!C:C,'Icon Lookup'!B:B),"")</f>
        <v/>
      </c>
      <c r="B933" s="21" t="s">
        <v>1280</v>
      </c>
      <c r="C933" s="20" t="s">
        <v>17</v>
      </c>
      <c r="D933" s="20">
        <v>40.0</v>
      </c>
      <c r="E933" s="20" t="s">
        <v>719</v>
      </c>
      <c r="G933" s="22"/>
      <c r="H933" s="23" t="s">
        <v>1364</v>
      </c>
      <c r="I933" s="20" t="s">
        <v>22</v>
      </c>
      <c r="J933" s="20">
        <v>68.0</v>
      </c>
      <c r="K933" s="20">
        <v>0.0</v>
      </c>
      <c r="L933" s="20">
        <v>68.0</v>
      </c>
      <c r="M933" s="20">
        <v>0.0</v>
      </c>
      <c r="N933" s="20">
        <v>68.0</v>
      </c>
      <c r="O933" s="20">
        <v>0.0</v>
      </c>
      <c r="P933" s="20">
        <v>15.0</v>
      </c>
      <c r="Q933" s="20">
        <v>0.0</v>
      </c>
      <c r="R933" s="20">
        <v>15.0</v>
      </c>
      <c r="S933" s="20">
        <v>0.0</v>
      </c>
      <c r="T933" s="20">
        <v>15.0</v>
      </c>
      <c r="U933" s="20">
        <v>0.0</v>
      </c>
    </row>
    <row r="934" ht="23.25" customHeight="1">
      <c r="A934" s="17" t="str">
        <f>IF(COUNTIF('Icon Lookup'!C:C,B934)&gt;0,LOOKUP(B934,'Icon Lookup'!C:C,'Icon Lookup'!B:B),"")</f>
        <v/>
      </c>
      <c r="B934" s="18" t="s">
        <v>174</v>
      </c>
      <c r="C934" s="17" t="s">
        <v>17</v>
      </c>
      <c r="D934" s="17">
        <v>40.0</v>
      </c>
      <c r="E934" s="17" t="s">
        <v>38</v>
      </c>
      <c r="G934" s="19"/>
      <c r="H934" s="20" t="s">
        <v>542</v>
      </c>
      <c r="I934" s="17" t="s">
        <v>22</v>
      </c>
      <c r="J934" s="17">
        <v>68.0</v>
      </c>
      <c r="K934" s="17">
        <v>0.0</v>
      </c>
      <c r="L934" s="17">
        <v>68.0</v>
      </c>
      <c r="M934" s="17">
        <v>0.0</v>
      </c>
      <c r="N934" s="17">
        <v>68.0</v>
      </c>
      <c r="O934" s="17">
        <v>0.0</v>
      </c>
      <c r="P934" s="17">
        <v>15.0</v>
      </c>
      <c r="Q934" s="17">
        <v>0.0</v>
      </c>
      <c r="R934" s="17">
        <v>15.0</v>
      </c>
      <c r="S934" s="17">
        <v>0.0</v>
      </c>
      <c r="T934" s="17">
        <v>15.0</v>
      </c>
      <c r="U934" s="17">
        <v>0.0</v>
      </c>
    </row>
    <row r="935" ht="23.25" customHeight="1">
      <c r="A935" s="20" t="str">
        <f>IF(COUNTIF('Icon Lookup'!C:C,B935)&gt;0,LOOKUP(B935,'Icon Lookup'!C:C,'Icon Lookup'!B:B),"")</f>
        <v/>
      </c>
      <c r="B935" s="21" t="s">
        <v>478</v>
      </c>
      <c r="C935" s="20" t="s">
        <v>17</v>
      </c>
      <c r="D935" s="20">
        <v>43.0</v>
      </c>
      <c r="E935" s="20" t="str">
        <f>IMAGE("https://www.serebii.net/itemdex/sprites/sitrusberry.png")</f>
        <v/>
      </c>
      <c r="F935" s="20" t="s">
        <v>20</v>
      </c>
      <c r="G935" s="20" t="s">
        <v>824</v>
      </c>
      <c r="H935" s="23" t="s">
        <v>1365</v>
      </c>
      <c r="I935" s="20" t="s">
        <v>22</v>
      </c>
      <c r="J935" s="20">
        <v>68.0</v>
      </c>
      <c r="K935" s="20">
        <v>0.0</v>
      </c>
      <c r="L935" s="20">
        <v>68.0</v>
      </c>
      <c r="M935" s="20">
        <v>0.0</v>
      </c>
      <c r="N935" s="20">
        <v>68.0</v>
      </c>
      <c r="O935" s="20">
        <v>0.0</v>
      </c>
      <c r="P935" s="20">
        <v>15.0</v>
      </c>
      <c r="Q935" s="20">
        <v>0.0</v>
      </c>
      <c r="R935" s="20">
        <v>15.0</v>
      </c>
      <c r="S935" s="20">
        <v>0.0</v>
      </c>
      <c r="T935" s="20">
        <v>15.0</v>
      </c>
      <c r="U935" s="20">
        <v>0.0</v>
      </c>
    </row>
    <row r="936" ht="23.25" customHeight="1">
      <c r="A936" s="1" t="str">
        <f>IF(COUNTIF('Icon Lookup'!C:C,B936)&gt;0,LOOKUP(B936,'Icon Lookup'!C:C,'Icon Lookup'!B:B),"")</f>
        <v/>
      </c>
      <c r="B936" s="15" t="s">
        <v>1366</v>
      </c>
      <c r="C936" s="1" t="s">
        <v>17</v>
      </c>
      <c r="D936" s="1" t="s">
        <v>1363</v>
      </c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ht="23.25" customHeight="1">
      <c r="A937" s="17" t="str">
        <f>IF(COUNTIF('Icon Lookup'!C:C,B937)&gt;0,LOOKUP(B937,'Icon Lookup'!C:C,'Icon Lookup'!B:B),"")</f>
        <v/>
      </c>
      <c r="B937" s="18" t="s">
        <v>718</v>
      </c>
      <c r="C937" s="17" t="s">
        <v>17</v>
      </c>
      <c r="D937" s="17">
        <v>45.0</v>
      </c>
      <c r="E937" s="17" t="str">
        <f>IMAGE("https://www.serebii.net/itemdex/sprites/scopelens.png")</f>
        <v/>
      </c>
      <c r="F937" s="17" t="s">
        <v>1367</v>
      </c>
      <c r="G937" s="17" t="s">
        <v>855</v>
      </c>
      <c r="H937" s="20" t="s">
        <v>1368</v>
      </c>
      <c r="I937" s="17" t="s">
        <v>22</v>
      </c>
      <c r="J937" s="17">
        <v>68.0</v>
      </c>
      <c r="K937" s="17">
        <v>0.0</v>
      </c>
      <c r="L937" s="17">
        <v>68.0</v>
      </c>
      <c r="M937" s="17">
        <v>0.0</v>
      </c>
      <c r="N937" s="17">
        <v>68.0</v>
      </c>
      <c r="O937" s="17">
        <v>0.0</v>
      </c>
      <c r="P937" s="17">
        <v>15.0</v>
      </c>
      <c r="Q937" s="17">
        <v>0.0</v>
      </c>
      <c r="R937" s="17">
        <v>15.0</v>
      </c>
      <c r="S937" s="17">
        <v>0.0</v>
      </c>
      <c r="T937" s="17">
        <v>15.0</v>
      </c>
      <c r="U937" s="17">
        <v>0.0</v>
      </c>
    </row>
    <row r="938" ht="23.25" customHeight="1">
      <c r="A938" s="20" t="str">
        <f>IF(COUNTIF('Icon Lookup'!C:C,B938)&gt;0,LOOKUP(B938,'Icon Lookup'!C:C,'Icon Lookup'!B:B),"")</f>
        <v/>
      </c>
      <c r="B938" s="21" t="s">
        <v>1369</v>
      </c>
      <c r="C938" s="20" t="s">
        <v>17</v>
      </c>
      <c r="D938" s="20">
        <v>46.0</v>
      </c>
      <c r="E938" s="20" t="str">
        <f>IMAGE("https://www.serebii.net/itemdex/sprites/quickclaw.png")</f>
        <v/>
      </c>
      <c r="F938" s="20" t="s">
        <v>1370</v>
      </c>
      <c r="G938" s="20" t="s">
        <v>1371</v>
      </c>
      <c r="H938" s="23" t="s">
        <v>1372</v>
      </c>
      <c r="I938" s="20" t="s">
        <v>22</v>
      </c>
      <c r="J938" s="20">
        <v>68.0</v>
      </c>
      <c r="K938" s="20">
        <v>0.0</v>
      </c>
      <c r="L938" s="20">
        <v>68.0</v>
      </c>
      <c r="M938" s="20">
        <v>0.0</v>
      </c>
      <c r="N938" s="20">
        <v>68.0</v>
      </c>
      <c r="O938" s="20">
        <v>0.0</v>
      </c>
      <c r="P938" s="20">
        <v>15.0</v>
      </c>
      <c r="Q938" s="20">
        <v>0.0</v>
      </c>
      <c r="R938" s="20">
        <v>15.0</v>
      </c>
      <c r="S938" s="20">
        <v>0.0</v>
      </c>
      <c r="T938" s="20">
        <v>15.0</v>
      </c>
      <c r="U938" s="20">
        <v>0.0</v>
      </c>
    </row>
    <row r="939" ht="23.25" customHeight="1">
      <c r="A939" s="17" t="str">
        <f>IF(COUNTIF('Icon Lookup'!C:C,B939)&gt;0,LOOKUP(B939,'Icon Lookup'!C:C,'Icon Lookup'!B:B),"")</f>
        <v/>
      </c>
      <c r="B939" s="18" t="s">
        <v>190</v>
      </c>
      <c r="C939" s="17" t="s">
        <v>17</v>
      </c>
      <c r="D939" s="17">
        <v>45.0</v>
      </c>
      <c r="E939" s="17" t="str">
        <f>IMAGE("https://www.serebii.net/itemdex/sprites/wacanberry.png")</f>
        <v/>
      </c>
      <c r="F939" s="17" t="s">
        <v>26</v>
      </c>
      <c r="G939" s="17" t="s">
        <v>1373</v>
      </c>
      <c r="H939" s="20" t="s">
        <v>1374</v>
      </c>
      <c r="I939" s="17" t="s">
        <v>22</v>
      </c>
      <c r="J939" s="17">
        <v>68.0</v>
      </c>
      <c r="K939" s="17">
        <v>0.0</v>
      </c>
      <c r="L939" s="17">
        <v>68.0</v>
      </c>
      <c r="M939" s="17">
        <v>0.0</v>
      </c>
      <c r="N939" s="17">
        <v>68.0</v>
      </c>
      <c r="O939" s="17">
        <v>0.0</v>
      </c>
      <c r="P939" s="17">
        <v>15.0</v>
      </c>
      <c r="Q939" s="17">
        <v>0.0</v>
      </c>
      <c r="R939" s="17">
        <v>15.0</v>
      </c>
      <c r="S939" s="17">
        <v>0.0</v>
      </c>
      <c r="T939" s="17">
        <v>15.0</v>
      </c>
      <c r="U939" s="17">
        <v>0.0</v>
      </c>
    </row>
    <row r="940" ht="23.25" customHeight="1">
      <c r="A940" s="20" t="str">
        <f>IF(COUNTIF('Icon Lookup'!C:C,B940)&gt;0,LOOKUP(B940,'Icon Lookup'!C:C,'Icon Lookup'!B:B),"")</f>
        <v/>
      </c>
      <c r="B940" s="21" t="s">
        <v>1375</v>
      </c>
      <c r="C940" s="20" t="s">
        <v>17</v>
      </c>
      <c r="D940" s="20">
        <v>48.0</v>
      </c>
      <c r="E940" s="20" t="str">
        <f>IMAGE("https://www.serebii.net/itemdex/sprites/chopleberry.png")</f>
        <v/>
      </c>
      <c r="F940" s="20" t="s">
        <v>1137</v>
      </c>
      <c r="G940" s="20" t="s">
        <v>1138</v>
      </c>
      <c r="H940" s="23" t="s">
        <v>1376</v>
      </c>
      <c r="I940" s="20" t="s">
        <v>22</v>
      </c>
      <c r="J940" s="20">
        <v>68.0</v>
      </c>
      <c r="K940" s="20">
        <v>0.0</v>
      </c>
      <c r="L940" s="20">
        <v>68.0</v>
      </c>
      <c r="M940" s="20">
        <v>0.0</v>
      </c>
      <c r="N940" s="20">
        <v>68.0</v>
      </c>
      <c r="O940" s="20">
        <v>0.0</v>
      </c>
      <c r="P940" s="20">
        <v>15.0</v>
      </c>
      <c r="Q940" s="20">
        <v>0.0</v>
      </c>
      <c r="R940" s="20">
        <v>15.0</v>
      </c>
      <c r="S940" s="20">
        <v>0.0</v>
      </c>
      <c r="T940" s="20">
        <v>15.0</v>
      </c>
      <c r="U940" s="20">
        <v>0.0</v>
      </c>
    </row>
    <row r="941" ht="23.25" customHeight="1">
      <c r="A941" s="1" t="str">
        <f>IF(COUNTIF('Icon Lookup'!C:C,B941)&gt;0,LOOKUP(B941,'Icon Lookup'!C:C,'Icon Lookup'!B:B),"")</f>
        <v/>
      </c>
      <c r="B941" s="15" t="s">
        <v>1377</v>
      </c>
      <c r="C941" s="1" t="s">
        <v>17</v>
      </c>
      <c r="D941" s="1" t="s">
        <v>1038</v>
      </c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ht="23.25" customHeight="1">
      <c r="A942" s="17" t="str">
        <f>IF(COUNTIF('Icon Lookup'!C:C,B942)&gt;0,LOOKUP(B942,'Icon Lookup'!C:C,'Icon Lookup'!B:B),"")</f>
        <v/>
      </c>
      <c r="B942" s="18" t="s">
        <v>174</v>
      </c>
      <c r="C942" s="17" t="s">
        <v>17</v>
      </c>
      <c r="D942" s="17">
        <v>37.0</v>
      </c>
      <c r="E942" s="17" t="s">
        <v>38</v>
      </c>
      <c r="G942" s="19"/>
      <c r="H942" s="20" t="s">
        <v>1378</v>
      </c>
      <c r="I942" s="17" t="s">
        <v>22</v>
      </c>
      <c r="J942" s="17">
        <v>68.0</v>
      </c>
      <c r="K942" s="17">
        <v>0.0</v>
      </c>
      <c r="L942" s="17">
        <v>68.0</v>
      </c>
      <c r="M942" s="17">
        <v>0.0</v>
      </c>
      <c r="N942" s="17">
        <v>68.0</v>
      </c>
      <c r="O942" s="17">
        <v>0.0</v>
      </c>
      <c r="P942" s="17">
        <v>15.0</v>
      </c>
      <c r="Q942" s="17">
        <v>0.0</v>
      </c>
      <c r="R942" s="17">
        <v>15.0</v>
      </c>
      <c r="S942" s="17">
        <v>0.0</v>
      </c>
      <c r="T942" s="17">
        <v>15.0</v>
      </c>
      <c r="U942" s="17">
        <v>0.0</v>
      </c>
    </row>
    <row r="943" ht="23.25" customHeight="1">
      <c r="A943" s="20" t="str">
        <f>IF(COUNTIF('Icon Lookup'!C:C,B943)&gt;0,LOOKUP(B943,'Icon Lookup'!C:C,'Icon Lookup'!B:B),"")</f>
        <v/>
      </c>
      <c r="B943" s="21" t="s">
        <v>160</v>
      </c>
      <c r="C943" s="20" t="s">
        <v>17</v>
      </c>
      <c r="D943" s="20">
        <v>37.0</v>
      </c>
      <c r="E943" s="20" t="s">
        <v>161</v>
      </c>
      <c r="G943" s="22"/>
      <c r="H943" s="23" t="s">
        <v>1379</v>
      </c>
      <c r="I943" s="20" t="s">
        <v>156</v>
      </c>
      <c r="J943" s="20">
        <v>68.0</v>
      </c>
      <c r="K943" s="20">
        <v>0.0</v>
      </c>
      <c r="L943" s="20">
        <v>68.0</v>
      </c>
      <c r="M943" s="20">
        <v>0.0</v>
      </c>
      <c r="N943" s="20">
        <v>68.0</v>
      </c>
      <c r="O943" s="20">
        <v>0.0</v>
      </c>
      <c r="P943" s="20">
        <v>15.0</v>
      </c>
      <c r="Q943" s="20">
        <v>0.0</v>
      </c>
      <c r="R943" s="20">
        <v>15.0</v>
      </c>
      <c r="S943" s="20">
        <v>0.0</v>
      </c>
      <c r="T943" s="20">
        <v>15.0</v>
      </c>
      <c r="U943" s="20">
        <v>0.0</v>
      </c>
    </row>
    <row r="944" ht="23.25" customHeight="1">
      <c r="A944" s="17" t="str">
        <f>IF(COUNTIF('Icon Lookup'!C:C,B944)&gt;0,LOOKUP(B944,'Icon Lookup'!C:C,'Icon Lookup'!B:B),"")</f>
        <v/>
      </c>
      <c r="B944" s="18" t="s">
        <v>1040</v>
      </c>
      <c r="C944" s="17" t="s">
        <v>17</v>
      </c>
      <c r="D944" s="17">
        <v>39.0</v>
      </c>
      <c r="E944" s="17" t="str">
        <f>IMAGE("https://www.serebii.net/itemdex/sprites/sitrusberry.png")</f>
        <v/>
      </c>
      <c r="F944" s="17" t="s">
        <v>382</v>
      </c>
      <c r="G944" s="17" t="s">
        <v>824</v>
      </c>
      <c r="H944" s="20" t="s">
        <v>1380</v>
      </c>
      <c r="I944" s="17" t="s">
        <v>22</v>
      </c>
      <c r="J944" s="17">
        <v>68.0</v>
      </c>
      <c r="K944" s="17">
        <v>0.0</v>
      </c>
      <c r="L944" s="17">
        <v>68.0</v>
      </c>
      <c r="M944" s="17">
        <v>0.0</v>
      </c>
      <c r="N944" s="17">
        <v>68.0</v>
      </c>
      <c r="O944" s="17">
        <v>0.0</v>
      </c>
      <c r="P944" s="17">
        <v>15.0</v>
      </c>
      <c r="Q944" s="17">
        <v>0.0</v>
      </c>
      <c r="R944" s="17">
        <v>15.0</v>
      </c>
      <c r="S944" s="17">
        <v>0.0</v>
      </c>
      <c r="T944" s="17">
        <v>15.0</v>
      </c>
      <c r="U944" s="17">
        <v>0.0</v>
      </c>
    </row>
    <row r="945" ht="23.25" customHeight="1">
      <c r="A945" s="1" t="str">
        <f>IF(COUNTIF('Icon Lookup'!C:C,B945)&gt;0,LOOKUP(B945,'Icon Lookup'!C:C,'Icon Lookup'!B:B),"")</f>
        <v/>
      </c>
      <c r="B945" s="15" t="s">
        <v>1381</v>
      </c>
      <c r="C945" s="1" t="s">
        <v>17</v>
      </c>
      <c r="D945" s="1" t="s">
        <v>1382</v>
      </c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ht="23.25" customHeight="1">
      <c r="A946" s="20" t="str">
        <f>IF(COUNTIF('Icon Lookup'!C:C,B946)&gt;0,LOOKUP(B946,'Icon Lookup'!C:C,'Icon Lookup'!B:B),"")</f>
        <v/>
      </c>
      <c r="B946" s="21" t="s">
        <v>37</v>
      </c>
      <c r="C946" s="20" t="s">
        <v>17</v>
      </c>
      <c r="D946" s="20">
        <v>18.0</v>
      </c>
      <c r="E946" s="20" t="s">
        <v>38</v>
      </c>
      <c r="G946" s="22"/>
      <c r="H946" s="23" t="s">
        <v>1383</v>
      </c>
      <c r="I946" s="20" t="s">
        <v>612</v>
      </c>
      <c r="J946" s="20">
        <v>68.0</v>
      </c>
      <c r="K946" s="20">
        <v>0.0</v>
      </c>
      <c r="L946" s="20">
        <v>68.0</v>
      </c>
      <c r="M946" s="20">
        <v>0.0</v>
      </c>
      <c r="N946" s="20">
        <v>68.0</v>
      </c>
      <c r="O946" s="20">
        <v>0.0</v>
      </c>
      <c r="P946" s="20">
        <v>15.0</v>
      </c>
      <c r="Q946" s="20">
        <v>0.0</v>
      </c>
      <c r="R946" s="20">
        <v>15.0</v>
      </c>
      <c r="S946" s="20">
        <v>0.0</v>
      </c>
      <c r="T946" s="20">
        <v>15.0</v>
      </c>
      <c r="U946" s="20">
        <v>0.0</v>
      </c>
    </row>
    <row r="947" ht="23.25" customHeight="1">
      <c r="A947" s="17" t="str">
        <f>IF(COUNTIF('Icon Lookup'!C:C,B947)&gt;0,LOOKUP(B947,'Icon Lookup'!C:C,'Icon Lookup'!B:B),"")</f>
        <v/>
      </c>
      <c r="B947" s="18" t="s">
        <v>1384</v>
      </c>
      <c r="C947" s="17" t="s">
        <v>17</v>
      </c>
      <c r="D947" s="17">
        <v>20.0</v>
      </c>
      <c r="E947" s="17" t="str">
        <f>IMAGE("https://www.serebii.net/itemdex/sprites/sitrusberry.png")</f>
        <v/>
      </c>
      <c r="F947" s="17" t="s">
        <v>1126</v>
      </c>
      <c r="G947" s="17" t="s">
        <v>824</v>
      </c>
      <c r="H947" s="20" t="s">
        <v>1385</v>
      </c>
      <c r="I947" s="17" t="s">
        <v>612</v>
      </c>
      <c r="J947" s="17">
        <v>68.0</v>
      </c>
      <c r="K947" s="17">
        <v>0.0</v>
      </c>
      <c r="L947" s="17">
        <v>68.0</v>
      </c>
      <c r="M947" s="17">
        <v>0.0</v>
      </c>
      <c r="N947" s="17">
        <v>68.0</v>
      </c>
      <c r="O947" s="17">
        <v>0.0</v>
      </c>
      <c r="P947" s="17">
        <v>15.0</v>
      </c>
      <c r="Q947" s="17">
        <v>0.0</v>
      </c>
      <c r="R947" s="17">
        <v>15.0</v>
      </c>
      <c r="S947" s="17">
        <v>0.0</v>
      </c>
      <c r="T947" s="17">
        <v>15.0</v>
      </c>
      <c r="U947" s="17">
        <v>0.0</v>
      </c>
    </row>
    <row r="948" ht="23.25" customHeight="1">
      <c r="A948" s="1" t="str">
        <f>IF(COUNTIF('Icon Lookup'!C:C,B948)&gt;0,LOOKUP(B948,'Icon Lookup'!C:C,'Icon Lookup'!B:B),"")</f>
        <v/>
      </c>
      <c r="B948" s="15" t="s">
        <v>1386</v>
      </c>
      <c r="C948" s="1" t="s">
        <v>17</v>
      </c>
      <c r="D948" s="1" t="s">
        <v>1382</v>
      </c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ht="23.25" customHeight="1">
      <c r="A949" s="20" t="str">
        <f>IF(COUNTIF('Icon Lookup'!C:C,B949)&gt;0,LOOKUP(B949,'Icon Lookup'!C:C,'Icon Lookup'!B:B),"")</f>
        <v/>
      </c>
      <c r="B949" s="21" t="s">
        <v>160</v>
      </c>
      <c r="C949" s="20" t="s">
        <v>17</v>
      </c>
      <c r="D949" s="20">
        <v>41.0</v>
      </c>
      <c r="E949" s="20" t="s">
        <v>161</v>
      </c>
      <c r="G949" s="22"/>
      <c r="H949" s="23" t="s">
        <v>1387</v>
      </c>
      <c r="I949" s="20" t="s">
        <v>89</v>
      </c>
      <c r="J949" s="20">
        <v>68.0</v>
      </c>
      <c r="K949" s="20">
        <v>0.0</v>
      </c>
      <c r="L949" s="20">
        <v>68.0</v>
      </c>
      <c r="M949" s="20">
        <v>0.0</v>
      </c>
      <c r="N949" s="20">
        <v>68.0</v>
      </c>
      <c r="O949" s="20">
        <v>0.0</v>
      </c>
      <c r="P949" s="20">
        <v>15.0</v>
      </c>
      <c r="Q949" s="20">
        <v>0.0</v>
      </c>
      <c r="R949" s="20">
        <v>15.0</v>
      </c>
      <c r="S949" s="20">
        <v>0.0</v>
      </c>
      <c r="T949" s="20">
        <v>15.0</v>
      </c>
      <c r="U949" s="20">
        <v>0.0</v>
      </c>
    </row>
    <row r="950" ht="23.25" customHeight="1">
      <c r="A950" s="17" t="str">
        <f>IF(COUNTIF('Icon Lookup'!C:C,B950)&gt;0,LOOKUP(B950,'Icon Lookup'!C:C,'Icon Lookup'!B:B),"")</f>
        <v/>
      </c>
      <c r="B950" s="18" t="s">
        <v>174</v>
      </c>
      <c r="C950" s="17" t="s">
        <v>17</v>
      </c>
      <c r="D950" s="17">
        <v>41.0</v>
      </c>
      <c r="E950" s="17" t="s">
        <v>38</v>
      </c>
      <c r="G950" s="19"/>
      <c r="H950" s="20" t="s">
        <v>1388</v>
      </c>
      <c r="I950" s="17" t="s">
        <v>612</v>
      </c>
      <c r="J950" s="17">
        <v>68.0</v>
      </c>
      <c r="K950" s="17">
        <v>0.0</v>
      </c>
      <c r="L950" s="17">
        <v>68.0</v>
      </c>
      <c r="M950" s="17">
        <v>0.0</v>
      </c>
      <c r="N950" s="17">
        <v>68.0</v>
      </c>
      <c r="O950" s="17">
        <v>0.0</v>
      </c>
      <c r="P950" s="17">
        <v>15.0</v>
      </c>
      <c r="Q950" s="17">
        <v>0.0</v>
      </c>
      <c r="R950" s="17">
        <v>15.0</v>
      </c>
      <c r="S950" s="17">
        <v>0.0</v>
      </c>
      <c r="T950" s="17">
        <v>15.0</v>
      </c>
      <c r="U950" s="17">
        <v>0.0</v>
      </c>
    </row>
    <row r="951" ht="23.25" customHeight="1">
      <c r="A951" s="20" t="str">
        <f>IF(COUNTIF('Icon Lookup'!C:C,B951)&gt;0,LOOKUP(B951,'Icon Lookup'!C:C,'Icon Lookup'!B:B),"")</f>
        <v/>
      </c>
      <c r="B951" s="21" t="s">
        <v>1384</v>
      </c>
      <c r="C951" s="20" t="s">
        <v>17</v>
      </c>
      <c r="D951" s="20">
        <v>46.0</v>
      </c>
      <c r="E951" s="20" t="str">
        <f>IMAGE("https://www.serebii.net/itemdex/sprites/sitrusberry.png")</f>
        <v/>
      </c>
      <c r="F951" s="20" t="s">
        <v>1126</v>
      </c>
      <c r="G951" s="20" t="s">
        <v>824</v>
      </c>
      <c r="H951" s="23" t="s">
        <v>1389</v>
      </c>
      <c r="I951" s="20" t="s">
        <v>612</v>
      </c>
      <c r="J951" s="20">
        <v>68.0</v>
      </c>
      <c r="K951" s="20">
        <v>0.0</v>
      </c>
      <c r="L951" s="20">
        <v>68.0</v>
      </c>
      <c r="M951" s="20">
        <v>0.0</v>
      </c>
      <c r="N951" s="20">
        <v>68.0</v>
      </c>
      <c r="O951" s="20">
        <v>0.0</v>
      </c>
      <c r="P951" s="20">
        <v>15.0</v>
      </c>
      <c r="Q951" s="20">
        <v>0.0</v>
      </c>
      <c r="R951" s="20">
        <v>15.0</v>
      </c>
      <c r="S951" s="20">
        <v>0.0</v>
      </c>
      <c r="T951" s="20">
        <v>15.0</v>
      </c>
      <c r="U951" s="20">
        <v>0.0</v>
      </c>
    </row>
    <row r="952" ht="23.25" customHeight="1">
      <c r="A952" s="1" t="str">
        <f>IF(COUNTIF('Icon Lookup'!C:C,B952)&gt;0,LOOKUP(B952,'Icon Lookup'!C:C,'Icon Lookup'!B:B),"")</f>
        <v/>
      </c>
      <c r="B952" s="15" t="s">
        <v>1390</v>
      </c>
      <c r="C952" s="1" t="s">
        <v>17</v>
      </c>
      <c r="D952" s="1" t="s">
        <v>1391</v>
      </c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ht="23.25" customHeight="1">
      <c r="A953" s="17" t="str">
        <f>IF(COUNTIF('Icon Lookup'!C:C,B953)&gt;0,LOOKUP(B953,'Icon Lookup'!C:C,'Icon Lookup'!B:B),"")</f>
        <v/>
      </c>
      <c r="B953" s="18" t="s">
        <v>386</v>
      </c>
      <c r="C953" s="17" t="s">
        <v>17</v>
      </c>
      <c r="D953" s="17">
        <v>35.0</v>
      </c>
      <c r="E953" s="17" t="str">
        <f>IMAGE("https://www.serebii.net/itemdex/sprites/damprock.png")</f>
        <v/>
      </c>
      <c r="F953" s="17" t="s">
        <v>38</v>
      </c>
      <c r="G953" s="17" t="s">
        <v>1114</v>
      </c>
      <c r="H953" s="20" t="s">
        <v>1392</v>
      </c>
      <c r="I953" s="17" t="s">
        <v>52</v>
      </c>
      <c r="J953" s="17">
        <v>68.0</v>
      </c>
      <c r="K953" s="17">
        <v>0.0</v>
      </c>
      <c r="L953" s="17">
        <v>68.0</v>
      </c>
      <c r="M953" s="17">
        <v>0.0</v>
      </c>
      <c r="N953" s="17">
        <v>68.0</v>
      </c>
      <c r="O953" s="17">
        <v>0.0</v>
      </c>
      <c r="P953" s="17">
        <v>15.0</v>
      </c>
      <c r="Q953" s="17">
        <v>0.0</v>
      </c>
      <c r="R953" s="17">
        <v>15.0</v>
      </c>
      <c r="S953" s="17">
        <v>0.0</v>
      </c>
      <c r="T953" s="17">
        <v>15.0</v>
      </c>
      <c r="U953" s="17">
        <v>0.0</v>
      </c>
    </row>
    <row r="954" ht="23.25" customHeight="1">
      <c r="A954" s="20" t="str">
        <f>IF(COUNTIF('Icon Lookup'!C:C,B954)&gt;0,LOOKUP(B954,'Icon Lookup'!C:C,'Icon Lookup'!B:B),"")</f>
        <v/>
      </c>
      <c r="B954" s="21" t="s">
        <v>160</v>
      </c>
      <c r="C954" s="20" t="s">
        <v>17</v>
      </c>
      <c r="D954" s="20">
        <v>35.0</v>
      </c>
      <c r="E954" s="20" t="s">
        <v>161</v>
      </c>
      <c r="G954" s="22"/>
      <c r="H954" s="23" t="s">
        <v>1393</v>
      </c>
      <c r="I954" s="20" t="s">
        <v>89</v>
      </c>
      <c r="J954" s="20">
        <v>68.0</v>
      </c>
      <c r="K954" s="20">
        <v>0.0</v>
      </c>
      <c r="L954" s="20">
        <v>68.0</v>
      </c>
      <c r="M954" s="20">
        <v>0.0</v>
      </c>
      <c r="N954" s="20">
        <v>68.0</v>
      </c>
      <c r="O954" s="20">
        <v>0.0</v>
      </c>
      <c r="P954" s="20">
        <v>15.0</v>
      </c>
      <c r="Q954" s="20">
        <v>0.0</v>
      </c>
      <c r="R954" s="20">
        <v>15.0</v>
      </c>
      <c r="S954" s="20">
        <v>0.0</v>
      </c>
      <c r="T954" s="20">
        <v>15.0</v>
      </c>
      <c r="U954" s="20">
        <v>0.0</v>
      </c>
    </row>
    <row r="955" ht="23.25" customHeight="1">
      <c r="A955" s="17" t="str">
        <f>IF(COUNTIF('Icon Lookup'!C:C,B955)&gt;0,LOOKUP(B955,'Icon Lookup'!C:C,'Icon Lookup'!B:B),"")</f>
        <v/>
      </c>
      <c r="B955" s="18" t="s">
        <v>1394</v>
      </c>
      <c r="C955" s="17" t="s">
        <v>17</v>
      </c>
      <c r="D955" s="17">
        <v>37.0</v>
      </c>
      <c r="E955" s="17" t="s">
        <v>1096</v>
      </c>
      <c r="G955" s="19"/>
      <c r="H955" s="20" t="s">
        <v>1395</v>
      </c>
      <c r="I955" s="17" t="s">
        <v>22</v>
      </c>
      <c r="J955" s="17">
        <v>68.0</v>
      </c>
      <c r="K955" s="17">
        <v>0.0</v>
      </c>
      <c r="L955" s="17">
        <v>68.0</v>
      </c>
      <c r="M955" s="17">
        <v>0.0</v>
      </c>
      <c r="N955" s="17">
        <v>68.0</v>
      </c>
      <c r="O955" s="17">
        <v>0.0</v>
      </c>
      <c r="P955" s="17">
        <v>15.0</v>
      </c>
      <c r="Q955" s="17">
        <v>0.0</v>
      </c>
      <c r="R955" s="17">
        <v>15.0</v>
      </c>
      <c r="S955" s="17">
        <v>0.0</v>
      </c>
      <c r="T955" s="17">
        <v>15.0</v>
      </c>
      <c r="U955" s="17">
        <v>0.0</v>
      </c>
    </row>
    <row r="956" ht="23.25" customHeight="1">
      <c r="A956" s="1" t="str">
        <f>IF(COUNTIF('Icon Lookup'!C:C,B956)&gt;0,LOOKUP(B956,'Icon Lookup'!C:C,'Icon Lookup'!B:B),"")</f>
        <v/>
      </c>
      <c r="B956" s="15" t="s">
        <v>1396</v>
      </c>
      <c r="C956" s="1" t="s">
        <v>17</v>
      </c>
      <c r="D956" s="1" t="s">
        <v>1391</v>
      </c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ht="23.25" customHeight="1">
      <c r="A957" s="20" t="str">
        <f>IF(COUNTIF('Icon Lookup'!C:C,B957)&gt;0,LOOKUP(B957,'Icon Lookup'!C:C,'Icon Lookup'!B:B),"")</f>
        <v/>
      </c>
      <c r="B957" s="21" t="s">
        <v>386</v>
      </c>
      <c r="C957" s="20" t="s">
        <v>17</v>
      </c>
      <c r="D957" s="20">
        <v>38.0</v>
      </c>
      <c r="E957" s="20" t="str">
        <f>IMAGE("https://www.serebii.net/itemdex/sprites/damprock.png")</f>
        <v/>
      </c>
      <c r="F957" s="20" t="s">
        <v>38</v>
      </c>
      <c r="G957" s="20" t="s">
        <v>1114</v>
      </c>
      <c r="H957" s="23" t="s">
        <v>1392</v>
      </c>
      <c r="I957" s="20" t="s">
        <v>52</v>
      </c>
      <c r="J957" s="20">
        <v>68.0</v>
      </c>
      <c r="K957" s="20">
        <v>0.0</v>
      </c>
      <c r="L957" s="20">
        <v>68.0</v>
      </c>
      <c r="M957" s="20">
        <v>0.0</v>
      </c>
      <c r="N957" s="20">
        <v>68.0</v>
      </c>
      <c r="O957" s="20">
        <v>0.0</v>
      </c>
      <c r="P957" s="20">
        <v>15.0</v>
      </c>
      <c r="Q957" s="20">
        <v>0.0</v>
      </c>
      <c r="R957" s="20">
        <v>15.0</v>
      </c>
      <c r="S957" s="20">
        <v>0.0</v>
      </c>
      <c r="T957" s="20">
        <v>15.0</v>
      </c>
      <c r="U957" s="20">
        <v>0.0</v>
      </c>
    </row>
    <row r="958" ht="23.25" customHeight="1">
      <c r="A958" s="17" t="str">
        <f>IF(COUNTIF('Icon Lookup'!C:C,B958)&gt;0,LOOKUP(B958,'Icon Lookup'!C:C,'Icon Lookup'!B:B),"")</f>
        <v/>
      </c>
      <c r="B958" s="18" t="s">
        <v>160</v>
      </c>
      <c r="C958" s="17" t="s">
        <v>17</v>
      </c>
      <c r="D958" s="17">
        <v>38.0</v>
      </c>
      <c r="E958" s="17" t="s">
        <v>161</v>
      </c>
      <c r="G958" s="19"/>
      <c r="H958" s="20" t="s">
        <v>1393</v>
      </c>
      <c r="I958" s="17" t="s">
        <v>89</v>
      </c>
      <c r="J958" s="17">
        <v>68.0</v>
      </c>
      <c r="K958" s="17">
        <v>0.0</v>
      </c>
      <c r="L958" s="17">
        <v>68.0</v>
      </c>
      <c r="M958" s="17">
        <v>0.0</v>
      </c>
      <c r="N958" s="17">
        <v>68.0</v>
      </c>
      <c r="O958" s="17">
        <v>0.0</v>
      </c>
      <c r="P958" s="17">
        <v>15.0</v>
      </c>
      <c r="Q958" s="17">
        <v>0.0</v>
      </c>
      <c r="R958" s="17">
        <v>15.0</v>
      </c>
      <c r="S958" s="17">
        <v>0.0</v>
      </c>
      <c r="T958" s="17">
        <v>15.0</v>
      </c>
      <c r="U958" s="17">
        <v>0.0</v>
      </c>
    </row>
    <row r="959" ht="23.25" customHeight="1">
      <c r="A959" s="20" t="str">
        <f>IF(COUNTIF('Icon Lookup'!C:C,B959)&gt;0,LOOKUP(B959,'Icon Lookup'!C:C,'Icon Lookup'!B:B),"")</f>
        <v/>
      </c>
      <c r="B959" s="21" t="s">
        <v>1394</v>
      </c>
      <c r="C959" s="20" t="s">
        <v>17</v>
      </c>
      <c r="D959" s="20">
        <v>40.0</v>
      </c>
      <c r="E959" s="20" t="s">
        <v>1096</v>
      </c>
      <c r="G959" s="22"/>
      <c r="H959" s="23" t="s">
        <v>1397</v>
      </c>
      <c r="I959" s="20" t="s">
        <v>22</v>
      </c>
      <c r="J959" s="20">
        <v>68.0</v>
      </c>
      <c r="K959" s="20">
        <v>0.0</v>
      </c>
      <c r="L959" s="20">
        <v>68.0</v>
      </c>
      <c r="M959" s="20">
        <v>0.0</v>
      </c>
      <c r="N959" s="20">
        <v>68.0</v>
      </c>
      <c r="O959" s="20">
        <v>0.0</v>
      </c>
      <c r="P959" s="20">
        <v>15.0</v>
      </c>
      <c r="Q959" s="20">
        <v>0.0</v>
      </c>
      <c r="R959" s="20">
        <v>15.0</v>
      </c>
      <c r="S959" s="20">
        <v>0.0</v>
      </c>
      <c r="T959" s="20">
        <v>15.0</v>
      </c>
      <c r="U959" s="20">
        <v>0.0</v>
      </c>
    </row>
    <row r="960" ht="23.25" customHeight="1">
      <c r="A960" s="1" t="str">
        <f>IF(COUNTIF('Icon Lookup'!C:C,B960)&gt;0,LOOKUP(B960,'Icon Lookup'!C:C,'Icon Lookup'!B:B),"")</f>
        <v/>
      </c>
      <c r="B960" s="15" t="s">
        <v>1398</v>
      </c>
      <c r="C960" s="1" t="s">
        <v>17</v>
      </c>
      <c r="D960" s="1" t="s">
        <v>1044</v>
      </c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 ht="23.25" customHeight="1">
      <c r="A961" s="17" t="str">
        <f>IF(COUNTIF('Icon Lookup'!C:C,B961)&gt;0,LOOKUP(B961,'Icon Lookup'!C:C,'Icon Lookup'!B:B),"")</f>
        <v/>
      </c>
      <c r="B961" s="18" t="s">
        <v>60</v>
      </c>
      <c r="C961" s="17" t="s">
        <v>17</v>
      </c>
      <c r="D961" s="17">
        <v>13.0</v>
      </c>
      <c r="E961" s="17" t="s">
        <v>61</v>
      </c>
      <c r="G961" s="19"/>
      <c r="H961" s="20" t="s">
        <v>62</v>
      </c>
      <c r="I961" s="17" t="s">
        <v>73</v>
      </c>
      <c r="J961" s="17">
        <v>0.0</v>
      </c>
      <c r="K961" s="17">
        <v>0.0</v>
      </c>
      <c r="L961" s="17">
        <v>0.0</v>
      </c>
      <c r="M961" s="17">
        <v>0.0</v>
      </c>
      <c r="N961" s="17">
        <v>0.0</v>
      </c>
      <c r="O961" s="17">
        <v>0.0</v>
      </c>
      <c r="P961" s="17">
        <v>0.0</v>
      </c>
      <c r="Q961" s="17">
        <v>0.0</v>
      </c>
      <c r="R961" s="17">
        <v>0.0</v>
      </c>
      <c r="S961" s="17">
        <v>0.0</v>
      </c>
      <c r="T961" s="17">
        <v>0.0</v>
      </c>
      <c r="U961" s="17">
        <v>0.0</v>
      </c>
    </row>
    <row r="962" ht="23.25" customHeight="1">
      <c r="A962" s="20" t="str">
        <f>IF(COUNTIF('Icon Lookup'!C:C,B962)&gt;0,LOOKUP(B962,'Icon Lookup'!C:C,'Icon Lookup'!B:B),"")</f>
        <v/>
      </c>
      <c r="B962" s="21" t="s">
        <v>691</v>
      </c>
      <c r="C962" s="20" t="s">
        <v>17</v>
      </c>
      <c r="D962" s="20">
        <v>13.0</v>
      </c>
      <c r="E962" s="20" t="s">
        <v>58</v>
      </c>
      <c r="G962" s="22"/>
      <c r="H962" s="23" t="s">
        <v>1291</v>
      </c>
      <c r="I962" s="20" t="s">
        <v>94</v>
      </c>
      <c r="J962" s="20">
        <v>0.0</v>
      </c>
      <c r="K962" s="20">
        <v>0.0</v>
      </c>
      <c r="L962" s="20">
        <v>0.0</v>
      </c>
      <c r="M962" s="20">
        <v>0.0</v>
      </c>
      <c r="N962" s="20">
        <v>0.0</v>
      </c>
      <c r="O962" s="20">
        <v>0.0</v>
      </c>
      <c r="P962" s="20">
        <v>0.0</v>
      </c>
      <c r="Q962" s="20">
        <v>0.0</v>
      </c>
      <c r="R962" s="20">
        <v>0.0</v>
      </c>
      <c r="S962" s="20">
        <v>0.0</v>
      </c>
      <c r="T962" s="20">
        <v>0.0</v>
      </c>
      <c r="U962" s="20">
        <v>0.0</v>
      </c>
    </row>
    <row r="963" ht="23.25" customHeight="1">
      <c r="A963" s="1" t="str">
        <f>IF(COUNTIF('Icon Lookup'!C:C,B963)&gt;0,LOOKUP(B963,'Icon Lookup'!C:C,'Icon Lookup'!B:B),"")</f>
        <v/>
      </c>
      <c r="B963" s="15" t="s">
        <v>1399</v>
      </c>
      <c r="C963" s="1" t="s">
        <v>17</v>
      </c>
      <c r="D963" s="1" t="s">
        <v>1044</v>
      </c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 ht="23.25" customHeight="1">
      <c r="A964" s="17" t="str">
        <f>IF(COUNTIF('Icon Lookup'!C:C,B964)&gt;0,LOOKUP(B964,'Icon Lookup'!C:C,'Icon Lookup'!B:B),"")</f>
        <v/>
      </c>
      <c r="B964" s="18" t="s">
        <v>60</v>
      </c>
      <c r="C964" s="17" t="s">
        <v>17</v>
      </c>
      <c r="D964" s="17">
        <v>13.0</v>
      </c>
      <c r="E964" s="17" t="s">
        <v>61</v>
      </c>
      <c r="G964" s="19"/>
      <c r="H964" s="20" t="s">
        <v>62</v>
      </c>
      <c r="I964" s="17" t="s">
        <v>36</v>
      </c>
      <c r="J964" s="17">
        <v>0.0</v>
      </c>
      <c r="K964" s="17">
        <v>0.0</v>
      </c>
      <c r="L964" s="17">
        <v>0.0</v>
      </c>
      <c r="M964" s="17">
        <v>0.0</v>
      </c>
      <c r="N964" s="17">
        <v>0.0</v>
      </c>
      <c r="O964" s="17">
        <v>0.0</v>
      </c>
      <c r="P964" s="17">
        <v>0.0</v>
      </c>
      <c r="Q964" s="17">
        <v>0.0</v>
      </c>
      <c r="R964" s="17">
        <v>0.0</v>
      </c>
      <c r="S964" s="17">
        <v>0.0</v>
      </c>
      <c r="T964" s="17">
        <v>0.0</v>
      </c>
      <c r="U964" s="17">
        <v>0.0</v>
      </c>
    </row>
    <row r="965" ht="23.25" customHeight="1">
      <c r="A965" s="20" t="str">
        <f>IF(COUNTIF('Icon Lookup'!C:C,B965)&gt;0,LOOKUP(B965,'Icon Lookup'!C:C,'Icon Lookup'!B:B),"")</f>
        <v/>
      </c>
      <c r="B965" s="21" t="s">
        <v>37</v>
      </c>
      <c r="C965" s="20" t="s">
        <v>17</v>
      </c>
      <c r="D965" s="20">
        <v>13.0</v>
      </c>
      <c r="E965" s="20" t="s">
        <v>38</v>
      </c>
      <c r="G965" s="22"/>
      <c r="H965" s="23" t="s">
        <v>318</v>
      </c>
      <c r="I965" s="20" t="s">
        <v>1045</v>
      </c>
      <c r="J965" s="20">
        <v>0.0</v>
      </c>
      <c r="K965" s="20">
        <v>0.0</v>
      </c>
      <c r="L965" s="20">
        <v>0.0</v>
      </c>
      <c r="M965" s="20">
        <v>0.0</v>
      </c>
      <c r="N965" s="20">
        <v>0.0</v>
      </c>
      <c r="O965" s="20">
        <v>0.0</v>
      </c>
      <c r="P965" s="20">
        <v>0.0</v>
      </c>
      <c r="Q965" s="20">
        <v>0.0</v>
      </c>
      <c r="R965" s="20">
        <v>0.0</v>
      </c>
      <c r="S965" s="20">
        <v>0.0</v>
      </c>
      <c r="T965" s="20">
        <v>0.0</v>
      </c>
      <c r="U965" s="20">
        <v>0.0</v>
      </c>
    </row>
    <row r="966" ht="23.25" customHeight="1">
      <c r="A966" s="1" t="str">
        <f>IF(COUNTIF('Icon Lookup'!C:C,B966)&gt;0,LOOKUP(B966,'Icon Lookup'!C:C,'Icon Lookup'!B:B),"")</f>
        <v/>
      </c>
      <c r="B966" s="15" t="s">
        <v>1400</v>
      </c>
      <c r="C966" s="1" t="s">
        <v>17</v>
      </c>
      <c r="D966" s="1" t="s">
        <v>1044</v>
      </c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 ht="23.25" customHeight="1">
      <c r="A967" s="17" t="str">
        <f>IF(COUNTIF('Icon Lookup'!C:C,B967)&gt;0,LOOKUP(B967,'Icon Lookup'!C:C,'Icon Lookup'!B:B),"")</f>
        <v/>
      </c>
      <c r="B967" s="18" t="s">
        <v>37</v>
      </c>
      <c r="C967" s="17" t="s">
        <v>17</v>
      </c>
      <c r="D967" s="17">
        <v>9.0</v>
      </c>
      <c r="E967" s="17" t="s">
        <v>38</v>
      </c>
      <c r="G967" s="19"/>
      <c r="H967" s="20" t="s">
        <v>39</v>
      </c>
      <c r="I967" s="17" t="s">
        <v>94</v>
      </c>
      <c r="J967" s="17">
        <v>0.0</v>
      </c>
      <c r="K967" s="17">
        <v>0.0</v>
      </c>
      <c r="L967" s="17">
        <v>0.0</v>
      </c>
      <c r="M967" s="17">
        <v>0.0</v>
      </c>
      <c r="N967" s="17">
        <v>0.0</v>
      </c>
      <c r="O967" s="17">
        <v>0.0</v>
      </c>
      <c r="P967" s="17">
        <v>0.0</v>
      </c>
      <c r="Q967" s="17">
        <v>0.0</v>
      </c>
      <c r="R967" s="17">
        <v>0.0</v>
      </c>
      <c r="S967" s="17">
        <v>0.0</v>
      </c>
      <c r="T967" s="17">
        <v>0.0</v>
      </c>
      <c r="U967" s="17">
        <v>0.0</v>
      </c>
    </row>
    <row r="968" ht="23.25" customHeight="1">
      <c r="A968" s="1" t="str">
        <f>IF(COUNTIF('Icon Lookup'!C:C,B968)&gt;0,LOOKUP(B968,'Icon Lookup'!C:C,'Icon Lookup'!B:B),"")</f>
        <v/>
      </c>
      <c r="B968" s="15" t="s">
        <v>1401</v>
      </c>
      <c r="C968" s="1" t="s">
        <v>17</v>
      </c>
      <c r="D968" s="1" t="s">
        <v>1044</v>
      </c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 ht="23.25" customHeight="1">
      <c r="A969" s="20" t="str">
        <f>IF(COUNTIF('Icon Lookup'!C:C,B969)&gt;0,LOOKUP(B969,'Icon Lookup'!C:C,'Icon Lookup'!B:B),"")</f>
        <v/>
      </c>
      <c r="B969" s="21" t="s">
        <v>60</v>
      </c>
      <c r="C969" s="20" t="s">
        <v>17</v>
      </c>
      <c r="D969" s="20">
        <v>9.0</v>
      </c>
      <c r="E969" s="20" t="s">
        <v>61</v>
      </c>
      <c r="G969" s="22"/>
      <c r="H969" s="23" t="s">
        <v>62</v>
      </c>
      <c r="I969" s="20" t="s">
        <v>36</v>
      </c>
      <c r="J969" s="20">
        <v>0.0</v>
      </c>
      <c r="K969" s="20">
        <v>0.0</v>
      </c>
      <c r="L969" s="20">
        <v>0.0</v>
      </c>
      <c r="M969" s="20">
        <v>0.0</v>
      </c>
      <c r="N969" s="20">
        <v>0.0</v>
      </c>
      <c r="O969" s="20">
        <v>0.0</v>
      </c>
      <c r="P969" s="20">
        <v>0.0</v>
      </c>
      <c r="Q969" s="20">
        <v>0.0</v>
      </c>
      <c r="R969" s="20">
        <v>0.0</v>
      </c>
      <c r="S969" s="20">
        <v>0.0</v>
      </c>
      <c r="T969" s="20">
        <v>0.0</v>
      </c>
      <c r="U969" s="20">
        <v>0.0</v>
      </c>
    </row>
    <row r="970" ht="23.25" customHeight="1">
      <c r="A970" s="1" t="str">
        <f>IF(COUNTIF('Icon Lookup'!C:C,B970)&gt;0,LOOKUP(B970,'Icon Lookup'!C:C,'Icon Lookup'!B:B),"")</f>
        <v/>
      </c>
      <c r="B970" s="15" t="s">
        <v>1402</v>
      </c>
      <c r="C970" s="1" t="s">
        <v>17</v>
      </c>
      <c r="D970" s="1" t="s">
        <v>1044</v>
      </c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 ht="23.25" customHeight="1">
      <c r="A971" s="17" t="str">
        <f>IF(COUNTIF('Icon Lookup'!C:C,B971)&gt;0,LOOKUP(B971,'Icon Lookup'!C:C,'Icon Lookup'!B:B),"")</f>
        <v/>
      </c>
      <c r="B971" s="18" t="s">
        <v>687</v>
      </c>
      <c r="C971" s="17" t="s">
        <v>17</v>
      </c>
      <c r="D971" s="17">
        <v>25.0</v>
      </c>
      <c r="E971" s="17" t="s">
        <v>258</v>
      </c>
      <c r="G971" s="19"/>
      <c r="H971" s="20" t="s">
        <v>1403</v>
      </c>
      <c r="I971" s="17" t="s">
        <v>94</v>
      </c>
      <c r="J971" s="17">
        <v>0.0</v>
      </c>
      <c r="K971" s="17">
        <v>0.0</v>
      </c>
      <c r="L971" s="17">
        <v>0.0</v>
      </c>
      <c r="M971" s="17">
        <v>0.0</v>
      </c>
      <c r="N971" s="17">
        <v>0.0</v>
      </c>
      <c r="O971" s="17">
        <v>0.0</v>
      </c>
      <c r="P971" s="17">
        <v>0.0</v>
      </c>
      <c r="Q971" s="17">
        <v>0.0</v>
      </c>
      <c r="R971" s="17">
        <v>0.0</v>
      </c>
      <c r="S971" s="17">
        <v>0.0</v>
      </c>
      <c r="T971" s="17">
        <v>0.0</v>
      </c>
      <c r="U971" s="17">
        <v>0.0</v>
      </c>
    </row>
    <row r="972" ht="23.25" customHeight="1">
      <c r="A972" s="20" t="str">
        <f>IF(COUNTIF('Icon Lookup'!C:C,B972)&gt;0,LOOKUP(B972,'Icon Lookup'!C:C,'Icon Lookup'!B:B),"")</f>
        <v/>
      </c>
      <c r="B972" s="21" t="s">
        <v>288</v>
      </c>
      <c r="C972" s="20" t="s">
        <v>17</v>
      </c>
      <c r="D972" s="20">
        <v>27.0</v>
      </c>
      <c r="E972" s="20" t="s">
        <v>289</v>
      </c>
      <c r="G972" s="22"/>
      <c r="H972" s="23" t="s">
        <v>461</v>
      </c>
      <c r="I972" s="20" t="s">
        <v>36</v>
      </c>
      <c r="J972" s="20">
        <v>0.0</v>
      </c>
      <c r="K972" s="20">
        <v>0.0</v>
      </c>
      <c r="L972" s="20">
        <v>0.0</v>
      </c>
      <c r="M972" s="20">
        <v>0.0</v>
      </c>
      <c r="N972" s="20">
        <v>0.0</v>
      </c>
      <c r="O972" s="20">
        <v>0.0</v>
      </c>
      <c r="P972" s="20">
        <v>0.0</v>
      </c>
      <c r="Q972" s="20">
        <v>0.0</v>
      </c>
      <c r="R972" s="20">
        <v>0.0</v>
      </c>
      <c r="S972" s="20">
        <v>0.0</v>
      </c>
      <c r="T972" s="20">
        <v>0.0</v>
      </c>
      <c r="U972" s="20">
        <v>0.0</v>
      </c>
    </row>
    <row r="973" ht="23.25" customHeight="1">
      <c r="A973" s="1" t="str">
        <f>IF(COUNTIF('Icon Lookup'!C:C,B973)&gt;0,LOOKUP(B973,'Icon Lookup'!C:C,'Icon Lookup'!B:B),"")</f>
        <v/>
      </c>
      <c r="B973" s="15" t="s">
        <v>1404</v>
      </c>
      <c r="C973" s="1" t="s">
        <v>17</v>
      </c>
      <c r="D973" s="1" t="s">
        <v>1044</v>
      </c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 ht="23.25" customHeight="1">
      <c r="A974" s="17" t="str">
        <f>IF(COUNTIF('Icon Lookup'!C:C,B974)&gt;0,LOOKUP(B974,'Icon Lookup'!C:C,'Icon Lookup'!B:B),"")</f>
        <v/>
      </c>
      <c r="B974" s="18" t="s">
        <v>174</v>
      </c>
      <c r="C974" s="17" t="s">
        <v>17</v>
      </c>
      <c r="D974" s="17">
        <v>32.0</v>
      </c>
      <c r="E974" s="17" t="s">
        <v>38</v>
      </c>
      <c r="G974" s="19"/>
      <c r="H974" s="20" t="s">
        <v>1405</v>
      </c>
      <c r="I974" s="17" t="s">
        <v>197</v>
      </c>
      <c r="J974" s="17">
        <v>0.0</v>
      </c>
      <c r="K974" s="17">
        <v>0.0</v>
      </c>
      <c r="L974" s="17">
        <v>0.0</v>
      </c>
      <c r="M974" s="17">
        <v>0.0</v>
      </c>
      <c r="N974" s="17">
        <v>0.0</v>
      </c>
      <c r="O974" s="17">
        <v>0.0</v>
      </c>
      <c r="P974" s="17">
        <v>0.0</v>
      </c>
      <c r="Q974" s="17">
        <v>0.0</v>
      </c>
      <c r="R974" s="17">
        <v>0.0</v>
      </c>
      <c r="S974" s="17">
        <v>0.0</v>
      </c>
      <c r="T974" s="17">
        <v>0.0</v>
      </c>
      <c r="U974" s="17">
        <v>0.0</v>
      </c>
    </row>
    <row r="975" ht="23.25" customHeight="1">
      <c r="A975" s="20" t="str">
        <f>IF(COUNTIF('Icon Lookup'!C:C,B975)&gt;0,LOOKUP(B975,'Icon Lookup'!C:C,'Icon Lookup'!B:B),"")</f>
        <v/>
      </c>
      <c r="B975" s="21" t="s">
        <v>288</v>
      </c>
      <c r="C975" s="20" t="s">
        <v>17</v>
      </c>
      <c r="D975" s="20">
        <v>36.0</v>
      </c>
      <c r="E975" s="20" t="s">
        <v>289</v>
      </c>
      <c r="G975" s="22"/>
      <c r="H975" s="23" t="s">
        <v>538</v>
      </c>
      <c r="I975" s="20" t="s">
        <v>73</v>
      </c>
      <c r="J975" s="20">
        <v>0.0</v>
      </c>
      <c r="K975" s="20">
        <v>0.0</v>
      </c>
      <c r="L975" s="20">
        <v>0.0</v>
      </c>
      <c r="M975" s="20">
        <v>0.0</v>
      </c>
      <c r="N975" s="20">
        <v>0.0</v>
      </c>
      <c r="O975" s="20">
        <v>0.0</v>
      </c>
      <c r="P975" s="20">
        <v>0.0</v>
      </c>
      <c r="Q975" s="20">
        <v>0.0</v>
      </c>
      <c r="R975" s="20">
        <v>0.0</v>
      </c>
      <c r="S975" s="20">
        <v>0.0</v>
      </c>
      <c r="T975" s="20">
        <v>0.0</v>
      </c>
      <c r="U975" s="20">
        <v>0.0</v>
      </c>
    </row>
    <row r="976" ht="23.25" customHeight="1">
      <c r="A976" s="1" t="str">
        <f>IF(COUNTIF('Icon Lookup'!C:C,B976)&gt;0,LOOKUP(B976,'Icon Lookup'!C:C,'Icon Lookup'!B:B),"")</f>
        <v/>
      </c>
      <c r="B976" s="15" t="s">
        <v>1406</v>
      </c>
      <c r="C976" s="1" t="s">
        <v>17</v>
      </c>
      <c r="D976" s="1" t="s">
        <v>1044</v>
      </c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 ht="23.25" customHeight="1">
      <c r="A977" s="17" t="str">
        <f>IF(COUNTIF('Icon Lookup'!C:C,B977)&gt;0,LOOKUP(B977,'Icon Lookup'!C:C,'Icon Lookup'!B:B),"")</f>
        <v/>
      </c>
      <c r="B977" s="18" t="s">
        <v>288</v>
      </c>
      <c r="C977" s="17" t="s">
        <v>17</v>
      </c>
      <c r="D977" s="17">
        <v>34.0</v>
      </c>
      <c r="E977" s="17" t="s">
        <v>289</v>
      </c>
      <c r="G977" s="19"/>
      <c r="H977" s="20" t="s">
        <v>1407</v>
      </c>
      <c r="I977" s="17" t="s">
        <v>94</v>
      </c>
      <c r="J977" s="17">
        <v>0.0</v>
      </c>
      <c r="K977" s="17">
        <v>0.0</v>
      </c>
      <c r="L977" s="17">
        <v>0.0</v>
      </c>
      <c r="M977" s="17">
        <v>0.0</v>
      </c>
      <c r="N977" s="17">
        <v>0.0</v>
      </c>
      <c r="O977" s="17">
        <v>0.0</v>
      </c>
      <c r="P977" s="17">
        <v>0.0</v>
      </c>
      <c r="Q977" s="17">
        <v>0.0</v>
      </c>
      <c r="R977" s="17">
        <v>0.0</v>
      </c>
      <c r="S977" s="17">
        <v>0.0</v>
      </c>
      <c r="T977" s="17">
        <v>0.0</v>
      </c>
      <c r="U977" s="17">
        <v>0.0</v>
      </c>
    </row>
    <row r="978" ht="23.25" customHeight="1">
      <c r="A978" s="20" t="str">
        <f>IF(COUNTIF('Icon Lookup'!C:C,B978)&gt;0,LOOKUP(B978,'Icon Lookup'!C:C,'Icon Lookup'!B:B),"")</f>
        <v/>
      </c>
      <c r="B978" s="21" t="s">
        <v>293</v>
      </c>
      <c r="C978" s="20" t="s">
        <v>17</v>
      </c>
      <c r="D978" s="20">
        <v>31.0</v>
      </c>
      <c r="E978" s="20" t="s">
        <v>61</v>
      </c>
      <c r="G978" s="22"/>
      <c r="H978" s="23" t="s">
        <v>294</v>
      </c>
      <c r="I978" s="20" t="s">
        <v>36</v>
      </c>
      <c r="J978" s="20">
        <v>0.0</v>
      </c>
      <c r="K978" s="20">
        <v>0.0</v>
      </c>
      <c r="L978" s="20">
        <v>0.0</v>
      </c>
      <c r="M978" s="20">
        <v>0.0</v>
      </c>
      <c r="N978" s="20">
        <v>0.0</v>
      </c>
      <c r="O978" s="20">
        <v>0.0</v>
      </c>
      <c r="P978" s="20">
        <v>0.0</v>
      </c>
      <c r="Q978" s="20">
        <v>0.0</v>
      </c>
      <c r="R978" s="20">
        <v>0.0</v>
      </c>
      <c r="S978" s="20">
        <v>0.0</v>
      </c>
      <c r="T978" s="20">
        <v>0.0</v>
      </c>
      <c r="U978" s="20">
        <v>0.0</v>
      </c>
    </row>
    <row r="979" ht="23.25" customHeight="1">
      <c r="A979" s="17" t="str">
        <f>IF(COUNTIF('Icon Lookup'!C:C,B979)&gt;0,LOOKUP(B979,'Icon Lookup'!C:C,'Icon Lookup'!B:B),"")</f>
        <v/>
      </c>
      <c r="B979" s="18" t="s">
        <v>687</v>
      </c>
      <c r="C979" s="17" t="s">
        <v>17</v>
      </c>
      <c r="D979" s="17">
        <v>31.0</v>
      </c>
      <c r="E979" s="17" t="s">
        <v>258</v>
      </c>
      <c r="G979" s="19"/>
      <c r="H979" s="20" t="s">
        <v>1408</v>
      </c>
      <c r="I979" s="17" t="s">
        <v>1045</v>
      </c>
      <c r="J979" s="17">
        <v>0.0</v>
      </c>
      <c r="K979" s="17">
        <v>0.0</v>
      </c>
      <c r="L979" s="17">
        <v>0.0</v>
      </c>
      <c r="M979" s="17">
        <v>0.0</v>
      </c>
      <c r="N979" s="17">
        <v>0.0</v>
      </c>
      <c r="O979" s="17">
        <v>0.0</v>
      </c>
      <c r="P979" s="17">
        <v>0.0</v>
      </c>
      <c r="Q979" s="17">
        <v>0.0</v>
      </c>
      <c r="R979" s="17">
        <v>0.0</v>
      </c>
      <c r="S979" s="17">
        <v>0.0</v>
      </c>
      <c r="T979" s="17">
        <v>0.0</v>
      </c>
      <c r="U979" s="17">
        <v>0.0</v>
      </c>
    </row>
    <row r="980" ht="23.25" customHeight="1">
      <c r="A980" s="1" t="str">
        <f>IF(COUNTIF('Icon Lookup'!C:C,B980)&gt;0,LOOKUP(B980,'Icon Lookup'!C:C,'Icon Lookup'!B:B),"")</f>
        <v/>
      </c>
      <c r="B980" s="15" t="s">
        <v>1409</v>
      </c>
      <c r="C980" s="1" t="s">
        <v>17</v>
      </c>
      <c r="D980" s="1" t="s">
        <v>1044</v>
      </c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ht="23.25" customHeight="1">
      <c r="A981" s="20" t="str">
        <f>IF(COUNTIF('Icon Lookup'!C:C,B981)&gt;0,LOOKUP(B981,'Icon Lookup'!C:C,'Icon Lookup'!B:B),"")</f>
        <v/>
      </c>
      <c r="B981" s="21" t="s">
        <v>1003</v>
      </c>
      <c r="C981" s="20" t="s">
        <v>17</v>
      </c>
      <c r="D981" s="20">
        <v>33.0</v>
      </c>
      <c r="E981" s="20" t="s">
        <v>1022</v>
      </c>
      <c r="G981" s="22"/>
      <c r="H981" s="23" t="s">
        <v>1410</v>
      </c>
      <c r="I981" s="20" t="s">
        <v>94</v>
      </c>
      <c r="J981" s="20">
        <v>0.0</v>
      </c>
      <c r="K981" s="20">
        <v>0.0</v>
      </c>
      <c r="L981" s="20">
        <v>0.0</v>
      </c>
      <c r="M981" s="20">
        <v>0.0</v>
      </c>
      <c r="N981" s="20">
        <v>0.0</v>
      </c>
      <c r="O981" s="20">
        <v>0.0</v>
      </c>
      <c r="P981" s="20">
        <v>0.0</v>
      </c>
      <c r="Q981" s="20">
        <v>0.0</v>
      </c>
      <c r="R981" s="20">
        <v>0.0</v>
      </c>
      <c r="S981" s="20">
        <v>0.0</v>
      </c>
      <c r="T981" s="20">
        <v>0.0</v>
      </c>
      <c r="U981" s="20">
        <v>0.0</v>
      </c>
    </row>
    <row r="982" ht="23.25" customHeight="1">
      <c r="A982" s="17" t="str">
        <f>IF(COUNTIF('Icon Lookup'!C:C,B982)&gt;0,LOOKUP(B982,'Icon Lookup'!C:C,'Icon Lookup'!B:B),"")</f>
        <v/>
      </c>
      <c r="B982" s="18" t="s">
        <v>1017</v>
      </c>
      <c r="C982" s="17" t="s">
        <v>17</v>
      </c>
      <c r="D982" s="17">
        <v>32.0</v>
      </c>
      <c r="E982" s="17" t="s">
        <v>1126</v>
      </c>
      <c r="G982" s="19"/>
      <c r="H982" s="20" t="s">
        <v>1411</v>
      </c>
      <c r="I982" s="17" t="s">
        <v>36</v>
      </c>
      <c r="J982" s="17">
        <v>0.0</v>
      </c>
      <c r="K982" s="17">
        <v>0.0</v>
      </c>
      <c r="L982" s="17">
        <v>0.0</v>
      </c>
      <c r="M982" s="17">
        <v>0.0</v>
      </c>
      <c r="N982" s="17">
        <v>0.0</v>
      </c>
      <c r="O982" s="17">
        <v>0.0</v>
      </c>
      <c r="P982" s="17">
        <v>0.0</v>
      </c>
      <c r="Q982" s="17">
        <v>0.0</v>
      </c>
      <c r="R982" s="17">
        <v>0.0</v>
      </c>
      <c r="S982" s="17">
        <v>0.0</v>
      </c>
      <c r="T982" s="17">
        <v>0.0</v>
      </c>
      <c r="U982" s="17">
        <v>0.0</v>
      </c>
    </row>
    <row r="983" ht="23.25" customHeight="1">
      <c r="A983" s="20" t="str">
        <f>IF(COUNTIF('Icon Lookup'!C:C,B983)&gt;0,LOOKUP(B983,'Icon Lookup'!C:C,'Icon Lookup'!B:B),"")</f>
        <v/>
      </c>
      <c r="B983" s="21" t="s">
        <v>1003</v>
      </c>
      <c r="C983" s="20" t="s">
        <v>17</v>
      </c>
      <c r="D983" s="20">
        <v>32.0</v>
      </c>
      <c r="E983" s="20" t="s">
        <v>1022</v>
      </c>
      <c r="G983" s="22"/>
      <c r="H983" s="23" t="s">
        <v>1410</v>
      </c>
      <c r="I983" s="20" t="s">
        <v>1045</v>
      </c>
      <c r="J983" s="20">
        <v>0.0</v>
      </c>
      <c r="K983" s="20">
        <v>0.0</v>
      </c>
      <c r="L983" s="20">
        <v>0.0</v>
      </c>
      <c r="M983" s="20">
        <v>0.0</v>
      </c>
      <c r="N983" s="20">
        <v>0.0</v>
      </c>
      <c r="O983" s="20">
        <v>0.0</v>
      </c>
      <c r="P983" s="20">
        <v>0.0</v>
      </c>
      <c r="Q983" s="20">
        <v>0.0</v>
      </c>
      <c r="R983" s="20">
        <v>0.0</v>
      </c>
      <c r="S983" s="20">
        <v>0.0</v>
      </c>
      <c r="T983" s="20">
        <v>0.0</v>
      </c>
      <c r="U983" s="20">
        <v>0.0</v>
      </c>
    </row>
    <row r="984" ht="23.25" customHeight="1">
      <c r="A984" s="1" t="str">
        <f>IF(COUNTIF('Icon Lookup'!C:C,B984)&gt;0,LOOKUP(B984,'Icon Lookup'!C:C,'Icon Lookup'!B:B),"")</f>
        <v/>
      </c>
      <c r="B984" s="15" t="s">
        <v>1412</v>
      </c>
      <c r="C984" s="1" t="s">
        <v>17</v>
      </c>
      <c r="D984" s="1" t="s">
        <v>1044</v>
      </c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ht="23.25" customHeight="1">
      <c r="A985" s="17" t="str">
        <f>IF(COUNTIF('Icon Lookup'!C:C,B985)&gt;0,LOOKUP(B985,'Icon Lookup'!C:C,'Icon Lookup'!B:B),"")</f>
        <v/>
      </c>
      <c r="B985" s="18" t="s">
        <v>1017</v>
      </c>
      <c r="C985" s="17" t="s">
        <v>17</v>
      </c>
      <c r="D985" s="17">
        <v>32.0</v>
      </c>
      <c r="E985" s="17" t="s">
        <v>1413</v>
      </c>
      <c r="G985" s="19"/>
      <c r="H985" s="20" t="s">
        <v>1413</v>
      </c>
      <c r="I985" s="17" t="s">
        <v>1045</v>
      </c>
      <c r="J985" s="17">
        <v>0.0</v>
      </c>
      <c r="K985" s="17">
        <v>0.0</v>
      </c>
      <c r="L985" s="17">
        <v>0.0</v>
      </c>
      <c r="M985" s="17">
        <v>0.0</v>
      </c>
      <c r="N985" s="17">
        <v>0.0</v>
      </c>
      <c r="O985" s="17">
        <v>0.0</v>
      </c>
      <c r="P985" s="17">
        <v>0.0</v>
      </c>
      <c r="Q985" s="17">
        <v>0.0</v>
      </c>
      <c r="R985" s="17">
        <v>0.0</v>
      </c>
      <c r="S985" s="17">
        <v>0.0</v>
      </c>
      <c r="T985" s="17">
        <v>0.0</v>
      </c>
      <c r="U985" s="17">
        <v>0.0</v>
      </c>
    </row>
    <row r="986" ht="23.25" customHeight="1">
      <c r="A986" s="20" t="str">
        <f>IF(COUNTIF('Icon Lookup'!C:C,B986)&gt;0,LOOKUP(B986,'Icon Lookup'!C:C,'Icon Lookup'!B:B),"")</f>
        <v/>
      </c>
      <c r="B986" s="21" t="s">
        <v>1003</v>
      </c>
      <c r="C986" s="20" t="s">
        <v>17</v>
      </c>
      <c r="D986" s="20">
        <v>32.0</v>
      </c>
      <c r="E986" s="20" t="s">
        <v>1413</v>
      </c>
      <c r="G986" s="22"/>
      <c r="H986" s="23" t="s">
        <v>1413</v>
      </c>
      <c r="I986" s="20" t="s">
        <v>1045</v>
      </c>
      <c r="J986" s="20">
        <v>0.0</v>
      </c>
      <c r="K986" s="20">
        <v>0.0</v>
      </c>
      <c r="L986" s="20">
        <v>0.0</v>
      </c>
      <c r="M986" s="20">
        <v>0.0</v>
      </c>
      <c r="N986" s="20">
        <v>0.0</v>
      </c>
      <c r="O986" s="20">
        <v>0.0</v>
      </c>
      <c r="P986" s="20">
        <v>0.0</v>
      </c>
      <c r="Q986" s="20">
        <v>0.0</v>
      </c>
      <c r="R986" s="20">
        <v>0.0</v>
      </c>
      <c r="S986" s="20">
        <v>0.0</v>
      </c>
      <c r="T986" s="20">
        <v>0.0</v>
      </c>
      <c r="U986" s="20">
        <v>0.0</v>
      </c>
    </row>
    <row r="987" ht="23.25" customHeight="1">
      <c r="A987" s="1" t="str">
        <f>IF(COUNTIF('Icon Lookup'!C:C,B987)&gt;0,LOOKUP(B987,'Icon Lookup'!C:C,'Icon Lookup'!B:B),"")</f>
        <v/>
      </c>
      <c r="B987" s="15" t="s">
        <v>1414</v>
      </c>
      <c r="C987" s="1" t="s">
        <v>17</v>
      </c>
      <c r="D987" s="1" t="s">
        <v>1044</v>
      </c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ht="23.25" customHeight="1">
      <c r="A988" s="17" t="str">
        <f>IF(COUNTIF('Icon Lookup'!C:C,B988)&gt;0,LOOKUP(B988,'Icon Lookup'!C:C,'Icon Lookup'!B:B),"")</f>
        <v/>
      </c>
      <c r="B988" s="18" t="s">
        <v>37</v>
      </c>
      <c r="C988" s="17" t="s">
        <v>17</v>
      </c>
      <c r="D988" s="17">
        <v>14.0</v>
      </c>
      <c r="E988" s="17" t="s">
        <v>38</v>
      </c>
      <c r="G988" s="19"/>
      <c r="H988" s="20" t="s">
        <v>318</v>
      </c>
      <c r="I988" s="17" t="s">
        <v>197</v>
      </c>
      <c r="J988" s="17">
        <v>0.0</v>
      </c>
      <c r="K988" s="17">
        <v>0.0</v>
      </c>
      <c r="L988" s="17">
        <v>0.0</v>
      </c>
      <c r="M988" s="17">
        <v>0.0</v>
      </c>
      <c r="N988" s="17">
        <v>0.0</v>
      </c>
      <c r="O988" s="17">
        <v>0.0</v>
      </c>
      <c r="P988" s="17">
        <v>0.0</v>
      </c>
      <c r="Q988" s="17">
        <v>0.0</v>
      </c>
      <c r="R988" s="17">
        <v>0.0</v>
      </c>
      <c r="S988" s="17">
        <v>0.0</v>
      </c>
      <c r="T988" s="17">
        <v>0.0</v>
      </c>
      <c r="U988" s="17">
        <v>0.0</v>
      </c>
    </row>
    <row r="989" ht="23.25" customHeight="1">
      <c r="A989" s="20" t="str">
        <f>IF(COUNTIF('Icon Lookup'!C:C,B989)&gt;0,LOOKUP(B989,'Icon Lookup'!C:C,'Icon Lookup'!B:B),"")</f>
        <v/>
      </c>
      <c r="B989" s="21" t="s">
        <v>1003</v>
      </c>
      <c r="C989" s="20" t="s">
        <v>17</v>
      </c>
      <c r="D989" s="20">
        <v>14.0</v>
      </c>
      <c r="E989" s="20" t="s">
        <v>1004</v>
      </c>
      <c r="G989" s="22"/>
      <c r="H989" s="23" t="s">
        <v>1415</v>
      </c>
      <c r="I989" s="20" t="s">
        <v>73</v>
      </c>
      <c r="J989" s="20">
        <v>0.0</v>
      </c>
      <c r="K989" s="20">
        <v>0.0</v>
      </c>
      <c r="L989" s="20">
        <v>0.0</v>
      </c>
      <c r="M989" s="20">
        <v>0.0</v>
      </c>
      <c r="N989" s="20">
        <v>0.0</v>
      </c>
      <c r="O989" s="20">
        <v>0.0</v>
      </c>
      <c r="P989" s="20">
        <v>0.0</v>
      </c>
      <c r="Q989" s="20">
        <v>0.0</v>
      </c>
      <c r="R989" s="20">
        <v>0.0</v>
      </c>
      <c r="S989" s="20">
        <v>0.0</v>
      </c>
      <c r="T989" s="20">
        <v>0.0</v>
      </c>
      <c r="U989" s="20">
        <v>0.0</v>
      </c>
    </row>
    <row r="990" ht="23.25" customHeight="1">
      <c r="A990" s="1" t="str">
        <f>IF(COUNTIF('Icon Lookup'!C:C,B990)&gt;0,LOOKUP(B990,'Icon Lookup'!C:C,'Icon Lookup'!B:B),"")</f>
        <v/>
      </c>
      <c r="B990" s="15" t="s">
        <v>1416</v>
      </c>
      <c r="C990" s="1" t="s">
        <v>17</v>
      </c>
      <c r="D990" s="1" t="s">
        <v>1044</v>
      </c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ht="23.25" customHeight="1">
      <c r="A991" s="17" t="str">
        <f>IF(COUNTIF('Icon Lookup'!C:C,B991)&gt;0,LOOKUP(B991,'Icon Lookup'!C:C,'Icon Lookup'!B:B),"")</f>
        <v/>
      </c>
      <c r="B991" s="18" t="s">
        <v>685</v>
      </c>
      <c r="C991" s="17" t="s">
        <v>17</v>
      </c>
      <c r="D991" s="17">
        <v>15.0</v>
      </c>
      <c r="E991" s="17" t="s">
        <v>58</v>
      </c>
      <c r="G991" s="19"/>
      <c r="H991" s="20" t="s">
        <v>1291</v>
      </c>
      <c r="I991" s="17" t="s">
        <v>94</v>
      </c>
      <c r="J991" s="17">
        <v>0.0</v>
      </c>
      <c r="K991" s="17">
        <v>0.0</v>
      </c>
      <c r="L991" s="17">
        <v>0.0</v>
      </c>
      <c r="M991" s="17">
        <v>0.0</v>
      </c>
      <c r="N991" s="17">
        <v>0.0</v>
      </c>
      <c r="O991" s="17">
        <v>0.0</v>
      </c>
      <c r="P991" s="17">
        <v>0.0</v>
      </c>
      <c r="Q991" s="17">
        <v>0.0</v>
      </c>
      <c r="R991" s="17">
        <v>0.0</v>
      </c>
      <c r="S991" s="17">
        <v>0.0</v>
      </c>
      <c r="T991" s="17">
        <v>0.0</v>
      </c>
      <c r="U991" s="17">
        <v>0.0</v>
      </c>
    </row>
    <row r="992" ht="23.25" customHeight="1">
      <c r="A992" s="1" t="str">
        <f>IF(COUNTIF('Icon Lookup'!C:C,B992)&gt;0,LOOKUP(B992,'Icon Lookup'!C:C,'Icon Lookup'!B:B),"")</f>
        <v/>
      </c>
      <c r="B992" s="15" t="s">
        <v>1417</v>
      </c>
      <c r="C992" s="1" t="s">
        <v>17</v>
      </c>
      <c r="D992" s="1" t="s">
        <v>1044</v>
      </c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 ht="23.25" customHeight="1">
      <c r="A993" s="20" t="str">
        <f>IF(COUNTIF('Icon Lookup'!C:C,B993)&gt;0,LOOKUP(B993,'Icon Lookup'!C:C,'Icon Lookup'!B:B),"")</f>
        <v/>
      </c>
      <c r="B993" s="21" t="s">
        <v>60</v>
      </c>
      <c r="C993" s="20" t="s">
        <v>17</v>
      </c>
      <c r="D993" s="20">
        <v>12.0</v>
      </c>
      <c r="E993" s="20" t="s">
        <v>61</v>
      </c>
      <c r="G993" s="22"/>
      <c r="H993" s="23" t="s">
        <v>62</v>
      </c>
      <c r="I993" s="20" t="s">
        <v>36</v>
      </c>
      <c r="J993" s="20">
        <v>0.0</v>
      </c>
      <c r="K993" s="20">
        <v>0.0</v>
      </c>
      <c r="L993" s="20">
        <v>0.0</v>
      </c>
      <c r="M993" s="20">
        <v>0.0</v>
      </c>
      <c r="N993" s="20">
        <v>0.0</v>
      </c>
      <c r="O993" s="20">
        <v>0.0</v>
      </c>
      <c r="P993" s="20">
        <v>0.0</v>
      </c>
      <c r="Q993" s="20">
        <v>0.0</v>
      </c>
      <c r="R993" s="20">
        <v>0.0</v>
      </c>
      <c r="S993" s="20">
        <v>0.0</v>
      </c>
      <c r="T993" s="20">
        <v>0.0</v>
      </c>
      <c r="U993" s="20">
        <v>0.0</v>
      </c>
    </row>
    <row r="994" ht="23.25" customHeight="1">
      <c r="A994" s="17" t="str">
        <f>IF(COUNTIF('Icon Lookup'!C:C,B994)&gt;0,LOOKUP(B994,'Icon Lookup'!C:C,'Icon Lookup'!B:B),"")</f>
        <v/>
      </c>
      <c r="B994" s="18" t="s">
        <v>685</v>
      </c>
      <c r="C994" s="17" t="s">
        <v>17</v>
      </c>
      <c r="D994" s="17">
        <v>12.0</v>
      </c>
      <c r="E994" s="17" t="s">
        <v>58</v>
      </c>
      <c r="G994" s="19"/>
      <c r="H994" s="20" t="s">
        <v>1291</v>
      </c>
      <c r="I994" s="17" t="s">
        <v>1045</v>
      </c>
      <c r="J994" s="17">
        <v>0.0</v>
      </c>
      <c r="K994" s="17">
        <v>0.0</v>
      </c>
      <c r="L994" s="17">
        <v>0.0</v>
      </c>
      <c r="M994" s="17">
        <v>0.0</v>
      </c>
      <c r="N994" s="17">
        <v>0.0</v>
      </c>
      <c r="O994" s="17">
        <v>0.0</v>
      </c>
      <c r="P994" s="17">
        <v>0.0</v>
      </c>
      <c r="Q994" s="17">
        <v>0.0</v>
      </c>
      <c r="R994" s="17">
        <v>0.0</v>
      </c>
      <c r="S994" s="17">
        <v>0.0</v>
      </c>
      <c r="T994" s="17">
        <v>0.0</v>
      </c>
      <c r="U994" s="17">
        <v>0.0</v>
      </c>
    </row>
    <row r="995" ht="23.25" customHeight="1">
      <c r="A995" s="20" t="str">
        <f>IF(COUNTIF('Icon Lookup'!C:C,B995)&gt;0,LOOKUP(B995,'Icon Lookup'!C:C,'Icon Lookup'!B:B),"")</f>
        <v/>
      </c>
      <c r="B995" s="21" t="s">
        <v>37</v>
      </c>
      <c r="C995" s="20" t="s">
        <v>17</v>
      </c>
      <c r="D995" s="20">
        <v>12.0</v>
      </c>
      <c r="E995" s="20" t="s">
        <v>38</v>
      </c>
      <c r="G995" s="22"/>
      <c r="H995" s="23" t="s">
        <v>318</v>
      </c>
      <c r="I995" s="20" t="s">
        <v>197</v>
      </c>
      <c r="J995" s="20">
        <v>0.0</v>
      </c>
      <c r="K995" s="20">
        <v>0.0</v>
      </c>
      <c r="L995" s="20">
        <v>0.0</v>
      </c>
      <c r="M995" s="20">
        <v>0.0</v>
      </c>
      <c r="N995" s="20">
        <v>0.0</v>
      </c>
      <c r="O995" s="20">
        <v>0.0</v>
      </c>
      <c r="P995" s="20">
        <v>0.0</v>
      </c>
      <c r="Q995" s="20">
        <v>0.0</v>
      </c>
      <c r="R995" s="20">
        <v>0.0</v>
      </c>
      <c r="S995" s="20">
        <v>0.0</v>
      </c>
      <c r="T995" s="20">
        <v>0.0</v>
      </c>
      <c r="U995" s="20">
        <v>0.0</v>
      </c>
    </row>
    <row r="996" ht="23.25" customHeight="1">
      <c r="A996" s="1" t="str">
        <f>IF(COUNTIF('Icon Lookup'!C:C,B996)&gt;0,LOOKUP(B996,'Icon Lookup'!C:C,'Icon Lookup'!B:B),"")</f>
        <v/>
      </c>
      <c r="B996" s="15" t="s">
        <v>1418</v>
      </c>
      <c r="C996" s="1" t="s">
        <v>17</v>
      </c>
      <c r="D996" s="1" t="s">
        <v>1044</v>
      </c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 ht="23.25" customHeight="1">
      <c r="A997" s="17" t="str">
        <f>IF(COUNTIF('Icon Lookup'!C:C,B997)&gt;0,LOOKUP(B997,'Icon Lookup'!C:C,'Icon Lookup'!B:B),"")</f>
        <v/>
      </c>
      <c r="B997" s="18" t="s">
        <v>1003</v>
      </c>
      <c r="C997" s="17" t="s">
        <v>17</v>
      </c>
      <c r="D997" s="17">
        <v>33.0</v>
      </c>
      <c r="E997" s="17" t="s">
        <v>1004</v>
      </c>
      <c r="G997" s="19"/>
      <c r="H997" s="20" t="s">
        <v>1419</v>
      </c>
      <c r="I997" s="17" t="s">
        <v>197</v>
      </c>
      <c r="J997" s="17">
        <v>0.0</v>
      </c>
      <c r="K997" s="17">
        <v>0.0</v>
      </c>
      <c r="L997" s="17">
        <v>0.0</v>
      </c>
      <c r="M997" s="17">
        <v>0.0</v>
      </c>
      <c r="N997" s="17">
        <v>0.0</v>
      </c>
      <c r="O997" s="17">
        <v>0.0</v>
      </c>
      <c r="P997" s="17">
        <v>0.0</v>
      </c>
      <c r="Q997" s="17">
        <v>0.0</v>
      </c>
      <c r="R997" s="17">
        <v>0.0</v>
      </c>
      <c r="S997" s="17">
        <v>0.0</v>
      </c>
      <c r="T997" s="17">
        <v>0.0</v>
      </c>
      <c r="U997" s="17">
        <v>0.0</v>
      </c>
    </row>
    <row r="998" ht="23.25" customHeight="1">
      <c r="A998" s="20" t="str">
        <f>IF(COUNTIF('Icon Lookup'!C:C,B998)&gt;0,LOOKUP(B998,'Icon Lookup'!C:C,'Icon Lookup'!B:B),"")</f>
        <v/>
      </c>
      <c r="B998" s="21" t="s">
        <v>288</v>
      </c>
      <c r="C998" s="20" t="s">
        <v>17</v>
      </c>
      <c r="D998" s="20">
        <v>33.0</v>
      </c>
      <c r="E998" s="20" t="s">
        <v>289</v>
      </c>
      <c r="G998" s="22"/>
      <c r="H998" s="23" t="s">
        <v>1407</v>
      </c>
      <c r="I998" s="20" t="s">
        <v>73</v>
      </c>
      <c r="J998" s="20">
        <v>0.0</v>
      </c>
      <c r="K998" s="20">
        <v>0.0</v>
      </c>
      <c r="L998" s="20">
        <v>0.0</v>
      </c>
      <c r="M998" s="20">
        <v>0.0</v>
      </c>
      <c r="N998" s="20">
        <v>0.0</v>
      </c>
      <c r="O998" s="20">
        <v>0.0</v>
      </c>
      <c r="P998" s="20">
        <v>0.0</v>
      </c>
      <c r="Q998" s="20">
        <v>0.0</v>
      </c>
      <c r="R998" s="20">
        <v>0.0</v>
      </c>
      <c r="S998" s="20">
        <v>0.0</v>
      </c>
      <c r="T998" s="20">
        <v>0.0</v>
      </c>
      <c r="U998" s="20">
        <v>0.0</v>
      </c>
    </row>
    <row r="999" ht="23.25" customHeight="1">
      <c r="A999" s="1" t="str">
        <f>IF(COUNTIF('Icon Lookup'!C:C,B999)&gt;0,LOOKUP(B999,'Icon Lookup'!C:C,'Icon Lookup'!B:B),"")</f>
        <v/>
      </c>
      <c r="B999" s="15" t="s">
        <v>1420</v>
      </c>
      <c r="C999" s="1" t="s">
        <v>17</v>
      </c>
      <c r="D999" s="1" t="s">
        <v>1044</v>
      </c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 ht="23.25" customHeight="1">
      <c r="A1000" s="17" t="str">
        <f>IF(COUNTIF('Icon Lookup'!C:C,B1000)&gt;0,LOOKUP(B1000,'Icon Lookup'!C:C,'Icon Lookup'!B:B),"")</f>
        <v/>
      </c>
      <c r="B1000" s="18" t="s">
        <v>685</v>
      </c>
      <c r="C1000" s="17" t="s">
        <v>17</v>
      </c>
      <c r="D1000" s="17">
        <v>32.0</v>
      </c>
      <c r="E1000" s="17" t="s">
        <v>58</v>
      </c>
      <c r="G1000" s="19"/>
      <c r="H1000" s="20" t="s">
        <v>1421</v>
      </c>
      <c r="I1000" s="17" t="s">
        <v>197</v>
      </c>
      <c r="J1000" s="17">
        <v>0.0</v>
      </c>
      <c r="K1000" s="17">
        <v>0.0</v>
      </c>
      <c r="L1000" s="17">
        <v>0.0</v>
      </c>
      <c r="M1000" s="17">
        <v>0.0</v>
      </c>
      <c r="N1000" s="17">
        <v>0.0</v>
      </c>
      <c r="O1000" s="17">
        <v>0.0</v>
      </c>
      <c r="P1000" s="17">
        <v>0.0</v>
      </c>
      <c r="Q1000" s="17">
        <v>0.0</v>
      </c>
      <c r="R1000" s="17">
        <v>0.0</v>
      </c>
      <c r="S1000" s="17">
        <v>0.0</v>
      </c>
      <c r="T1000" s="17">
        <v>0.0</v>
      </c>
      <c r="U1000" s="17">
        <v>0.0</v>
      </c>
    </row>
    <row r="1001" ht="23.25" customHeight="1">
      <c r="A1001" s="20" t="str">
        <f>IF(COUNTIF('Icon Lookup'!C:C,B1001)&gt;0,LOOKUP(B1001,'Icon Lookup'!C:C,'Icon Lookup'!B:B),"")</f>
        <v/>
      </c>
      <c r="B1001" s="21" t="s">
        <v>174</v>
      </c>
      <c r="C1001" s="20" t="s">
        <v>17</v>
      </c>
      <c r="D1001" s="20">
        <v>32.0</v>
      </c>
      <c r="E1001" s="20" t="s">
        <v>38</v>
      </c>
      <c r="G1001" s="22"/>
      <c r="H1001" s="23" t="s">
        <v>1422</v>
      </c>
      <c r="I1001" s="20" t="s">
        <v>73</v>
      </c>
      <c r="J1001" s="20">
        <v>0.0</v>
      </c>
      <c r="K1001" s="20">
        <v>0.0</v>
      </c>
      <c r="L1001" s="20">
        <v>0.0</v>
      </c>
      <c r="M1001" s="20">
        <v>0.0</v>
      </c>
      <c r="N1001" s="20">
        <v>0.0</v>
      </c>
      <c r="O1001" s="20">
        <v>0.0</v>
      </c>
      <c r="P1001" s="20">
        <v>0.0</v>
      </c>
      <c r="Q1001" s="20">
        <v>0.0</v>
      </c>
      <c r="R1001" s="20">
        <v>0.0</v>
      </c>
      <c r="S1001" s="20">
        <v>0.0</v>
      </c>
      <c r="T1001" s="20">
        <v>0.0</v>
      </c>
      <c r="U1001" s="20">
        <v>0.0</v>
      </c>
    </row>
    <row r="1002" ht="23.25" customHeight="1">
      <c r="A1002" s="17" t="str">
        <f>IF(COUNTIF('Icon Lookup'!C:C,B1002)&gt;0,LOOKUP(B1002,'Icon Lookup'!C:C,'Icon Lookup'!B:B),"")</f>
        <v/>
      </c>
      <c r="B1002" s="18" t="s">
        <v>1003</v>
      </c>
      <c r="C1002" s="17" t="s">
        <v>17</v>
      </c>
      <c r="D1002" s="17">
        <v>32.0</v>
      </c>
      <c r="E1002" s="17" t="s">
        <v>1004</v>
      </c>
      <c r="G1002" s="19"/>
      <c r="H1002" s="20" t="s">
        <v>1410</v>
      </c>
      <c r="I1002" s="17" t="s">
        <v>94</v>
      </c>
      <c r="J1002" s="17">
        <v>0.0</v>
      </c>
      <c r="K1002" s="17">
        <v>0.0</v>
      </c>
      <c r="L1002" s="17">
        <v>0.0</v>
      </c>
      <c r="M1002" s="17">
        <v>0.0</v>
      </c>
      <c r="N1002" s="17">
        <v>0.0</v>
      </c>
      <c r="O1002" s="17">
        <v>0.0</v>
      </c>
      <c r="P1002" s="17">
        <v>0.0</v>
      </c>
      <c r="Q1002" s="17">
        <v>0.0</v>
      </c>
      <c r="R1002" s="17">
        <v>0.0</v>
      </c>
      <c r="S1002" s="17">
        <v>0.0</v>
      </c>
      <c r="T1002" s="17">
        <v>0.0</v>
      </c>
      <c r="U1002" s="17">
        <v>0.0</v>
      </c>
    </row>
    <row r="1003" ht="23.25" customHeight="1">
      <c r="A1003" s="1" t="str">
        <f>IF(COUNTIF('Icon Lookup'!C:C,B1003)&gt;0,LOOKUP(B1003,'Icon Lookup'!C:C,'Icon Lookup'!B:B),"")</f>
        <v/>
      </c>
      <c r="B1003" s="15" t="s">
        <v>1423</v>
      </c>
      <c r="C1003" s="1" t="s">
        <v>17</v>
      </c>
      <c r="D1003" s="1" t="s">
        <v>1044</v>
      </c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  <row r="1004" ht="23.25" customHeight="1">
      <c r="A1004" s="20" t="str">
        <f>IF(COUNTIF('Icon Lookup'!C:C,B1004)&gt;0,LOOKUP(B1004,'Icon Lookup'!C:C,'Icon Lookup'!B:B),"")</f>
        <v/>
      </c>
      <c r="B1004" s="21" t="s">
        <v>687</v>
      </c>
      <c r="C1004" s="20" t="s">
        <v>17</v>
      </c>
      <c r="D1004" s="20">
        <v>31.0</v>
      </c>
      <c r="E1004" s="20" t="s">
        <v>258</v>
      </c>
      <c r="G1004" s="22"/>
      <c r="H1004" s="23" t="s">
        <v>1424</v>
      </c>
      <c r="I1004" s="20" t="s">
        <v>36</v>
      </c>
      <c r="J1004" s="20">
        <v>0.0</v>
      </c>
      <c r="K1004" s="20">
        <v>0.0</v>
      </c>
      <c r="L1004" s="20">
        <v>0.0</v>
      </c>
      <c r="M1004" s="20">
        <v>0.0</v>
      </c>
      <c r="N1004" s="20">
        <v>0.0</v>
      </c>
      <c r="O1004" s="20">
        <v>0.0</v>
      </c>
      <c r="P1004" s="20">
        <v>0.0</v>
      </c>
      <c r="Q1004" s="20">
        <v>0.0</v>
      </c>
      <c r="R1004" s="20">
        <v>0.0</v>
      </c>
      <c r="S1004" s="20">
        <v>0.0</v>
      </c>
      <c r="T1004" s="20">
        <v>0.0</v>
      </c>
      <c r="U1004" s="20">
        <v>0.0</v>
      </c>
    </row>
    <row r="1005" ht="23.25" customHeight="1">
      <c r="A1005" s="17" t="str">
        <f>IF(COUNTIF('Icon Lookup'!C:C,B1005)&gt;0,LOOKUP(B1005,'Icon Lookup'!C:C,'Icon Lookup'!B:B),"")</f>
        <v/>
      </c>
      <c r="B1005" s="18" t="s">
        <v>1003</v>
      </c>
      <c r="C1005" s="17" t="s">
        <v>17</v>
      </c>
      <c r="D1005" s="17">
        <v>33.0</v>
      </c>
      <c r="E1005" s="17" t="s">
        <v>1004</v>
      </c>
      <c r="G1005" s="19"/>
      <c r="H1005" s="20" t="s">
        <v>1425</v>
      </c>
      <c r="I1005" s="17" t="s">
        <v>1045</v>
      </c>
      <c r="J1005" s="17">
        <v>0.0</v>
      </c>
      <c r="K1005" s="17">
        <v>0.0</v>
      </c>
      <c r="L1005" s="17">
        <v>0.0</v>
      </c>
      <c r="M1005" s="17">
        <v>0.0</v>
      </c>
      <c r="N1005" s="17">
        <v>0.0</v>
      </c>
      <c r="O1005" s="17">
        <v>0.0</v>
      </c>
      <c r="P1005" s="17">
        <v>0.0</v>
      </c>
      <c r="Q1005" s="17">
        <v>0.0</v>
      </c>
      <c r="R1005" s="17">
        <v>0.0</v>
      </c>
      <c r="S1005" s="17">
        <v>0.0</v>
      </c>
      <c r="T1005" s="17">
        <v>0.0</v>
      </c>
      <c r="U1005" s="17">
        <v>0.0</v>
      </c>
    </row>
    <row r="1006" ht="23.25" customHeight="1">
      <c r="A1006" s="1" t="str">
        <f>IF(COUNTIF('Icon Lookup'!C:C,B1006)&gt;0,LOOKUP(B1006,'Icon Lookup'!C:C,'Icon Lookup'!B:B),"")</f>
        <v/>
      </c>
      <c r="B1006" s="15" t="s">
        <v>1426</v>
      </c>
      <c r="C1006" s="1" t="s">
        <v>17</v>
      </c>
      <c r="D1006" s="1" t="s">
        <v>1044</v>
      </c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</row>
    <row r="1007" ht="23.25" customHeight="1">
      <c r="A1007" s="20" t="str">
        <f>IF(COUNTIF('Icon Lookup'!C:C,B1007)&gt;0,LOOKUP(B1007,'Icon Lookup'!C:C,'Icon Lookup'!B:B),"")</f>
        <v/>
      </c>
      <c r="B1007" s="21" t="s">
        <v>1003</v>
      </c>
      <c r="C1007" s="20" t="s">
        <v>17</v>
      </c>
      <c r="D1007" s="20">
        <v>37.0</v>
      </c>
      <c r="E1007" s="20" t="s">
        <v>1004</v>
      </c>
      <c r="G1007" s="22"/>
      <c r="H1007" s="23" t="s">
        <v>1427</v>
      </c>
      <c r="I1007" s="20" t="s">
        <v>36</v>
      </c>
      <c r="J1007" s="20">
        <v>0.0</v>
      </c>
      <c r="K1007" s="20">
        <v>0.0</v>
      </c>
      <c r="L1007" s="20">
        <v>0.0</v>
      </c>
      <c r="M1007" s="20">
        <v>0.0</v>
      </c>
      <c r="N1007" s="20">
        <v>0.0</v>
      </c>
      <c r="O1007" s="20">
        <v>0.0</v>
      </c>
      <c r="P1007" s="20">
        <v>0.0</v>
      </c>
      <c r="Q1007" s="20">
        <v>0.0</v>
      </c>
      <c r="R1007" s="20">
        <v>0.0</v>
      </c>
      <c r="S1007" s="20">
        <v>0.0</v>
      </c>
      <c r="T1007" s="20">
        <v>0.0</v>
      </c>
      <c r="U1007" s="20">
        <v>0.0</v>
      </c>
    </row>
    <row r="1008" ht="23.25" customHeight="1">
      <c r="A1008" s="1" t="str">
        <f>IF(COUNTIF('Icon Lookup'!C:C,B1008)&gt;0,LOOKUP(B1008,'Icon Lookup'!C:C,'Icon Lookup'!B:B),"")</f>
        <v/>
      </c>
      <c r="B1008" s="15" t="s">
        <v>1428</v>
      </c>
      <c r="C1008" s="1" t="s">
        <v>17</v>
      </c>
      <c r="D1008" s="1" t="s">
        <v>1044</v>
      </c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</row>
    <row r="1009" ht="23.25" customHeight="1">
      <c r="A1009" s="17" t="str">
        <f>IF(COUNTIF('Icon Lookup'!C:C,B1009)&gt;0,LOOKUP(B1009,'Icon Lookup'!C:C,'Icon Lookup'!B:B),"")</f>
        <v/>
      </c>
      <c r="B1009" s="18" t="s">
        <v>174</v>
      </c>
      <c r="C1009" s="17" t="s">
        <v>17</v>
      </c>
      <c r="D1009" s="17">
        <v>36.0</v>
      </c>
      <c r="E1009" s="17" t="s">
        <v>38</v>
      </c>
      <c r="G1009" s="19"/>
      <c r="H1009" s="20" t="s">
        <v>1429</v>
      </c>
      <c r="I1009" s="17" t="s">
        <v>1045</v>
      </c>
      <c r="J1009" s="17">
        <v>0.0</v>
      </c>
      <c r="K1009" s="17">
        <v>0.0</v>
      </c>
      <c r="L1009" s="17">
        <v>0.0</v>
      </c>
      <c r="M1009" s="17">
        <v>0.0</v>
      </c>
      <c r="N1009" s="17">
        <v>0.0</v>
      </c>
      <c r="O1009" s="17">
        <v>0.0</v>
      </c>
      <c r="P1009" s="17">
        <v>0.0</v>
      </c>
      <c r="Q1009" s="17">
        <v>0.0</v>
      </c>
      <c r="R1009" s="17">
        <v>0.0</v>
      </c>
      <c r="S1009" s="17">
        <v>0.0</v>
      </c>
      <c r="T1009" s="17">
        <v>0.0</v>
      </c>
      <c r="U1009" s="17">
        <v>0.0</v>
      </c>
    </row>
    <row r="1010" ht="23.25" customHeight="1">
      <c r="A1010" s="20" t="str">
        <f>IF(COUNTIF('Icon Lookup'!C:C,B1010)&gt;0,LOOKUP(B1010,'Icon Lookup'!C:C,'Icon Lookup'!B:B),"")</f>
        <v/>
      </c>
      <c r="B1010" s="21" t="s">
        <v>685</v>
      </c>
      <c r="C1010" s="20" t="s">
        <v>17</v>
      </c>
      <c r="D1010" s="20">
        <v>34.0</v>
      </c>
      <c r="E1010" s="20" t="s">
        <v>58</v>
      </c>
      <c r="G1010" s="22"/>
      <c r="H1010" s="23" t="s">
        <v>1421</v>
      </c>
      <c r="I1010" s="20" t="s">
        <v>197</v>
      </c>
      <c r="J1010" s="20">
        <v>0.0</v>
      </c>
      <c r="K1010" s="20">
        <v>0.0</v>
      </c>
      <c r="L1010" s="20">
        <v>0.0</v>
      </c>
      <c r="M1010" s="20">
        <v>0.0</v>
      </c>
      <c r="N1010" s="20">
        <v>0.0</v>
      </c>
      <c r="O1010" s="20">
        <v>0.0</v>
      </c>
      <c r="P1010" s="20">
        <v>0.0</v>
      </c>
      <c r="Q1010" s="20">
        <v>0.0</v>
      </c>
      <c r="R1010" s="20">
        <v>0.0</v>
      </c>
      <c r="S1010" s="20">
        <v>0.0</v>
      </c>
      <c r="T1010" s="20">
        <v>0.0</v>
      </c>
      <c r="U1010" s="20">
        <v>0.0</v>
      </c>
    </row>
    <row r="1011" ht="23.25" customHeight="1">
      <c r="A1011" s="1" t="str">
        <f>IF(COUNTIF('Icon Lookup'!C:C,B1011)&gt;0,LOOKUP(B1011,'Icon Lookup'!C:C,'Icon Lookup'!B:B),"")</f>
        <v/>
      </c>
      <c r="B1011" s="15" t="s">
        <v>1430</v>
      </c>
      <c r="C1011" s="1" t="s">
        <v>17</v>
      </c>
      <c r="D1011" s="1" t="s">
        <v>1431</v>
      </c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</row>
    <row r="1012" ht="23.25" customHeight="1">
      <c r="A1012" s="17" t="str">
        <f>IF(COUNTIF('Icon Lookup'!C:C,B1012)&gt;0,LOOKUP(B1012,'Icon Lookup'!C:C,'Icon Lookup'!B:B),"")</f>
        <v/>
      </c>
      <c r="B1012" s="18" t="s">
        <v>37</v>
      </c>
      <c r="C1012" s="17" t="s">
        <v>17</v>
      </c>
      <c r="D1012" s="17">
        <v>16.0</v>
      </c>
      <c r="E1012" s="17" t="s">
        <v>38</v>
      </c>
      <c r="G1012" s="19"/>
      <c r="H1012" s="20" t="s">
        <v>1383</v>
      </c>
      <c r="I1012" s="17" t="s">
        <v>156</v>
      </c>
      <c r="J1012" s="17">
        <v>0.0</v>
      </c>
      <c r="K1012" s="17">
        <v>0.0</v>
      </c>
      <c r="L1012" s="17">
        <v>0.0</v>
      </c>
      <c r="M1012" s="17">
        <v>0.0</v>
      </c>
      <c r="N1012" s="17">
        <v>0.0</v>
      </c>
      <c r="O1012" s="17">
        <v>0.0</v>
      </c>
      <c r="P1012" s="17">
        <v>0.0</v>
      </c>
      <c r="Q1012" s="17">
        <v>0.0</v>
      </c>
      <c r="R1012" s="17">
        <v>0.0</v>
      </c>
      <c r="S1012" s="17">
        <v>0.0</v>
      </c>
      <c r="T1012" s="17">
        <v>0.0</v>
      </c>
      <c r="U1012" s="17">
        <v>0.0</v>
      </c>
    </row>
    <row r="1013" ht="23.25" customHeight="1">
      <c r="A1013" s="20" t="str">
        <f>IF(COUNTIF('Icon Lookup'!C:C,B1013)&gt;0,LOOKUP(B1013,'Icon Lookup'!C:C,'Icon Lookup'!B:B),"")</f>
        <v/>
      </c>
      <c r="B1013" s="21" t="s">
        <v>37</v>
      </c>
      <c r="C1013" s="20" t="s">
        <v>17</v>
      </c>
      <c r="D1013" s="20">
        <v>16.0</v>
      </c>
      <c r="E1013" s="20" t="s">
        <v>38</v>
      </c>
      <c r="G1013" s="22"/>
      <c r="H1013" s="23" t="s">
        <v>1383</v>
      </c>
      <c r="I1013" s="20" t="s">
        <v>156</v>
      </c>
      <c r="J1013" s="20">
        <v>0.0</v>
      </c>
      <c r="K1013" s="20">
        <v>0.0</v>
      </c>
      <c r="L1013" s="20">
        <v>0.0</v>
      </c>
      <c r="M1013" s="20">
        <v>0.0</v>
      </c>
      <c r="N1013" s="20">
        <v>0.0</v>
      </c>
      <c r="O1013" s="20">
        <v>0.0</v>
      </c>
      <c r="P1013" s="20">
        <v>0.0</v>
      </c>
      <c r="Q1013" s="20">
        <v>0.0</v>
      </c>
      <c r="R1013" s="20">
        <v>0.0</v>
      </c>
      <c r="S1013" s="20">
        <v>0.0</v>
      </c>
      <c r="T1013" s="20">
        <v>0.0</v>
      </c>
      <c r="U1013" s="20">
        <v>0.0</v>
      </c>
    </row>
    <row r="1014" ht="23.25" customHeight="1">
      <c r="A1014" s="1" t="str">
        <f>IF(COUNTIF('Icon Lookup'!C:C,B1014)&gt;0,LOOKUP(B1014,'Icon Lookup'!C:C,'Icon Lookup'!B:B),"")</f>
        <v/>
      </c>
      <c r="B1014" s="15" t="s">
        <v>1432</v>
      </c>
      <c r="C1014" s="1" t="s">
        <v>17</v>
      </c>
      <c r="D1014" s="1" t="s">
        <v>1433</v>
      </c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</row>
    <row r="1015" ht="23.25" customHeight="1">
      <c r="A1015" s="17" t="str">
        <f>IF(COUNTIF('Icon Lookup'!C:C,B1015)&gt;0,LOOKUP(B1015,'Icon Lookup'!C:C,'Icon Lookup'!B:B),"")</f>
        <v/>
      </c>
      <c r="B1015" s="18" t="s">
        <v>160</v>
      </c>
      <c r="C1015" s="17" t="s">
        <v>17</v>
      </c>
      <c r="D1015" s="17">
        <v>30.0</v>
      </c>
      <c r="E1015" s="17" t="s">
        <v>1434</v>
      </c>
      <c r="G1015" s="19"/>
      <c r="H1015" s="20" t="s">
        <v>1435</v>
      </c>
      <c r="I1015" s="17" t="s">
        <v>89</v>
      </c>
      <c r="J1015" s="17">
        <v>0.0</v>
      </c>
      <c r="K1015" s="17">
        <v>0.0</v>
      </c>
      <c r="L1015" s="17">
        <v>0.0</v>
      </c>
      <c r="M1015" s="17">
        <v>0.0</v>
      </c>
      <c r="N1015" s="17">
        <v>0.0</v>
      </c>
      <c r="O1015" s="17">
        <v>0.0</v>
      </c>
      <c r="P1015" s="17">
        <v>0.0</v>
      </c>
      <c r="Q1015" s="17">
        <v>0.0</v>
      </c>
      <c r="R1015" s="17">
        <v>0.0</v>
      </c>
      <c r="S1015" s="17">
        <v>0.0</v>
      </c>
      <c r="T1015" s="17">
        <v>0.0</v>
      </c>
      <c r="U1015" s="17">
        <v>0.0</v>
      </c>
    </row>
    <row r="1016" ht="23.25" customHeight="1">
      <c r="A1016" s="1" t="str">
        <f>IF(COUNTIF('Icon Lookup'!C:C,B1016)&gt;0,LOOKUP(B1016,'Icon Lookup'!C:C,'Icon Lookup'!B:B),"")</f>
        <v/>
      </c>
      <c r="B1016" s="15" t="s">
        <v>1436</v>
      </c>
      <c r="C1016" s="1" t="s">
        <v>17</v>
      </c>
      <c r="D1016" s="1" t="s">
        <v>1437</v>
      </c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</row>
    <row r="1017" ht="23.25" customHeight="1">
      <c r="A1017" s="20" t="str">
        <f>IF(COUNTIF('Icon Lookup'!C:C,B1017)&gt;0,LOOKUP(B1017,'Icon Lookup'!C:C,'Icon Lookup'!B:B),"")</f>
        <v/>
      </c>
      <c r="B1017" s="21" t="s">
        <v>86</v>
      </c>
      <c r="C1017" s="20" t="s">
        <v>17</v>
      </c>
      <c r="D1017" s="20">
        <v>15.0</v>
      </c>
      <c r="E1017" s="20" t="s">
        <v>87</v>
      </c>
      <c r="G1017" s="22"/>
      <c r="H1017" s="23" t="s">
        <v>143</v>
      </c>
      <c r="I1017" s="20" t="s">
        <v>89</v>
      </c>
      <c r="J1017" s="20">
        <v>0.0</v>
      </c>
      <c r="K1017" s="20">
        <v>0.0</v>
      </c>
      <c r="L1017" s="20">
        <v>0.0</v>
      </c>
      <c r="M1017" s="20">
        <v>0.0</v>
      </c>
      <c r="N1017" s="20">
        <v>0.0</v>
      </c>
      <c r="O1017" s="20">
        <v>0.0</v>
      </c>
      <c r="P1017" s="20">
        <v>0.0</v>
      </c>
      <c r="Q1017" s="20">
        <v>0.0</v>
      </c>
      <c r="R1017" s="20">
        <v>0.0</v>
      </c>
      <c r="S1017" s="20">
        <v>0.0</v>
      </c>
      <c r="T1017" s="20">
        <v>0.0</v>
      </c>
      <c r="U1017" s="20">
        <v>0.0</v>
      </c>
    </row>
    <row r="1018" ht="23.25" customHeight="1">
      <c r="A1018" s="17" t="str">
        <f>IF(COUNTIF('Icon Lookup'!C:C,B1018)&gt;0,LOOKUP(B1018,'Icon Lookup'!C:C,'Icon Lookup'!B:B),"")</f>
        <v/>
      </c>
      <c r="B1018" s="18" t="s">
        <v>160</v>
      </c>
      <c r="C1018" s="17" t="s">
        <v>17</v>
      </c>
      <c r="D1018" s="17">
        <v>17.0</v>
      </c>
      <c r="E1018" s="17" t="s">
        <v>161</v>
      </c>
      <c r="G1018" s="19"/>
      <c r="H1018" s="20" t="s">
        <v>1438</v>
      </c>
      <c r="I1018" s="17" t="s">
        <v>94</v>
      </c>
      <c r="J1018" s="17">
        <v>0.0</v>
      </c>
      <c r="K1018" s="17">
        <v>0.0</v>
      </c>
      <c r="L1018" s="17">
        <v>0.0</v>
      </c>
      <c r="M1018" s="17">
        <v>0.0</v>
      </c>
      <c r="N1018" s="17">
        <v>0.0</v>
      </c>
      <c r="O1018" s="17">
        <v>0.0</v>
      </c>
      <c r="P1018" s="17">
        <v>0.0</v>
      </c>
      <c r="Q1018" s="17">
        <v>0.0</v>
      </c>
      <c r="R1018" s="17">
        <v>0.0</v>
      </c>
      <c r="S1018" s="17">
        <v>0.0</v>
      </c>
      <c r="T1018" s="17">
        <v>0.0</v>
      </c>
      <c r="U1018" s="17">
        <v>0.0</v>
      </c>
    </row>
    <row r="1019" ht="23.25" customHeight="1">
      <c r="A1019" s="1" t="str">
        <f>IF(COUNTIF('Icon Lookup'!C:C,B1019)&gt;0,LOOKUP(B1019,'Icon Lookup'!C:C,'Icon Lookup'!B:B),"")</f>
        <v/>
      </c>
      <c r="B1019" s="15" t="s">
        <v>1439</v>
      </c>
      <c r="C1019" s="1" t="s">
        <v>17</v>
      </c>
      <c r="D1019" s="1" t="s">
        <v>1440</v>
      </c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</row>
    <row r="1020" ht="23.25" customHeight="1">
      <c r="A1020" s="20" t="str">
        <f>IF(COUNTIF('Icon Lookup'!C:C,B1020)&gt;0,LOOKUP(B1020,'Icon Lookup'!C:C,'Icon Lookup'!B:B),"")</f>
        <v/>
      </c>
      <c r="B1020" s="21" t="s">
        <v>1098</v>
      </c>
      <c r="C1020" s="20" t="s">
        <v>17</v>
      </c>
      <c r="D1020" s="20">
        <v>49.0</v>
      </c>
      <c r="E1020" s="20" t="s">
        <v>91</v>
      </c>
      <c r="G1020" s="22"/>
      <c r="H1020" s="23" t="s">
        <v>1193</v>
      </c>
      <c r="I1020" s="20" t="s">
        <v>89</v>
      </c>
      <c r="J1020" s="20">
        <v>0.0</v>
      </c>
      <c r="K1020" s="20">
        <v>0.0</v>
      </c>
      <c r="L1020" s="20">
        <v>0.0</v>
      </c>
      <c r="M1020" s="20">
        <v>0.0</v>
      </c>
      <c r="N1020" s="20">
        <v>0.0</v>
      </c>
      <c r="O1020" s="20">
        <v>0.0</v>
      </c>
      <c r="P1020" s="20">
        <v>0.0</v>
      </c>
      <c r="Q1020" s="20">
        <v>0.0</v>
      </c>
      <c r="R1020" s="20">
        <v>0.0</v>
      </c>
      <c r="S1020" s="20">
        <v>0.0</v>
      </c>
      <c r="T1020" s="20">
        <v>0.0</v>
      </c>
      <c r="U1020" s="20">
        <v>0.0</v>
      </c>
    </row>
    <row r="1021" ht="23.25" customHeight="1">
      <c r="A1021" s="1" t="str">
        <f>IF(COUNTIF('Icon Lookup'!C:C,B1021)&gt;0,LOOKUP(B1021,'Icon Lookup'!C:C,'Icon Lookup'!B:B),"")</f>
        <v/>
      </c>
      <c r="B1021" s="15" t="s">
        <v>1441</v>
      </c>
      <c r="C1021" s="1" t="s">
        <v>17</v>
      </c>
      <c r="D1021" s="1" t="s">
        <v>1442</v>
      </c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</row>
    <row r="1022" ht="23.25" customHeight="1">
      <c r="A1022" s="17" t="str">
        <f>IF(COUNTIF('Icon Lookup'!C:C,B1022)&gt;0,LOOKUP(B1022,'Icon Lookup'!C:C,'Icon Lookup'!B:B),"")</f>
        <v/>
      </c>
      <c r="B1022" s="18" t="s">
        <v>288</v>
      </c>
      <c r="C1022" s="17" t="s">
        <v>17</v>
      </c>
      <c r="D1022" s="17">
        <v>35.0</v>
      </c>
      <c r="E1022" s="17" t="s">
        <v>289</v>
      </c>
      <c r="G1022" s="19"/>
      <c r="H1022" s="20" t="s">
        <v>1443</v>
      </c>
      <c r="I1022" s="17" t="s">
        <v>94</v>
      </c>
      <c r="J1022" s="17">
        <v>0.0</v>
      </c>
      <c r="K1022" s="17">
        <v>0.0</v>
      </c>
      <c r="L1022" s="17">
        <v>0.0</v>
      </c>
      <c r="M1022" s="17">
        <v>0.0</v>
      </c>
      <c r="N1022" s="17">
        <v>0.0</v>
      </c>
      <c r="O1022" s="17">
        <v>0.0</v>
      </c>
      <c r="P1022" s="17">
        <v>0.0</v>
      </c>
      <c r="Q1022" s="17">
        <v>0.0</v>
      </c>
      <c r="R1022" s="17">
        <v>0.0</v>
      </c>
      <c r="S1022" s="17">
        <v>0.0</v>
      </c>
      <c r="T1022" s="17">
        <v>0.0</v>
      </c>
      <c r="U1022" s="17">
        <v>0.0</v>
      </c>
    </row>
    <row r="1023" ht="23.25" customHeight="1">
      <c r="A1023" s="1" t="str">
        <f>IF(COUNTIF('Icon Lookup'!C:C,B1023)&gt;0,LOOKUP(B1023,'Icon Lookup'!C:C,'Icon Lookup'!B:B),"")</f>
        <v/>
      </c>
      <c r="B1023" s="15" t="s">
        <v>1444</v>
      </c>
      <c r="C1023" s="1" t="s">
        <v>17</v>
      </c>
      <c r="D1023" s="1" t="s">
        <v>1445</v>
      </c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</row>
    <row r="1024" ht="23.25" customHeight="1">
      <c r="A1024" s="20" t="str">
        <f>IF(COUNTIF('Icon Lookup'!C:C,B1024)&gt;0,LOOKUP(B1024,'Icon Lookup'!C:C,'Icon Lookup'!B:B),"")</f>
        <v/>
      </c>
      <c r="B1024" s="21" t="s">
        <v>275</v>
      </c>
      <c r="C1024" s="20" t="s">
        <v>17</v>
      </c>
      <c r="D1024" s="20">
        <v>52.0</v>
      </c>
      <c r="E1024" s="20" t="s">
        <v>91</v>
      </c>
      <c r="G1024" s="22"/>
      <c r="H1024" s="23" t="s">
        <v>1446</v>
      </c>
      <c r="I1024" s="20" t="s">
        <v>89</v>
      </c>
      <c r="J1024" s="20">
        <v>0.0</v>
      </c>
      <c r="K1024" s="20">
        <v>0.0</v>
      </c>
      <c r="L1024" s="20">
        <v>0.0</v>
      </c>
      <c r="M1024" s="20">
        <v>0.0</v>
      </c>
      <c r="N1024" s="20">
        <v>0.0</v>
      </c>
      <c r="O1024" s="20">
        <v>0.0</v>
      </c>
      <c r="P1024" s="20">
        <v>0.0</v>
      </c>
      <c r="Q1024" s="20">
        <v>0.0</v>
      </c>
      <c r="R1024" s="20">
        <v>0.0</v>
      </c>
      <c r="S1024" s="20">
        <v>0.0</v>
      </c>
      <c r="T1024" s="20">
        <v>0.0</v>
      </c>
      <c r="U1024" s="20">
        <v>0.0</v>
      </c>
    </row>
    <row r="1025" ht="23.25" customHeight="1">
      <c r="A1025" s="17" t="str">
        <f>IF(COUNTIF('Icon Lookup'!C:C,B1025)&gt;0,LOOKUP(B1025,'Icon Lookup'!C:C,'Icon Lookup'!B:B),"")</f>
        <v/>
      </c>
      <c r="B1025" s="18" t="s">
        <v>1098</v>
      </c>
      <c r="C1025" s="17" t="s">
        <v>17</v>
      </c>
      <c r="D1025" s="17">
        <v>58.0</v>
      </c>
      <c r="E1025" s="17" t="s">
        <v>91</v>
      </c>
      <c r="G1025" s="19"/>
      <c r="H1025" s="20" t="s">
        <v>1447</v>
      </c>
      <c r="I1025" s="17" t="s">
        <v>89</v>
      </c>
      <c r="J1025" s="17">
        <v>0.0</v>
      </c>
      <c r="K1025" s="17">
        <v>0.0</v>
      </c>
      <c r="L1025" s="17">
        <v>0.0</v>
      </c>
      <c r="M1025" s="17">
        <v>0.0</v>
      </c>
      <c r="N1025" s="17">
        <v>0.0</v>
      </c>
      <c r="O1025" s="17">
        <v>0.0</v>
      </c>
      <c r="P1025" s="17">
        <v>0.0</v>
      </c>
      <c r="Q1025" s="17">
        <v>0.0</v>
      </c>
      <c r="R1025" s="17">
        <v>0.0</v>
      </c>
      <c r="S1025" s="17">
        <v>0.0</v>
      </c>
      <c r="T1025" s="17">
        <v>0.0</v>
      </c>
      <c r="U1025" s="17">
        <v>0.0</v>
      </c>
    </row>
    <row r="1026" ht="23.25" customHeight="1">
      <c r="A1026" s="1" t="str">
        <f>IF(COUNTIF('Icon Lookup'!C:C,B1026)&gt;0,LOOKUP(B1026,'Icon Lookup'!C:C,'Icon Lookup'!B:B),"")</f>
        <v/>
      </c>
      <c r="B1026" s="15" t="s">
        <v>1448</v>
      </c>
      <c r="C1026" s="1" t="s">
        <v>17</v>
      </c>
      <c r="D1026" s="1" t="s">
        <v>1449</v>
      </c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</row>
    <row r="1027" ht="23.25" customHeight="1">
      <c r="A1027" s="20" t="str">
        <f>IF(COUNTIF('Icon Lookup'!C:C,B1027)&gt;0,LOOKUP(B1027,'Icon Lookup'!C:C,'Icon Lookup'!B:B),"")</f>
        <v/>
      </c>
      <c r="B1027" s="21" t="s">
        <v>97</v>
      </c>
      <c r="C1027" s="20" t="s">
        <v>17</v>
      </c>
      <c r="D1027" s="20">
        <v>54.0</v>
      </c>
      <c r="E1027" s="20" t="s">
        <v>87</v>
      </c>
      <c r="G1027" s="22"/>
      <c r="H1027" s="23" t="s">
        <v>1450</v>
      </c>
      <c r="I1027" s="20" t="s">
        <v>89</v>
      </c>
      <c r="J1027" s="20">
        <v>0.0</v>
      </c>
      <c r="K1027" s="20">
        <v>0.0</v>
      </c>
      <c r="L1027" s="20">
        <v>0.0</v>
      </c>
      <c r="M1027" s="20">
        <v>0.0</v>
      </c>
      <c r="N1027" s="20">
        <v>0.0</v>
      </c>
      <c r="O1027" s="20">
        <v>0.0</v>
      </c>
      <c r="P1027" s="20">
        <v>0.0</v>
      </c>
      <c r="Q1027" s="20">
        <v>0.0</v>
      </c>
      <c r="R1027" s="20">
        <v>0.0</v>
      </c>
      <c r="S1027" s="20">
        <v>0.0</v>
      </c>
      <c r="T1027" s="20">
        <v>0.0</v>
      </c>
      <c r="U1027" s="20">
        <v>0.0</v>
      </c>
    </row>
    <row r="1028" ht="23.25" customHeight="1">
      <c r="A1028" s="17" t="str">
        <f>IF(COUNTIF('Icon Lookup'!C:C,B1028)&gt;0,LOOKUP(B1028,'Icon Lookup'!C:C,'Icon Lookup'!B:B),"")</f>
        <v/>
      </c>
      <c r="B1028" s="18" t="s">
        <v>1098</v>
      </c>
      <c r="C1028" s="17" t="s">
        <v>17</v>
      </c>
      <c r="D1028" s="17">
        <v>56.0</v>
      </c>
      <c r="E1028" s="17" t="s">
        <v>91</v>
      </c>
      <c r="G1028" s="19"/>
      <c r="H1028" s="20" t="s">
        <v>1447</v>
      </c>
      <c r="I1028" s="17" t="s">
        <v>89</v>
      </c>
      <c r="J1028" s="17">
        <v>0.0</v>
      </c>
      <c r="K1028" s="17">
        <v>0.0</v>
      </c>
      <c r="L1028" s="17">
        <v>0.0</v>
      </c>
      <c r="M1028" s="17">
        <v>0.0</v>
      </c>
      <c r="N1028" s="17">
        <v>0.0</v>
      </c>
      <c r="O1028" s="17">
        <v>0.0</v>
      </c>
      <c r="P1028" s="17">
        <v>0.0</v>
      </c>
      <c r="Q1028" s="17">
        <v>0.0</v>
      </c>
      <c r="R1028" s="17">
        <v>0.0</v>
      </c>
      <c r="S1028" s="17">
        <v>0.0</v>
      </c>
      <c r="T1028" s="17">
        <v>0.0</v>
      </c>
      <c r="U1028" s="17">
        <v>0.0</v>
      </c>
    </row>
    <row r="1029" ht="23.25" customHeight="1">
      <c r="A1029" s="1" t="str">
        <f>IF(COUNTIF('Icon Lookup'!C:C,B1029)&gt;0,LOOKUP(B1029,'Icon Lookup'!C:C,'Icon Lookup'!B:B),"")</f>
        <v/>
      </c>
      <c r="B1029" s="15" t="s">
        <v>1451</v>
      </c>
      <c r="C1029" s="1" t="s">
        <v>17</v>
      </c>
      <c r="D1029" s="1" t="s">
        <v>1452</v>
      </c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</row>
    <row r="1030" ht="23.25" customHeight="1">
      <c r="A1030" s="20" t="str">
        <f>IF(COUNTIF('Icon Lookup'!C:C,B1030)&gt;0,LOOKUP(B1030,'Icon Lookup'!C:C,'Icon Lookup'!B:B),"")</f>
        <v/>
      </c>
      <c r="B1030" s="21" t="s">
        <v>336</v>
      </c>
      <c r="C1030" s="20" t="s">
        <v>17</v>
      </c>
      <c r="D1030" s="20">
        <v>17.0</v>
      </c>
      <c r="E1030" s="20" t="s">
        <v>121</v>
      </c>
      <c r="G1030" s="22"/>
      <c r="H1030" s="23" t="s">
        <v>338</v>
      </c>
      <c r="I1030" s="20" t="s">
        <v>22</v>
      </c>
      <c r="J1030" s="20">
        <v>0.0</v>
      </c>
      <c r="K1030" s="20">
        <v>0.0</v>
      </c>
      <c r="L1030" s="20">
        <v>0.0</v>
      </c>
      <c r="M1030" s="20">
        <v>0.0</v>
      </c>
      <c r="N1030" s="20">
        <v>0.0</v>
      </c>
      <c r="O1030" s="20">
        <v>0.0</v>
      </c>
      <c r="P1030" s="20">
        <v>0.0</v>
      </c>
      <c r="Q1030" s="20">
        <v>0.0</v>
      </c>
      <c r="R1030" s="20">
        <v>0.0</v>
      </c>
      <c r="S1030" s="20">
        <v>0.0</v>
      </c>
      <c r="T1030" s="20">
        <v>0.0</v>
      </c>
      <c r="U1030" s="20">
        <v>0.0</v>
      </c>
    </row>
    <row r="1031" ht="23.25" customHeight="1">
      <c r="A1031" s="1" t="str">
        <f>IF(COUNTIF('Icon Lookup'!C:C,B1031)&gt;0,LOOKUP(B1031,'Icon Lookup'!C:C,'Icon Lookup'!B:B),"")</f>
        <v/>
      </c>
      <c r="B1031" s="15" t="s">
        <v>1453</v>
      </c>
      <c r="C1031" s="1" t="s">
        <v>17</v>
      </c>
      <c r="D1031" s="1" t="s">
        <v>1454</v>
      </c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</row>
    <row r="1032" ht="23.25" customHeight="1">
      <c r="A1032" s="17" t="str">
        <f>IF(COUNTIF('Icon Lookup'!C:C,B1032)&gt;0,LOOKUP(B1032,'Icon Lookup'!C:C,'Icon Lookup'!B:B),"")</f>
        <v/>
      </c>
      <c r="B1032" s="18" t="s">
        <v>97</v>
      </c>
      <c r="C1032" s="17" t="s">
        <v>17</v>
      </c>
      <c r="D1032" s="17">
        <v>15.0</v>
      </c>
      <c r="E1032" s="17" t="s">
        <v>98</v>
      </c>
      <c r="G1032" s="19"/>
      <c r="H1032" s="20" t="s">
        <v>799</v>
      </c>
      <c r="I1032" s="17" t="s">
        <v>211</v>
      </c>
      <c r="J1032" s="17">
        <v>0.0</v>
      </c>
      <c r="K1032" s="17">
        <v>0.0</v>
      </c>
      <c r="L1032" s="17">
        <v>0.0</v>
      </c>
      <c r="M1032" s="17">
        <v>0.0</v>
      </c>
      <c r="N1032" s="17">
        <v>0.0</v>
      </c>
      <c r="O1032" s="17">
        <v>0.0</v>
      </c>
      <c r="P1032" s="17">
        <v>0.0</v>
      </c>
      <c r="Q1032" s="17">
        <v>0.0</v>
      </c>
      <c r="R1032" s="17">
        <v>0.0</v>
      </c>
      <c r="S1032" s="17">
        <v>0.0</v>
      </c>
      <c r="T1032" s="17">
        <v>0.0</v>
      </c>
      <c r="U1032" s="17">
        <v>0.0</v>
      </c>
    </row>
    <row r="1033" ht="23.25" customHeight="1">
      <c r="A1033" s="20" t="str">
        <f>IF(COUNTIF('Icon Lookup'!C:C,B1033)&gt;0,LOOKUP(B1033,'Icon Lookup'!C:C,'Icon Lookup'!B:B),"")</f>
        <v/>
      </c>
      <c r="B1033" s="21" t="s">
        <v>97</v>
      </c>
      <c r="C1033" s="20" t="s">
        <v>17</v>
      </c>
      <c r="D1033" s="20">
        <v>15.0</v>
      </c>
      <c r="E1033" s="20" t="s">
        <v>87</v>
      </c>
      <c r="G1033" s="22"/>
      <c r="H1033" s="23" t="s">
        <v>799</v>
      </c>
      <c r="I1033" s="20" t="s">
        <v>22</v>
      </c>
      <c r="J1033" s="20">
        <v>0.0</v>
      </c>
      <c r="K1033" s="20">
        <v>0.0</v>
      </c>
      <c r="L1033" s="20">
        <v>0.0</v>
      </c>
      <c r="M1033" s="20">
        <v>0.0</v>
      </c>
      <c r="N1033" s="20">
        <v>0.0</v>
      </c>
      <c r="O1033" s="20">
        <v>0.0</v>
      </c>
      <c r="P1033" s="20">
        <v>0.0</v>
      </c>
      <c r="Q1033" s="20">
        <v>0.0</v>
      </c>
      <c r="R1033" s="20">
        <v>0.0</v>
      </c>
      <c r="S1033" s="20">
        <v>0.0</v>
      </c>
      <c r="T1033" s="20">
        <v>0.0</v>
      </c>
      <c r="U1033" s="20">
        <v>0.0</v>
      </c>
    </row>
    <row r="1034" ht="23.25" customHeight="1">
      <c r="A1034" s="1" t="str">
        <f>IF(COUNTIF('Icon Lookup'!C:C,B1034)&gt;0,LOOKUP(B1034,'Icon Lookup'!C:C,'Icon Lookup'!B:B),"")</f>
        <v/>
      </c>
      <c r="B1034" s="15" t="s">
        <v>1455</v>
      </c>
      <c r="C1034" s="1" t="s">
        <v>17</v>
      </c>
      <c r="D1034" s="1" t="s">
        <v>1456</v>
      </c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</row>
    <row r="1035" ht="23.25" customHeight="1">
      <c r="A1035" s="17" t="str">
        <f>IF(COUNTIF('Icon Lookup'!C:C,B1035)&gt;0,LOOKUP(B1035,'Icon Lookup'!C:C,'Icon Lookup'!B:B),"")</f>
        <v/>
      </c>
      <c r="B1035" s="18" t="s">
        <v>37</v>
      </c>
      <c r="C1035" s="17" t="s">
        <v>17</v>
      </c>
      <c r="D1035" s="17">
        <v>28.0</v>
      </c>
      <c r="E1035" s="17" t="s">
        <v>38</v>
      </c>
      <c r="G1035" s="19"/>
      <c r="H1035" s="20" t="s">
        <v>537</v>
      </c>
      <c r="I1035" s="17" t="s">
        <v>156</v>
      </c>
      <c r="J1035" s="17">
        <v>0.0</v>
      </c>
      <c r="K1035" s="17">
        <v>0.0</v>
      </c>
      <c r="L1035" s="17">
        <v>0.0</v>
      </c>
      <c r="M1035" s="17">
        <v>0.0</v>
      </c>
      <c r="N1035" s="17">
        <v>0.0</v>
      </c>
      <c r="O1035" s="17">
        <v>0.0</v>
      </c>
      <c r="P1035" s="17">
        <v>0.0</v>
      </c>
      <c r="Q1035" s="17">
        <v>0.0</v>
      </c>
      <c r="R1035" s="17">
        <v>0.0</v>
      </c>
      <c r="S1035" s="17">
        <v>0.0</v>
      </c>
      <c r="T1035" s="17">
        <v>0.0</v>
      </c>
      <c r="U1035" s="17">
        <v>0.0</v>
      </c>
    </row>
    <row r="1036" ht="23.25" customHeight="1">
      <c r="A1036" s="20" t="str">
        <f>IF(COUNTIF('Icon Lookup'!C:C,B1036)&gt;0,LOOKUP(B1036,'Icon Lookup'!C:C,'Icon Lookup'!B:B),"")</f>
        <v/>
      </c>
      <c r="B1036" s="21" t="s">
        <v>97</v>
      </c>
      <c r="C1036" s="20" t="s">
        <v>17</v>
      </c>
      <c r="D1036" s="20">
        <v>31.0</v>
      </c>
      <c r="E1036" s="20" t="s">
        <v>87</v>
      </c>
      <c r="G1036" s="22"/>
      <c r="H1036" s="23" t="s">
        <v>178</v>
      </c>
      <c r="I1036" s="20" t="s">
        <v>89</v>
      </c>
      <c r="J1036" s="20">
        <v>0.0</v>
      </c>
      <c r="K1036" s="20">
        <v>0.0</v>
      </c>
      <c r="L1036" s="20">
        <v>0.0</v>
      </c>
      <c r="M1036" s="20">
        <v>0.0</v>
      </c>
      <c r="N1036" s="20">
        <v>0.0</v>
      </c>
      <c r="O1036" s="20">
        <v>0.0</v>
      </c>
      <c r="P1036" s="20">
        <v>0.0</v>
      </c>
      <c r="Q1036" s="20">
        <v>0.0</v>
      </c>
      <c r="R1036" s="20">
        <v>0.0</v>
      </c>
      <c r="S1036" s="20">
        <v>0.0</v>
      </c>
      <c r="T1036" s="20">
        <v>0.0</v>
      </c>
      <c r="U1036" s="20">
        <v>0.0</v>
      </c>
    </row>
    <row r="1037" ht="23.25" customHeight="1">
      <c r="A1037" s="17" t="str">
        <f>IF(COUNTIF('Icon Lookup'!C:C,B1037)&gt;0,LOOKUP(B1037,'Icon Lookup'!C:C,'Icon Lookup'!B:B),"")</f>
        <v/>
      </c>
      <c r="B1037" s="18" t="s">
        <v>174</v>
      </c>
      <c r="C1037" s="17" t="s">
        <v>17</v>
      </c>
      <c r="D1037" s="17">
        <v>31.0</v>
      </c>
      <c r="E1037" s="17" t="s">
        <v>38</v>
      </c>
      <c r="G1037" s="19"/>
      <c r="H1037" s="20" t="s">
        <v>1457</v>
      </c>
      <c r="I1037" s="17" t="s">
        <v>156</v>
      </c>
      <c r="J1037" s="17">
        <v>0.0</v>
      </c>
      <c r="K1037" s="17">
        <v>0.0</v>
      </c>
      <c r="L1037" s="17">
        <v>0.0</v>
      </c>
      <c r="M1037" s="17">
        <v>0.0</v>
      </c>
      <c r="N1037" s="17">
        <v>0.0</v>
      </c>
      <c r="O1037" s="17">
        <v>0.0</v>
      </c>
      <c r="P1037" s="17">
        <v>0.0</v>
      </c>
      <c r="Q1037" s="17">
        <v>0.0</v>
      </c>
      <c r="R1037" s="17">
        <v>0.0</v>
      </c>
      <c r="S1037" s="17">
        <v>0.0</v>
      </c>
      <c r="T1037" s="17">
        <v>0.0</v>
      </c>
      <c r="U1037" s="17">
        <v>0.0</v>
      </c>
    </row>
    <row r="1038" ht="23.25" customHeight="1">
      <c r="A1038" s="1" t="str">
        <f>IF(COUNTIF('Icon Lookup'!C:C,B1038)&gt;0,LOOKUP(B1038,'Icon Lookup'!C:C,'Icon Lookup'!B:B),"")</f>
        <v/>
      </c>
      <c r="B1038" s="15" t="s">
        <v>1458</v>
      </c>
      <c r="C1038" s="1" t="s">
        <v>17</v>
      </c>
      <c r="D1038" s="1" t="s">
        <v>1459</v>
      </c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</row>
    <row r="1039" ht="23.25" customHeight="1">
      <c r="A1039" s="20" t="str">
        <f>IF(COUNTIF('Icon Lookup'!C:C,B1039)&gt;0,LOOKUP(B1039,'Icon Lookup'!C:C,'Icon Lookup'!B:B),"")</f>
        <v/>
      </c>
      <c r="B1039" s="21" t="s">
        <v>176</v>
      </c>
      <c r="C1039" s="20" t="s">
        <v>17</v>
      </c>
      <c r="D1039" s="20">
        <v>30.0</v>
      </c>
      <c r="E1039" s="20" t="s">
        <v>87</v>
      </c>
      <c r="G1039" s="22"/>
      <c r="H1039" s="23" t="s">
        <v>1460</v>
      </c>
      <c r="I1039" s="20" t="s">
        <v>89</v>
      </c>
      <c r="J1039" s="20">
        <v>0.0</v>
      </c>
      <c r="K1039" s="20">
        <v>0.0</v>
      </c>
      <c r="L1039" s="20">
        <v>0.0</v>
      </c>
      <c r="M1039" s="20">
        <v>0.0</v>
      </c>
      <c r="N1039" s="20">
        <v>0.0</v>
      </c>
      <c r="O1039" s="20">
        <v>0.0</v>
      </c>
      <c r="P1039" s="20">
        <v>0.0</v>
      </c>
      <c r="Q1039" s="20">
        <v>0.0</v>
      </c>
      <c r="R1039" s="20">
        <v>0.0</v>
      </c>
      <c r="S1039" s="20">
        <v>0.0</v>
      </c>
      <c r="T1039" s="20">
        <v>0.0</v>
      </c>
      <c r="U1039" s="20">
        <v>0.0</v>
      </c>
    </row>
    <row r="1040" ht="23.25" customHeight="1">
      <c r="A1040" s="17" t="str">
        <f>IF(COUNTIF('Icon Lookup'!C:C,B1040)&gt;0,LOOKUP(B1040,'Icon Lookup'!C:C,'Icon Lookup'!B:B),"")</f>
        <v/>
      </c>
      <c r="B1040" s="18" t="s">
        <v>275</v>
      </c>
      <c r="C1040" s="17" t="s">
        <v>17</v>
      </c>
      <c r="D1040" s="17">
        <v>32.0</v>
      </c>
      <c r="E1040" s="17" t="s">
        <v>91</v>
      </c>
      <c r="G1040" s="19"/>
      <c r="H1040" s="20" t="s">
        <v>423</v>
      </c>
      <c r="I1040" s="17" t="s">
        <v>89</v>
      </c>
      <c r="J1040" s="17">
        <v>0.0</v>
      </c>
      <c r="K1040" s="17">
        <v>0.0</v>
      </c>
      <c r="L1040" s="17">
        <v>0.0</v>
      </c>
      <c r="M1040" s="17">
        <v>0.0</v>
      </c>
      <c r="N1040" s="17">
        <v>0.0</v>
      </c>
      <c r="O1040" s="17">
        <v>0.0</v>
      </c>
      <c r="P1040" s="17">
        <v>0.0</v>
      </c>
      <c r="Q1040" s="17">
        <v>0.0</v>
      </c>
      <c r="R1040" s="17">
        <v>0.0</v>
      </c>
      <c r="S1040" s="17">
        <v>0.0</v>
      </c>
      <c r="T1040" s="17">
        <v>0.0</v>
      </c>
      <c r="U1040" s="17">
        <v>0.0</v>
      </c>
    </row>
    <row r="1041" ht="23.25" customHeight="1">
      <c r="A1041" s="1" t="str">
        <f>IF(COUNTIF('Icon Lookup'!C:C,B1041)&gt;0,LOOKUP(B1041,'Icon Lookup'!C:C,'Icon Lookup'!B:B),"")</f>
        <v/>
      </c>
      <c r="B1041" s="15" t="s">
        <v>1461</v>
      </c>
      <c r="C1041" s="1" t="s">
        <v>17</v>
      </c>
      <c r="D1041" s="1" t="s">
        <v>1462</v>
      </c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</row>
    <row r="1042" ht="23.25" customHeight="1">
      <c r="A1042" s="20" t="str">
        <f>IF(COUNTIF('Icon Lookup'!C:C,B1042)&gt;0,LOOKUP(B1042,'Icon Lookup'!C:C,'Icon Lookup'!B:B),"")</f>
        <v/>
      </c>
      <c r="B1042" s="21" t="s">
        <v>86</v>
      </c>
      <c r="C1042" s="20" t="s">
        <v>17</v>
      </c>
      <c r="D1042" s="20">
        <v>15.0</v>
      </c>
      <c r="E1042" s="20" t="s">
        <v>87</v>
      </c>
      <c r="G1042" s="22"/>
      <c r="H1042" s="23" t="s">
        <v>143</v>
      </c>
      <c r="I1042" s="20" t="s">
        <v>89</v>
      </c>
      <c r="J1042" s="20">
        <v>0.0</v>
      </c>
      <c r="K1042" s="20">
        <v>0.0</v>
      </c>
      <c r="L1042" s="20">
        <v>0.0</v>
      </c>
      <c r="M1042" s="20">
        <v>0.0</v>
      </c>
      <c r="N1042" s="20">
        <v>0.0</v>
      </c>
      <c r="O1042" s="20">
        <v>0.0</v>
      </c>
      <c r="P1042" s="20">
        <v>0.0</v>
      </c>
      <c r="Q1042" s="20">
        <v>0.0</v>
      </c>
      <c r="R1042" s="20">
        <v>0.0</v>
      </c>
      <c r="S1042" s="20">
        <v>0.0</v>
      </c>
      <c r="T1042" s="20">
        <v>0.0</v>
      </c>
      <c r="U1042" s="20">
        <v>0.0</v>
      </c>
    </row>
    <row r="1043" ht="23.25" customHeight="1">
      <c r="A1043" s="17" t="str">
        <f>IF(COUNTIF('Icon Lookup'!C:C,B1043)&gt;0,LOOKUP(B1043,'Icon Lookup'!C:C,'Icon Lookup'!B:B),"")</f>
        <v/>
      </c>
      <c r="B1043" s="18" t="s">
        <v>90</v>
      </c>
      <c r="C1043" s="17" t="s">
        <v>17</v>
      </c>
      <c r="D1043" s="17">
        <v>15.0</v>
      </c>
      <c r="E1043" s="17" t="s">
        <v>91</v>
      </c>
      <c r="G1043" s="19"/>
      <c r="H1043" s="20" t="s">
        <v>1463</v>
      </c>
      <c r="I1043" s="17" t="s">
        <v>89</v>
      </c>
      <c r="J1043" s="17">
        <v>0.0</v>
      </c>
      <c r="K1043" s="17">
        <v>0.0</v>
      </c>
      <c r="L1043" s="17">
        <v>0.0</v>
      </c>
      <c r="M1043" s="17">
        <v>0.0</v>
      </c>
      <c r="N1043" s="17">
        <v>0.0</v>
      </c>
      <c r="O1043" s="17">
        <v>0.0</v>
      </c>
      <c r="P1043" s="17">
        <v>0.0</v>
      </c>
      <c r="Q1043" s="17">
        <v>0.0</v>
      </c>
      <c r="R1043" s="17">
        <v>0.0</v>
      </c>
      <c r="S1043" s="17">
        <v>0.0</v>
      </c>
      <c r="T1043" s="17">
        <v>0.0</v>
      </c>
      <c r="U1043" s="17">
        <v>0.0</v>
      </c>
    </row>
    <row r="1044" ht="23.25" customHeight="1">
      <c r="A1044" s="1" t="str">
        <f>IF(COUNTIF('Icon Lookup'!C:C,B1044)&gt;0,LOOKUP(B1044,'Icon Lookup'!C:C,'Icon Lookup'!B:B),"")</f>
        <v/>
      </c>
      <c r="B1044" s="15" t="s">
        <v>1464</v>
      </c>
      <c r="C1044" s="1" t="s">
        <v>17</v>
      </c>
      <c r="D1044" s="1" t="s">
        <v>1465</v>
      </c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</row>
    <row r="1045" ht="23.25" customHeight="1">
      <c r="A1045" s="20" t="str">
        <f>IF(COUNTIF('Icon Lookup'!C:C,B1045)&gt;0,LOOKUP(B1045,'Icon Lookup'!C:C,'Icon Lookup'!B:B),"")</f>
        <v/>
      </c>
      <c r="B1045" s="21" t="s">
        <v>97</v>
      </c>
      <c r="C1045" s="20" t="s">
        <v>17</v>
      </c>
      <c r="D1045" s="20">
        <v>17.0</v>
      </c>
      <c r="E1045" s="20" t="s">
        <v>98</v>
      </c>
      <c r="G1045" s="22"/>
      <c r="H1045" s="23" t="s">
        <v>1466</v>
      </c>
      <c r="I1045" s="20" t="s">
        <v>89</v>
      </c>
      <c r="J1045" s="20">
        <v>0.0</v>
      </c>
      <c r="K1045" s="20">
        <v>0.0</v>
      </c>
      <c r="L1045" s="20">
        <v>0.0</v>
      </c>
      <c r="M1045" s="20">
        <v>0.0</v>
      </c>
      <c r="N1045" s="20">
        <v>0.0</v>
      </c>
      <c r="O1045" s="20">
        <v>0.0</v>
      </c>
      <c r="P1045" s="20">
        <v>0.0</v>
      </c>
      <c r="Q1045" s="20">
        <v>0.0</v>
      </c>
      <c r="R1045" s="20">
        <v>0.0</v>
      </c>
      <c r="S1045" s="20">
        <v>0.0</v>
      </c>
      <c r="T1045" s="20">
        <v>0.0</v>
      </c>
      <c r="U1045" s="20">
        <v>0.0</v>
      </c>
    </row>
    <row r="1046" ht="23.25" customHeight="1">
      <c r="A1046" s="1" t="str">
        <f>IF(COUNTIF('Icon Lookup'!C:C,B1046)&gt;0,LOOKUP(B1046,'Icon Lookup'!C:C,'Icon Lookup'!B:B),"")</f>
        <v/>
      </c>
      <c r="B1046" s="15" t="s">
        <v>1467</v>
      </c>
      <c r="C1046" s="1" t="s">
        <v>17</v>
      </c>
      <c r="D1046" s="1" t="s">
        <v>1468</v>
      </c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</row>
    <row r="1047" ht="23.25" customHeight="1">
      <c r="A1047" s="17" t="str">
        <f>IF(COUNTIF('Icon Lookup'!C:C,B1047)&gt;0,LOOKUP(B1047,'Icon Lookup'!C:C,'Icon Lookup'!B:B),"")</f>
        <v/>
      </c>
      <c r="B1047" s="18" t="s">
        <v>815</v>
      </c>
      <c r="C1047" s="17" t="s">
        <v>17</v>
      </c>
      <c r="D1047" s="17">
        <v>14.0</v>
      </c>
      <c r="E1047" s="17" t="s">
        <v>374</v>
      </c>
      <c r="G1047" s="19"/>
      <c r="H1047" s="20" t="s">
        <v>1469</v>
      </c>
      <c r="I1047" s="17" t="s">
        <v>40</v>
      </c>
      <c r="J1047" s="17">
        <v>0.0</v>
      </c>
      <c r="K1047" s="17">
        <v>0.0</v>
      </c>
      <c r="L1047" s="17">
        <v>0.0</v>
      </c>
      <c r="M1047" s="17">
        <v>0.0</v>
      </c>
      <c r="N1047" s="17">
        <v>0.0</v>
      </c>
      <c r="O1047" s="17">
        <v>0.0</v>
      </c>
      <c r="P1047" s="17">
        <v>0.0</v>
      </c>
      <c r="Q1047" s="17">
        <v>0.0</v>
      </c>
      <c r="R1047" s="17">
        <v>0.0</v>
      </c>
      <c r="S1047" s="17">
        <v>0.0</v>
      </c>
      <c r="T1047" s="17">
        <v>0.0</v>
      </c>
      <c r="U1047" s="17">
        <v>0.0</v>
      </c>
    </row>
    <row r="1048" ht="23.25" customHeight="1">
      <c r="A1048" s="1" t="str">
        <f>IF(COUNTIF('Icon Lookup'!C:C,B1048)&gt;0,LOOKUP(B1048,'Icon Lookup'!C:C,'Icon Lookup'!B:B),"")</f>
        <v/>
      </c>
      <c r="B1048" s="15" t="s">
        <v>1470</v>
      </c>
      <c r="C1048" s="1" t="s">
        <v>17</v>
      </c>
      <c r="D1048" s="1" t="s">
        <v>1471</v>
      </c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</row>
    <row r="1049" ht="23.25" customHeight="1">
      <c r="A1049" s="20" t="str">
        <f>IF(COUNTIF('Icon Lookup'!C:C,B1049)&gt;0,LOOKUP(B1049,'Icon Lookup'!C:C,'Icon Lookup'!B:B),"")</f>
        <v/>
      </c>
      <c r="B1049" s="21" t="s">
        <v>117</v>
      </c>
      <c r="C1049" s="20" t="s">
        <v>17</v>
      </c>
      <c r="D1049" s="20">
        <v>31.0</v>
      </c>
      <c r="E1049" s="20" t="s">
        <v>26</v>
      </c>
      <c r="G1049" s="22"/>
      <c r="H1049" s="23" t="s">
        <v>1472</v>
      </c>
      <c r="I1049" s="20" t="s">
        <v>22</v>
      </c>
      <c r="J1049" s="20">
        <v>0.0</v>
      </c>
      <c r="K1049" s="20">
        <v>0.0</v>
      </c>
      <c r="L1049" s="20">
        <v>0.0</v>
      </c>
      <c r="M1049" s="20">
        <v>0.0</v>
      </c>
      <c r="N1049" s="20">
        <v>0.0</v>
      </c>
      <c r="O1049" s="20">
        <v>0.0</v>
      </c>
      <c r="P1049" s="20">
        <v>0.0</v>
      </c>
      <c r="Q1049" s="20">
        <v>0.0</v>
      </c>
      <c r="R1049" s="20">
        <v>0.0</v>
      </c>
      <c r="S1049" s="20">
        <v>0.0</v>
      </c>
      <c r="T1049" s="20">
        <v>0.0</v>
      </c>
      <c r="U1049" s="20">
        <v>0.0</v>
      </c>
    </row>
    <row r="1050" ht="23.25" customHeight="1">
      <c r="A1050" s="17" t="str">
        <f>IF(COUNTIF('Icon Lookup'!C:C,B1050)&gt;0,LOOKUP(B1050,'Icon Lookup'!C:C,'Icon Lookup'!B:B),"")</f>
        <v/>
      </c>
      <c r="B1050" s="18" t="s">
        <v>600</v>
      </c>
      <c r="C1050" s="17" t="s">
        <v>17</v>
      </c>
      <c r="D1050" s="17">
        <v>31.0</v>
      </c>
      <c r="E1050" s="17" t="s">
        <v>601</v>
      </c>
      <c r="G1050" s="19"/>
      <c r="H1050" s="20" t="s">
        <v>602</v>
      </c>
      <c r="I1050" s="17" t="s">
        <v>52</v>
      </c>
      <c r="J1050" s="17">
        <v>0.0</v>
      </c>
      <c r="K1050" s="17">
        <v>0.0</v>
      </c>
      <c r="L1050" s="17">
        <v>0.0</v>
      </c>
      <c r="M1050" s="17">
        <v>0.0</v>
      </c>
      <c r="N1050" s="17">
        <v>0.0</v>
      </c>
      <c r="O1050" s="17">
        <v>0.0</v>
      </c>
      <c r="P1050" s="17">
        <v>0.0</v>
      </c>
      <c r="Q1050" s="17">
        <v>0.0</v>
      </c>
      <c r="R1050" s="17">
        <v>0.0</v>
      </c>
      <c r="S1050" s="17">
        <v>0.0</v>
      </c>
      <c r="T1050" s="17">
        <v>0.0</v>
      </c>
      <c r="U1050" s="17">
        <v>0.0</v>
      </c>
    </row>
    <row r="1051" ht="23.25" customHeight="1">
      <c r="A1051" s="1" t="str">
        <f>IF(COUNTIF('Icon Lookup'!C:C,B1051)&gt;0,LOOKUP(B1051,'Icon Lookup'!C:C,'Icon Lookup'!B:B),"")</f>
        <v/>
      </c>
      <c r="B1051" s="15" t="s">
        <v>1473</v>
      </c>
      <c r="C1051" s="1" t="s">
        <v>17</v>
      </c>
      <c r="D1051" s="1" t="s">
        <v>1474</v>
      </c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</row>
    <row r="1052" ht="23.25" customHeight="1">
      <c r="A1052" s="20" t="str">
        <f>IF(COUNTIF('Icon Lookup'!C:C,B1052)&gt;0,LOOKUP(B1052,'Icon Lookup'!C:C,'Icon Lookup'!B:B),"")</f>
        <v/>
      </c>
      <c r="B1052" s="21" t="s">
        <v>685</v>
      </c>
      <c r="C1052" s="20" t="s">
        <v>17</v>
      </c>
      <c r="D1052" s="20">
        <v>15.0</v>
      </c>
      <c r="E1052" s="20" t="s">
        <v>58</v>
      </c>
      <c r="G1052" s="22"/>
      <c r="H1052" s="23" t="s">
        <v>1291</v>
      </c>
      <c r="I1052" s="20" t="s">
        <v>22</v>
      </c>
      <c r="J1052" s="20">
        <v>0.0</v>
      </c>
      <c r="K1052" s="20">
        <v>0.0</v>
      </c>
      <c r="L1052" s="20">
        <v>0.0</v>
      </c>
      <c r="M1052" s="20">
        <v>0.0</v>
      </c>
      <c r="N1052" s="20">
        <v>0.0</v>
      </c>
      <c r="O1052" s="20">
        <v>0.0</v>
      </c>
      <c r="P1052" s="20">
        <v>0.0</v>
      </c>
      <c r="Q1052" s="20">
        <v>0.0</v>
      </c>
      <c r="R1052" s="20">
        <v>0.0</v>
      </c>
      <c r="S1052" s="20">
        <v>0.0</v>
      </c>
      <c r="T1052" s="20">
        <v>0.0</v>
      </c>
      <c r="U1052" s="20">
        <v>0.0</v>
      </c>
    </row>
    <row r="1053" ht="23.25" customHeight="1">
      <c r="A1053" s="17" t="str">
        <f>IF(COUNTIF('Icon Lookup'!C:C,B1053)&gt;0,LOOKUP(B1053,'Icon Lookup'!C:C,'Icon Lookup'!B:B),"")</f>
        <v/>
      </c>
      <c r="B1053" s="18" t="s">
        <v>687</v>
      </c>
      <c r="C1053" s="17" t="s">
        <v>17</v>
      </c>
      <c r="D1053" s="17">
        <v>15.0</v>
      </c>
      <c r="E1053" s="17" t="s">
        <v>258</v>
      </c>
      <c r="G1053" s="19"/>
      <c r="H1053" s="20" t="s">
        <v>1475</v>
      </c>
      <c r="I1053" s="17" t="s">
        <v>52</v>
      </c>
      <c r="J1053" s="17">
        <v>0.0</v>
      </c>
      <c r="K1053" s="17">
        <v>0.0</v>
      </c>
      <c r="L1053" s="17">
        <v>0.0</v>
      </c>
      <c r="M1053" s="17">
        <v>0.0</v>
      </c>
      <c r="N1053" s="17">
        <v>0.0</v>
      </c>
      <c r="O1053" s="17">
        <v>0.0</v>
      </c>
      <c r="P1053" s="17">
        <v>0.0</v>
      </c>
      <c r="Q1053" s="17">
        <v>0.0</v>
      </c>
      <c r="R1053" s="17">
        <v>0.0</v>
      </c>
      <c r="S1053" s="17">
        <v>0.0</v>
      </c>
      <c r="T1053" s="17">
        <v>0.0</v>
      </c>
      <c r="U1053" s="17">
        <v>0.0</v>
      </c>
    </row>
    <row r="1054" ht="23.25" customHeight="1">
      <c r="A1054" s="1" t="str">
        <f>IF(COUNTIF('Icon Lookup'!C:C,B1054)&gt;0,LOOKUP(B1054,'Icon Lookup'!C:C,'Icon Lookup'!B:B),"")</f>
        <v/>
      </c>
      <c r="B1054" s="15" t="s">
        <v>1476</v>
      </c>
      <c r="C1054" s="1" t="s">
        <v>17</v>
      </c>
      <c r="D1054" s="1" t="s">
        <v>1477</v>
      </c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</row>
    <row r="1055" ht="23.25" customHeight="1">
      <c r="A1055" s="20" t="str">
        <f>IF(COUNTIF('Icon Lookup'!C:C,B1055)&gt;0,LOOKUP(B1055,'Icon Lookup'!C:C,'Icon Lookup'!B:B),"")</f>
        <v/>
      </c>
      <c r="B1055" s="21" t="s">
        <v>165</v>
      </c>
      <c r="C1055" s="20" t="s">
        <v>17</v>
      </c>
      <c r="D1055" s="20">
        <v>17.0</v>
      </c>
      <c r="E1055" s="20" t="s">
        <v>166</v>
      </c>
      <c r="G1055" s="22"/>
      <c r="H1055" s="23" t="s">
        <v>167</v>
      </c>
      <c r="I1055" s="20" t="s">
        <v>73</v>
      </c>
      <c r="J1055" s="20">
        <v>0.0</v>
      </c>
      <c r="K1055" s="20">
        <v>0.0</v>
      </c>
      <c r="L1055" s="20">
        <v>0.0</v>
      </c>
      <c r="M1055" s="20">
        <v>0.0</v>
      </c>
      <c r="N1055" s="20">
        <v>0.0</v>
      </c>
      <c r="O1055" s="20">
        <v>0.0</v>
      </c>
      <c r="P1055" s="20">
        <v>0.0</v>
      </c>
      <c r="Q1055" s="20">
        <v>0.0</v>
      </c>
      <c r="R1055" s="20">
        <v>0.0</v>
      </c>
      <c r="S1055" s="20">
        <v>0.0</v>
      </c>
      <c r="T1055" s="20">
        <v>0.0</v>
      </c>
      <c r="U1055" s="20">
        <v>0.0</v>
      </c>
    </row>
    <row r="1056" ht="23.25" customHeight="1">
      <c r="A1056" s="1" t="str">
        <f>IF(COUNTIF('Icon Lookup'!C:C,B1056)&gt;0,LOOKUP(B1056,'Icon Lookup'!C:C,'Icon Lookup'!B:B),"")</f>
        <v/>
      </c>
      <c r="B1056" s="15" t="s">
        <v>1478</v>
      </c>
      <c r="C1056" s="1" t="s">
        <v>17</v>
      </c>
      <c r="D1056" s="1" t="s">
        <v>1479</v>
      </c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</row>
    <row r="1057" ht="23.25" customHeight="1">
      <c r="A1057" s="17" t="str">
        <f>IF(COUNTIF('Icon Lookup'!C:C,B1057)&gt;0,LOOKUP(B1057,'Icon Lookup'!C:C,'Icon Lookup'!B:B),"")</f>
        <v/>
      </c>
      <c r="B1057" s="18" t="s">
        <v>476</v>
      </c>
      <c r="C1057" s="17" t="s">
        <v>17</v>
      </c>
      <c r="D1057" s="17">
        <v>17.0</v>
      </c>
      <c r="E1057" s="17" t="s">
        <v>203</v>
      </c>
      <c r="G1057" s="19"/>
      <c r="H1057" s="20" t="s">
        <v>1480</v>
      </c>
      <c r="I1057" s="17" t="s">
        <v>156</v>
      </c>
      <c r="J1057" s="17">
        <v>0.0</v>
      </c>
      <c r="K1057" s="17">
        <v>0.0</v>
      </c>
      <c r="L1057" s="17">
        <v>0.0</v>
      </c>
      <c r="M1057" s="17">
        <v>0.0</v>
      </c>
      <c r="N1057" s="17">
        <v>0.0</v>
      </c>
      <c r="O1057" s="17">
        <v>0.0</v>
      </c>
      <c r="P1057" s="17">
        <v>0.0</v>
      </c>
      <c r="Q1057" s="17">
        <v>0.0</v>
      </c>
      <c r="R1057" s="17">
        <v>0.0</v>
      </c>
      <c r="S1057" s="17">
        <v>0.0</v>
      </c>
      <c r="T1057" s="17">
        <v>0.0</v>
      </c>
      <c r="U1057" s="17">
        <v>0.0</v>
      </c>
    </row>
    <row r="1058" ht="23.25" customHeight="1">
      <c r="A1058" s="1" t="str">
        <f>IF(COUNTIF('Icon Lookup'!C:C,B1058)&gt;0,LOOKUP(B1058,'Icon Lookup'!C:C,'Icon Lookup'!B:B),"")</f>
        <v/>
      </c>
      <c r="B1058" s="15" t="s">
        <v>1481</v>
      </c>
      <c r="C1058" s="1" t="s">
        <v>17</v>
      </c>
      <c r="D1058" s="1" t="s">
        <v>1482</v>
      </c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</row>
    <row r="1059" ht="23.25" customHeight="1">
      <c r="A1059" s="20" t="str">
        <f>IF(COUNTIF('Icon Lookup'!C:C,B1059)&gt;0,LOOKUP(B1059,'Icon Lookup'!C:C,'Icon Lookup'!B:B),"")</f>
        <v/>
      </c>
      <c r="B1059" s="21" t="s">
        <v>136</v>
      </c>
      <c r="C1059" s="20" t="s">
        <v>17</v>
      </c>
      <c r="D1059" s="20">
        <v>15.0</v>
      </c>
      <c r="E1059" s="20" t="s">
        <v>137</v>
      </c>
      <c r="G1059" s="22"/>
      <c r="H1059" s="23" t="s">
        <v>1273</v>
      </c>
      <c r="I1059" s="20" t="s">
        <v>22</v>
      </c>
      <c r="J1059" s="20">
        <v>0.0</v>
      </c>
      <c r="K1059" s="20">
        <v>0.0</v>
      </c>
      <c r="L1059" s="20">
        <v>0.0</v>
      </c>
      <c r="M1059" s="20">
        <v>0.0</v>
      </c>
      <c r="N1059" s="20">
        <v>0.0</v>
      </c>
      <c r="O1059" s="20">
        <v>0.0</v>
      </c>
      <c r="P1059" s="20">
        <v>0.0</v>
      </c>
      <c r="Q1059" s="20">
        <v>0.0</v>
      </c>
      <c r="R1059" s="20">
        <v>0.0</v>
      </c>
      <c r="S1059" s="20">
        <v>0.0</v>
      </c>
      <c r="T1059" s="20">
        <v>0.0</v>
      </c>
      <c r="U1059" s="20">
        <v>0.0</v>
      </c>
    </row>
    <row r="1060" ht="23.25" customHeight="1">
      <c r="A1060" s="17" t="str">
        <f>IF(COUNTIF('Icon Lookup'!C:C,B1060)&gt;0,LOOKUP(B1060,'Icon Lookup'!C:C,'Icon Lookup'!B:B),"")</f>
        <v/>
      </c>
      <c r="B1060" s="18" t="s">
        <v>136</v>
      </c>
      <c r="C1060" s="17" t="s">
        <v>17</v>
      </c>
      <c r="D1060" s="17">
        <v>15.0</v>
      </c>
      <c r="E1060" s="17" t="s">
        <v>137</v>
      </c>
      <c r="G1060" s="19"/>
      <c r="H1060" s="20" t="s">
        <v>1483</v>
      </c>
      <c r="I1060" s="17" t="s">
        <v>52</v>
      </c>
      <c r="J1060" s="17">
        <v>0.0</v>
      </c>
      <c r="K1060" s="17">
        <v>0.0</v>
      </c>
      <c r="L1060" s="17">
        <v>0.0</v>
      </c>
      <c r="M1060" s="17">
        <v>0.0</v>
      </c>
      <c r="N1060" s="17">
        <v>0.0</v>
      </c>
      <c r="O1060" s="17">
        <v>0.0</v>
      </c>
      <c r="P1060" s="17">
        <v>0.0</v>
      </c>
      <c r="Q1060" s="17">
        <v>0.0</v>
      </c>
      <c r="R1060" s="17">
        <v>0.0</v>
      </c>
      <c r="S1060" s="17">
        <v>0.0</v>
      </c>
      <c r="T1060" s="17">
        <v>0.0</v>
      </c>
      <c r="U1060" s="17">
        <v>0.0</v>
      </c>
    </row>
    <row r="1061" ht="23.25" customHeight="1">
      <c r="A1061" s="1" t="str">
        <f>IF(COUNTIF('Icon Lookup'!C:C,B1061)&gt;0,LOOKUP(B1061,'Icon Lookup'!C:C,'Icon Lookup'!B:B),"")</f>
        <v/>
      </c>
      <c r="B1061" s="15" t="s">
        <v>1484</v>
      </c>
      <c r="C1061" s="1" t="s">
        <v>17</v>
      </c>
      <c r="D1061" s="1" t="s">
        <v>807</v>
      </c>
      <c r="G1061" s="16"/>
      <c r="H1061" s="26" t="s">
        <v>808</v>
      </c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</row>
    <row r="1062" ht="23.25" customHeight="1">
      <c r="A1062" s="20" t="str">
        <f>IF(COUNTIF('Icon Lookup'!C:C,B1062)&gt;0,LOOKUP(B1062,'Icon Lookup'!C:C,'Icon Lookup'!B:B),"")</f>
        <v/>
      </c>
      <c r="B1062" s="21" t="s">
        <v>19</v>
      </c>
      <c r="C1062" s="20" t="s">
        <v>17</v>
      </c>
      <c r="D1062" s="20">
        <v>19.0</v>
      </c>
      <c r="E1062" s="20" t="s">
        <v>20</v>
      </c>
      <c r="G1062" s="22"/>
      <c r="H1062" s="23" t="s">
        <v>1485</v>
      </c>
      <c r="I1062" s="20" t="s">
        <v>22</v>
      </c>
      <c r="J1062" s="20">
        <v>12.0</v>
      </c>
      <c r="K1062" s="20">
        <v>28.0</v>
      </c>
      <c r="L1062" s="20">
        <v>4.0</v>
      </c>
      <c r="M1062" s="20">
        <v>0.0</v>
      </c>
      <c r="N1062" s="20">
        <v>4.0</v>
      </c>
      <c r="O1062" s="20">
        <v>12.0</v>
      </c>
      <c r="P1062" s="20">
        <v>5.0</v>
      </c>
      <c r="Q1062" s="20">
        <v>5.0</v>
      </c>
      <c r="R1062" s="20">
        <v>5.0</v>
      </c>
      <c r="S1062" s="20">
        <v>5.0</v>
      </c>
      <c r="T1062" s="20">
        <v>5.0</v>
      </c>
      <c r="U1062" s="20">
        <v>5.0</v>
      </c>
    </row>
    <row r="1063" ht="23.25" customHeight="1">
      <c r="A1063" s="17" t="str">
        <f>IF(COUNTIF('Icon Lookup'!C:C,B1063)&gt;0,LOOKUP(B1063,'Icon Lookup'!C:C,'Icon Lookup'!B:B),"")</f>
        <v/>
      </c>
      <c r="B1063" s="18" t="s">
        <v>271</v>
      </c>
      <c r="C1063" s="17" t="s">
        <v>17</v>
      </c>
      <c r="D1063" s="17">
        <v>20.0</v>
      </c>
      <c r="E1063" s="17" t="s">
        <v>44</v>
      </c>
      <c r="G1063" s="19"/>
      <c r="H1063" s="20" t="s">
        <v>1169</v>
      </c>
      <c r="I1063" s="17" t="s">
        <v>22</v>
      </c>
      <c r="J1063" s="17">
        <v>0.0</v>
      </c>
      <c r="K1063" s="17">
        <v>28.0</v>
      </c>
      <c r="L1063" s="17">
        <v>4.0</v>
      </c>
      <c r="M1063" s="17">
        <v>0.0</v>
      </c>
      <c r="N1063" s="17">
        <v>4.0</v>
      </c>
      <c r="O1063" s="17">
        <v>12.0</v>
      </c>
      <c r="P1063" s="17">
        <v>6.0</v>
      </c>
      <c r="Q1063" s="17">
        <v>6.0</v>
      </c>
      <c r="R1063" s="17">
        <v>6.0</v>
      </c>
      <c r="S1063" s="17">
        <v>6.0</v>
      </c>
      <c r="T1063" s="17">
        <v>6.0</v>
      </c>
      <c r="U1063" s="17">
        <v>6.0</v>
      </c>
    </row>
    <row r="1064" ht="23.25" customHeight="1">
      <c r="A1064" s="20" t="str">
        <f>IF(COUNTIF('Icon Lookup'!C:C,B1064)&gt;0,LOOKUP(B1064,'Icon Lookup'!C:C,'Icon Lookup'!B:B),"")</f>
        <v/>
      </c>
      <c r="B1064" s="21" t="s">
        <v>78</v>
      </c>
      <c r="C1064" s="20" t="s">
        <v>17</v>
      </c>
      <c r="D1064" s="20">
        <v>20.0</v>
      </c>
      <c r="E1064" s="20" t="s">
        <v>79</v>
      </c>
      <c r="G1064" s="22"/>
      <c r="H1064" s="23" t="s">
        <v>1071</v>
      </c>
      <c r="I1064" s="20" t="s">
        <v>22</v>
      </c>
      <c r="J1064" s="20">
        <v>0.0</v>
      </c>
      <c r="K1064" s="20">
        <v>28.0</v>
      </c>
      <c r="L1064" s="20">
        <v>4.0</v>
      </c>
      <c r="M1064" s="20">
        <v>0.0</v>
      </c>
      <c r="N1064" s="20">
        <v>4.0</v>
      </c>
      <c r="O1064" s="20">
        <v>12.0</v>
      </c>
      <c r="P1064" s="20">
        <v>7.0</v>
      </c>
      <c r="Q1064" s="20">
        <v>7.0</v>
      </c>
      <c r="R1064" s="20">
        <v>7.0</v>
      </c>
      <c r="S1064" s="20">
        <v>7.0</v>
      </c>
      <c r="T1064" s="20">
        <v>7.0</v>
      </c>
      <c r="U1064" s="20">
        <v>7.0</v>
      </c>
    </row>
    <row r="1065" ht="23.25" customHeight="1">
      <c r="A1065" s="24" t="str">
        <f>IF(COUNTIF('Icon Lookup'!C:C,B1065)&gt;0,LOOKUP(B1065,'Icon Lookup'!C:C,'Icon Lookup'!B:B),"")</f>
        <v/>
      </c>
      <c r="B1065" s="25" t="s">
        <v>266</v>
      </c>
      <c r="C1065" s="24" t="s">
        <v>804</v>
      </c>
      <c r="D1065" s="24">
        <v>21.0</v>
      </c>
      <c r="E1065" s="24" t="s">
        <v>267</v>
      </c>
      <c r="G1065" s="19"/>
      <c r="H1065" s="20" t="s">
        <v>1486</v>
      </c>
      <c r="I1065" s="24" t="s">
        <v>265</v>
      </c>
      <c r="J1065" s="24">
        <v>36.0</v>
      </c>
      <c r="K1065" s="24">
        <v>4.0</v>
      </c>
      <c r="L1065" s="24">
        <v>12.0</v>
      </c>
      <c r="M1065" s="24">
        <v>4.0</v>
      </c>
      <c r="N1065" s="24">
        <v>36.0</v>
      </c>
      <c r="O1065" s="24">
        <v>0.0</v>
      </c>
      <c r="P1065" s="24">
        <v>11.0</v>
      </c>
      <c r="Q1065" s="24">
        <v>11.0</v>
      </c>
      <c r="R1065" s="24">
        <v>11.0</v>
      </c>
      <c r="S1065" s="24">
        <v>11.0</v>
      </c>
      <c r="T1065" s="24">
        <v>11.0</v>
      </c>
      <c r="U1065" s="24">
        <v>11.0</v>
      </c>
    </row>
    <row r="1066" ht="23.25" customHeight="1">
      <c r="A1066" s="1" t="str">
        <f>IF(COUNTIF('Icon Lookup'!C:C,B1066)&gt;0,LOOKUP(B1066,'Icon Lookup'!C:C,'Icon Lookup'!B:B),"")</f>
        <v/>
      </c>
      <c r="B1066" s="15" t="s">
        <v>1487</v>
      </c>
      <c r="C1066" s="1" t="s">
        <v>17</v>
      </c>
      <c r="D1066" s="1" t="s">
        <v>807</v>
      </c>
      <c r="G1066" s="16"/>
      <c r="H1066" s="26" t="s">
        <v>808</v>
      </c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</row>
    <row r="1067" ht="23.25" customHeight="1">
      <c r="A1067" s="20" t="str">
        <f>IF(COUNTIF('Icon Lookup'!C:C,B1067)&gt;0,LOOKUP(B1067,'Icon Lookup'!C:C,'Icon Lookup'!B:B),"")</f>
        <v/>
      </c>
      <c r="B1067" s="21" t="s">
        <v>19</v>
      </c>
      <c r="C1067" s="20" t="s">
        <v>17</v>
      </c>
      <c r="D1067" s="20">
        <v>19.0</v>
      </c>
      <c r="E1067" s="20" t="s">
        <v>20</v>
      </c>
      <c r="G1067" s="22"/>
      <c r="H1067" s="23" t="s">
        <v>1485</v>
      </c>
      <c r="I1067" s="20" t="s">
        <v>22</v>
      </c>
      <c r="J1067" s="20">
        <v>12.0</v>
      </c>
      <c r="K1067" s="20">
        <v>28.0</v>
      </c>
      <c r="L1067" s="20">
        <v>4.0</v>
      </c>
      <c r="M1067" s="20">
        <v>0.0</v>
      </c>
      <c r="N1067" s="20">
        <v>4.0</v>
      </c>
      <c r="O1067" s="20">
        <v>12.0</v>
      </c>
      <c r="P1067" s="20">
        <v>5.0</v>
      </c>
      <c r="Q1067" s="20">
        <v>5.0</v>
      </c>
      <c r="R1067" s="20">
        <v>5.0</v>
      </c>
      <c r="S1067" s="20">
        <v>5.0</v>
      </c>
      <c r="T1067" s="20">
        <v>5.0</v>
      </c>
      <c r="U1067" s="20">
        <v>5.0</v>
      </c>
    </row>
    <row r="1068" ht="23.25" customHeight="1">
      <c r="A1068" s="17" t="str">
        <f>IF(COUNTIF('Icon Lookup'!C:C,B1068)&gt;0,LOOKUP(B1068,'Icon Lookup'!C:C,'Icon Lookup'!B:B),"")</f>
        <v/>
      </c>
      <c r="B1068" s="18" t="s">
        <v>271</v>
      </c>
      <c r="C1068" s="17" t="s">
        <v>17</v>
      </c>
      <c r="D1068" s="17">
        <v>20.0</v>
      </c>
      <c r="E1068" s="17" t="s">
        <v>44</v>
      </c>
      <c r="G1068" s="19"/>
      <c r="H1068" s="20" t="s">
        <v>1169</v>
      </c>
      <c r="I1068" s="17" t="s">
        <v>22</v>
      </c>
      <c r="J1068" s="17">
        <v>0.0</v>
      </c>
      <c r="K1068" s="17">
        <v>28.0</v>
      </c>
      <c r="L1068" s="17">
        <v>4.0</v>
      </c>
      <c r="M1068" s="17">
        <v>0.0</v>
      </c>
      <c r="N1068" s="17">
        <v>4.0</v>
      </c>
      <c r="O1068" s="17">
        <v>12.0</v>
      </c>
      <c r="P1068" s="17">
        <v>6.0</v>
      </c>
      <c r="Q1068" s="17">
        <v>6.0</v>
      </c>
      <c r="R1068" s="17">
        <v>6.0</v>
      </c>
      <c r="S1068" s="17">
        <v>6.0</v>
      </c>
      <c r="T1068" s="17">
        <v>6.0</v>
      </c>
      <c r="U1068" s="17">
        <v>6.0</v>
      </c>
    </row>
    <row r="1069" ht="23.25" customHeight="1">
      <c r="A1069" s="20" t="str">
        <f>IF(COUNTIF('Icon Lookup'!C:C,B1069)&gt;0,LOOKUP(B1069,'Icon Lookup'!C:C,'Icon Lookup'!B:B),"")</f>
        <v/>
      </c>
      <c r="B1069" s="21" t="s">
        <v>198</v>
      </c>
      <c r="C1069" s="20" t="s">
        <v>17</v>
      </c>
      <c r="D1069" s="20">
        <v>20.0</v>
      </c>
      <c r="E1069" s="20" t="s">
        <v>50</v>
      </c>
      <c r="G1069" s="22"/>
      <c r="H1069" s="23" t="s">
        <v>1488</v>
      </c>
      <c r="I1069" s="20" t="s">
        <v>52</v>
      </c>
      <c r="J1069" s="20">
        <v>0.0</v>
      </c>
      <c r="K1069" s="20">
        <v>0.0</v>
      </c>
      <c r="L1069" s="20">
        <v>4.0</v>
      </c>
      <c r="M1069" s="20">
        <v>28.0</v>
      </c>
      <c r="N1069" s="20">
        <v>4.0</v>
      </c>
      <c r="O1069" s="20">
        <v>12.0</v>
      </c>
      <c r="P1069" s="20">
        <v>7.0</v>
      </c>
      <c r="Q1069" s="20">
        <v>7.0</v>
      </c>
      <c r="R1069" s="20">
        <v>7.0</v>
      </c>
      <c r="S1069" s="20">
        <v>7.0</v>
      </c>
      <c r="T1069" s="20">
        <v>7.0</v>
      </c>
      <c r="U1069" s="20">
        <v>7.0</v>
      </c>
    </row>
    <row r="1070" ht="23.25" customHeight="1">
      <c r="A1070" s="24" t="str">
        <f>IF(COUNTIF('Icon Lookup'!C:C,B1070)&gt;0,LOOKUP(B1070,'Icon Lookup'!C:C,'Icon Lookup'!B:B),"")</f>
        <v/>
      </c>
      <c r="B1070" s="25" t="s">
        <v>965</v>
      </c>
      <c r="C1070" s="24" t="s">
        <v>804</v>
      </c>
      <c r="D1070" s="24">
        <v>21.0</v>
      </c>
      <c r="E1070" s="24" t="s">
        <v>145</v>
      </c>
      <c r="G1070" s="19"/>
      <c r="H1070" s="20" t="s">
        <v>1489</v>
      </c>
      <c r="I1070" s="24" t="s">
        <v>22</v>
      </c>
      <c r="J1070" s="24">
        <v>12.0</v>
      </c>
      <c r="K1070" s="24">
        <v>0.0</v>
      </c>
      <c r="L1070" s="24">
        <v>4.0</v>
      </c>
      <c r="M1070" s="24">
        <v>36.0</v>
      </c>
      <c r="N1070" s="24">
        <v>4.0</v>
      </c>
      <c r="O1070" s="24">
        <v>36.0</v>
      </c>
      <c r="P1070" s="24">
        <v>11.0</v>
      </c>
      <c r="Q1070" s="24">
        <v>11.0</v>
      </c>
      <c r="R1070" s="24">
        <v>11.0</v>
      </c>
      <c r="S1070" s="24">
        <v>11.0</v>
      </c>
      <c r="T1070" s="24">
        <v>11.0</v>
      </c>
      <c r="U1070" s="24">
        <v>11.0</v>
      </c>
    </row>
    <row r="1071" ht="23.25" customHeight="1">
      <c r="A1071" s="1" t="str">
        <f>IF(COUNTIF('Icon Lookup'!C:C,B1071)&gt;0,LOOKUP(B1071,'Icon Lookup'!C:C,'Icon Lookup'!B:B),"")</f>
        <v/>
      </c>
      <c r="B1071" s="15" t="s">
        <v>1490</v>
      </c>
      <c r="C1071" s="1" t="s">
        <v>17</v>
      </c>
      <c r="D1071" s="1" t="s">
        <v>807</v>
      </c>
      <c r="G1071" s="16"/>
      <c r="H1071" s="26" t="s">
        <v>808</v>
      </c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</row>
    <row r="1072" ht="23.25" customHeight="1">
      <c r="A1072" s="20" t="str">
        <f>IF(COUNTIF('Icon Lookup'!C:C,B1072)&gt;0,LOOKUP(B1072,'Icon Lookup'!C:C,'Icon Lookup'!B:B),"")</f>
        <v/>
      </c>
      <c r="B1072" s="21" t="s">
        <v>19</v>
      </c>
      <c r="C1072" s="20" t="s">
        <v>17</v>
      </c>
      <c r="D1072" s="20">
        <v>19.0</v>
      </c>
      <c r="E1072" s="20" t="s">
        <v>20</v>
      </c>
      <c r="G1072" s="22"/>
      <c r="H1072" s="23" t="s">
        <v>1485</v>
      </c>
      <c r="I1072" s="20" t="s">
        <v>22</v>
      </c>
      <c r="J1072" s="20">
        <v>12.0</v>
      </c>
      <c r="K1072" s="20">
        <v>28.0</v>
      </c>
      <c r="L1072" s="20">
        <v>4.0</v>
      </c>
      <c r="M1072" s="20">
        <v>0.0</v>
      </c>
      <c r="N1072" s="20">
        <v>4.0</v>
      </c>
      <c r="O1072" s="20">
        <v>12.0</v>
      </c>
      <c r="P1072" s="20">
        <v>5.0</v>
      </c>
      <c r="Q1072" s="20">
        <v>5.0</v>
      </c>
      <c r="R1072" s="20">
        <v>5.0</v>
      </c>
      <c r="S1072" s="20">
        <v>5.0</v>
      </c>
      <c r="T1072" s="20">
        <v>5.0</v>
      </c>
      <c r="U1072" s="20">
        <v>5.0</v>
      </c>
    </row>
    <row r="1073" ht="23.25" customHeight="1">
      <c r="A1073" s="17" t="str">
        <f>IF(COUNTIF('Icon Lookup'!C:C,B1073)&gt;0,LOOKUP(B1073,'Icon Lookup'!C:C,'Icon Lookup'!B:B),"")</f>
        <v/>
      </c>
      <c r="B1073" s="18" t="s">
        <v>198</v>
      </c>
      <c r="C1073" s="17" t="s">
        <v>17</v>
      </c>
      <c r="D1073" s="17">
        <v>20.0</v>
      </c>
      <c r="E1073" s="17" t="s">
        <v>959</v>
      </c>
      <c r="G1073" s="19"/>
      <c r="H1073" s="20" t="s">
        <v>1491</v>
      </c>
      <c r="I1073" s="17" t="s">
        <v>52</v>
      </c>
      <c r="J1073" s="17">
        <v>0.0</v>
      </c>
      <c r="K1073" s="17">
        <v>0.0</v>
      </c>
      <c r="L1073" s="17">
        <v>4.0</v>
      </c>
      <c r="M1073" s="17">
        <v>28.0</v>
      </c>
      <c r="N1073" s="17">
        <v>4.0</v>
      </c>
      <c r="O1073" s="17">
        <v>12.0</v>
      </c>
      <c r="P1073" s="17">
        <v>6.0</v>
      </c>
      <c r="Q1073" s="17">
        <v>6.0</v>
      </c>
      <c r="R1073" s="17">
        <v>6.0</v>
      </c>
      <c r="S1073" s="17">
        <v>6.0</v>
      </c>
      <c r="T1073" s="17">
        <v>6.0</v>
      </c>
      <c r="U1073" s="17">
        <v>6.0</v>
      </c>
    </row>
    <row r="1074" ht="23.25" customHeight="1">
      <c r="A1074" s="20" t="str">
        <f>IF(COUNTIF('Icon Lookup'!C:C,B1074)&gt;0,LOOKUP(B1074,'Icon Lookup'!C:C,'Icon Lookup'!B:B),"")</f>
        <v/>
      </c>
      <c r="B1074" s="21" t="s">
        <v>78</v>
      </c>
      <c r="C1074" s="20" t="s">
        <v>17</v>
      </c>
      <c r="D1074" s="20">
        <v>20.0</v>
      </c>
      <c r="E1074" s="20" t="s">
        <v>79</v>
      </c>
      <c r="G1074" s="22"/>
      <c r="H1074" s="23" t="s">
        <v>942</v>
      </c>
      <c r="I1074" s="20" t="s">
        <v>22</v>
      </c>
      <c r="J1074" s="20">
        <v>0.0</v>
      </c>
      <c r="K1074" s="20">
        <v>28.0</v>
      </c>
      <c r="L1074" s="20">
        <v>4.0</v>
      </c>
      <c r="M1074" s="20">
        <v>0.0</v>
      </c>
      <c r="N1074" s="20">
        <v>4.0</v>
      </c>
      <c r="O1074" s="20">
        <v>12.0</v>
      </c>
      <c r="P1074" s="20">
        <v>7.0</v>
      </c>
      <c r="Q1074" s="20">
        <v>7.0</v>
      </c>
      <c r="R1074" s="20">
        <v>7.0</v>
      </c>
      <c r="S1074" s="20">
        <v>7.0</v>
      </c>
      <c r="T1074" s="20">
        <v>7.0</v>
      </c>
      <c r="U1074" s="20">
        <v>7.0</v>
      </c>
    </row>
    <row r="1075" ht="23.25" customHeight="1">
      <c r="A1075" s="24" t="str">
        <f>IF(COUNTIF('Icon Lookup'!C:C,B1075)&gt;0,LOOKUP(B1075,'Icon Lookup'!C:C,'Icon Lookup'!B:B),"")</f>
        <v/>
      </c>
      <c r="B1075" s="25" t="s">
        <v>373</v>
      </c>
      <c r="C1075" s="24" t="s">
        <v>804</v>
      </c>
      <c r="D1075" s="24">
        <v>21.0</v>
      </c>
      <c r="E1075" s="24" t="s">
        <v>374</v>
      </c>
      <c r="G1075" s="19"/>
      <c r="H1075" s="20" t="s">
        <v>1492</v>
      </c>
      <c r="I1075" s="24" t="s">
        <v>52</v>
      </c>
      <c r="J1075" s="24">
        <v>12.0</v>
      </c>
      <c r="K1075" s="24">
        <v>36.0</v>
      </c>
      <c r="L1075" s="24">
        <v>4.0</v>
      </c>
      <c r="M1075" s="24">
        <v>0.0</v>
      </c>
      <c r="N1075" s="24">
        <v>4.0</v>
      </c>
      <c r="O1075" s="24">
        <v>36.0</v>
      </c>
      <c r="P1075" s="24">
        <v>11.0</v>
      </c>
      <c r="Q1075" s="24">
        <v>11.0</v>
      </c>
      <c r="R1075" s="24">
        <v>11.0</v>
      </c>
      <c r="S1075" s="24">
        <v>11.0</v>
      </c>
      <c r="T1075" s="24">
        <v>11.0</v>
      </c>
      <c r="U1075" s="24">
        <v>11.0</v>
      </c>
    </row>
    <row r="1076" ht="23.25" customHeight="1">
      <c r="A1076" s="1" t="str">
        <f>IF(COUNTIF('Icon Lookup'!C:C,B1076)&gt;0,LOOKUP(B1076,'Icon Lookup'!C:C,'Icon Lookup'!B:B),"")</f>
        <v/>
      </c>
      <c r="B1076" s="15" t="s">
        <v>1493</v>
      </c>
      <c r="C1076" s="1" t="s">
        <v>17</v>
      </c>
      <c r="D1076" s="1" t="s">
        <v>807</v>
      </c>
      <c r="G1076" s="16"/>
      <c r="H1076" s="26" t="s">
        <v>808</v>
      </c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</row>
    <row r="1077" ht="23.25" customHeight="1">
      <c r="A1077" s="20" t="str">
        <f>IF(COUNTIF('Icon Lookup'!C:C,B1077)&gt;0,LOOKUP(B1077,'Icon Lookup'!C:C,'Icon Lookup'!B:B),"")</f>
        <v/>
      </c>
      <c r="B1077" s="21" t="s">
        <v>19</v>
      </c>
      <c r="C1077" s="20" t="s">
        <v>17</v>
      </c>
      <c r="D1077" s="20">
        <v>26.0</v>
      </c>
      <c r="E1077" s="20" t="str">
        <f>IMAGE("https://www.serebii.net/itemdex/sprites/quickclaw.png")</f>
        <v/>
      </c>
      <c r="F1077" s="20" t="s">
        <v>20</v>
      </c>
      <c r="G1077" s="20" t="s">
        <v>1371</v>
      </c>
      <c r="H1077" s="23" t="s">
        <v>1485</v>
      </c>
      <c r="I1077" s="20" t="s">
        <v>22</v>
      </c>
      <c r="J1077" s="20">
        <v>28.0</v>
      </c>
      <c r="K1077" s="20">
        <v>52.0</v>
      </c>
      <c r="L1077" s="20">
        <v>12.0</v>
      </c>
      <c r="M1077" s="20">
        <v>0.0</v>
      </c>
      <c r="N1077" s="20">
        <v>12.0</v>
      </c>
      <c r="O1077" s="20">
        <v>52.0</v>
      </c>
      <c r="P1077" s="20">
        <v>5.0</v>
      </c>
      <c r="Q1077" s="20">
        <v>5.0</v>
      </c>
      <c r="R1077" s="20">
        <v>5.0</v>
      </c>
      <c r="S1077" s="20">
        <v>5.0</v>
      </c>
      <c r="T1077" s="20">
        <v>5.0</v>
      </c>
      <c r="U1077" s="20">
        <v>5.0</v>
      </c>
    </row>
    <row r="1078" ht="23.25" customHeight="1">
      <c r="A1078" s="17" t="str">
        <f>IF(COUNTIF('Icon Lookup'!C:C,B1078)&gt;0,LOOKUP(B1078,'Icon Lookup'!C:C,'Icon Lookup'!B:B),"")</f>
        <v/>
      </c>
      <c r="B1078" s="18" t="s">
        <v>271</v>
      </c>
      <c r="C1078" s="17" t="s">
        <v>17</v>
      </c>
      <c r="D1078" s="17">
        <v>26.0</v>
      </c>
      <c r="E1078" s="17" t="str">
        <f>IMAGE("https://www.serebii.net/itemdex/sprites/seaincense.png")</f>
        <v/>
      </c>
      <c r="F1078" s="17" t="s">
        <v>44</v>
      </c>
      <c r="G1078" s="17" t="s">
        <v>1494</v>
      </c>
      <c r="H1078" s="20" t="s">
        <v>581</v>
      </c>
      <c r="I1078" s="17" t="s">
        <v>22</v>
      </c>
      <c r="J1078" s="17">
        <v>0.0</v>
      </c>
      <c r="K1078" s="17">
        <v>44.0</v>
      </c>
      <c r="L1078" s="17">
        <v>12.0</v>
      </c>
      <c r="M1078" s="17">
        <v>0.0</v>
      </c>
      <c r="N1078" s="17">
        <v>12.0</v>
      </c>
      <c r="O1078" s="17">
        <v>36.0</v>
      </c>
      <c r="P1078" s="17">
        <v>6.0</v>
      </c>
      <c r="Q1078" s="17">
        <v>6.0</v>
      </c>
      <c r="R1078" s="17">
        <v>6.0</v>
      </c>
      <c r="S1078" s="17">
        <v>6.0</v>
      </c>
      <c r="T1078" s="17">
        <v>6.0</v>
      </c>
      <c r="U1078" s="17">
        <v>6.0</v>
      </c>
    </row>
    <row r="1079" ht="23.25" customHeight="1">
      <c r="A1079" s="20" t="str">
        <f>IF(COUNTIF('Icon Lookup'!C:C,B1079)&gt;0,LOOKUP(B1079,'Icon Lookup'!C:C,'Icon Lookup'!B:B),"")</f>
        <v/>
      </c>
      <c r="B1079" s="21" t="s">
        <v>78</v>
      </c>
      <c r="C1079" s="20" t="s">
        <v>17</v>
      </c>
      <c r="D1079" s="20">
        <v>27.0</v>
      </c>
      <c r="E1079" s="20" t="str">
        <f>IMAGE("https://www.serebii.net/itemdex/sprites/shellbell.png")</f>
        <v/>
      </c>
      <c r="F1079" s="20" t="s">
        <v>79</v>
      </c>
      <c r="G1079" s="20" t="s">
        <v>1495</v>
      </c>
      <c r="H1079" s="23" t="s">
        <v>1496</v>
      </c>
      <c r="I1079" s="20" t="s">
        <v>22</v>
      </c>
      <c r="J1079" s="20">
        <v>4.0</v>
      </c>
      <c r="K1079" s="20">
        <v>44.0</v>
      </c>
      <c r="L1079" s="20">
        <v>12.0</v>
      </c>
      <c r="M1079" s="20">
        <v>0.0</v>
      </c>
      <c r="N1079" s="20">
        <v>12.0</v>
      </c>
      <c r="O1079" s="20">
        <v>12.0</v>
      </c>
      <c r="P1079" s="20">
        <v>7.0</v>
      </c>
      <c r="Q1079" s="20">
        <v>7.0</v>
      </c>
      <c r="R1079" s="20">
        <v>7.0</v>
      </c>
      <c r="S1079" s="20">
        <v>7.0</v>
      </c>
      <c r="T1079" s="20">
        <v>7.0</v>
      </c>
      <c r="U1079" s="20">
        <v>7.0</v>
      </c>
    </row>
    <row r="1080" ht="23.25" customHeight="1">
      <c r="A1080" s="24" t="str">
        <f>IF(COUNTIF('Icon Lookup'!C:C,B1080)&gt;0,LOOKUP(B1080,'Icon Lookup'!C:C,'Icon Lookup'!B:B),"")</f>
        <v/>
      </c>
      <c r="B1080" s="25" t="s">
        <v>266</v>
      </c>
      <c r="C1080" s="24" t="s">
        <v>804</v>
      </c>
      <c r="D1080" s="24">
        <v>31.0</v>
      </c>
      <c r="E1080" s="24" t="str">
        <f>IMAGE("https://www.serebii.net/itemdex/sprites/miracleseed.png")</f>
        <v/>
      </c>
      <c r="F1080" s="24" t="s">
        <v>267</v>
      </c>
      <c r="G1080" s="17" t="s">
        <v>1107</v>
      </c>
      <c r="H1080" s="20" t="s">
        <v>1497</v>
      </c>
      <c r="I1080" s="24" t="s">
        <v>265</v>
      </c>
      <c r="J1080" s="24">
        <v>52.0</v>
      </c>
      <c r="K1080" s="24">
        <v>4.0</v>
      </c>
      <c r="L1080" s="24">
        <v>12.0</v>
      </c>
      <c r="M1080" s="24">
        <v>4.0</v>
      </c>
      <c r="N1080" s="24">
        <v>52.0</v>
      </c>
      <c r="O1080" s="24">
        <v>0.0</v>
      </c>
      <c r="P1080" s="24">
        <v>11.0</v>
      </c>
      <c r="Q1080" s="24">
        <v>11.0</v>
      </c>
      <c r="R1080" s="24">
        <v>11.0</v>
      </c>
      <c r="S1080" s="24">
        <v>11.0</v>
      </c>
      <c r="T1080" s="24">
        <v>11.0</v>
      </c>
      <c r="U1080" s="24">
        <v>11.0</v>
      </c>
    </row>
    <row r="1081" ht="23.25" customHeight="1">
      <c r="A1081" s="1" t="str">
        <f>IF(COUNTIF('Icon Lookup'!C:C,B1081)&gt;0,LOOKUP(B1081,'Icon Lookup'!C:C,'Icon Lookup'!B:B),"")</f>
        <v/>
      </c>
      <c r="B1081" s="15" t="s">
        <v>1498</v>
      </c>
      <c r="C1081" s="1" t="s">
        <v>17</v>
      </c>
      <c r="D1081" s="1" t="s">
        <v>807</v>
      </c>
      <c r="G1081" s="16"/>
      <c r="H1081" s="26" t="s">
        <v>808</v>
      </c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</row>
    <row r="1082" ht="23.25" customHeight="1">
      <c r="A1082" s="20" t="str">
        <f>IF(COUNTIF('Icon Lookup'!C:C,B1082)&gt;0,LOOKUP(B1082,'Icon Lookup'!C:C,'Icon Lookup'!B:B),"")</f>
        <v/>
      </c>
      <c r="B1082" s="21" t="s">
        <v>19</v>
      </c>
      <c r="C1082" s="20" t="s">
        <v>17</v>
      </c>
      <c r="D1082" s="20">
        <v>26.0</v>
      </c>
      <c r="E1082" s="20" t="str">
        <f>IMAGE("https://www.serebii.net/itemdex/sprites/quickclaw.png")</f>
        <v/>
      </c>
      <c r="F1082" s="20" t="s">
        <v>20</v>
      </c>
      <c r="G1082" s="20" t="s">
        <v>1371</v>
      </c>
      <c r="H1082" s="23" t="s">
        <v>1485</v>
      </c>
      <c r="I1082" s="20" t="s">
        <v>22</v>
      </c>
      <c r="J1082" s="20">
        <v>28.0</v>
      </c>
      <c r="K1082" s="20">
        <v>52.0</v>
      </c>
      <c r="L1082" s="20">
        <v>12.0</v>
      </c>
      <c r="M1082" s="20">
        <v>0.0</v>
      </c>
      <c r="N1082" s="20">
        <v>12.0</v>
      </c>
      <c r="O1082" s="20">
        <v>52.0</v>
      </c>
      <c r="P1082" s="20">
        <v>5.0</v>
      </c>
      <c r="Q1082" s="20">
        <v>5.0</v>
      </c>
      <c r="R1082" s="20">
        <v>5.0</v>
      </c>
      <c r="S1082" s="20">
        <v>5.0</v>
      </c>
      <c r="T1082" s="20">
        <v>5.0</v>
      </c>
      <c r="U1082" s="20">
        <v>5.0</v>
      </c>
    </row>
    <row r="1083" ht="23.25" customHeight="1">
      <c r="A1083" s="17" t="str">
        <f>IF(COUNTIF('Icon Lookup'!C:C,B1083)&gt;0,LOOKUP(B1083,'Icon Lookup'!C:C,'Icon Lookup'!B:B),"")</f>
        <v/>
      </c>
      <c r="B1083" s="18" t="s">
        <v>271</v>
      </c>
      <c r="C1083" s="17" t="s">
        <v>17</v>
      </c>
      <c r="D1083" s="17">
        <v>26.0</v>
      </c>
      <c r="E1083" s="17" t="str">
        <f>IMAGE("https://www.serebii.net/itemdex/sprites/seaincense.png")</f>
        <v/>
      </c>
      <c r="F1083" s="17" t="s">
        <v>44</v>
      </c>
      <c r="G1083" s="17" t="s">
        <v>1494</v>
      </c>
      <c r="H1083" s="20" t="s">
        <v>581</v>
      </c>
      <c r="I1083" s="17" t="s">
        <v>22</v>
      </c>
      <c r="J1083" s="17">
        <v>0.0</v>
      </c>
      <c r="K1083" s="17">
        <v>44.0</v>
      </c>
      <c r="L1083" s="17">
        <v>12.0</v>
      </c>
      <c r="M1083" s="17">
        <v>0.0</v>
      </c>
      <c r="N1083" s="17">
        <v>12.0</v>
      </c>
      <c r="O1083" s="17">
        <v>36.0</v>
      </c>
      <c r="P1083" s="17">
        <v>6.0</v>
      </c>
      <c r="Q1083" s="17">
        <v>6.0</v>
      </c>
      <c r="R1083" s="17">
        <v>6.0</v>
      </c>
      <c r="S1083" s="17">
        <v>6.0</v>
      </c>
      <c r="T1083" s="17">
        <v>6.0</v>
      </c>
      <c r="U1083" s="17">
        <v>6.0</v>
      </c>
    </row>
    <row r="1084" ht="23.25" customHeight="1">
      <c r="A1084" s="20" t="str">
        <f>IF(COUNTIF('Icon Lookup'!C:C,B1084)&gt;0,LOOKUP(B1084,'Icon Lookup'!C:C,'Icon Lookup'!B:B),"")</f>
        <v/>
      </c>
      <c r="B1084" s="21" t="s">
        <v>198</v>
      </c>
      <c r="C1084" s="20" t="s">
        <v>17</v>
      </c>
      <c r="D1084" s="20">
        <v>27.0</v>
      </c>
      <c r="E1084" s="20" t="str">
        <f>IMAGE("https://www.serebii.net/itemdex/sprites/miracleseed.png")</f>
        <v/>
      </c>
      <c r="F1084" s="20" t="s">
        <v>50</v>
      </c>
      <c r="G1084" s="20" t="s">
        <v>1107</v>
      </c>
      <c r="H1084" s="23" t="s">
        <v>1499</v>
      </c>
      <c r="I1084" s="20" t="s">
        <v>52</v>
      </c>
      <c r="J1084" s="20">
        <v>4.0</v>
      </c>
      <c r="K1084" s="20">
        <v>0.0</v>
      </c>
      <c r="L1084" s="20">
        <v>12.0</v>
      </c>
      <c r="M1084" s="20">
        <v>44.0</v>
      </c>
      <c r="N1084" s="20">
        <v>12.0</v>
      </c>
      <c r="O1084" s="20">
        <v>12.0</v>
      </c>
      <c r="P1084" s="20">
        <v>7.0</v>
      </c>
      <c r="Q1084" s="20">
        <v>7.0</v>
      </c>
      <c r="R1084" s="20">
        <v>7.0</v>
      </c>
      <c r="S1084" s="20">
        <v>7.0</v>
      </c>
      <c r="T1084" s="20">
        <v>7.0</v>
      </c>
      <c r="U1084" s="20">
        <v>7.0</v>
      </c>
    </row>
    <row r="1085" ht="23.25" customHeight="1">
      <c r="A1085" s="24" t="str">
        <f>IF(COUNTIF('Icon Lookup'!C:C,B1085)&gt;0,LOOKUP(B1085,'Icon Lookup'!C:C,'Icon Lookup'!B:B),"")</f>
        <v/>
      </c>
      <c r="B1085" s="25" t="s">
        <v>965</v>
      </c>
      <c r="C1085" s="24" t="s">
        <v>804</v>
      </c>
      <c r="D1085" s="24">
        <v>31.0</v>
      </c>
      <c r="E1085" s="24" t="str">
        <f>IMAGE("https://www.serebii.net/itemdex/sprites/shellbell.png")</f>
        <v/>
      </c>
      <c r="F1085" s="24" t="s">
        <v>145</v>
      </c>
      <c r="G1085" s="17" t="s">
        <v>1495</v>
      </c>
      <c r="H1085" s="20" t="s">
        <v>1500</v>
      </c>
      <c r="I1085" s="24" t="s">
        <v>22</v>
      </c>
      <c r="J1085" s="24">
        <v>36.0</v>
      </c>
      <c r="K1085" s="24">
        <v>0.0</v>
      </c>
      <c r="L1085" s="24">
        <v>12.0</v>
      </c>
      <c r="M1085" s="24">
        <v>52.0</v>
      </c>
      <c r="N1085" s="24">
        <v>12.0</v>
      </c>
      <c r="O1085" s="24">
        <v>52.0</v>
      </c>
      <c r="P1085" s="24">
        <v>11.0</v>
      </c>
      <c r="Q1085" s="24">
        <v>11.0</v>
      </c>
      <c r="R1085" s="24">
        <v>11.0</v>
      </c>
      <c r="S1085" s="24">
        <v>11.0</v>
      </c>
      <c r="T1085" s="24">
        <v>11.0</v>
      </c>
      <c r="U1085" s="24">
        <v>11.0</v>
      </c>
    </row>
    <row r="1086" ht="23.25" customHeight="1">
      <c r="A1086" s="1" t="str">
        <f>IF(COUNTIF('Icon Lookup'!C:C,B1086)&gt;0,LOOKUP(B1086,'Icon Lookup'!C:C,'Icon Lookup'!B:B),"")</f>
        <v/>
      </c>
      <c r="B1086" s="15" t="s">
        <v>1501</v>
      </c>
      <c r="C1086" s="1" t="s">
        <v>17</v>
      </c>
      <c r="D1086" s="1" t="s">
        <v>807</v>
      </c>
      <c r="G1086" s="16"/>
      <c r="H1086" s="26" t="s">
        <v>808</v>
      </c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</row>
    <row r="1087" ht="23.25" customHeight="1">
      <c r="A1087" s="20" t="str">
        <f>IF(COUNTIF('Icon Lookup'!C:C,B1087)&gt;0,LOOKUP(B1087,'Icon Lookup'!C:C,'Icon Lookup'!B:B),"")</f>
        <v/>
      </c>
      <c r="B1087" s="21" t="s">
        <v>19</v>
      </c>
      <c r="C1087" s="20" t="s">
        <v>17</v>
      </c>
      <c r="D1087" s="20">
        <v>26.0</v>
      </c>
      <c r="E1087" s="20" t="str">
        <f>IMAGE("https://www.serebii.net/itemdex/sprites/quickclaw.png")</f>
        <v/>
      </c>
      <c r="F1087" s="20" t="s">
        <v>20</v>
      </c>
      <c r="G1087" s="20" t="s">
        <v>1371</v>
      </c>
      <c r="H1087" s="23" t="s">
        <v>1485</v>
      </c>
      <c r="I1087" s="20" t="s">
        <v>22</v>
      </c>
      <c r="J1087" s="20">
        <v>28.0</v>
      </c>
      <c r="K1087" s="20">
        <v>52.0</v>
      </c>
      <c r="L1087" s="20">
        <v>12.0</v>
      </c>
      <c r="M1087" s="20">
        <v>0.0</v>
      </c>
      <c r="N1087" s="20">
        <v>12.0</v>
      </c>
      <c r="O1087" s="20">
        <v>52.0</v>
      </c>
      <c r="P1087" s="20">
        <v>5.0</v>
      </c>
      <c r="Q1087" s="20">
        <v>5.0</v>
      </c>
      <c r="R1087" s="20">
        <v>5.0</v>
      </c>
      <c r="S1087" s="20">
        <v>5.0</v>
      </c>
      <c r="T1087" s="20">
        <v>5.0</v>
      </c>
      <c r="U1087" s="20">
        <v>5.0</v>
      </c>
    </row>
    <row r="1088" ht="23.25" customHeight="1">
      <c r="A1088" s="17" t="str">
        <f>IF(COUNTIF('Icon Lookup'!C:C,B1088)&gt;0,LOOKUP(B1088,'Icon Lookup'!C:C,'Icon Lookup'!B:B),"")</f>
        <v/>
      </c>
      <c r="B1088" s="18" t="s">
        <v>198</v>
      </c>
      <c r="C1088" s="17" t="s">
        <v>17</v>
      </c>
      <c r="D1088" s="17">
        <v>26.0</v>
      </c>
      <c r="E1088" s="17" t="str">
        <f>IMAGE("https://www.serebii.net/itemdex/sprites/miracleseed.png")</f>
        <v/>
      </c>
      <c r="F1088" s="17" t="s">
        <v>959</v>
      </c>
      <c r="G1088" s="17" t="s">
        <v>1107</v>
      </c>
      <c r="H1088" s="20" t="s">
        <v>1491</v>
      </c>
      <c r="I1088" s="17" t="s">
        <v>52</v>
      </c>
      <c r="J1088" s="17">
        <v>0.0</v>
      </c>
      <c r="K1088" s="17">
        <v>0.0</v>
      </c>
      <c r="L1088" s="17">
        <v>12.0</v>
      </c>
      <c r="M1088" s="17">
        <v>44.0</v>
      </c>
      <c r="N1088" s="17">
        <v>12.0</v>
      </c>
      <c r="O1088" s="17">
        <v>36.0</v>
      </c>
      <c r="P1088" s="17">
        <v>6.0</v>
      </c>
      <c r="Q1088" s="17">
        <v>6.0</v>
      </c>
      <c r="R1088" s="17">
        <v>6.0</v>
      </c>
      <c r="S1088" s="17">
        <v>6.0</v>
      </c>
      <c r="T1088" s="17">
        <v>6.0</v>
      </c>
      <c r="U1088" s="17">
        <v>6.0</v>
      </c>
    </row>
    <row r="1089" ht="23.25" customHeight="1">
      <c r="A1089" s="20" t="str">
        <f>IF(COUNTIF('Icon Lookup'!C:C,B1089)&gt;0,LOOKUP(B1089,'Icon Lookup'!C:C,'Icon Lookup'!B:B),"")</f>
        <v/>
      </c>
      <c r="B1089" s="21" t="s">
        <v>78</v>
      </c>
      <c r="C1089" s="20" t="s">
        <v>17</v>
      </c>
      <c r="D1089" s="20">
        <v>27.0</v>
      </c>
      <c r="E1089" s="20" t="str">
        <f>IMAGE("https://www.serebii.net/itemdex/sprites/shellbell.png")</f>
        <v/>
      </c>
      <c r="F1089" s="20" t="s">
        <v>79</v>
      </c>
      <c r="G1089" s="20" t="s">
        <v>1495</v>
      </c>
      <c r="H1089" s="23" t="s">
        <v>1502</v>
      </c>
      <c r="I1089" s="20" t="s">
        <v>22</v>
      </c>
      <c r="J1089" s="20">
        <v>4.0</v>
      </c>
      <c r="K1089" s="20">
        <v>44.0</v>
      </c>
      <c r="L1089" s="20">
        <v>12.0</v>
      </c>
      <c r="M1089" s="20">
        <v>0.0</v>
      </c>
      <c r="N1089" s="20">
        <v>12.0</v>
      </c>
      <c r="O1089" s="20">
        <v>12.0</v>
      </c>
      <c r="P1089" s="20">
        <v>7.0</v>
      </c>
      <c r="Q1089" s="20">
        <v>7.0</v>
      </c>
      <c r="R1089" s="20">
        <v>7.0</v>
      </c>
      <c r="S1089" s="20">
        <v>7.0</v>
      </c>
      <c r="T1089" s="20">
        <v>7.0</v>
      </c>
      <c r="U1089" s="20">
        <v>7.0</v>
      </c>
    </row>
    <row r="1090" ht="23.25" customHeight="1">
      <c r="A1090" s="24" t="str">
        <f>IF(COUNTIF('Icon Lookup'!C:C,B1090)&gt;0,LOOKUP(B1090,'Icon Lookup'!C:C,'Icon Lookup'!B:B),"")</f>
        <v/>
      </c>
      <c r="B1090" s="25" t="s">
        <v>373</v>
      </c>
      <c r="C1090" s="24" t="s">
        <v>804</v>
      </c>
      <c r="D1090" s="24">
        <v>31.0</v>
      </c>
      <c r="E1090" s="24" t="str">
        <f>IMAGE("https://www.serebii.net/itemdex/sprites/seaincense.png")</f>
        <v/>
      </c>
      <c r="F1090" s="24" t="s">
        <v>374</v>
      </c>
      <c r="G1090" s="17" t="s">
        <v>1494</v>
      </c>
      <c r="H1090" s="20" t="s">
        <v>1503</v>
      </c>
      <c r="I1090" s="24" t="s">
        <v>52</v>
      </c>
      <c r="J1090" s="24">
        <v>36.0</v>
      </c>
      <c r="K1090" s="24">
        <v>52.0</v>
      </c>
      <c r="L1090" s="24">
        <v>12.0</v>
      </c>
      <c r="M1090" s="24">
        <v>0.0</v>
      </c>
      <c r="N1090" s="24">
        <v>12.0</v>
      </c>
      <c r="O1090" s="24">
        <v>52.0</v>
      </c>
      <c r="P1090" s="24">
        <v>11.0</v>
      </c>
      <c r="Q1090" s="24">
        <v>11.0</v>
      </c>
      <c r="R1090" s="24">
        <v>11.0</v>
      </c>
      <c r="S1090" s="24">
        <v>11.0</v>
      </c>
      <c r="T1090" s="24">
        <v>11.0</v>
      </c>
      <c r="U1090" s="24">
        <v>11.0</v>
      </c>
    </row>
    <row r="1091" ht="23.25" customHeight="1">
      <c r="A1091" s="1" t="str">
        <f>IF(COUNTIF('Icon Lookup'!C:C,B1091)&gt;0,LOOKUP(B1091,'Icon Lookup'!C:C,'Icon Lookup'!B:B),"")</f>
        <v/>
      </c>
      <c r="B1091" s="15" t="s">
        <v>1504</v>
      </c>
      <c r="C1091" s="1" t="s">
        <v>17</v>
      </c>
      <c r="D1091" s="1" t="s">
        <v>807</v>
      </c>
      <c r="G1091" s="16"/>
      <c r="H1091" s="26" t="s">
        <v>808</v>
      </c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</row>
    <row r="1092" ht="23.25" customHeight="1">
      <c r="A1092" s="20" t="str">
        <f>IF(COUNTIF('Icon Lookup'!C:C,B1092)&gt;0,LOOKUP(B1092,'Icon Lookup'!C:C,'Icon Lookup'!B:B),"")</f>
        <v/>
      </c>
      <c r="B1092" s="21" t="s">
        <v>117</v>
      </c>
      <c r="C1092" s="20" t="s">
        <v>17</v>
      </c>
      <c r="D1092" s="20">
        <v>32.0</v>
      </c>
      <c r="E1092" s="20" t="str">
        <f>IMAGE("https://www.serebii.net/itemdex/sprites/quickclaw.png")</f>
        <v/>
      </c>
      <c r="F1092" s="20" t="s">
        <v>26</v>
      </c>
      <c r="G1092" s="20" t="s">
        <v>1371</v>
      </c>
      <c r="H1092" s="23" t="s">
        <v>1485</v>
      </c>
      <c r="I1092" s="20" t="s">
        <v>22</v>
      </c>
      <c r="J1092" s="20">
        <v>40.0</v>
      </c>
      <c r="K1092" s="20">
        <v>72.0</v>
      </c>
      <c r="L1092" s="20">
        <v>16.0</v>
      </c>
      <c r="M1092" s="20">
        <v>0.0</v>
      </c>
      <c r="N1092" s="20">
        <v>16.0</v>
      </c>
      <c r="O1092" s="20">
        <v>56.0</v>
      </c>
      <c r="P1092" s="20">
        <v>5.0</v>
      </c>
      <c r="Q1092" s="20">
        <v>5.0</v>
      </c>
      <c r="R1092" s="20">
        <v>5.0</v>
      </c>
      <c r="S1092" s="20">
        <v>5.0</v>
      </c>
      <c r="T1092" s="20">
        <v>5.0</v>
      </c>
      <c r="U1092" s="20">
        <v>5.0</v>
      </c>
    </row>
    <row r="1093" ht="23.25" customHeight="1">
      <c r="A1093" s="17" t="str">
        <f>IF(COUNTIF('Icon Lookup'!C:C,B1093)&gt;0,LOOKUP(B1093,'Icon Lookup'!C:C,'Icon Lookup'!B:B),"")</f>
        <v/>
      </c>
      <c r="B1093" s="18" t="s">
        <v>271</v>
      </c>
      <c r="C1093" s="17" t="s">
        <v>17</v>
      </c>
      <c r="D1093" s="17">
        <v>33.0</v>
      </c>
      <c r="E1093" s="17" t="str">
        <f>IMAGE("https://www.serebii.net/itemdex/sprites/seaincense.png")</f>
        <v/>
      </c>
      <c r="F1093" s="17" t="s">
        <v>44</v>
      </c>
      <c r="G1093" s="17" t="s">
        <v>1494</v>
      </c>
      <c r="H1093" s="20" t="s">
        <v>1505</v>
      </c>
      <c r="I1093" s="17" t="s">
        <v>22</v>
      </c>
      <c r="J1093" s="17">
        <v>16.0</v>
      </c>
      <c r="K1093" s="17">
        <v>48.0</v>
      </c>
      <c r="L1093" s="17">
        <v>24.0</v>
      </c>
      <c r="M1093" s="17">
        <v>0.0</v>
      </c>
      <c r="N1093" s="17">
        <v>24.0</v>
      </c>
      <c r="O1093" s="17">
        <v>56.0</v>
      </c>
      <c r="P1093" s="17">
        <v>6.0</v>
      </c>
      <c r="Q1093" s="17">
        <v>6.0</v>
      </c>
      <c r="R1093" s="17">
        <v>6.0</v>
      </c>
      <c r="S1093" s="17">
        <v>6.0</v>
      </c>
      <c r="T1093" s="17">
        <v>6.0</v>
      </c>
      <c r="U1093" s="17">
        <v>6.0</v>
      </c>
    </row>
    <row r="1094" ht="23.25" customHeight="1">
      <c r="A1094" s="20" t="str">
        <f>IF(COUNTIF('Icon Lookup'!C:C,B1094)&gt;0,LOOKUP(B1094,'Icon Lookup'!C:C,'Icon Lookup'!B:B),"")</f>
        <v/>
      </c>
      <c r="B1094" s="21" t="s">
        <v>851</v>
      </c>
      <c r="C1094" s="20" t="s">
        <v>17</v>
      </c>
      <c r="D1094" s="20">
        <v>32.0</v>
      </c>
      <c r="E1094" s="20" t="s">
        <v>258</v>
      </c>
      <c r="G1094" s="22"/>
      <c r="H1094" s="23" t="s">
        <v>1506</v>
      </c>
      <c r="I1094" s="20" t="s">
        <v>22</v>
      </c>
      <c r="J1094" s="20">
        <v>16.0</v>
      </c>
      <c r="K1094" s="20">
        <v>64.0</v>
      </c>
      <c r="L1094" s="20">
        <v>24.0</v>
      </c>
      <c r="M1094" s="20">
        <v>0.0</v>
      </c>
      <c r="N1094" s="20">
        <v>24.0</v>
      </c>
      <c r="O1094" s="20">
        <v>32.0</v>
      </c>
      <c r="P1094" s="20">
        <v>9.0</v>
      </c>
      <c r="Q1094" s="20">
        <v>9.0</v>
      </c>
      <c r="R1094" s="20">
        <v>9.0</v>
      </c>
      <c r="S1094" s="20">
        <v>9.0</v>
      </c>
      <c r="T1094" s="20">
        <v>9.0</v>
      </c>
      <c r="U1094" s="20">
        <v>9.0</v>
      </c>
    </row>
    <row r="1095" ht="23.25" customHeight="1">
      <c r="A1095" s="17" t="str">
        <f>IF(COUNTIF('Icon Lookup'!C:C,B1095)&gt;0,LOOKUP(B1095,'Icon Lookup'!C:C,'Icon Lookup'!B:B),"")</f>
        <v/>
      </c>
      <c r="B1095" s="18" t="s">
        <v>78</v>
      </c>
      <c r="C1095" s="17" t="s">
        <v>17</v>
      </c>
      <c r="D1095" s="17">
        <v>34.0</v>
      </c>
      <c r="E1095" s="17" t="str">
        <f>IMAGE("https://www.serebii.net/itemdex/sprites/shellbell.png")</f>
        <v/>
      </c>
      <c r="F1095" s="17" t="s">
        <v>79</v>
      </c>
      <c r="G1095" s="17" t="s">
        <v>1495</v>
      </c>
      <c r="H1095" s="20" t="s">
        <v>1315</v>
      </c>
      <c r="I1095" s="17" t="s">
        <v>22</v>
      </c>
      <c r="J1095" s="17">
        <v>40.0</v>
      </c>
      <c r="K1095" s="17">
        <v>64.0</v>
      </c>
      <c r="L1095" s="17">
        <v>16.0</v>
      </c>
      <c r="M1095" s="17">
        <v>0.0</v>
      </c>
      <c r="N1095" s="17">
        <v>16.0</v>
      </c>
      <c r="O1095" s="17">
        <v>64.0</v>
      </c>
      <c r="P1095" s="17">
        <v>7.0</v>
      </c>
      <c r="Q1095" s="17">
        <v>7.0</v>
      </c>
      <c r="R1095" s="17">
        <v>7.0</v>
      </c>
      <c r="S1095" s="17">
        <v>7.0</v>
      </c>
      <c r="T1095" s="17">
        <v>7.0</v>
      </c>
      <c r="U1095" s="17">
        <v>7.0</v>
      </c>
    </row>
    <row r="1096" ht="23.25" customHeight="1">
      <c r="A1096" s="24" t="str">
        <f>IF(COUNTIF('Icon Lookup'!C:C,B1096)&gt;0,LOOKUP(B1096,'Icon Lookup'!C:C,'Icon Lookup'!B:B),"")</f>
        <v/>
      </c>
      <c r="B1096" s="25" t="s">
        <v>266</v>
      </c>
      <c r="C1096" s="24" t="s">
        <v>804</v>
      </c>
      <c r="D1096" s="24">
        <v>37.0</v>
      </c>
      <c r="E1096" s="24" t="str">
        <f>IMAGE("https://www.serebii.net/itemdex/sprites/bigroot.png")</f>
        <v/>
      </c>
      <c r="F1096" s="24" t="s">
        <v>267</v>
      </c>
      <c r="G1096" s="20" t="s">
        <v>1122</v>
      </c>
      <c r="H1096" s="23" t="s">
        <v>1507</v>
      </c>
      <c r="I1096" s="24" t="s">
        <v>265</v>
      </c>
      <c r="J1096" s="24">
        <v>80.0</v>
      </c>
      <c r="K1096" s="24">
        <v>24.0</v>
      </c>
      <c r="L1096" s="24">
        <v>48.0</v>
      </c>
      <c r="M1096" s="24">
        <v>24.0</v>
      </c>
      <c r="N1096" s="24">
        <v>80.0</v>
      </c>
      <c r="O1096" s="24">
        <v>0.0</v>
      </c>
      <c r="P1096" s="24">
        <v>11.0</v>
      </c>
      <c r="Q1096" s="24">
        <v>11.0</v>
      </c>
      <c r="R1096" s="24">
        <v>11.0</v>
      </c>
      <c r="S1096" s="24">
        <v>11.0</v>
      </c>
      <c r="T1096" s="24">
        <v>11.0</v>
      </c>
      <c r="U1096" s="24">
        <v>11.0</v>
      </c>
    </row>
    <row r="1097" ht="23.25" customHeight="1">
      <c r="A1097" s="1" t="str">
        <f>IF(COUNTIF('Icon Lookup'!C:C,B1097)&gt;0,LOOKUP(B1097,'Icon Lookup'!C:C,'Icon Lookup'!B:B),"")</f>
        <v/>
      </c>
      <c r="B1097" s="15" t="s">
        <v>1508</v>
      </c>
      <c r="C1097" s="1" t="s">
        <v>17</v>
      </c>
      <c r="D1097" s="1" t="s">
        <v>807</v>
      </c>
      <c r="G1097" s="16"/>
      <c r="H1097" s="26" t="s">
        <v>808</v>
      </c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</row>
    <row r="1098" ht="23.25" customHeight="1">
      <c r="A1098" s="17" t="str">
        <f>IF(COUNTIF('Icon Lookup'!C:C,B1098)&gt;0,LOOKUP(B1098,'Icon Lookup'!C:C,'Icon Lookup'!B:B),"")</f>
        <v/>
      </c>
      <c r="B1098" s="18" t="s">
        <v>117</v>
      </c>
      <c r="C1098" s="17" t="s">
        <v>17</v>
      </c>
      <c r="D1098" s="17">
        <v>32.0</v>
      </c>
      <c r="E1098" s="17" t="str">
        <f>IMAGE("https://www.serebii.net/itemdex/sprites/quickclaw.png")</f>
        <v/>
      </c>
      <c r="F1098" s="17" t="s">
        <v>26</v>
      </c>
      <c r="G1098" s="17" t="s">
        <v>1371</v>
      </c>
      <c r="H1098" s="20" t="s">
        <v>1485</v>
      </c>
      <c r="I1098" s="17" t="s">
        <v>22</v>
      </c>
      <c r="J1098" s="17">
        <v>40.0</v>
      </c>
      <c r="K1098" s="17">
        <v>72.0</v>
      </c>
      <c r="L1098" s="17">
        <v>16.0</v>
      </c>
      <c r="M1098" s="17">
        <v>0.0</v>
      </c>
      <c r="N1098" s="17">
        <v>16.0</v>
      </c>
      <c r="O1098" s="17">
        <v>56.0</v>
      </c>
      <c r="P1098" s="17">
        <v>5.0</v>
      </c>
      <c r="Q1098" s="17">
        <v>5.0</v>
      </c>
      <c r="R1098" s="17">
        <v>5.0</v>
      </c>
      <c r="S1098" s="17">
        <v>5.0</v>
      </c>
      <c r="T1098" s="17">
        <v>5.0</v>
      </c>
      <c r="U1098" s="17">
        <v>5.0</v>
      </c>
    </row>
    <row r="1099" ht="23.25" customHeight="1">
      <c r="A1099" s="20" t="str">
        <f>IF(COUNTIF('Icon Lookup'!C:C,B1099)&gt;0,LOOKUP(B1099,'Icon Lookup'!C:C,'Icon Lookup'!B:B),"")</f>
        <v/>
      </c>
      <c r="B1099" s="21" t="s">
        <v>271</v>
      </c>
      <c r="C1099" s="20" t="s">
        <v>17</v>
      </c>
      <c r="D1099" s="20">
        <v>33.0</v>
      </c>
      <c r="E1099" s="20" t="str">
        <f>IMAGE("https://www.serebii.net/itemdex/sprites/seaincense.png")</f>
        <v/>
      </c>
      <c r="F1099" s="20" t="s">
        <v>44</v>
      </c>
      <c r="G1099" s="20" t="s">
        <v>1494</v>
      </c>
      <c r="H1099" s="23" t="s">
        <v>1505</v>
      </c>
      <c r="I1099" s="20" t="s">
        <v>22</v>
      </c>
      <c r="J1099" s="20">
        <v>16.0</v>
      </c>
      <c r="K1099" s="20">
        <v>48.0</v>
      </c>
      <c r="L1099" s="20">
        <v>24.0</v>
      </c>
      <c r="M1099" s="20">
        <v>0.0</v>
      </c>
      <c r="N1099" s="20">
        <v>24.0</v>
      </c>
      <c r="O1099" s="20">
        <v>56.0</v>
      </c>
      <c r="P1099" s="20">
        <v>6.0</v>
      </c>
      <c r="Q1099" s="20">
        <v>6.0</v>
      </c>
      <c r="R1099" s="20">
        <v>6.0</v>
      </c>
      <c r="S1099" s="20">
        <v>6.0</v>
      </c>
      <c r="T1099" s="20">
        <v>6.0</v>
      </c>
      <c r="U1099" s="20">
        <v>6.0</v>
      </c>
    </row>
    <row r="1100" ht="23.25" customHeight="1">
      <c r="A1100" s="17" t="str">
        <f>IF(COUNTIF('Icon Lookup'!C:C,B1100)&gt;0,LOOKUP(B1100,'Icon Lookup'!C:C,'Icon Lookup'!B:B),"")</f>
        <v/>
      </c>
      <c r="B1100" s="18" t="s">
        <v>851</v>
      </c>
      <c r="C1100" s="17" t="s">
        <v>17</v>
      </c>
      <c r="D1100" s="17">
        <v>32.0</v>
      </c>
      <c r="E1100" s="17" t="s">
        <v>258</v>
      </c>
      <c r="G1100" s="19"/>
      <c r="H1100" s="20" t="s">
        <v>1506</v>
      </c>
      <c r="I1100" s="17" t="s">
        <v>22</v>
      </c>
      <c r="J1100" s="17">
        <v>16.0</v>
      </c>
      <c r="K1100" s="17">
        <v>64.0</v>
      </c>
      <c r="L1100" s="17">
        <v>24.0</v>
      </c>
      <c r="M1100" s="17">
        <v>0.0</v>
      </c>
      <c r="N1100" s="17">
        <v>24.0</v>
      </c>
      <c r="O1100" s="17">
        <v>32.0</v>
      </c>
      <c r="P1100" s="17">
        <v>9.0</v>
      </c>
      <c r="Q1100" s="17">
        <v>9.0</v>
      </c>
      <c r="R1100" s="17">
        <v>9.0</v>
      </c>
      <c r="S1100" s="17">
        <v>9.0</v>
      </c>
      <c r="T1100" s="17">
        <v>9.0</v>
      </c>
      <c r="U1100" s="17">
        <v>9.0</v>
      </c>
    </row>
    <row r="1101" ht="23.25" customHeight="1">
      <c r="A1101" s="20" t="str">
        <f>IF(COUNTIF('Icon Lookup'!C:C,B1101)&gt;0,LOOKUP(B1101,'Icon Lookup'!C:C,'Icon Lookup'!B:B),"")</f>
        <v/>
      </c>
      <c r="B1101" s="21" t="s">
        <v>198</v>
      </c>
      <c r="C1101" s="20" t="s">
        <v>17</v>
      </c>
      <c r="D1101" s="20">
        <v>34.0</v>
      </c>
      <c r="E1101" s="20" t="str">
        <f>IMAGE("https://www.serebii.net/itemdex/sprites/bigroot.png")</f>
        <v/>
      </c>
      <c r="F1101" s="20" t="s">
        <v>50</v>
      </c>
      <c r="G1101" s="20" t="s">
        <v>1122</v>
      </c>
      <c r="H1101" s="23" t="s">
        <v>1509</v>
      </c>
      <c r="I1101" s="20" t="s">
        <v>52</v>
      </c>
      <c r="J1101" s="20">
        <v>40.0</v>
      </c>
      <c r="K1101" s="20">
        <v>0.0</v>
      </c>
      <c r="L1101" s="20">
        <v>16.0</v>
      </c>
      <c r="M1101" s="20">
        <v>64.0</v>
      </c>
      <c r="N1101" s="20">
        <v>16.0</v>
      </c>
      <c r="O1101" s="20">
        <v>64.0</v>
      </c>
      <c r="P1101" s="20">
        <v>7.0</v>
      </c>
      <c r="Q1101" s="20">
        <v>7.0</v>
      </c>
      <c r="R1101" s="20">
        <v>7.0</v>
      </c>
      <c r="S1101" s="20">
        <v>7.0</v>
      </c>
      <c r="T1101" s="20">
        <v>7.0</v>
      </c>
      <c r="U1101" s="20">
        <v>7.0</v>
      </c>
    </row>
    <row r="1102" ht="23.25" customHeight="1">
      <c r="A1102" s="24" t="str">
        <f>IF(COUNTIF('Icon Lookup'!C:C,B1102)&gt;0,LOOKUP(B1102,'Icon Lookup'!C:C,'Icon Lookup'!B:B),"")</f>
        <v/>
      </c>
      <c r="B1102" s="25" t="s">
        <v>965</v>
      </c>
      <c r="C1102" s="24" t="s">
        <v>804</v>
      </c>
      <c r="D1102" s="24">
        <v>37.0</v>
      </c>
      <c r="E1102" s="24" t="str">
        <f>IMAGE("https://www.serebii.net/itemdex/sprites/shellbell.png")</f>
        <v/>
      </c>
      <c r="F1102" s="24" t="s">
        <v>145</v>
      </c>
      <c r="G1102" s="17" t="s">
        <v>1495</v>
      </c>
      <c r="H1102" s="20" t="s">
        <v>1510</v>
      </c>
      <c r="I1102" s="24" t="s">
        <v>22</v>
      </c>
      <c r="J1102" s="24">
        <v>48.0</v>
      </c>
      <c r="K1102" s="24">
        <v>0.0</v>
      </c>
      <c r="L1102" s="24">
        <v>24.0</v>
      </c>
      <c r="M1102" s="24">
        <v>80.0</v>
      </c>
      <c r="N1102" s="24">
        <v>24.0</v>
      </c>
      <c r="O1102" s="24">
        <v>80.0</v>
      </c>
      <c r="P1102" s="24">
        <v>11.0</v>
      </c>
      <c r="Q1102" s="24">
        <v>11.0</v>
      </c>
      <c r="R1102" s="24">
        <v>11.0</v>
      </c>
      <c r="S1102" s="24">
        <v>11.0</v>
      </c>
      <c r="T1102" s="24">
        <v>11.0</v>
      </c>
      <c r="U1102" s="24">
        <v>11.0</v>
      </c>
    </row>
    <row r="1103" ht="23.25" customHeight="1">
      <c r="A1103" s="1" t="str">
        <f>IF(COUNTIF('Icon Lookup'!C:C,B1103)&gt;0,LOOKUP(B1103,'Icon Lookup'!C:C,'Icon Lookup'!B:B),"")</f>
        <v/>
      </c>
      <c r="B1103" s="15" t="s">
        <v>1511</v>
      </c>
      <c r="C1103" s="1" t="s">
        <v>17</v>
      </c>
      <c r="D1103" s="1" t="s">
        <v>807</v>
      </c>
      <c r="G1103" s="16"/>
      <c r="H1103" s="26" t="s">
        <v>808</v>
      </c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</row>
    <row r="1104" ht="23.25" customHeight="1">
      <c r="A1104" s="20" t="str">
        <f>IF(COUNTIF('Icon Lookup'!C:C,B1104)&gt;0,LOOKUP(B1104,'Icon Lookup'!C:C,'Icon Lookup'!B:B),"")</f>
        <v/>
      </c>
      <c r="B1104" s="21" t="s">
        <v>117</v>
      </c>
      <c r="C1104" s="20" t="s">
        <v>17</v>
      </c>
      <c r="D1104" s="20">
        <v>32.0</v>
      </c>
      <c r="E1104" s="20" t="str">
        <f>IMAGE("https://www.serebii.net/itemdex/sprites/quickclaw.png")</f>
        <v/>
      </c>
      <c r="F1104" s="20" t="s">
        <v>26</v>
      </c>
      <c r="G1104" s="20" t="s">
        <v>1371</v>
      </c>
      <c r="H1104" s="23" t="s">
        <v>1485</v>
      </c>
      <c r="I1104" s="20" t="s">
        <v>22</v>
      </c>
      <c r="J1104" s="20">
        <v>40.0</v>
      </c>
      <c r="K1104" s="20">
        <v>72.0</v>
      </c>
      <c r="L1104" s="20">
        <v>16.0</v>
      </c>
      <c r="M1104" s="20">
        <v>0.0</v>
      </c>
      <c r="N1104" s="20">
        <v>16.0</v>
      </c>
      <c r="O1104" s="20">
        <v>56.0</v>
      </c>
      <c r="P1104" s="20">
        <v>5.0</v>
      </c>
      <c r="Q1104" s="20">
        <v>5.0</v>
      </c>
      <c r="R1104" s="20">
        <v>5.0</v>
      </c>
      <c r="S1104" s="20">
        <v>5.0</v>
      </c>
      <c r="T1104" s="20">
        <v>5.0</v>
      </c>
      <c r="U1104" s="20">
        <v>5.0</v>
      </c>
    </row>
    <row r="1105" ht="23.25" customHeight="1">
      <c r="A1105" s="17" t="str">
        <f>IF(COUNTIF('Icon Lookup'!C:C,B1105)&gt;0,LOOKUP(B1105,'Icon Lookup'!C:C,'Icon Lookup'!B:B),"")</f>
        <v/>
      </c>
      <c r="B1105" s="18" t="s">
        <v>198</v>
      </c>
      <c r="C1105" s="17" t="s">
        <v>17</v>
      </c>
      <c r="D1105" s="17">
        <v>33.0</v>
      </c>
      <c r="E1105" s="17" t="str">
        <f>IMAGE("https://www.serebii.net/itemdex/sprites/bigroot.png")</f>
        <v/>
      </c>
      <c r="F1105" s="17" t="s">
        <v>959</v>
      </c>
      <c r="G1105" s="17" t="s">
        <v>1122</v>
      </c>
      <c r="H1105" s="20" t="s">
        <v>1512</v>
      </c>
      <c r="I1105" s="17" t="s">
        <v>52</v>
      </c>
      <c r="J1105" s="17">
        <v>16.0</v>
      </c>
      <c r="K1105" s="17">
        <v>0.0</v>
      </c>
      <c r="L1105" s="17">
        <v>24.0</v>
      </c>
      <c r="M1105" s="17">
        <v>48.0</v>
      </c>
      <c r="N1105" s="17">
        <v>24.0</v>
      </c>
      <c r="O1105" s="17">
        <v>56.0</v>
      </c>
      <c r="P1105" s="17">
        <v>6.0</v>
      </c>
      <c r="Q1105" s="17">
        <v>6.0</v>
      </c>
      <c r="R1105" s="17">
        <v>6.0</v>
      </c>
      <c r="S1105" s="17">
        <v>6.0</v>
      </c>
      <c r="T1105" s="17">
        <v>6.0</v>
      </c>
      <c r="U1105" s="17">
        <v>6.0</v>
      </c>
    </row>
    <row r="1106" ht="23.25" customHeight="1">
      <c r="A1106" s="20" t="str">
        <f>IF(COUNTIF('Icon Lookup'!C:C,B1106)&gt;0,LOOKUP(B1106,'Icon Lookup'!C:C,'Icon Lookup'!B:B),"")</f>
        <v/>
      </c>
      <c r="B1106" s="21" t="s">
        <v>851</v>
      </c>
      <c r="C1106" s="20" t="s">
        <v>17</v>
      </c>
      <c r="D1106" s="20">
        <v>32.0</v>
      </c>
      <c r="E1106" s="20" t="s">
        <v>258</v>
      </c>
      <c r="G1106" s="22"/>
      <c r="H1106" s="23" t="s">
        <v>1506</v>
      </c>
      <c r="I1106" s="20" t="s">
        <v>22</v>
      </c>
      <c r="J1106" s="20">
        <v>16.0</v>
      </c>
      <c r="K1106" s="20">
        <v>64.0</v>
      </c>
      <c r="L1106" s="20">
        <v>24.0</v>
      </c>
      <c r="M1106" s="20">
        <v>0.0</v>
      </c>
      <c r="N1106" s="20">
        <v>24.0</v>
      </c>
      <c r="O1106" s="20">
        <v>32.0</v>
      </c>
      <c r="P1106" s="20">
        <v>9.0</v>
      </c>
      <c r="Q1106" s="20">
        <v>9.0</v>
      </c>
      <c r="R1106" s="20">
        <v>9.0</v>
      </c>
      <c r="S1106" s="20">
        <v>9.0</v>
      </c>
      <c r="T1106" s="20">
        <v>9.0</v>
      </c>
      <c r="U1106" s="20">
        <v>9.0</v>
      </c>
    </row>
    <row r="1107" ht="23.25" customHeight="1">
      <c r="A1107" s="17" t="str">
        <f>IF(COUNTIF('Icon Lookup'!C:C,B1107)&gt;0,LOOKUP(B1107,'Icon Lookup'!C:C,'Icon Lookup'!B:B),"")</f>
        <v/>
      </c>
      <c r="B1107" s="18" t="s">
        <v>78</v>
      </c>
      <c r="C1107" s="17" t="s">
        <v>17</v>
      </c>
      <c r="D1107" s="17">
        <v>34.0</v>
      </c>
      <c r="E1107" s="17" t="str">
        <f>IMAGE("https://www.serebii.net/itemdex/sprites/shellbell.png")</f>
        <v/>
      </c>
      <c r="F1107" s="17" t="s">
        <v>79</v>
      </c>
      <c r="G1107" s="17" t="s">
        <v>1495</v>
      </c>
      <c r="H1107" s="20" t="s">
        <v>1513</v>
      </c>
      <c r="I1107" s="17" t="s">
        <v>22</v>
      </c>
      <c r="J1107" s="17">
        <v>40.0</v>
      </c>
      <c r="K1107" s="17">
        <v>64.0</v>
      </c>
      <c r="L1107" s="17">
        <v>16.0</v>
      </c>
      <c r="M1107" s="17">
        <v>0.0</v>
      </c>
      <c r="N1107" s="17">
        <v>16.0</v>
      </c>
      <c r="O1107" s="17">
        <v>64.0</v>
      </c>
      <c r="P1107" s="17">
        <v>7.0</v>
      </c>
      <c r="Q1107" s="17">
        <v>7.0</v>
      </c>
      <c r="R1107" s="17">
        <v>7.0</v>
      </c>
      <c r="S1107" s="17">
        <v>7.0</v>
      </c>
      <c r="T1107" s="17">
        <v>7.0</v>
      </c>
      <c r="U1107" s="17">
        <v>7.0</v>
      </c>
    </row>
    <row r="1108" ht="23.25" customHeight="1">
      <c r="A1108" s="24" t="str">
        <f>IF(COUNTIF('Icon Lookup'!C:C,B1108)&gt;0,LOOKUP(B1108,'Icon Lookup'!C:C,'Icon Lookup'!B:B),"")</f>
        <v/>
      </c>
      <c r="B1108" s="25" t="s">
        <v>373</v>
      </c>
      <c r="C1108" s="24" t="s">
        <v>804</v>
      </c>
      <c r="D1108" s="24">
        <v>37.0</v>
      </c>
      <c r="E1108" s="24" t="str">
        <f>IMAGE("https://www.serebii.net/itemdex/sprites/seaincense.png")</f>
        <v/>
      </c>
      <c r="F1108" s="24" t="s">
        <v>374</v>
      </c>
      <c r="G1108" s="20" t="s">
        <v>1494</v>
      </c>
      <c r="H1108" s="23" t="s">
        <v>1514</v>
      </c>
      <c r="I1108" s="24" t="s">
        <v>52</v>
      </c>
      <c r="J1108" s="24">
        <v>48.0</v>
      </c>
      <c r="K1108" s="24">
        <v>80.0</v>
      </c>
      <c r="L1108" s="24">
        <v>24.0</v>
      </c>
      <c r="M1108" s="24">
        <v>0.0</v>
      </c>
      <c r="N1108" s="24">
        <v>24.0</v>
      </c>
      <c r="O1108" s="24">
        <v>80.0</v>
      </c>
      <c r="P1108" s="24">
        <v>11.0</v>
      </c>
      <c r="Q1108" s="24">
        <v>11.0</v>
      </c>
      <c r="R1108" s="24">
        <v>11.0</v>
      </c>
      <c r="S1108" s="24">
        <v>11.0</v>
      </c>
      <c r="T1108" s="24">
        <v>11.0</v>
      </c>
      <c r="U1108" s="24">
        <v>11.0</v>
      </c>
    </row>
    <row r="1109" ht="23.25" customHeight="1">
      <c r="A1109" s="1" t="str">
        <f>IF(COUNTIF('Icon Lookup'!C:C,B1109)&gt;0,LOOKUP(B1109,'Icon Lookup'!C:C,'Icon Lookup'!B:B),"")</f>
        <v/>
      </c>
      <c r="B1109" s="15" t="s">
        <v>1515</v>
      </c>
      <c r="C1109" s="1" t="s">
        <v>17</v>
      </c>
      <c r="D1109" s="1" t="s">
        <v>807</v>
      </c>
      <c r="G1109" s="16"/>
      <c r="H1109" s="26" t="s">
        <v>808</v>
      </c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</row>
    <row r="1110" ht="23.25" customHeight="1">
      <c r="A1110" s="17" t="str">
        <f>IF(COUNTIF('Icon Lookup'!C:C,B1110)&gt;0,LOOKUP(B1110,'Icon Lookup'!C:C,'Icon Lookup'!B:B),"")</f>
        <v/>
      </c>
      <c r="B1110" s="18" t="s">
        <v>741</v>
      </c>
      <c r="C1110" s="17" t="s">
        <v>17</v>
      </c>
      <c r="D1110" s="17">
        <v>49.0</v>
      </c>
      <c r="E1110" s="17" t="str">
        <f>IMAGE("https://www.serebii.net/itemdex/sprites/focussash.png")</f>
        <v/>
      </c>
      <c r="F1110" s="17" t="s">
        <v>26</v>
      </c>
      <c r="G1110" s="17" t="s">
        <v>881</v>
      </c>
      <c r="H1110" s="20" t="s">
        <v>1516</v>
      </c>
      <c r="I1110" s="17" t="s">
        <v>22</v>
      </c>
      <c r="J1110" s="17">
        <v>56.0</v>
      </c>
      <c r="K1110" s="17">
        <v>148.0</v>
      </c>
      <c r="L1110" s="17">
        <v>36.0</v>
      </c>
      <c r="M1110" s="17">
        <v>0.0</v>
      </c>
      <c r="N1110" s="17">
        <v>36.0</v>
      </c>
      <c r="O1110" s="17">
        <v>148.0</v>
      </c>
      <c r="P1110" s="17">
        <v>5.0</v>
      </c>
      <c r="Q1110" s="17">
        <v>5.0</v>
      </c>
      <c r="R1110" s="17">
        <v>5.0</v>
      </c>
      <c r="S1110" s="17">
        <v>5.0</v>
      </c>
      <c r="T1110" s="17">
        <v>5.0</v>
      </c>
      <c r="U1110" s="17">
        <v>5.0</v>
      </c>
    </row>
    <row r="1111" ht="23.25" customHeight="1">
      <c r="A1111" s="20" t="str">
        <f>IF(COUNTIF('Icon Lookup'!C:C,B1111)&gt;0,LOOKUP(B1111,'Icon Lookup'!C:C,'Icon Lookup'!B:B),"")</f>
        <v/>
      </c>
      <c r="B1111" s="21" t="s">
        <v>921</v>
      </c>
      <c r="C1111" s="20" t="s">
        <v>17</v>
      </c>
      <c r="D1111" s="20">
        <v>49.0</v>
      </c>
      <c r="E1111" s="20" t="str">
        <f>IMAGE("https://www.serebii.net/itemdex/sprites/quickclaw.png")</f>
        <v/>
      </c>
      <c r="F1111" s="20" t="s">
        <v>44</v>
      </c>
      <c r="G1111" s="20" t="s">
        <v>1371</v>
      </c>
      <c r="H1111" s="23" t="s">
        <v>1517</v>
      </c>
      <c r="I1111" s="20" t="s">
        <v>22</v>
      </c>
      <c r="J1111" s="20">
        <v>40.0</v>
      </c>
      <c r="K1111" s="20">
        <v>104.0</v>
      </c>
      <c r="L1111" s="20">
        <v>40.0</v>
      </c>
      <c r="M1111" s="20">
        <v>0.0</v>
      </c>
      <c r="N1111" s="20">
        <v>40.0</v>
      </c>
      <c r="O1111" s="20">
        <v>160.0</v>
      </c>
      <c r="P1111" s="20">
        <v>6.0</v>
      </c>
      <c r="Q1111" s="20">
        <v>6.0</v>
      </c>
      <c r="R1111" s="20">
        <v>6.0</v>
      </c>
      <c r="S1111" s="20">
        <v>6.0</v>
      </c>
      <c r="T1111" s="20">
        <v>6.0</v>
      </c>
      <c r="U1111" s="20">
        <v>6.0</v>
      </c>
    </row>
    <row r="1112" ht="23.25" customHeight="1">
      <c r="A1112" s="17" t="str">
        <f>IF(COUNTIF('Icon Lookup'!C:C,B1112)&gt;0,LOOKUP(B1112,'Icon Lookup'!C:C,'Icon Lookup'!B:B),"")</f>
        <v/>
      </c>
      <c r="B1112" s="18" t="s">
        <v>851</v>
      </c>
      <c r="C1112" s="17" t="s">
        <v>17</v>
      </c>
      <c r="D1112" s="17">
        <v>51.0</v>
      </c>
      <c r="E1112" s="17" t="s">
        <v>258</v>
      </c>
      <c r="G1112" s="19"/>
      <c r="H1112" s="20" t="s">
        <v>1518</v>
      </c>
      <c r="I1112" s="17" t="s">
        <v>22</v>
      </c>
      <c r="J1112" s="17">
        <v>44.0</v>
      </c>
      <c r="K1112" s="17">
        <v>104.0</v>
      </c>
      <c r="L1112" s="17">
        <v>44.0</v>
      </c>
      <c r="M1112" s="17">
        <v>0.0</v>
      </c>
      <c r="N1112" s="17">
        <v>44.0</v>
      </c>
      <c r="O1112" s="17">
        <v>156.0</v>
      </c>
      <c r="P1112" s="17">
        <v>9.0</v>
      </c>
      <c r="Q1112" s="17">
        <v>9.0</v>
      </c>
      <c r="R1112" s="17">
        <v>9.0</v>
      </c>
      <c r="S1112" s="17">
        <v>9.0</v>
      </c>
      <c r="T1112" s="17">
        <v>9.0</v>
      </c>
      <c r="U1112" s="17">
        <v>9.0</v>
      </c>
    </row>
    <row r="1113" ht="23.25" customHeight="1">
      <c r="A1113" s="20" t="str">
        <f>IF(COUNTIF('Icon Lookup'!C:C,B1113)&gt;0,LOOKUP(B1113,'Icon Lookup'!C:C,'Icon Lookup'!B:B),"")</f>
        <v/>
      </c>
      <c r="B1113" s="21" t="s">
        <v>710</v>
      </c>
      <c r="C1113" s="20" t="s">
        <v>17</v>
      </c>
      <c r="D1113" s="20">
        <v>49.0</v>
      </c>
      <c r="E1113" s="20" t="str">
        <f>IMAGE("https://www.serebii.net/itemdex/sprites/expertbelt.png")</f>
        <v/>
      </c>
      <c r="F1113" s="20" t="s">
        <v>79</v>
      </c>
      <c r="G1113" s="20" t="s">
        <v>907</v>
      </c>
      <c r="H1113" s="23" t="s">
        <v>1519</v>
      </c>
      <c r="I1113" s="20" t="s">
        <v>22</v>
      </c>
      <c r="J1113" s="20">
        <v>48.0</v>
      </c>
      <c r="K1113" s="20">
        <v>116.0</v>
      </c>
      <c r="L1113" s="20">
        <v>48.0</v>
      </c>
      <c r="M1113" s="20">
        <v>0.0</v>
      </c>
      <c r="N1113" s="20">
        <v>48.0</v>
      </c>
      <c r="O1113" s="20">
        <v>172.0</v>
      </c>
      <c r="P1113" s="20">
        <v>7.0</v>
      </c>
      <c r="Q1113" s="20">
        <v>7.0</v>
      </c>
      <c r="R1113" s="20">
        <v>7.0</v>
      </c>
      <c r="S1113" s="20">
        <v>7.0</v>
      </c>
      <c r="T1113" s="20">
        <v>7.0</v>
      </c>
      <c r="U1113" s="20">
        <v>7.0</v>
      </c>
    </row>
    <row r="1114" ht="23.25" customHeight="1">
      <c r="A1114" s="17" t="str">
        <f>IF(COUNTIF('Icon Lookup'!C:C,B1114)&gt;0,LOOKUP(B1114,'Icon Lookup'!C:C,'Icon Lookup'!B:B),"")</f>
        <v/>
      </c>
      <c r="B1114" s="18" t="s">
        <v>1520</v>
      </c>
      <c r="C1114" s="17" t="s">
        <v>17</v>
      </c>
      <c r="D1114" s="17">
        <v>52.0</v>
      </c>
      <c r="E1114" s="17" t="s">
        <v>382</v>
      </c>
      <c r="G1114" s="19"/>
      <c r="H1114" s="20" t="s">
        <v>1521</v>
      </c>
      <c r="I1114" s="17" t="s">
        <v>550</v>
      </c>
      <c r="J1114" s="17">
        <v>96.0</v>
      </c>
      <c r="K1114" s="17">
        <v>120.0</v>
      </c>
      <c r="L1114" s="17">
        <v>96.0</v>
      </c>
      <c r="M1114" s="17">
        <v>0.0</v>
      </c>
      <c r="N1114" s="17">
        <v>88.0</v>
      </c>
      <c r="O1114" s="17">
        <v>0.0</v>
      </c>
      <c r="P1114" s="17">
        <v>9.0</v>
      </c>
      <c r="Q1114" s="17">
        <v>9.0</v>
      </c>
      <c r="R1114" s="17">
        <v>9.0</v>
      </c>
      <c r="S1114" s="17">
        <v>9.0</v>
      </c>
      <c r="T1114" s="17">
        <v>9.0</v>
      </c>
      <c r="U1114" s="17">
        <v>9.0</v>
      </c>
    </row>
    <row r="1115" ht="23.25" customHeight="1">
      <c r="A1115" s="24" t="str">
        <f>IF(COUNTIF('Icon Lookup'!C:C,B1115)&gt;0,LOOKUP(B1115,'Icon Lookup'!C:C,'Icon Lookup'!B:B),"")</f>
        <v/>
      </c>
      <c r="B1115" s="25" t="s">
        <v>730</v>
      </c>
      <c r="C1115" s="24" t="s">
        <v>804</v>
      </c>
      <c r="D1115" s="24">
        <v>55.0</v>
      </c>
      <c r="E1115" s="24" t="str">
        <f>IMAGE("https://www.serebii.net/itemdex/sprites/leftovers.png")</f>
        <v/>
      </c>
      <c r="F1115" s="24" t="s">
        <v>267</v>
      </c>
      <c r="G1115" s="20" t="s">
        <v>859</v>
      </c>
      <c r="H1115" s="23" t="s">
        <v>1522</v>
      </c>
      <c r="I1115" s="24" t="s">
        <v>265</v>
      </c>
      <c r="J1115" s="24">
        <v>164.0</v>
      </c>
      <c r="K1115" s="24">
        <v>92.0</v>
      </c>
      <c r="L1115" s="24">
        <v>52.0</v>
      </c>
      <c r="M1115" s="24">
        <v>52.0</v>
      </c>
      <c r="N1115" s="24">
        <v>124.0</v>
      </c>
      <c r="O1115" s="24">
        <v>0.0</v>
      </c>
      <c r="P1115" s="24">
        <v>11.0</v>
      </c>
      <c r="Q1115" s="24">
        <v>11.0</v>
      </c>
      <c r="R1115" s="24">
        <v>11.0</v>
      </c>
      <c r="S1115" s="24">
        <v>11.0</v>
      </c>
      <c r="T1115" s="24">
        <v>11.0</v>
      </c>
      <c r="U1115" s="24">
        <v>11.0</v>
      </c>
    </row>
    <row r="1116" ht="23.25" customHeight="1">
      <c r="A1116" s="1" t="str">
        <f>IF(COUNTIF('Icon Lookup'!C:C,B1116)&gt;0,LOOKUP(B1116,'Icon Lookup'!C:C,'Icon Lookup'!B:B),"")</f>
        <v/>
      </c>
      <c r="B1116" s="15" t="s">
        <v>1523</v>
      </c>
      <c r="C1116" s="1" t="s">
        <v>17</v>
      </c>
      <c r="D1116" s="1" t="s">
        <v>807</v>
      </c>
      <c r="G1116" s="16"/>
      <c r="H1116" s="26" t="s">
        <v>808</v>
      </c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</row>
    <row r="1117" ht="23.25" customHeight="1">
      <c r="A1117" s="17" t="str">
        <f>IF(COUNTIF('Icon Lookup'!C:C,B1117)&gt;0,LOOKUP(B1117,'Icon Lookup'!C:C,'Icon Lookup'!B:B),"")</f>
        <v/>
      </c>
      <c r="B1117" s="18" t="s">
        <v>741</v>
      </c>
      <c r="C1117" s="17" t="s">
        <v>17</v>
      </c>
      <c r="D1117" s="17">
        <v>49.0</v>
      </c>
      <c r="E1117" s="17" t="str">
        <f>IMAGE("https://www.serebii.net/itemdex/sprites/focussash.png")</f>
        <v/>
      </c>
      <c r="F1117" s="17" t="s">
        <v>26</v>
      </c>
      <c r="G1117" s="17" t="s">
        <v>881</v>
      </c>
      <c r="H1117" s="20" t="s">
        <v>1524</v>
      </c>
      <c r="I1117" s="17" t="s">
        <v>22</v>
      </c>
      <c r="J1117" s="17">
        <v>56.0</v>
      </c>
      <c r="K1117" s="17">
        <v>148.0</v>
      </c>
      <c r="L1117" s="17">
        <v>36.0</v>
      </c>
      <c r="M1117" s="17">
        <v>0.0</v>
      </c>
      <c r="N1117" s="17">
        <v>36.0</v>
      </c>
      <c r="O1117" s="17">
        <v>148.0</v>
      </c>
      <c r="P1117" s="17">
        <v>5.0</v>
      </c>
      <c r="Q1117" s="17">
        <v>5.0</v>
      </c>
      <c r="R1117" s="17">
        <v>5.0</v>
      </c>
      <c r="S1117" s="17">
        <v>5.0</v>
      </c>
      <c r="T1117" s="17">
        <v>5.0</v>
      </c>
      <c r="U1117" s="17">
        <v>5.0</v>
      </c>
    </row>
    <row r="1118" ht="23.25" customHeight="1">
      <c r="A1118" s="20" t="str">
        <f>IF(COUNTIF('Icon Lookup'!C:C,B1118)&gt;0,LOOKUP(B1118,'Icon Lookup'!C:C,'Icon Lookup'!B:B),"")</f>
        <v/>
      </c>
      <c r="B1118" s="21" t="s">
        <v>921</v>
      </c>
      <c r="C1118" s="20" t="s">
        <v>17</v>
      </c>
      <c r="D1118" s="20">
        <v>49.0</v>
      </c>
      <c r="E1118" s="20" t="str">
        <f>IMAGE("https://www.serebii.net/itemdex/sprites/quickclaw.png")</f>
        <v/>
      </c>
      <c r="F1118" s="20" t="s">
        <v>44</v>
      </c>
      <c r="G1118" s="20" t="s">
        <v>1371</v>
      </c>
      <c r="H1118" s="23" t="s">
        <v>1517</v>
      </c>
      <c r="I1118" s="20" t="s">
        <v>22</v>
      </c>
      <c r="J1118" s="20">
        <v>40.0</v>
      </c>
      <c r="K1118" s="20">
        <v>104.0</v>
      </c>
      <c r="L1118" s="20">
        <v>40.0</v>
      </c>
      <c r="M1118" s="20">
        <v>0.0</v>
      </c>
      <c r="N1118" s="20">
        <v>40.0</v>
      </c>
      <c r="O1118" s="20">
        <v>160.0</v>
      </c>
      <c r="P1118" s="20">
        <v>6.0</v>
      </c>
      <c r="Q1118" s="20">
        <v>6.0</v>
      </c>
      <c r="R1118" s="20">
        <v>6.0</v>
      </c>
      <c r="S1118" s="20">
        <v>6.0</v>
      </c>
      <c r="T1118" s="20">
        <v>6.0</v>
      </c>
      <c r="U1118" s="20">
        <v>6.0</v>
      </c>
    </row>
    <row r="1119" ht="23.25" customHeight="1">
      <c r="A1119" s="17" t="str">
        <f>IF(COUNTIF('Icon Lookup'!C:C,B1119)&gt;0,LOOKUP(B1119,'Icon Lookup'!C:C,'Icon Lookup'!B:B),"")</f>
        <v/>
      </c>
      <c r="B1119" s="18" t="s">
        <v>851</v>
      </c>
      <c r="C1119" s="17" t="s">
        <v>17</v>
      </c>
      <c r="D1119" s="17">
        <v>51.0</v>
      </c>
      <c r="E1119" s="17" t="s">
        <v>258</v>
      </c>
      <c r="G1119" s="19"/>
      <c r="H1119" s="20" t="s">
        <v>1518</v>
      </c>
      <c r="I1119" s="17" t="s">
        <v>22</v>
      </c>
      <c r="J1119" s="17">
        <v>44.0</v>
      </c>
      <c r="K1119" s="17">
        <v>104.0</v>
      </c>
      <c r="L1119" s="17">
        <v>44.0</v>
      </c>
      <c r="M1119" s="17">
        <v>0.0</v>
      </c>
      <c r="N1119" s="17">
        <v>44.0</v>
      </c>
      <c r="O1119" s="17">
        <v>156.0</v>
      </c>
      <c r="P1119" s="17">
        <v>9.0</v>
      </c>
      <c r="Q1119" s="17">
        <v>9.0</v>
      </c>
      <c r="R1119" s="17">
        <v>9.0</v>
      </c>
      <c r="S1119" s="17">
        <v>9.0</v>
      </c>
      <c r="T1119" s="17">
        <v>9.0</v>
      </c>
      <c r="U1119" s="17">
        <v>9.0</v>
      </c>
    </row>
    <row r="1120" ht="23.25" customHeight="1">
      <c r="A1120" s="20" t="str">
        <f>IF(COUNTIF('Icon Lookup'!C:C,B1120)&gt;0,LOOKUP(B1120,'Icon Lookup'!C:C,'Icon Lookup'!B:B),"")</f>
        <v/>
      </c>
      <c r="B1120" s="21" t="s">
        <v>906</v>
      </c>
      <c r="C1120" s="20" t="s">
        <v>17</v>
      </c>
      <c r="D1120" s="20">
        <v>49.0</v>
      </c>
      <c r="E1120" s="20" t="str">
        <f>IMAGE("https://www.serebii.net/itemdex/sprites/bigroot.png")</f>
        <v/>
      </c>
      <c r="F1120" s="20" t="s">
        <v>50</v>
      </c>
      <c r="G1120" s="20" t="s">
        <v>1122</v>
      </c>
      <c r="H1120" s="23" t="s">
        <v>1525</v>
      </c>
      <c r="I1120" s="20" t="s">
        <v>52</v>
      </c>
      <c r="J1120" s="20">
        <v>48.0</v>
      </c>
      <c r="K1120" s="20">
        <v>0.0</v>
      </c>
      <c r="L1120" s="20">
        <v>48.0</v>
      </c>
      <c r="M1120" s="20">
        <v>116.0</v>
      </c>
      <c r="N1120" s="20">
        <v>48.0</v>
      </c>
      <c r="O1120" s="20">
        <v>172.0</v>
      </c>
      <c r="P1120" s="20">
        <v>7.0</v>
      </c>
      <c r="Q1120" s="20">
        <v>7.0</v>
      </c>
      <c r="R1120" s="20">
        <v>7.0</v>
      </c>
      <c r="S1120" s="20">
        <v>7.0</v>
      </c>
      <c r="T1120" s="20">
        <v>7.0</v>
      </c>
      <c r="U1120" s="20">
        <v>7.0</v>
      </c>
    </row>
    <row r="1121" ht="23.25" customHeight="1">
      <c r="A1121" s="17" t="str">
        <f>IF(COUNTIF('Icon Lookup'!C:C,B1121)&gt;0,LOOKUP(B1121,'Icon Lookup'!C:C,'Icon Lookup'!B:B),"")</f>
        <v/>
      </c>
      <c r="B1121" s="18" t="s">
        <v>1520</v>
      </c>
      <c r="C1121" s="17" t="s">
        <v>17</v>
      </c>
      <c r="D1121" s="17">
        <v>52.0</v>
      </c>
      <c r="E1121" s="17" t="s">
        <v>382</v>
      </c>
      <c r="G1121" s="19"/>
      <c r="H1121" s="20" t="s">
        <v>1526</v>
      </c>
      <c r="I1121" s="17" t="s">
        <v>550</v>
      </c>
      <c r="J1121" s="17">
        <v>96.0</v>
      </c>
      <c r="K1121" s="17">
        <v>120.0</v>
      </c>
      <c r="L1121" s="17">
        <v>96.0</v>
      </c>
      <c r="M1121" s="17">
        <v>0.0</v>
      </c>
      <c r="N1121" s="17">
        <v>88.0</v>
      </c>
      <c r="O1121" s="17">
        <v>0.0</v>
      </c>
      <c r="P1121" s="17">
        <v>9.0</v>
      </c>
      <c r="Q1121" s="17">
        <v>9.0</v>
      </c>
      <c r="R1121" s="17">
        <v>9.0</v>
      </c>
      <c r="S1121" s="17">
        <v>9.0</v>
      </c>
      <c r="T1121" s="17">
        <v>9.0</v>
      </c>
      <c r="U1121" s="17">
        <v>9.0</v>
      </c>
    </row>
    <row r="1122" ht="23.25" customHeight="1">
      <c r="A1122" s="24" t="str">
        <f>IF(COUNTIF('Icon Lookup'!C:C,B1122)&gt;0,LOOKUP(B1122,'Icon Lookup'!C:C,'Icon Lookup'!B:B),"")</f>
        <v/>
      </c>
      <c r="B1122" s="25" t="s">
        <v>879</v>
      </c>
      <c r="C1122" s="24" t="s">
        <v>804</v>
      </c>
      <c r="D1122" s="24">
        <v>55.0</v>
      </c>
      <c r="E1122" s="24" t="str">
        <f>IMAGE("https://www.serebii.net/itemdex/sprites/expertbelt.png")</f>
        <v/>
      </c>
      <c r="F1122" s="24" t="s">
        <v>145</v>
      </c>
      <c r="G1122" s="20" t="s">
        <v>907</v>
      </c>
      <c r="H1122" s="23" t="s">
        <v>1527</v>
      </c>
      <c r="I1122" s="24" t="s">
        <v>22</v>
      </c>
      <c r="J1122" s="24">
        <v>52.0</v>
      </c>
      <c r="K1122" s="24">
        <v>0.0</v>
      </c>
      <c r="L1122" s="24">
        <v>52.0</v>
      </c>
      <c r="M1122" s="24">
        <v>156.0</v>
      </c>
      <c r="N1122" s="24">
        <v>52.0</v>
      </c>
      <c r="O1122" s="24">
        <v>164.0</v>
      </c>
      <c r="P1122" s="24">
        <v>11.0</v>
      </c>
      <c r="Q1122" s="24">
        <v>11.0</v>
      </c>
      <c r="R1122" s="24">
        <v>11.0</v>
      </c>
      <c r="S1122" s="24">
        <v>11.0</v>
      </c>
      <c r="T1122" s="24">
        <v>11.0</v>
      </c>
      <c r="U1122" s="24">
        <v>11.0</v>
      </c>
    </row>
    <row r="1123" ht="23.25" customHeight="1">
      <c r="A1123" s="1" t="str">
        <f>IF(COUNTIF('Icon Lookup'!C:C,B1123)&gt;0,LOOKUP(B1123,'Icon Lookup'!C:C,'Icon Lookup'!B:B),"")</f>
        <v/>
      </c>
      <c r="B1123" s="15" t="s">
        <v>1528</v>
      </c>
      <c r="C1123" s="1" t="s">
        <v>17</v>
      </c>
      <c r="D1123" s="1" t="s">
        <v>807</v>
      </c>
      <c r="G1123" s="16"/>
      <c r="H1123" s="26" t="s">
        <v>808</v>
      </c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</row>
    <row r="1124" ht="23.25" customHeight="1">
      <c r="A1124" s="17" t="str">
        <f>IF(COUNTIF('Icon Lookup'!C:C,B1124)&gt;0,LOOKUP(B1124,'Icon Lookup'!C:C,'Icon Lookup'!B:B),"")</f>
        <v/>
      </c>
      <c r="B1124" s="18" t="s">
        <v>741</v>
      </c>
      <c r="C1124" s="17" t="s">
        <v>17</v>
      </c>
      <c r="D1124" s="17">
        <v>49.0</v>
      </c>
      <c r="E1124" s="17" t="str">
        <f>IMAGE("https://www.serebii.net/itemdex/sprites/focussash.png")</f>
        <v/>
      </c>
      <c r="F1124" s="17" t="s">
        <v>26</v>
      </c>
      <c r="G1124" s="17" t="s">
        <v>881</v>
      </c>
      <c r="H1124" s="20" t="s">
        <v>1529</v>
      </c>
      <c r="I1124" s="17" t="s">
        <v>22</v>
      </c>
      <c r="J1124" s="17">
        <v>56.0</v>
      </c>
      <c r="K1124" s="17">
        <v>148.0</v>
      </c>
      <c r="L1124" s="17">
        <v>36.0</v>
      </c>
      <c r="M1124" s="17">
        <v>0.0</v>
      </c>
      <c r="N1124" s="17">
        <v>36.0</v>
      </c>
      <c r="O1124" s="17">
        <v>148.0</v>
      </c>
      <c r="P1124" s="17">
        <v>5.0</v>
      </c>
      <c r="Q1124" s="17">
        <v>5.0</v>
      </c>
      <c r="R1124" s="17">
        <v>5.0</v>
      </c>
      <c r="S1124" s="17">
        <v>5.0</v>
      </c>
      <c r="T1124" s="17">
        <v>5.0</v>
      </c>
      <c r="U1124" s="17">
        <v>5.0</v>
      </c>
    </row>
    <row r="1125" ht="23.25" customHeight="1">
      <c r="A1125" s="20" t="str">
        <f>IF(COUNTIF('Icon Lookup'!C:C,B1125)&gt;0,LOOKUP(B1125,'Icon Lookup'!C:C,'Icon Lookup'!B:B),"")</f>
        <v/>
      </c>
      <c r="B1125" s="21" t="s">
        <v>906</v>
      </c>
      <c r="C1125" s="20" t="s">
        <v>17</v>
      </c>
      <c r="D1125" s="20">
        <v>49.0</v>
      </c>
      <c r="E1125" s="20" t="str">
        <f>IMAGE("https://www.serebii.net/itemdex/sprites/blacksludge.png")</f>
        <v/>
      </c>
      <c r="F1125" s="20" t="s">
        <v>959</v>
      </c>
      <c r="G1125" s="20" t="s">
        <v>844</v>
      </c>
      <c r="H1125" s="23" t="s">
        <v>1530</v>
      </c>
      <c r="I1125" s="20" t="s">
        <v>52</v>
      </c>
      <c r="J1125" s="20">
        <v>40.0</v>
      </c>
      <c r="K1125" s="20">
        <v>0.0</v>
      </c>
      <c r="L1125" s="20">
        <v>40.0</v>
      </c>
      <c r="M1125" s="20">
        <v>104.0</v>
      </c>
      <c r="N1125" s="20">
        <v>40.0</v>
      </c>
      <c r="O1125" s="20">
        <v>160.0</v>
      </c>
      <c r="P1125" s="20">
        <v>6.0</v>
      </c>
      <c r="Q1125" s="20">
        <v>6.0</v>
      </c>
      <c r="R1125" s="20">
        <v>6.0</v>
      </c>
      <c r="S1125" s="20">
        <v>6.0</v>
      </c>
      <c r="T1125" s="20">
        <v>6.0</v>
      </c>
      <c r="U1125" s="20">
        <v>6.0</v>
      </c>
    </row>
    <row r="1126" ht="23.25" customHeight="1">
      <c r="A1126" s="17" t="str">
        <f>IF(COUNTIF('Icon Lookup'!C:C,B1126)&gt;0,LOOKUP(B1126,'Icon Lookup'!C:C,'Icon Lookup'!B:B),"")</f>
        <v/>
      </c>
      <c r="B1126" s="18" t="s">
        <v>851</v>
      </c>
      <c r="C1126" s="17" t="s">
        <v>17</v>
      </c>
      <c r="D1126" s="17">
        <v>51.0</v>
      </c>
      <c r="E1126" s="17" t="s">
        <v>258</v>
      </c>
      <c r="G1126" s="19"/>
      <c r="H1126" s="20" t="s">
        <v>1518</v>
      </c>
      <c r="I1126" s="17" t="s">
        <v>22</v>
      </c>
      <c r="J1126" s="17">
        <v>44.0</v>
      </c>
      <c r="K1126" s="17">
        <v>104.0</v>
      </c>
      <c r="L1126" s="17">
        <v>44.0</v>
      </c>
      <c r="M1126" s="17">
        <v>0.0</v>
      </c>
      <c r="N1126" s="17">
        <v>44.0</v>
      </c>
      <c r="O1126" s="17">
        <v>156.0</v>
      </c>
      <c r="P1126" s="17">
        <v>9.0</v>
      </c>
      <c r="Q1126" s="17">
        <v>9.0</v>
      </c>
      <c r="R1126" s="17">
        <v>9.0</v>
      </c>
      <c r="S1126" s="17">
        <v>9.0</v>
      </c>
      <c r="T1126" s="17">
        <v>9.0</v>
      </c>
      <c r="U1126" s="17">
        <v>9.0</v>
      </c>
    </row>
    <row r="1127" ht="23.25" customHeight="1">
      <c r="A1127" s="20" t="str">
        <f>IF(COUNTIF('Icon Lookup'!C:C,B1127)&gt;0,LOOKUP(B1127,'Icon Lookup'!C:C,'Icon Lookup'!B:B),"")</f>
        <v/>
      </c>
      <c r="B1127" s="21" t="s">
        <v>710</v>
      </c>
      <c r="C1127" s="20" t="s">
        <v>17</v>
      </c>
      <c r="D1127" s="20">
        <v>49.0</v>
      </c>
      <c r="E1127" s="20" t="str">
        <f>IMAGE("https://www.serebii.net/itemdex/sprites/expertbelt.png")</f>
        <v/>
      </c>
      <c r="F1127" s="20" t="s">
        <v>79</v>
      </c>
      <c r="G1127" s="20" t="s">
        <v>907</v>
      </c>
      <c r="H1127" s="23" t="s">
        <v>1519</v>
      </c>
      <c r="I1127" s="20" t="s">
        <v>22</v>
      </c>
      <c r="J1127" s="20">
        <v>48.0</v>
      </c>
      <c r="K1127" s="20">
        <v>116.0</v>
      </c>
      <c r="L1127" s="20">
        <v>48.0</v>
      </c>
      <c r="M1127" s="20">
        <v>0.0</v>
      </c>
      <c r="N1127" s="20">
        <v>48.0</v>
      </c>
      <c r="O1127" s="20">
        <v>172.0</v>
      </c>
      <c r="P1127" s="20">
        <v>7.0</v>
      </c>
      <c r="Q1127" s="20">
        <v>7.0</v>
      </c>
      <c r="R1127" s="20">
        <v>7.0</v>
      </c>
      <c r="S1127" s="20">
        <v>7.0</v>
      </c>
      <c r="T1127" s="20">
        <v>7.0</v>
      </c>
      <c r="U1127" s="20">
        <v>7.0</v>
      </c>
    </row>
    <row r="1128" ht="23.25" customHeight="1">
      <c r="A1128" s="17" t="str">
        <f>IF(COUNTIF('Icon Lookup'!C:C,B1128)&gt;0,LOOKUP(B1128,'Icon Lookup'!C:C,'Icon Lookup'!B:B),"")</f>
        <v/>
      </c>
      <c r="B1128" s="18" t="s">
        <v>1520</v>
      </c>
      <c r="C1128" s="17" t="s">
        <v>17</v>
      </c>
      <c r="D1128" s="17">
        <v>52.0</v>
      </c>
      <c r="E1128" s="17" t="s">
        <v>382</v>
      </c>
      <c r="G1128" s="19"/>
      <c r="H1128" s="20" t="s">
        <v>1521</v>
      </c>
      <c r="I1128" s="17" t="s">
        <v>550</v>
      </c>
      <c r="J1128" s="17">
        <v>96.0</v>
      </c>
      <c r="K1128" s="17">
        <v>120.0</v>
      </c>
      <c r="L1128" s="17">
        <v>96.0</v>
      </c>
      <c r="M1128" s="17">
        <v>0.0</v>
      </c>
      <c r="N1128" s="17">
        <v>88.0</v>
      </c>
      <c r="O1128" s="17">
        <v>0.0</v>
      </c>
      <c r="P1128" s="17">
        <v>9.0</v>
      </c>
      <c r="Q1128" s="17">
        <v>9.0</v>
      </c>
      <c r="R1128" s="17">
        <v>9.0</v>
      </c>
      <c r="S1128" s="17">
        <v>9.0</v>
      </c>
      <c r="T1128" s="17">
        <v>9.0</v>
      </c>
      <c r="U1128" s="17">
        <v>9.0</v>
      </c>
    </row>
    <row r="1129" ht="23.25" customHeight="1">
      <c r="A1129" s="24" t="str">
        <f>IF(COUNTIF('Icon Lookup'!C:C,B1129)&gt;0,LOOKUP(B1129,'Icon Lookup'!C:C,'Icon Lookup'!B:B),"")</f>
        <v/>
      </c>
      <c r="B1129" s="25" t="s">
        <v>737</v>
      </c>
      <c r="C1129" s="24" t="s">
        <v>804</v>
      </c>
      <c r="D1129" s="24">
        <v>55.0</v>
      </c>
      <c r="E1129" s="24" t="str">
        <f>IMAGE("https://www.serebii.net/itemdex/sprites/quickclaw.png")</f>
        <v/>
      </c>
      <c r="F1129" s="24" t="s">
        <v>374</v>
      </c>
      <c r="G1129" s="20" t="s">
        <v>1371</v>
      </c>
      <c r="H1129" s="23" t="s">
        <v>1531</v>
      </c>
      <c r="I1129" s="24" t="s">
        <v>52</v>
      </c>
      <c r="J1129" s="24">
        <v>52.0</v>
      </c>
      <c r="K1129" s="24">
        <v>156.0</v>
      </c>
      <c r="L1129" s="24">
        <v>52.0</v>
      </c>
      <c r="M1129" s="24">
        <v>0.0</v>
      </c>
      <c r="N1129" s="24">
        <v>52.0</v>
      </c>
      <c r="O1129" s="24">
        <v>164.0</v>
      </c>
      <c r="P1129" s="24">
        <v>11.0</v>
      </c>
      <c r="Q1129" s="24">
        <v>11.0</v>
      </c>
      <c r="R1129" s="24">
        <v>11.0</v>
      </c>
      <c r="S1129" s="24">
        <v>11.0</v>
      </c>
      <c r="T1129" s="24">
        <v>11.0</v>
      </c>
      <c r="U1129" s="24">
        <v>11.0</v>
      </c>
    </row>
    <row r="1130" ht="23.25" customHeight="1">
      <c r="A1130" s="1" t="str">
        <f>IF(COUNTIF('Icon Lookup'!C:C,B1130)&gt;0,LOOKUP(B1130,'Icon Lookup'!C:C,'Icon Lookup'!B:B),"")</f>
        <v/>
      </c>
      <c r="B1130" s="15" t="s">
        <v>1532</v>
      </c>
      <c r="C1130" s="1" t="s">
        <v>17</v>
      </c>
      <c r="D1130" s="1" t="s">
        <v>1533</v>
      </c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</row>
    <row r="1131" ht="23.25" customHeight="1">
      <c r="A1131" s="17" t="str">
        <f>IF(COUNTIF('Icon Lookup'!C:C,B1131)&gt;0,LOOKUP(B1131,'Icon Lookup'!C:C,'Icon Lookup'!B:B),"")</f>
        <v/>
      </c>
      <c r="B1131" s="18" t="s">
        <v>410</v>
      </c>
      <c r="C1131" s="17" t="s">
        <v>17</v>
      </c>
      <c r="D1131" s="17">
        <v>38.0</v>
      </c>
      <c r="E1131" s="17" t="s">
        <v>411</v>
      </c>
      <c r="G1131" s="19"/>
      <c r="H1131" s="20" t="s">
        <v>509</v>
      </c>
      <c r="I1131" s="17" t="s">
        <v>205</v>
      </c>
      <c r="J1131" s="17">
        <v>0.0</v>
      </c>
      <c r="K1131" s="17">
        <v>0.0</v>
      </c>
      <c r="L1131" s="17">
        <v>0.0</v>
      </c>
      <c r="M1131" s="17">
        <v>0.0</v>
      </c>
      <c r="N1131" s="17">
        <v>0.0</v>
      </c>
      <c r="O1131" s="17">
        <v>0.0</v>
      </c>
      <c r="P1131" s="17">
        <v>0.0</v>
      </c>
      <c r="Q1131" s="17">
        <v>0.0</v>
      </c>
      <c r="R1131" s="17">
        <v>0.0</v>
      </c>
      <c r="S1131" s="17">
        <v>0.0</v>
      </c>
      <c r="T1131" s="17">
        <v>0.0</v>
      </c>
      <c r="U1131" s="17">
        <v>0.0</v>
      </c>
    </row>
    <row r="1132" ht="23.25" customHeight="1">
      <c r="A1132" s="20" t="str">
        <f>IF(COUNTIF('Icon Lookup'!C:C,B1132)&gt;0,LOOKUP(B1132,'Icon Lookup'!C:C,'Icon Lookup'!B:B),"")</f>
        <v/>
      </c>
      <c r="B1132" s="21" t="s">
        <v>275</v>
      </c>
      <c r="C1132" s="20" t="s">
        <v>17</v>
      </c>
      <c r="D1132" s="20">
        <v>38.0</v>
      </c>
      <c r="E1132" s="20" t="s">
        <v>91</v>
      </c>
      <c r="G1132" s="22"/>
      <c r="H1132" s="23" t="s">
        <v>623</v>
      </c>
      <c r="I1132" s="20" t="s">
        <v>550</v>
      </c>
      <c r="J1132" s="20">
        <v>0.0</v>
      </c>
      <c r="K1132" s="20">
        <v>0.0</v>
      </c>
      <c r="L1132" s="20">
        <v>0.0</v>
      </c>
      <c r="M1132" s="20">
        <v>0.0</v>
      </c>
      <c r="N1132" s="20">
        <v>0.0</v>
      </c>
      <c r="O1132" s="20">
        <v>0.0</v>
      </c>
      <c r="P1132" s="20">
        <v>0.0</v>
      </c>
      <c r="Q1132" s="20">
        <v>0.0</v>
      </c>
      <c r="R1132" s="20">
        <v>0.0</v>
      </c>
      <c r="S1132" s="20">
        <v>0.0</v>
      </c>
      <c r="T1132" s="20">
        <v>0.0</v>
      </c>
      <c r="U1132" s="20">
        <v>0.0</v>
      </c>
    </row>
    <row r="1133" ht="23.25" customHeight="1">
      <c r="A1133" s="17" t="str">
        <f>IF(COUNTIF('Icon Lookup'!C:C,B1133)&gt;0,LOOKUP(B1133,'Icon Lookup'!C:C,'Icon Lookup'!B:B),"")</f>
        <v/>
      </c>
      <c r="B1133" s="18" t="s">
        <v>586</v>
      </c>
      <c r="C1133" s="17" t="s">
        <v>17</v>
      </c>
      <c r="D1133" s="17">
        <v>44.0</v>
      </c>
      <c r="E1133" s="17" t="s">
        <v>366</v>
      </c>
      <c r="G1133" s="19"/>
      <c r="H1133" s="20" t="s">
        <v>1534</v>
      </c>
      <c r="I1133" s="17" t="s">
        <v>612</v>
      </c>
      <c r="J1133" s="17">
        <v>0.0</v>
      </c>
      <c r="K1133" s="17">
        <v>0.0</v>
      </c>
      <c r="L1133" s="17">
        <v>0.0</v>
      </c>
      <c r="M1133" s="17">
        <v>0.0</v>
      </c>
      <c r="N1133" s="17">
        <v>0.0</v>
      </c>
      <c r="O1133" s="17">
        <v>0.0</v>
      </c>
      <c r="P1133" s="17">
        <v>0.0</v>
      </c>
      <c r="Q1133" s="17">
        <v>0.0</v>
      </c>
      <c r="R1133" s="17">
        <v>0.0</v>
      </c>
      <c r="S1133" s="17">
        <v>0.0</v>
      </c>
      <c r="T1133" s="17">
        <v>0.0</v>
      </c>
      <c r="U1133" s="17">
        <v>0.0</v>
      </c>
    </row>
    <row r="1134" ht="23.25" customHeight="1">
      <c r="A1134" s="1" t="str">
        <f>IF(COUNTIF('Icon Lookup'!C:C,B1134)&gt;0,LOOKUP(B1134,'Icon Lookup'!C:C,'Icon Lookup'!B:B),"")</f>
        <v/>
      </c>
      <c r="B1134" s="15" t="s">
        <v>1535</v>
      </c>
      <c r="C1134" s="1" t="s">
        <v>17</v>
      </c>
      <c r="D1134" s="1" t="s">
        <v>1536</v>
      </c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</row>
    <row r="1135" ht="23.25" customHeight="1">
      <c r="A1135" s="20" t="str">
        <f>IF(COUNTIF('Icon Lookup'!C:C,B1135)&gt;0,LOOKUP(B1135,'Icon Lookup'!C:C,'Icon Lookup'!B:B),"")</f>
        <v/>
      </c>
      <c r="B1135" s="21" t="s">
        <v>365</v>
      </c>
      <c r="C1135" s="20" t="s">
        <v>17</v>
      </c>
      <c r="D1135" s="20">
        <v>24.0</v>
      </c>
      <c r="E1135" s="20" t="s">
        <v>366</v>
      </c>
      <c r="G1135" s="22"/>
      <c r="H1135" s="23" t="s">
        <v>1537</v>
      </c>
      <c r="I1135" s="20" t="s">
        <v>52</v>
      </c>
      <c r="J1135" s="20">
        <v>0.0</v>
      </c>
      <c r="K1135" s="20">
        <v>0.0</v>
      </c>
      <c r="L1135" s="20">
        <v>0.0</v>
      </c>
      <c r="M1135" s="20">
        <v>0.0</v>
      </c>
      <c r="N1135" s="20">
        <v>0.0</v>
      </c>
      <c r="O1135" s="20">
        <v>0.0</v>
      </c>
      <c r="P1135" s="20">
        <v>0.0</v>
      </c>
      <c r="Q1135" s="20">
        <v>0.0</v>
      </c>
      <c r="R1135" s="20">
        <v>0.0</v>
      </c>
      <c r="S1135" s="20">
        <v>0.0</v>
      </c>
      <c r="T1135" s="20">
        <v>0.0</v>
      </c>
      <c r="U1135" s="20">
        <v>0.0</v>
      </c>
    </row>
    <row r="1136" ht="23.25" customHeight="1">
      <c r="A1136" s="17" t="str">
        <f>IF(COUNTIF('Icon Lookup'!C:C,B1136)&gt;0,LOOKUP(B1136,'Icon Lookup'!C:C,'Icon Lookup'!B:B),"")</f>
        <v/>
      </c>
      <c r="B1136" s="18" t="s">
        <v>640</v>
      </c>
      <c r="C1136" s="17" t="s">
        <v>17</v>
      </c>
      <c r="D1136" s="17">
        <v>24.0</v>
      </c>
      <c r="E1136" s="17" t="s">
        <v>641</v>
      </c>
      <c r="G1136" s="19"/>
      <c r="H1136" s="20" t="s">
        <v>1538</v>
      </c>
      <c r="I1136" s="17" t="s">
        <v>550</v>
      </c>
      <c r="J1136" s="17">
        <v>0.0</v>
      </c>
      <c r="K1136" s="17">
        <v>0.0</v>
      </c>
      <c r="L1136" s="17">
        <v>0.0</v>
      </c>
      <c r="M1136" s="17">
        <v>0.0</v>
      </c>
      <c r="N1136" s="17">
        <v>0.0</v>
      </c>
      <c r="O1136" s="17">
        <v>0.0</v>
      </c>
      <c r="P1136" s="17">
        <v>0.0</v>
      </c>
      <c r="Q1136" s="17">
        <v>0.0</v>
      </c>
      <c r="R1136" s="17">
        <v>0.0</v>
      </c>
      <c r="S1136" s="17">
        <v>0.0</v>
      </c>
      <c r="T1136" s="17">
        <v>0.0</v>
      </c>
      <c r="U1136" s="17">
        <v>0.0</v>
      </c>
    </row>
    <row r="1137" ht="23.25" customHeight="1">
      <c r="A1137" s="20" t="str">
        <f>IMAGE("https://www.smogon.com/forums//media/minisprites/shellos-east.png",3)</f>
        <v/>
      </c>
      <c r="B1137" s="21" t="s">
        <v>2700</v>
      </c>
      <c r="C1137" s="20" t="s">
        <v>17</v>
      </c>
      <c r="D1137" s="20">
        <v>24.0</v>
      </c>
      <c r="E1137" s="20" t="s">
        <v>366</v>
      </c>
      <c r="G1137" s="22"/>
      <c r="H1137" s="23" t="s">
        <v>367</v>
      </c>
      <c r="I1137" s="20" t="s">
        <v>89</v>
      </c>
      <c r="J1137" s="20">
        <v>0.0</v>
      </c>
      <c r="K1137" s="20">
        <v>0.0</v>
      </c>
      <c r="L1137" s="20">
        <v>0.0</v>
      </c>
      <c r="M1137" s="20">
        <v>0.0</v>
      </c>
      <c r="N1137" s="20">
        <v>0.0</v>
      </c>
      <c r="O1137" s="20">
        <v>0.0</v>
      </c>
      <c r="P1137" s="20">
        <v>0.0</v>
      </c>
      <c r="Q1137" s="20">
        <v>0.0</v>
      </c>
      <c r="R1137" s="20">
        <v>0.0</v>
      </c>
      <c r="S1137" s="20">
        <v>0.0</v>
      </c>
      <c r="T1137" s="20">
        <v>0.0</v>
      </c>
      <c r="U1137" s="20">
        <v>0.0</v>
      </c>
    </row>
    <row r="1138" ht="23.25" customHeight="1">
      <c r="A1138" s="1" t="str">
        <f>IF(COUNTIF('Icon Lookup'!C:C,B1138)&gt;0,LOOKUP(B1138,'Icon Lookup'!C:C,'Icon Lookup'!B:B),"")</f>
        <v/>
      </c>
      <c r="B1138" s="15" t="s">
        <v>1539</v>
      </c>
      <c r="C1138" s="1" t="s">
        <v>17</v>
      </c>
      <c r="D1138" s="1" t="s">
        <v>1540</v>
      </c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</row>
    <row r="1139" ht="23.25" customHeight="1">
      <c r="A1139" s="17" t="str">
        <f>IF(COUNTIF('Icon Lookup'!C:C,B1139)&gt;0,LOOKUP(B1139,'Icon Lookup'!C:C,'Icon Lookup'!B:B),"")</f>
        <v/>
      </c>
      <c r="B1139" s="18" t="s">
        <v>704</v>
      </c>
      <c r="C1139" s="17" t="s">
        <v>17</v>
      </c>
      <c r="D1139" s="17">
        <v>19.0</v>
      </c>
      <c r="E1139" s="17" t="s">
        <v>38</v>
      </c>
      <c r="G1139" s="19"/>
      <c r="H1139" s="20" t="s">
        <v>1541</v>
      </c>
      <c r="I1139" s="17" t="s">
        <v>52</v>
      </c>
      <c r="J1139" s="17">
        <v>0.0</v>
      </c>
      <c r="K1139" s="17">
        <v>0.0</v>
      </c>
      <c r="L1139" s="17">
        <v>0.0</v>
      </c>
      <c r="M1139" s="17">
        <v>0.0</v>
      </c>
      <c r="N1139" s="17">
        <v>0.0</v>
      </c>
      <c r="O1139" s="17">
        <v>0.0</v>
      </c>
      <c r="P1139" s="17">
        <v>0.0</v>
      </c>
      <c r="Q1139" s="17">
        <v>0.0</v>
      </c>
      <c r="R1139" s="17">
        <v>0.0</v>
      </c>
      <c r="S1139" s="17">
        <v>0.0</v>
      </c>
      <c r="T1139" s="17">
        <v>0.0</v>
      </c>
      <c r="U1139" s="17">
        <v>0.0</v>
      </c>
    </row>
    <row r="1140" ht="23.25" customHeight="1">
      <c r="A1140" s="20" t="str">
        <f>IF(COUNTIF('Icon Lookup'!C:C,B1140)&gt;0,LOOKUP(B1140,'Icon Lookup'!C:C,'Icon Lookup'!B:B),"")</f>
        <v/>
      </c>
      <c r="B1140" s="21" t="s">
        <v>386</v>
      </c>
      <c r="C1140" s="20" t="s">
        <v>17</v>
      </c>
      <c r="D1140" s="20">
        <v>19.0</v>
      </c>
      <c r="E1140" s="20" t="s">
        <v>387</v>
      </c>
      <c r="G1140" s="22"/>
      <c r="H1140" s="23" t="s">
        <v>1542</v>
      </c>
      <c r="I1140" s="20" t="s">
        <v>52</v>
      </c>
      <c r="J1140" s="20">
        <v>0.0</v>
      </c>
      <c r="K1140" s="20">
        <v>0.0</v>
      </c>
      <c r="L1140" s="20">
        <v>0.0</v>
      </c>
      <c r="M1140" s="20">
        <v>0.0</v>
      </c>
      <c r="N1140" s="20">
        <v>0.0</v>
      </c>
      <c r="O1140" s="20">
        <v>0.0</v>
      </c>
      <c r="P1140" s="20">
        <v>0.0</v>
      </c>
      <c r="Q1140" s="20">
        <v>0.0</v>
      </c>
      <c r="R1140" s="20">
        <v>0.0</v>
      </c>
      <c r="S1140" s="20">
        <v>0.0</v>
      </c>
      <c r="T1140" s="20">
        <v>0.0</v>
      </c>
      <c r="U1140" s="20">
        <v>0.0</v>
      </c>
    </row>
    <row r="1141" ht="23.25" customHeight="1">
      <c r="A1141" s="1" t="str">
        <f>IF(COUNTIF('Icon Lookup'!C:C,B1141)&gt;0,LOOKUP(B1141,'Icon Lookup'!C:C,'Icon Lookup'!B:B),"")</f>
        <v/>
      </c>
      <c r="B1141" s="15" t="s">
        <v>1543</v>
      </c>
      <c r="C1141" s="1" t="s">
        <v>17</v>
      </c>
      <c r="D1141" s="1" t="s">
        <v>1544</v>
      </c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</row>
    <row r="1142" ht="23.25" customHeight="1">
      <c r="A1142" s="17" t="str">
        <f>IF(COUNTIF('Icon Lookup'!C:C,B1142)&gt;0,LOOKUP(B1142,'Icon Lookup'!C:C,'Icon Lookup'!B:B),"")</f>
        <v/>
      </c>
      <c r="B1142" s="18" t="s">
        <v>86</v>
      </c>
      <c r="C1142" s="17" t="s">
        <v>17</v>
      </c>
      <c r="D1142" s="17">
        <v>23.0</v>
      </c>
      <c r="E1142" s="17" t="s">
        <v>87</v>
      </c>
      <c r="G1142" s="19"/>
      <c r="H1142" s="20" t="s">
        <v>1545</v>
      </c>
      <c r="I1142" s="17" t="s">
        <v>46</v>
      </c>
      <c r="J1142" s="17">
        <v>0.0</v>
      </c>
      <c r="K1142" s="17">
        <v>0.0</v>
      </c>
      <c r="L1142" s="17">
        <v>0.0</v>
      </c>
      <c r="M1142" s="17">
        <v>0.0</v>
      </c>
      <c r="N1142" s="17">
        <v>0.0</v>
      </c>
      <c r="O1142" s="17">
        <v>0.0</v>
      </c>
      <c r="P1142" s="17">
        <v>0.0</v>
      </c>
      <c r="Q1142" s="17">
        <v>0.0</v>
      </c>
      <c r="R1142" s="17">
        <v>0.0</v>
      </c>
      <c r="S1142" s="17">
        <v>0.0</v>
      </c>
      <c r="T1142" s="17">
        <v>0.0</v>
      </c>
      <c r="U1142" s="17">
        <v>0.0</v>
      </c>
    </row>
    <row r="1143" ht="23.25" customHeight="1">
      <c r="A1143" s="20" t="str">
        <f>IF(COUNTIF('Icon Lookup'!C:C,B1143)&gt;0,LOOKUP(B1143,'Icon Lookup'!C:C,'Icon Lookup'!B:B),"")</f>
        <v/>
      </c>
      <c r="B1143" s="21" t="s">
        <v>86</v>
      </c>
      <c r="C1143" s="20" t="s">
        <v>17</v>
      </c>
      <c r="D1143" s="20">
        <v>23.0</v>
      </c>
      <c r="E1143" s="20" t="s">
        <v>87</v>
      </c>
      <c r="G1143" s="22"/>
      <c r="H1143" s="23" t="s">
        <v>1546</v>
      </c>
      <c r="I1143" s="20" t="s">
        <v>46</v>
      </c>
      <c r="J1143" s="20">
        <v>0.0</v>
      </c>
      <c r="K1143" s="20">
        <v>0.0</v>
      </c>
      <c r="L1143" s="20">
        <v>0.0</v>
      </c>
      <c r="M1143" s="20">
        <v>0.0</v>
      </c>
      <c r="N1143" s="20">
        <v>0.0</v>
      </c>
      <c r="O1143" s="20">
        <v>0.0</v>
      </c>
      <c r="P1143" s="20">
        <v>0.0</v>
      </c>
      <c r="Q1143" s="20">
        <v>0.0</v>
      </c>
      <c r="R1143" s="20">
        <v>0.0</v>
      </c>
      <c r="S1143" s="20">
        <v>0.0</v>
      </c>
      <c r="T1143" s="20">
        <v>0.0</v>
      </c>
      <c r="U1143" s="20">
        <v>0.0</v>
      </c>
    </row>
    <row r="1144" ht="23.25" customHeight="1">
      <c r="A1144" s="17" t="str">
        <f>IF(COUNTIF('Icon Lookup'!C:C,B1144)&gt;0,LOOKUP(B1144,'Icon Lookup'!C:C,'Icon Lookup'!B:B),"")</f>
        <v/>
      </c>
      <c r="B1144" s="18" t="s">
        <v>86</v>
      </c>
      <c r="C1144" s="17" t="s">
        <v>17</v>
      </c>
      <c r="D1144" s="17">
        <v>26.0</v>
      </c>
      <c r="E1144" s="17" t="s">
        <v>87</v>
      </c>
      <c r="G1144" s="19"/>
      <c r="H1144" s="20" t="s">
        <v>1547</v>
      </c>
      <c r="I1144" s="17" t="s">
        <v>46</v>
      </c>
      <c r="J1144" s="17">
        <v>0.0</v>
      </c>
      <c r="K1144" s="17">
        <v>0.0</v>
      </c>
      <c r="L1144" s="17">
        <v>0.0</v>
      </c>
      <c r="M1144" s="17">
        <v>0.0</v>
      </c>
      <c r="N1144" s="17">
        <v>0.0</v>
      </c>
      <c r="O1144" s="17">
        <v>0.0</v>
      </c>
      <c r="P1144" s="17">
        <v>0.0</v>
      </c>
      <c r="Q1144" s="17">
        <v>0.0</v>
      </c>
      <c r="R1144" s="17">
        <v>0.0</v>
      </c>
      <c r="S1144" s="17">
        <v>0.0</v>
      </c>
      <c r="T1144" s="17">
        <v>0.0</v>
      </c>
      <c r="U1144" s="17">
        <v>0.0</v>
      </c>
    </row>
    <row r="1145" ht="23.25" customHeight="1">
      <c r="A1145" s="1" t="str">
        <f>IF(COUNTIF('Icon Lookup'!C:C,B1145)&gt;0,LOOKUP(B1145,'Icon Lookup'!C:C,'Icon Lookup'!B:B),"")</f>
        <v/>
      </c>
      <c r="B1145" s="15" t="s">
        <v>1548</v>
      </c>
      <c r="C1145" s="1" t="s">
        <v>17</v>
      </c>
      <c r="D1145" s="1" t="s">
        <v>1549</v>
      </c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</row>
    <row r="1146" ht="23.25" customHeight="1">
      <c r="A1146" s="20" t="str">
        <f>IF(COUNTIF('Icon Lookup'!C:C,B1146)&gt;0,LOOKUP(B1146,'Icon Lookup'!C:C,'Icon Lookup'!B:B),"")</f>
        <v/>
      </c>
      <c r="B1146" s="21" t="s">
        <v>37</v>
      </c>
      <c r="C1146" s="20" t="s">
        <v>17</v>
      </c>
      <c r="D1146" s="20">
        <v>25.0</v>
      </c>
      <c r="E1146" s="20" t="s">
        <v>38</v>
      </c>
      <c r="G1146" s="22"/>
      <c r="H1146" s="23" t="s">
        <v>1550</v>
      </c>
      <c r="I1146" s="20" t="s">
        <v>40</v>
      </c>
      <c r="J1146" s="20">
        <v>0.0</v>
      </c>
      <c r="K1146" s="20">
        <v>0.0</v>
      </c>
      <c r="L1146" s="20">
        <v>0.0</v>
      </c>
      <c r="M1146" s="20">
        <v>0.0</v>
      </c>
      <c r="N1146" s="20">
        <v>0.0</v>
      </c>
      <c r="O1146" s="20">
        <v>0.0</v>
      </c>
      <c r="P1146" s="20">
        <v>0.0</v>
      </c>
      <c r="Q1146" s="20">
        <v>0.0</v>
      </c>
      <c r="R1146" s="20">
        <v>0.0</v>
      </c>
      <c r="S1146" s="20">
        <v>0.0</v>
      </c>
      <c r="T1146" s="20">
        <v>0.0</v>
      </c>
      <c r="U1146" s="20">
        <v>0.0</v>
      </c>
    </row>
    <row r="1147" ht="23.25" customHeight="1">
      <c r="A1147" s="17" t="str">
        <f>IF(COUNTIF('Icon Lookup'!C:C,B1147)&gt;0,LOOKUP(B1147,'Icon Lookup'!C:C,'Icon Lookup'!B:B),"")</f>
        <v/>
      </c>
      <c r="B1147" s="18" t="s">
        <v>282</v>
      </c>
      <c r="C1147" s="17" t="s">
        <v>17</v>
      </c>
      <c r="D1147" s="17">
        <v>25.0</v>
      </c>
      <c r="E1147" s="17" t="s">
        <v>283</v>
      </c>
      <c r="G1147" s="19"/>
      <c r="H1147" s="20" t="s">
        <v>1551</v>
      </c>
      <c r="I1147" s="17" t="s">
        <v>46</v>
      </c>
      <c r="J1147" s="17">
        <v>0.0</v>
      </c>
      <c r="K1147" s="17">
        <v>0.0</v>
      </c>
      <c r="L1147" s="17">
        <v>0.0</v>
      </c>
      <c r="M1147" s="17">
        <v>0.0</v>
      </c>
      <c r="N1147" s="17">
        <v>0.0</v>
      </c>
      <c r="O1147" s="17">
        <v>0.0</v>
      </c>
      <c r="P1147" s="17">
        <v>0.0</v>
      </c>
      <c r="Q1147" s="17">
        <v>0.0</v>
      </c>
      <c r="R1147" s="17">
        <v>0.0</v>
      </c>
      <c r="S1147" s="17">
        <v>0.0</v>
      </c>
      <c r="T1147" s="17">
        <v>0.0</v>
      </c>
      <c r="U1147" s="17">
        <v>0.0</v>
      </c>
    </row>
    <row r="1148" ht="23.25" customHeight="1">
      <c r="A1148" s="1" t="str">
        <f>IF(COUNTIF('Icon Lookup'!C:C,B1148)&gt;0,LOOKUP(B1148,'Icon Lookup'!C:C,'Icon Lookup'!B:B),"")</f>
        <v/>
      </c>
      <c r="B1148" s="15" t="s">
        <v>1552</v>
      </c>
      <c r="C1148" s="1" t="s">
        <v>17</v>
      </c>
      <c r="D1148" s="1" t="s">
        <v>1553</v>
      </c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</row>
    <row r="1149" ht="23.25" customHeight="1">
      <c r="A1149" s="20" t="str">
        <f>IF(COUNTIF('Icon Lookup'!C:C,B1149)&gt;0,LOOKUP(B1149,'Icon Lookup'!C:C,'Icon Lookup'!B:B),"")</f>
        <v/>
      </c>
      <c r="B1149" s="21" t="s">
        <v>1017</v>
      </c>
      <c r="C1149" s="20" t="s">
        <v>17</v>
      </c>
      <c r="D1149" s="20">
        <v>27.0</v>
      </c>
      <c r="E1149" s="20" t="s">
        <v>1018</v>
      </c>
      <c r="G1149" s="22"/>
      <c r="H1149" s="23" t="s">
        <v>1554</v>
      </c>
      <c r="I1149" s="20" t="s">
        <v>46</v>
      </c>
      <c r="J1149" s="20">
        <v>0.0</v>
      </c>
      <c r="K1149" s="20">
        <v>0.0</v>
      </c>
      <c r="L1149" s="20">
        <v>0.0</v>
      </c>
      <c r="M1149" s="20">
        <v>0.0</v>
      </c>
      <c r="N1149" s="20">
        <v>0.0</v>
      </c>
      <c r="O1149" s="20">
        <v>0.0</v>
      </c>
      <c r="P1149" s="20">
        <v>0.0</v>
      </c>
      <c r="Q1149" s="20">
        <v>0.0</v>
      </c>
      <c r="R1149" s="20">
        <v>0.0</v>
      </c>
      <c r="S1149" s="20">
        <v>0.0</v>
      </c>
      <c r="T1149" s="20">
        <v>0.0</v>
      </c>
      <c r="U1149" s="20">
        <v>0.0</v>
      </c>
    </row>
    <row r="1150" ht="23.25" customHeight="1">
      <c r="A1150" s="1" t="str">
        <f>IF(COUNTIF('Icon Lookup'!C:C,B1150)&gt;0,LOOKUP(B1150,'Icon Lookup'!C:C,'Icon Lookup'!B:B),"")</f>
        <v/>
      </c>
      <c r="B1150" s="15" t="s">
        <v>1555</v>
      </c>
      <c r="C1150" s="1" t="s">
        <v>17</v>
      </c>
      <c r="D1150" s="1" t="s">
        <v>1556</v>
      </c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</row>
    <row r="1151" ht="23.25" customHeight="1">
      <c r="A1151" s="17" t="str">
        <f>IF(COUNTIF('Icon Lookup'!C:C,B1151)&gt;0,LOOKUP(B1151,'Icon Lookup'!C:C,'Icon Lookup'!B:B),"")</f>
        <v/>
      </c>
      <c r="B1151" s="18" t="s">
        <v>1557</v>
      </c>
      <c r="C1151" s="17" t="s">
        <v>17</v>
      </c>
      <c r="D1151" s="17">
        <v>25.0</v>
      </c>
      <c r="E1151" s="17" t="s">
        <v>289</v>
      </c>
      <c r="G1151" s="19"/>
      <c r="H1151" s="20" t="s">
        <v>1558</v>
      </c>
      <c r="I1151" s="17" t="s">
        <v>105</v>
      </c>
      <c r="J1151" s="17">
        <v>0.0</v>
      </c>
      <c r="K1151" s="17">
        <v>0.0</v>
      </c>
      <c r="L1151" s="17">
        <v>0.0</v>
      </c>
      <c r="M1151" s="17">
        <v>0.0</v>
      </c>
      <c r="N1151" s="17">
        <v>0.0</v>
      </c>
      <c r="O1151" s="17">
        <v>0.0</v>
      </c>
      <c r="P1151" s="17">
        <v>0.0</v>
      </c>
      <c r="Q1151" s="17">
        <v>0.0</v>
      </c>
      <c r="R1151" s="17">
        <v>0.0</v>
      </c>
      <c r="S1151" s="17">
        <v>0.0</v>
      </c>
      <c r="T1151" s="17">
        <v>0.0</v>
      </c>
      <c r="U1151" s="17">
        <v>0.0</v>
      </c>
    </row>
    <row r="1152" ht="23.25" customHeight="1">
      <c r="A1152" s="1" t="str">
        <f>IF(COUNTIF('Icon Lookup'!C:C,B1152)&gt;0,LOOKUP(B1152,'Icon Lookup'!C:C,'Icon Lookup'!B:B),"")</f>
        <v/>
      </c>
      <c r="B1152" s="15" t="s">
        <v>1559</v>
      </c>
      <c r="C1152" s="1" t="s">
        <v>17</v>
      </c>
      <c r="D1152" s="1" t="s">
        <v>1560</v>
      </c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</row>
    <row r="1153" ht="23.25" customHeight="1">
      <c r="A1153" s="20" t="str">
        <f>IF(COUNTIF('Icon Lookup'!C:C,B1153)&gt;0,LOOKUP(B1153,'Icon Lookup'!C:C,'Icon Lookup'!B:B),"")</f>
        <v/>
      </c>
      <c r="B1153" s="21" t="s">
        <v>482</v>
      </c>
      <c r="C1153" s="20" t="s">
        <v>17</v>
      </c>
      <c r="D1153" s="20">
        <v>43.0</v>
      </c>
      <c r="E1153" s="20" t="s">
        <v>218</v>
      </c>
      <c r="G1153" s="22"/>
      <c r="H1153" s="23" t="s">
        <v>605</v>
      </c>
      <c r="I1153" s="20" t="s">
        <v>265</v>
      </c>
      <c r="J1153" s="20">
        <v>0.0</v>
      </c>
      <c r="K1153" s="20">
        <v>0.0</v>
      </c>
      <c r="L1153" s="20">
        <v>0.0</v>
      </c>
      <c r="M1153" s="20">
        <v>0.0</v>
      </c>
      <c r="N1153" s="20">
        <v>0.0</v>
      </c>
      <c r="O1153" s="20">
        <v>0.0</v>
      </c>
      <c r="P1153" s="20">
        <v>0.0</v>
      </c>
      <c r="Q1153" s="20">
        <v>0.0</v>
      </c>
      <c r="R1153" s="20">
        <v>0.0</v>
      </c>
      <c r="S1153" s="20">
        <v>0.0</v>
      </c>
      <c r="T1153" s="20">
        <v>0.0</v>
      </c>
      <c r="U1153" s="20">
        <v>0.0</v>
      </c>
    </row>
    <row r="1154" ht="23.25" customHeight="1">
      <c r="A1154" s="1" t="str">
        <f>IF(COUNTIF('Icon Lookup'!C:C,B1154)&gt;0,LOOKUP(B1154,'Icon Lookup'!C:C,'Icon Lookup'!B:B),"")</f>
        <v/>
      </c>
      <c r="B1154" s="15" t="s">
        <v>1561</v>
      </c>
      <c r="C1154" s="1" t="s">
        <v>17</v>
      </c>
      <c r="D1154" s="1" t="s">
        <v>1562</v>
      </c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</row>
    <row r="1155" ht="23.25" customHeight="1">
      <c r="A1155" s="17" t="str">
        <f>IF(COUNTIF('Icon Lookup'!C:C,B1155)&gt;0,LOOKUP(B1155,'Icon Lookup'!C:C,'Icon Lookup'!B:B),"")</f>
        <v/>
      </c>
      <c r="B1155" s="18" t="s">
        <v>271</v>
      </c>
      <c r="C1155" s="17" t="s">
        <v>17</v>
      </c>
      <c r="D1155" s="17">
        <v>31.0</v>
      </c>
      <c r="E1155" s="17" t="s">
        <v>44</v>
      </c>
      <c r="G1155" s="19"/>
      <c r="H1155" s="20" t="s">
        <v>581</v>
      </c>
      <c r="I1155" s="17" t="s">
        <v>211</v>
      </c>
      <c r="J1155" s="17">
        <v>0.0</v>
      </c>
      <c r="K1155" s="17">
        <v>0.0</v>
      </c>
      <c r="L1155" s="17">
        <v>0.0</v>
      </c>
      <c r="M1155" s="17">
        <v>0.0</v>
      </c>
      <c r="N1155" s="17">
        <v>0.0</v>
      </c>
      <c r="O1155" s="17">
        <v>0.0</v>
      </c>
      <c r="P1155" s="17">
        <v>0.0</v>
      </c>
      <c r="Q1155" s="17">
        <v>0.0</v>
      </c>
      <c r="R1155" s="17">
        <v>0.0</v>
      </c>
      <c r="S1155" s="17">
        <v>0.0</v>
      </c>
      <c r="T1155" s="17">
        <v>0.0</v>
      </c>
      <c r="U1155" s="17">
        <v>0.0</v>
      </c>
    </row>
    <row r="1156" ht="23.25" customHeight="1">
      <c r="A1156" s="1" t="str">
        <f>IF(COUNTIF('Icon Lookup'!C:C,B1156)&gt;0,LOOKUP(B1156,'Icon Lookup'!C:C,'Icon Lookup'!B:B),"")</f>
        <v/>
      </c>
      <c r="B1156" s="15" t="s">
        <v>1563</v>
      </c>
      <c r="C1156" s="1" t="s">
        <v>17</v>
      </c>
      <c r="D1156" s="1" t="s">
        <v>1564</v>
      </c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</row>
    <row r="1157" ht="23.25" customHeight="1">
      <c r="A1157" s="20" t="str">
        <f>IF(COUNTIF('Icon Lookup'!C:C,B1157)&gt;0,LOOKUP(B1157,'Icon Lookup'!C:C,'Icon Lookup'!B:B),"")</f>
        <v/>
      </c>
      <c r="B1157" s="21" t="s">
        <v>30</v>
      </c>
      <c r="C1157" s="20" t="s">
        <v>17</v>
      </c>
      <c r="D1157" s="20">
        <v>13.0</v>
      </c>
      <c r="E1157" s="20" t="s">
        <v>31</v>
      </c>
      <c r="G1157" s="22"/>
      <c r="H1157" s="23" t="s">
        <v>222</v>
      </c>
      <c r="I1157" s="20" t="s">
        <v>36</v>
      </c>
      <c r="J1157" s="20">
        <v>0.0</v>
      </c>
      <c r="K1157" s="20">
        <v>0.0</v>
      </c>
      <c r="L1157" s="20">
        <v>0.0</v>
      </c>
      <c r="M1157" s="20">
        <v>0.0</v>
      </c>
      <c r="N1157" s="20">
        <v>0.0</v>
      </c>
      <c r="O1157" s="20">
        <v>0.0</v>
      </c>
      <c r="P1157" s="20">
        <v>0.0</v>
      </c>
      <c r="Q1157" s="20">
        <v>0.0</v>
      </c>
      <c r="R1157" s="20">
        <v>0.0</v>
      </c>
      <c r="S1157" s="20">
        <v>0.0</v>
      </c>
      <c r="T1157" s="20">
        <v>0.0</v>
      </c>
      <c r="U1157" s="20">
        <v>0.0</v>
      </c>
    </row>
    <row r="1158" ht="23.25" customHeight="1">
      <c r="A1158" s="17" t="str">
        <f>IF(COUNTIF('Icon Lookup'!C:C,B1158)&gt;0,LOOKUP(B1158,'Icon Lookup'!C:C,'Icon Lookup'!B:B),"")</f>
        <v/>
      </c>
      <c r="B1158" s="18" t="s">
        <v>37</v>
      </c>
      <c r="C1158" s="17" t="s">
        <v>17</v>
      </c>
      <c r="D1158" s="17">
        <v>14.0</v>
      </c>
      <c r="E1158" s="17" t="s">
        <v>38</v>
      </c>
      <c r="G1158" s="19"/>
      <c r="H1158" s="20" t="s">
        <v>318</v>
      </c>
      <c r="I1158" s="17" t="s">
        <v>40</v>
      </c>
      <c r="J1158" s="17">
        <v>0.0</v>
      </c>
      <c r="K1158" s="17">
        <v>0.0</v>
      </c>
      <c r="L1158" s="17">
        <v>0.0</v>
      </c>
      <c r="M1158" s="17">
        <v>0.0</v>
      </c>
      <c r="N1158" s="17">
        <v>0.0</v>
      </c>
      <c r="O1158" s="17">
        <v>0.0</v>
      </c>
      <c r="P1158" s="17">
        <v>0.0</v>
      </c>
      <c r="Q1158" s="17">
        <v>0.0</v>
      </c>
      <c r="R1158" s="17">
        <v>0.0</v>
      </c>
      <c r="S1158" s="17">
        <v>0.0</v>
      </c>
      <c r="T1158" s="17">
        <v>0.0</v>
      </c>
      <c r="U1158" s="17">
        <v>0.0</v>
      </c>
    </row>
    <row r="1159" ht="23.25" customHeight="1">
      <c r="A1159" s="20" t="str">
        <f>IF(COUNTIF('Icon Lookup'!C:C,B1159)&gt;0,LOOKUP(B1159,'Icon Lookup'!C:C,'Icon Lookup'!B:B),"")</f>
        <v/>
      </c>
      <c r="B1159" s="21" t="s">
        <v>379</v>
      </c>
      <c r="C1159" s="20" t="s">
        <v>17</v>
      </c>
      <c r="D1159" s="20">
        <v>15.0</v>
      </c>
      <c r="E1159" s="20" t="s">
        <v>121</v>
      </c>
      <c r="G1159" s="22"/>
      <c r="H1159" s="23" t="s">
        <v>1565</v>
      </c>
      <c r="I1159" s="20" t="s">
        <v>36</v>
      </c>
      <c r="J1159" s="20">
        <v>0.0</v>
      </c>
      <c r="K1159" s="20">
        <v>0.0</v>
      </c>
      <c r="L1159" s="20">
        <v>0.0</v>
      </c>
      <c r="M1159" s="20">
        <v>0.0</v>
      </c>
      <c r="N1159" s="20">
        <v>0.0</v>
      </c>
      <c r="O1159" s="20">
        <v>0.0</v>
      </c>
      <c r="P1159" s="20">
        <v>0.0</v>
      </c>
      <c r="Q1159" s="20">
        <v>0.0</v>
      </c>
      <c r="R1159" s="20">
        <v>0.0</v>
      </c>
      <c r="S1159" s="20">
        <v>0.0</v>
      </c>
      <c r="T1159" s="20">
        <v>0.0</v>
      </c>
      <c r="U1159" s="20">
        <v>0.0</v>
      </c>
    </row>
    <row r="1160" ht="23.25" customHeight="1">
      <c r="A1160" s="1" t="str">
        <f>IF(COUNTIF('Icon Lookup'!C:C,B1160)&gt;0,LOOKUP(B1160,'Icon Lookup'!C:C,'Icon Lookup'!B:B),"")</f>
        <v/>
      </c>
      <c r="B1160" s="15" t="s">
        <v>1566</v>
      </c>
      <c r="C1160" s="1" t="s">
        <v>17</v>
      </c>
      <c r="D1160" s="1" t="s">
        <v>1567</v>
      </c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</row>
    <row r="1161" ht="23.25" customHeight="1">
      <c r="A1161" s="17" t="str">
        <f>IF(COUNTIF('Icon Lookup'!C:C,B1161)&gt;0,LOOKUP(B1161,'Icon Lookup'!C:C,'Icon Lookup'!B:B),"")</f>
        <v/>
      </c>
      <c r="B1161" s="18" t="s">
        <v>271</v>
      </c>
      <c r="C1161" s="17" t="s">
        <v>17</v>
      </c>
      <c r="D1161" s="17">
        <v>26.0</v>
      </c>
      <c r="E1161" s="17" t="s">
        <v>111</v>
      </c>
      <c r="G1161" s="19"/>
      <c r="H1161" s="20" t="s">
        <v>1568</v>
      </c>
      <c r="I1161" s="17" t="s">
        <v>22</v>
      </c>
      <c r="J1161" s="17">
        <v>0.0</v>
      </c>
      <c r="K1161" s="17">
        <v>0.0</v>
      </c>
      <c r="L1161" s="17">
        <v>0.0</v>
      </c>
      <c r="M1161" s="17">
        <v>0.0</v>
      </c>
      <c r="N1161" s="17">
        <v>0.0</v>
      </c>
      <c r="O1161" s="17">
        <v>0.0</v>
      </c>
      <c r="P1161" s="17">
        <v>0.0</v>
      </c>
      <c r="Q1161" s="17">
        <v>0.0</v>
      </c>
      <c r="R1161" s="17">
        <v>0.0</v>
      </c>
      <c r="S1161" s="17">
        <v>0.0</v>
      </c>
      <c r="T1161" s="17">
        <v>0.0</v>
      </c>
      <c r="U1161" s="17">
        <v>0.0</v>
      </c>
    </row>
    <row r="1162" ht="23.25" customHeight="1">
      <c r="A1162" s="1" t="str">
        <f>IF(COUNTIF('Icon Lookup'!C:C,B1162)&gt;0,LOOKUP(B1162,'Icon Lookup'!C:C,'Icon Lookup'!B:B),"")</f>
        <v/>
      </c>
      <c r="B1162" s="15" t="s">
        <v>1569</v>
      </c>
      <c r="C1162" s="1" t="s">
        <v>17</v>
      </c>
      <c r="D1162" s="1" t="s">
        <v>1570</v>
      </c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</row>
    <row r="1163" ht="23.25" customHeight="1">
      <c r="A1163" s="20" t="str">
        <f>IF(COUNTIF('Icon Lookup'!C:C,B1163)&gt;0,LOOKUP(B1163,'Icon Lookup'!C:C,'Icon Lookup'!B:B),"")</f>
        <v/>
      </c>
      <c r="B1163" s="21" t="s">
        <v>661</v>
      </c>
      <c r="C1163" s="20" t="s">
        <v>17</v>
      </c>
      <c r="D1163" s="20">
        <v>24.0</v>
      </c>
      <c r="E1163" s="20" t="s">
        <v>887</v>
      </c>
      <c r="G1163" s="22"/>
      <c r="H1163" s="23" t="s">
        <v>1571</v>
      </c>
      <c r="I1163" s="20" t="s">
        <v>52</v>
      </c>
      <c r="J1163" s="20">
        <v>0.0</v>
      </c>
      <c r="K1163" s="20">
        <v>0.0</v>
      </c>
      <c r="L1163" s="20">
        <v>0.0</v>
      </c>
      <c r="M1163" s="20">
        <v>0.0</v>
      </c>
      <c r="N1163" s="20">
        <v>0.0</v>
      </c>
      <c r="O1163" s="20">
        <v>0.0</v>
      </c>
      <c r="P1163" s="20">
        <v>0.0</v>
      </c>
      <c r="Q1163" s="20">
        <v>0.0</v>
      </c>
      <c r="R1163" s="20">
        <v>0.0</v>
      </c>
      <c r="S1163" s="20">
        <v>0.0</v>
      </c>
      <c r="T1163" s="20">
        <v>0.0</v>
      </c>
      <c r="U1163" s="20">
        <v>0.0</v>
      </c>
    </row>
    <row r="1164" ht="23.25" customHeight="1">
      <c r="A1164" s="17" t="str">
        <f>IF(COUNTIF('Icon Lookup'!C:C,B1164)&gt;0,LOOKUP(B1164,'Icon Lookup'!C:C,'Icon Lookup'!B:B),"")</f>
        <v/>
      </c>
      <c r="B1164" s="18" t="s">
        <v>381</v>
      </c>
      <c r="C1164" s="17" t="s">
        <v>17</v>
      </c>
      <c r="D1164" s="17">
        <v>24.0</v>
      </c>
      <c r="E1164" s="17" t="s">
        <v>603</v>
      </c>
      <c r="G1164" s="19"/>
      <c r="H1164" s="20" t="s">
        <v>1572</v>
      </c>
      <c r="I1164" s="17" t="s">
        <v>550</v>
      </c>
      <c r="J1164" s="17">
        <v>0.0</v>
      </c>
      <c r="K1164" s="17">
        <v>0.0</v>
      </c>
      <c r="L1164" s="17">
        <v>0.0</v>
      </c>
      <c r="M1164" s="17">
        <v>0.0</v>
      </c>
      <c r="N1164" s="17">
        <v>0.0</v>
      </c>
      <c r="O1164" s="17">
        <v>0.0</v>
      </c>
      <c r="P1164" s="17">
        <v>0.0</v>
      </c>
      <c r="Q1164" s="17">
        <v>0.0</v>
      </c>
      <c r="R1164" s="17">
        <v>0.0</v>
      </c>
      <c r="S1164" s="17">
        <v>0.0</v>
      </c>
      <c r="T1164" s="17">
        <v>0.0</v>
      </c>
      <c r="U1164" s="17">
        <v>0.0</v>
      </c>
    </row>
    <row r="1165" ht="23.25" customHeight="1">
      <c r="A1165" s="1" t="str">
        <f>IF(COUNTIF('Icon Lookup'!C:C,B1165)&gt;0,LOOKUP(B1165,'Icon Lookup'!C:C,'Icon Lookup'!B:B),"")</f>
        <v/>
      </c>
      <c r="B1165" s="15" t="s">
        <v>1573</v>
      </c>
      <c r="C1165" s="1" t="s">
        <v>17</v>
      </c>
      <c r="D1165" s="1" t="s">
        <v>1574</v>
      </c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</row>
    <row r="1166" ht="23.25" customHeight="1">
      <c r="A1166" s="20" t="str">
        <f>IF(COUNTIF('Icon Lookup'!C:C,B1166)&gt;0,LOOKUP(B1166,'Icon Lookup'!C:C,'Icon Lookup'!B:B),"")</f>
        <v/>
      </c>
      <c r="B1166" s="21" t="s">
        <v>697</v>
      </c>
      <c r="C1166" s="20" t="s">
        <v>17</v>
      </c>
      <c r="D1166" s="20">
        <v>54.0</v>
      </c>
      <c r="E1166" s="20" t="s">
        <v>258</v>
      </c>
      <c r="G1166" s="22"/>
      <c r="H1166" s="23" t="s">
        <v>1575</v>
      </c>
      <c r="I1166" s="20" t="s">
        <v>94</v>
      </c>
      <c r="J1166" s="20">
        <v>0.0</v>
      </c>
      <c r="K1166" s="20">
        <v>0.0</v>
      </c>
      <c r="L1166" s="20">
        <v>0.0</v>
      </c>
      <c r="M1166" s="20">
        <v>0.0</v>
      </c>
      <c r="N1166" s="20">
        <v>0.0</v>
      </c>
      <c r="O1166" s="20">
        <v>0.0</v>
      </c>
      <c r="P1166" s="20">
        <v>0.0</v>
      </c>
      <c r="Q1166" s="20">
        <v>0.0</v>
      </c>
      <c r="R1166" s="20">
        <v>0.0</v>
      </c>
      <c r="S1166" s="20">
        <v>0.0</v>
      </c>
      <c r="T1166" s="20">
        <v>0.0</v>
      </c>
      <c r="U1166" s="20">
        <v>0.0</v>
      </c>
    </row>
    <row r="1167" ht="23.25" customHeight="1">
      <c r="A1167" s="17" t="str">
        <f>IF(COUNTIF('Icon Lookup'!C:C,B1167)&gt;0,LOOKUP(B1167,'Icon Lookup'!C:C,'Icon Lookup'!B:B),"")</f>
        <v/>
      </c>
      <c r="B1167" s="18" t="s">
        <v>643</v>
      </c>
      <c r="C1167" s="17" t="s">
        <v>17</v>
      </c>
      <c r="D1167" s="17">
        <v>54.0</v>
      </c>
      <c r="E1167" s="17" t="s">
        <v>525</v>
      </c>
      <c r="G1167" s="19"/>
      <c r="H1167" s="20" t="s">
        <v>1576</v>
      </c>
      <c r="I1167" s="17" t="s">
        <v>89</v>
      </c>
      <c r="J1167" s="17">
        <v>0.0</v>
      </c>
      <c r="K1167" s="17">
        <v>0.0</v>
      </c>
      <c r="L1167" s="17">
        <v>0.0</v>
      </c>
      <c r="M1167" s="17">
        <v>0.0</v>
      </c>
      <c r="N1167" s="17">
        <v>0.0</v>
      </c>
      <c r="O1167" s="17">
        <v>0.0</v>
      </c>
      <c r="P1167" s="17">
        <v>0.0</v>
      </c>
      <c r="Q1167" s="17">
        <v>0.0</v>
      </c>
      <c r="R1167" s="17">
        <v>0.0</v>
      </c>
      <c r="S1167" s="17">
        <v>0.0</v>
      </c>
      <c r="T1167" s="17">
        <v>0.0</v>
      </c>
      <c r="U1167" s="17">
        <v>0.0</v>
      </c>
    </row>
    <row r="1168" ht="23.25" customHeight="1">
      <c r="A1168" s="20" t="str">
        <f>IF(COUNTIF('Icon Lookup'!C:C,B1168)&gt;0,LOOKUP(B1168,'Icon Lookup'!C:C,'Icon Lookup'!B:B),"")</f>
        <v/>
      </c>
      <c r="B1168" s="21" t="s">
        <v>767</v>
      </c>
      <c r="C1168" s="20" t="s">
        <v>17</v>
      </c>
      <c r="D1168" s="20">
        <v>54.0</v>
      </c>
      <c r="E1168" s="20" t="s">
        <v>768</v>
      </c>
      <c r="G1168" s="22"/>
      <c r="H1168" s="23" t="s">
        <v>1577</v>
      </c>
      <c r="I1168" s="20" t="s">
        <v>156</v>
      </c>
      <c r="J1168" s="20">
        <v>0.0</v>
      </c>
      <c r="K1168" s="20">
        <v>0.0</v>
      </c>
      <c r="L1168" s="20">
        <v>0.0</v>
      </c>
      <c r="M1168" s="20">
        <v>0.0</v>
      </c>
      <c r="N1168" s="20">
        <v>0.0</v>
      </c>
      <c r="O1168" s="20">
        <v>0.0</v>
      </c>
      <c r="P1168" s="20">
        <v>0.0</v>
      </c>
      <c r="Q1168" s="20">
        <v>0.0</v>
      </c>
      <c r="R1168" s="20">
        <v>0.0</v>
      </c>
      <c r="S1168" s="20">
        <v>0.0</v>
      </c>
      <c r="T1168" s="20">
        <v>0.0</v>
      </c>
      <c r="U1168" s="20">
        <v>0.0</v>
      </c>
    </row>
    <row r="1169" ht="23.25" customHeight="1">
      <c r="A1169" s="1" t="str">
        <f>IF(COUNTIF('Icon Lookup'!C:C,B1169)&gt;0,LOOKUP(B1169,'Icon Lookup'!C:C,'Icon Lookup'!B:B),"")</f>
        <v/>
      </c>
      <c r="B1169" s="15" t="s">
        <v>1578</v>
      </c>
      <c r="C1169" s="1" t="s">
        <v>17</v>
      </c>
      <c r="D1169" s="1" t="s">
        <v>1579</v>
      </c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</row>
    <row r="1170" ht="23.25" customHeight="1">
      <c r="A1170" s="17" t="str">
        <f>IF(COUNTIF('Icon Lookup'!C:C,B1170)&gt;0,LOOKUP(B1170,'Icon Lookup'!C:C,'Icon Lookup'!B:B),"")</f>
        <v/>
      </c>
      <c r="B1170" s="18" t="s">
        <v>1040</v>
      </c>
      <c r="C1170" s="17" t="s">
        <v>17</v>
      </c>
      <c r="D1170" s="17">
        <v>54.0</v>
      </c>
      <c r="E1170" s="17" t="s">
        <v>382</v>
      </c>
      <c r="G1170" s="19"/>
      <c r="H1170" s="20" t="s">
        <v>1580</v>
      </c>
      <c r="I1170" s="17" t="s">
        <v>89</v>
      </c>
      <c r="J1170" s="17">
        <v>0.0</v>
      </c>
      <c r="K1170" s="17">
        <v>0.0</v>
      </c>
      <c r="L1170" s="17">
        <v>0.0</v>
      </c>
      <c r="M1170" s="17">
        <v>0.0</v>
      </c>
      <c r="N1170" s="17">
        <v>0.0</v>
      </c>
      <c r="O1170" s="17">
        <v>0.0</v>
      </c>
      <c r="P1170" s="17">
        <v>0.0</v>
      </c>
      <c r="Q1170" s="17">
        <v>0.0</v>
      </c>
      <c r="R1170" s="17">
        <v>0.0</v>
      </c>
      <c r="S1170" s="17">
        <v>0.0</v>
      </c>
      <c r="T1170" s="17">
        <v>0.0</v>
      </c>
      <c r="U1170" s="17">
        <v>0.0</v>
      </c>
    </row>
    <row r="1171" ht="23.25" customHeight="1">
      <c r="A1171" s="20" t="str">
        <f>IF(COUNTIF('Icon Lookup'!C:C,B1171)&gt;0,LOOKUP(B1171,'Icon Lookup'!C:C,'Icon Lookup'!B:B),"")</f>
        <v/>
      </c>
      <c r="B1171" s="21" t="s">
        <v>176</v>
      </c>
      <c r="C1171" s="20" t="s">
        <v>17</v>
      </c>
      <c r="D1171" s="20">
        <v>54.0</v>
      </c>
      <c r="E1171" s="20" t="s">
        <v>98</v>
      </c>
      <c r="G1171" s="22"/>
      <c r="H1171" s="23" t="s">
        <v>1581</v>
      </c>
      <c r="I1171" s="20" t="s">
        <v>89</v>
      </c>
      <c r="J1171" s="20">
        <v>0.0</v>
      </c>
      <c r="K1171" s="20">
        <v>0.0</v>
      </c>
      <c r="L1171" s="20">
        <v>0.0</v>
      </c>
      <c r="M1171" s="20">
        <v>0.0</v>
      </c>
      <c r="N1171" s="20">
        <v>0.0</v>
      </c>
      <c r="O1171" s="20">
        <v>0.0</v>
      </c>
      <c r="P1171" s="20">
        <v>0.0</v>
      </c>
      <c r="Q1171" s="20">
        <v>0.0</v>
      </c>
      <c r="R1171" s="20">
        <v>0.0</v>
      </c>
      <c r="S1171" s="20">
        <v>0.0</v>
      </c>
      <c r="T1171" s="20">
        <v>0.0</v>
      </c>
      <c r="U1171" s="20">
        <v>0.0</v>
      </c>
    </row>
    <row r="1172" ht="23.25" customHeight="1">
      <c r="A1172" s="17" t="str">
        <f>IF(COUNTIF('Icon Lookup'!C:C,B1172)&gt;0,LOOKUP(B1172,'Icon Lookup'!C:C,'Icon Lookup'!B:B),"")</f>
        <v/>
      </c>
      <c r="B1172" s="18" t="s">
        <v>174</v>
      </c>
      <c r="C1172" s="17" t="s">
        <v>17</v>
      </c>
      <c r="D1172" s="17">
        <v>54.0</v>
      </c>
      <c r="E1172" s="17" t="s">
        <v>38</v>
      </c>
      <c r="G1172" s="19"/>
      <c r="H1172" s="20" t="s">
        <v>1429</v>
      </c>
      <c r="I1172" s="17" t="s">
        <v>156</v>
      </c>
      <c r="J1172" s="17">
        <v>0.0</v>
      </c>
      <c r="K1172" s="17">
        <v>0.0</v>
      </c>
      <c r="L1172" s="17">
        <v>0.0</v>
      </c>
      <c r="M1172" s="17">
        <v>0.0</v>
      </c>
      <c r="N1172" s="17">
        <v>0.0</v>
      </c>
      <c r="O1172" s="17">
        <v>0.0</v>
      </c>
      <c r="P1172" s="17">
        <v>0.0</v>
      </c>
      <c r="Q1172" s="17">
        <v>0.0</v>
      </c>
      <c r="R1172" s="17">
        <v>0.0</v>
      </c>
      <c r="S1172" s="17">
        <v>0.0</v>
      </c>
      <c r="T1172" s="17">
        <v>0.0</v>
      </c>
      <c r="U1172" s="17">
        <v>0.0</v>
      </c>
    </row>
    <row r="1173" ht="23.25" customHeight="1">
      <c r="A1173" s="1" t="str">
        <f>IF(COUNTIF('Icon Lookup'!C:C,B1173)&gt;0,LOOKUP(B1173,'Icon Lookup'!C:C,'Icon Lookup'!B:B),"")</f>
        <v/>
      </c>
      <c r="B1173" s="15" t="s">
        <v>1582</v>
      </c>
      <c r="C1173" s="1" t="s">
        <v>17</v>
      </c>
      <c r="D1173" s="1" t="s">
        <v>1583</v>
      </c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</row>
    <row r="1174" ht="23.25" customHeight="1">
      <c r="A1174" s="20" t="str">
        <f>IF(COUNTIF('Icon Lookup'!C:C,B1174)&gt;0,LOOKUP(B1174,'Icon Lookup'!C:C,'Icon Lookup'!B:B),"")</f>
        <v/>
      </c>
      <c r="B1174" s="21" t="s">
        <v>97</v>
      </c>
      <c r="C1174" s="20" t="s">
        <v>17</v>
      </c>
      <c r="D1174" s="20">
        <v>31.0</v>
      </c>
      <c r="E1174" s="20" t="s">
        <v>87</v>
      </c>
      <c r="G1174" s="22"/>
      <c r="H1174" s="23" t="s">
        <v>178</v>
      </c>
      <c r="I1174" s="20" t="s">
        <v>89</v>
      </c>
      <c r="J1174" s="20">
        <v>0.0</v>
      </c>
      <c r="K1174" s="20">
        <v>0.0</v>
      </c>
      <c r="L1174" s="20">
        <v>0.0</v>
      </c>
      <c r="M1174" s="20">
        <v>0.0</v>
      </c>
      <c r="N1174" s="20">
        <v>0.0</v>
      </c>
      <c r="O1174" s="20">
        <v>0.0</v>
      </c>
      <c r="P1174" s="20">
        <v>0.0</v>
      </c>
      <c r="Q1174" s="20">
        <v>0.0</v>
      </c>
      <c r="R1174" s="20">
        <v>0.0</v>
      </c>
      <c r="S1174" s="20">
        <v>0.0</v>
      </c>
      <c r="T1174" s="20">
        <v>0.0</v>
      </c>
      <c r="U1174" s="20">
        <v>0.0</v>
      </c>
    </row>
    <row r="1175" ht="23.25" customHeight="1">
      <c r="A1175" s="17" t="str">
        <f>IF(COUNTIF('Icon Lookup'!C:C,B1175)&gt;0,LOOKUP(B1175,'Icon Lookup'!C:C,'Icon Lookup'!B:B),"")</f>
        <v/>
      </c>
      <c r="B1175" s="18" t="s">
        <v>176</v>
      </c>
      <c r="C1175" s="17" t="s">
        <v>17</v>
      </c>
      <c r="D1175" s="17">
        <v>31.0</v>
      </c>
      <c r="E1175" s="17" t="s">
        <v>87</v>
      </c>
      <c r="G1175" s="19"/>
      <c r="H1175" s="20" t="s">
        <v>177</v>
      </c>
      <c r="I1175" s="17" t="s">
        <v>89</v>
      </c>
      <c r="J1175" s="17">
        <v>0.0</v>
      </c>
      <c r="K1175" s="17">
        <v>0.0</v>
      </c>
      <c r="L1175" s="17">
        <v>0.0</v>
      </c>
      <c r="M1175" s="17">
        <v>0.0</v>
      </c>
      <c r="N1175" s="17">
        <v>0.0</v>
      </c>
      <c r="O1175" s="17">
        <v>0.0</v>
      </c>
      <c r="P1175" s="17">
        <v>0.0</v>
      </c>
      <c r="Q1175" s="17">
        <v>0.0</v>
      </c>
      <c r="R1175" s="17">
        <v>0.0</v>
      </c>
      <c r="S1175" s="17">
        <v>0.0</v>
      </c>
      <c r="T1175" s="17">
        <v>0.0</v>
      </c>
      <c r="U1175" s="17">
        <v>0.0</v>
      </c>
    </row>
    <row r="1176" ht="23.25" customHeight="1">
      <c r="A1176" s="1" t="str">
        <f>IF(COUNTIF('Icon Lookup'!C:C,B1176)&gt;0,LOOKUP(B1176,'Icon Lookup'!C:C,'Icon Lookup'!B:B),"")</f>
        <v/>
      </c>
      <c r="B1176" s="15" t="s">
        <v>1584</v>
      </c>
      <c r="C1176" s="1" t="s">
        <v>17</v>
      </c>
      <c r="D1176" s="1" t="s">
        <v>1585</v>
      </c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</row>
    <row r="1177" ht="23.25" customHeight="1">
      <c r="A1177" s="20" t="str">
        <f>IF(COUNTIF('Icon Lookup'!C:C,B1177)&gt;0,LOOKUP(B1177,'Icon Lookup'!C:C,'Icon Lookup'!B:B),"")</f>
        <v/>
      </c>
      <c r="B1177" s="21" t="s">
        <v>176</v>
      </c>
      <c r="C1177" s="20" t="s">
        <v>17</v>
      </c>
      <c r="D1177" s="20">
        <v>33.0</v>
      </c>
      <c r="E1177" s="20" t="s">
        <v>98</v>
      </c>
      <c r="G1177" s="22"/>
      <c r="H1177" s="23" t="s">
        <v>1586</v>
      </c>
      <c r="I1177" s="20" t="s">
        <v>89</v>
      </c>
      <c r="J1177" s="20">
        <v>0.0</v>
      </c>
      <c r="K1177" s="20">
        <v>0.0</v>
      </c>
      <c r="L1177" s="20">
        <v>0.0</v>
      </c>
      <c r="M1177" s="20">
        <v>0.0</v>
      </c>
      <c r="N1177" s="20">
        <v>0.0</v>
      </c>
      <c r="O1177" s="20">
        <v>0.0</v>
      </c>
      <c r="P1177" s="20">
        <v>0.0</v>
      </c>
      <c r="Q1177" s="20">
        <v>0.0</v>
      </c>
      <c r="R1177" s="20">
        <v>0.0</v>
      </c>
      <c r="S1177" s="20">
        <v>0.0</v>
      </c>
      <c r="T1177" s="20">
        <v>0.0</v>
      </c>
      <c r="U1177" s="20">
        <v>0.0</v>
      </c>
    </row>
    <row r="1178" ht="23.25" customHeight="1">
      <c r="A1178" s="1" t="str">
        <f>IF(COUNTIF('Icon Lookup'!C:C,B1178)&gt;0,LOOKUP(B1178,'Icon Lookup'!C:C,'Icon Lookup'!B:B),"")</f>
        <v/>
      </c>
      <c r="B1178" s="15" t="s">
        <v>1587</v>
      </c>
      <c r="C1178" s="1" t="s">
        <v>17</v>
      </c>
      <c r="D1178" s="1" t="s">
        <v>1588</v>
      </c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</row>
    <row r="1179" ht="23.25" customHeight="1">
      <c r="A1179" s="17" t="str">
        <f>IF(COUNTIF('Icon Lookup'!C:C,B1179)&gt;0,LOOKUP(B1179,'Icon Lookup'!C:C,'Icon Lookup'!B:B),"")</f>
        <v/>
      </c>
      <c r="B1179" s="18" t="s">
        <v>97</v>
      </c>
      <c r="C1179" s="17" t="s">
        <v>17</v>
      </c>
      <c r="D1179" s="17">
        <v>29.0</v>
      </c>
      <c r="E1179" s="17" t="s">
        <v>87</v>
      </c>
      <c r="G1179" s="19"/>
      <c r="H1179" s="20" t="s">
        <v>1589</v>
      </c>
      <c r="I1179" s="17" t="s">
        <v>89</v>
      </c>
      <c r="J1179" s="17">
        <v>0.0</v>
      </c>
      <c r="K1179" s="17">
        <v>0.0</v>
      </c>
      <c r="L1179" s="17">
        <v>0.0</v>
      </c>
      <c r="M1179" s="17">
        <v>0.0</v>
      </c>
      <c r="N1179" s="17">
        <v>0.0</v>
      </c>
      <c r="O1179" s="17">
        <v>0.0</v>
      </c>
      <c r="P1179" s="17">
        <v>0.0</v>
      </c>
      <c r="Q1179" s="17">
        <v>0.0</v>
      </c>
      <c r="R1179" s="17">
        <v>0.0</v>
      </c>
      <c r="S1179" s="17">
        <v>0.0</v>
      </c>
      <c r="T1179" s="17">
        <v>0.0</v>
      </c>
      <c r="U1179" s="17">
        <v>0.0</v>
      </c>
    </row>
    <row r="1180" ht="23.25" customHeight="1">
      <c r="A1180" s="20" t="str">
        <f>IF(COUNTIF('Icon Lookup'!C:C,B1180)&gt;0,LOOKUP(B1180,'Icon Lookup'!C:C,'Icon Lookup'!B:B),"")</f>
        <v/>
      </c>
      <c r="B1180" s="21" t="s">
        <v>756</v>
      </c>
      <c r="C1180" s="20" t="s">
        <v>17</v>
      </c>
      <c r="D1180" s="20">
        <v>33.0</v>
      </c>
      <c r="E1180" s="20" t="s">
        <v>87</v>
      </c>
      <c r="G1180" s="22"/>
      <c r="H1180" s="23" t="s">
        <v>1590</v>
      </c>
      <c r="I1180" s="20" t="s">
        <v>89</v>
      </c>
      <c r="J1180" s="20">
        <v>0.0</v>
      </c>
      <c r="K1180" s="20">
        <v>0.0</v>
      </c>
      <c r="L1180" s="20">
        <v>0.0</v>
      </c>
      <c r="M1180" s="20">
        <v>0.0</v>
      </c>
      <c r="N1180" s="20">
        <v>0.0</v>
      </c>
      <c r="O1180" s="20">
        <v>0.0</v>
      </c>
      <c r="P1180" s="20">
        <v>0.0</v>
      </c>
      <c r="Q1180" s="20">
        <v>0.0</v>
      </c>
      <c r="R1180" s="20">
        <v>0.0</v>
      </c>
      <c r="S1180" s="20">
        <v>0.0</v>
      </c>
      <c r="T1180" s="20">
        <v>0.0</v>
      </c>
      <c r="U1180" s="20">
        <v>0.0</v>
      </c>
    </row>
    <row r="1181" ht="23.25" customHeight="1">
      <c r="A1181" s="1" t="str">
        <f>IF(COUNTIF('Icon Lookup'!C:C,B1181)&gt;0,LOOKUP(B1181,'Icon Lookup'!C:C,'Icon Lookup'!B:B),"")</f>
        <v/>
      </c>
      <c r="B1181" s="15" t="s">
        <v>1591</v>
      </c>
      <c r="C1181" s="1" t="s">
        <v>17</v>
      </c>
      <c r="D1181" s="1" t="s">
        <v>1592</v>
      </c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</row>
    <row r="1182" ht="23.25" customHeight="1">
      <c r="A1182" s="17" t="str">
        <f>IF(COUNTIF('Icon Lookup'!C:C,B1182)&gt;0,LOOKUP(B1182,'Icon Lookup'!C:C,'Icon Lookup'!B:B),"")</f>
        <v/>
      </c>
      <c r="B1182" s="18" t="s">
        <v>86</v>
      </c>
      <c r="C1182" s="17" t="s">
        <v>17</v>
      </c>
      <c r="D1182" s="17">
        <v>27.0</v>
      </c>
      <c r="E1182" s="17" t="s">
        <v>87</v>
      </c>
      <c r="G1182" s="19"/>
      <c r="H1182" s="20" t="s">
        <v>1299</v>
      </c>
      <c r="I1182" s="17" t="s">
        <v>89</v>
      </c>
      <c r="J1182" s="17">
        <v>0.0</v>
      </c>
      <c r="K1182" s="17">
        <v>0.0</v>
      </c>
      <c r="L1182" s="17">
        <v>0.0</v>
      </c>
      <c r="M1182" s="17">
        <v>0.0</v>
      </c>
      <c r="N1182" s="17">
        <v>0.0</v>
      </c>
      <c r="O1182" s="17">
        <v>0.0</v>
      </c>
      <c r="P1182" s="17">
        <v>0.0</v>
      </c>
      <c r="Q1182" s="17">
        <v>0.0</v>
      </c>
      <c r="R1182" s="17">
        <v>0.0</v>
      </c>
      <c r="S1182" s="17">
        <v>0.0</v>
      </c>
      <c r="T1182" s="17">
        <v>0.0</v>
      </c>
      <c r="U1182" s="17">
        <v>0.0</v>
      </c>
    </row>
    <row r="1183" ht="23.25" customHeight="1">
      <c r="A1183" s="20" t="str">
        <f>IF(COUNTIF('Icon Lookup'!C:C,B1183)&gt;0,LOOKUP(B1183,'Icon Lookup'!C:C,'Icon Lookup'!B:B),"")</f>
        <v/>
      </c>
      <c r="B1183" s="21" t="s">
        <v>176</v>
      </c>
      <c r="C1183" s="20" t="s">
        <v>17</v>
      </c>
      <c r="D1183" s="20">
        <v>31.0</v>
      </c>
      <c r="E1183" s="20" t="s">
        <v>87</v>
      </c>
      <c r="G1183" s="22"/>
      <c r="H1183" s="23" t="s">
        <v>1593</v>
      </c>
      <c r="I1183" s="20" t="s">
        <v>89</v>
      </c>
      <c r="J1183" s="20">
        <v>0.0</v>
      </c>
      <c r="K1183" s="20">
        <v>0.0</v>
      </c>
      <c r="L1183" s="20">
        <v>0.0</v>
      </c>
      <c r="M1183" s="20">
        <v>0.0</v>
      </c>
      <c r="N1183" s="20">
        <v>0.0</v>
      </c>
      <c r="O1183" s="20">
        <v>0.0</v>
      </c>
      <c r="P1183" s="20">
        <v>0.0</v>
      </c>
      <c r="Q1183" s="20">
        <v>0.0</v>
      </c>
      <c r="R1183" s="20">
        <v>0.0</v>
      </c>
      <c r="S1183" s="20">
        <v>0.0</v>
      </c>
      <c r="T1183" s="20">
        <v>0.0</v>
      </c>
      <c r="U1183" s="20">
        <v>0.0</v>
      </c>
    </row>
    <row r="1184" ht="23.25" customHeight="1">
      <c r="A1184" s="17" t="str">
        <f>IF(COUNTIF('Icon Lookup'!C:C,B1184)&gt;0,LOOKUP(B1184,'Icon Lookup'!C:C,'Icon Lookup'!B:B),"")</f>
        <v/>
      </c>
      <c r="B1184" s="18" t="s">
        <v>97</v>
      </c>
      <c r="C1184" s="17" t="s">
        <v>17</v>
      </c>
      <c r="D1184" s="17">
        <v>31.0</v>
      </c>
      <c r="E1184" s="17" t="s">
        <v>87</v>
      </c>
      <c r="G1184" s="19"/>
      <c r="H1184" s="20" t="s">
        <v>1594</v>
      </c>
      <c r="I1184" s="17" t="s">
        <v>89</v>
      </c>
      <c r="J1184" s="17">
        <v>0.0</v>
      </c>
      <c r="K1184" s="17">
        <v>0.0</v>
      </c>
      <c r="L1184" s="17">
        <v>0.0</v>
      </c>
      <c r="M1184" s="17">
        <v>0.0</v>
      </c>
      <c r="N1184" s="17">
        <v>0.0</v>
      </c>
      <c r="O1184" s="17">
        <v>0.0</v>
      </c>
      <c r="P1184" s="17">
        <v>0.0</v>
      </c>
      <c r="Q1184" s="17">
        <v>0.0</v>
      </c>
      <c r="R1184" s="17">
        <v>0.0</v>
      </c>
      <c r="S1184" s="17">
        <v>0.0</v>
      </c>
      <c r="T1184" s="17">
        <v>0.0</v>
      </c>
      <c r="U1184" s="17">
        <v>0.0</v>
      </c>
    </row>
    <row r="1185" ht="23.25" customHeight="1">
      <c r="A1185" s="1" t="str">
        <f>IF(COUNTIF('Icon Lookup'!C:C,B1185)&gt;0,LOOKUP(B1185,'Icon Lookup'!C:C,'Icon Lookup'!B:B),"")</f>
        <v/>
      </c>
      <c r="B1185" s="15" t="s">
        <v>1595</v>
      </c>
      <c r="C1185" s="1" t="s">
        <v>17</v>
      </c>
      <c r="D1185" s="1" t="s">
        <v>1044</v>
      </c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</row>
    <row r="1186" ht="23.25" customHeight="1">
      <c r="A1186" s="20" t="str">
        <f>IF(COUNTIF('Icon Lookup'!C:C,B1186)&gt;0,LOOKUP(B1186,'Icon Lookup'!C:C,'Icon Lookup'!B:B),"")</f>
        <v/>
      </c>
      <c r="B1186" s="21" t="s">
        <v>174</v>
      </c>
      <c r="C1186" s="20" t="s">
        <v>17</v>
      </c>
      <c r="D1186" s="20">
        <v>37.0</v>
      </c>
      <c r="E1186" s="20" t="s">
        <v>38</v>
      </c>
      <c r="G1186" s="22"/>
      <c r="H1186" s="23" t="s">
        <v>542</v>
      </c>
      <c r="I1186" s="20" t="s">
        <v>197</v>
      </c>
      <c r="J1186" s="20">
        <v>0.0</v>
      </c>
      <c r="K1186" s="20">
        <v>0.0</v>
      </c>
      <c r="L1186" s="20">
        <v>0.0</v>
      </c>
      <c r="M1186" s="20">
        <v>0.0</v>
      </c>
      <c r="N1186" s="20">
        <v>0.0</v>
      </c>
      <c r="O1186" s="20">
        <v>0.0</v>
      </c>
      <c r="P1186" s="20">
        <v>0.0</v>
      </c>
      <c r="Q1186" s="20">
        <v>0.0</v>
      </c>
      <c r="R1186" s="20">
        <v>0.0</v>
      </c>
      <c r="S1186" s="20">
        <v>0.0</v>
      </c>
      <c r="T1186" s="20">
        <v>0.0</v>
      </c>
      <c r="U1186" s="20">
        <v>0.0</v>
      </c>
    </row>
    <row r="1187" ht="23.25" customHeight="1">
      <c r="A1187" s="1" t="str">
        <f>IF(COUNTIF('Icon Lookup'!C:C,B1187)&gt;0,LOOKUP(B1187,'Icon Lookup'!C:C,'Icon Lookup'!B:B),"")</f>
        <v/>
      </c>
      <c r="B1187" s="15" t="s">
        <v>1596</v>
      </c>
      <c r="C1187" s="1" t="s">
        <v>17</v>
      </c>
      <c r="D1187" s="1" t="s">
        <v>1044</v>
      </c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</row>
    <row r="1188" ht="23.25" customHeight="1">
      <c r="A1188" s="17" t="str">
        <f>IF(COUNTIF('Icon Lookup'!C:C,B1188)&gt;0,LOOKUP(B1188,'Icon Lookup'!C:C,'Icon Lookup'!B:B),"")</f>
        <v/>
      </c>
      <c r="B1188" s="18" t="s">
        <v>293</v>
      </c>
      <c r="C1188" s="17" t="s">
        <v>17</v>
      </c>
      <c r="D1188" s="17">
        <v>35.0</v>
      </c>
      <c r="E1188" s="17" t="s">
        <v>61</v>
      </c>
      <c r="G1188" s="19"/>
      <c r="H1188" s="20" t="s">
        <v>1597</v>
      </c>
      <c r="I1188" s="17" t="s">
        <v>73</v>
      </c>
      <c r="J1188" s="17">
        <v>0.0</v>
      </c>
      <c r="K1188" s="17">
        <v>0.0</v>
      </c>
      <c r="L1188" s="17">
        <v>0.0</v>
      </c>
      <c r="M1188" s="17">
        <v>0.0</v>
      </c>
      <c r="N1188" s="17">
        <v>0.0</v>
      </c>
      <c r="O1188" s="17">
        <v>0.0</v>
      </c>
      <c r="P1188" s="17">
        <v>0.0</v>
      </c>
      <c r="Q1188" s="17">
        <v>0.0</v>
      </c>
      <c r="R1188" s="17">
        <v>0.0</v>
      </c>
      <c r="S1188" s="17">
        <v>0.0</v>
      </c>
      <c r="T1188" s="17">
        <v>0.0</v>
      </c>
      <c r="U1188" s="17">
        <v>0.0</v>
      </c>
    </row>
    <row r="1189" ht="23.25" customHeight="1">
      <c r="A1189" s="20" t="str">
        <f>IF(COUNTIF('Icon Lookup'!C:C,B1189)&gt;0,LOOKUP(B1189,'Icon Lookup'!C:C,'Icon Lookup'!B:B),"")</f>
        <v/>
      </c>
      <c r="B1189" s="21" t="s">
        <v>160</v>
      </c>
      <c r="C1189" s="20" t="s">
        <v>17</v>
      </c>
      <c r="D1189" s="20">
        <v>35.0</v>
      </c>
      <c r="E1189" s="20" t="s">
        <v>1434</v>
      </c>
      <c r="G1189" s="22"/>
      <c r="H1189" s="23" t="s">
        <v>1598</v>
      </c>
      <c r="I1189" s="20" t="s">
        <v>94</v>
      </c>
      <c r="J1189" s="20">
        <v>0.0</v>
      </c>
      <c r="K1189" s="20">
        <v>0.0</v>
      </c>
      <c r="L1189" s="20">
        <v>0.0</v>
      </c>
      <c r="M1189" s="20">
        <v>0.0</v>
      </c>
      <c r="N1189" s="20">
        <v>0.0</v>
      </c>
      <c r="O1189" s="20">
        <v>0.0</v>
      </c>
      <c r="P1189" s="20">
        <v>0.0</v>
      </c>
      <c r="Q1189" s="20">
        <v>0.0</v>
      </c>
      <c r="R1189" s="20">
        <v>0.0</v>
      </c>
      <c r="S1189" s="20">
        <v>0.0</v>
      </c>
      <c r="T1189" s="20">
        <v>0.0</v>
      </c>
      <c r="U1189" s="20">
        <v>0.0</v>
      </c>
    </row>
    <row r="1190" ht="23.25" customHeight="1">
      <c r="A1190" s="1" t="str">
        <f>IF(COUNTIF('Icon Lookup'!C:C,B1190)&gt;0,LOOKUP(B1190,'Icon Lookup'!C:C,'Icon Lookup'!B:B),"")</f>
        <v/>
      </c>
      <c r="B1190" s="15" t="s">
        <v>1599</v>
      </c>
      <c r="C1190" s="1" t="s">
        <v>17</v>
      </c>
      <c r="D1190" s="1" t="s">
        <v>1044</v>
      </c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</row>
    <row r="1191" ht="23.25" customHeight="1">
      <c r="A1191" s="17" t="str">
        <f>IF(COUNTIF('Icon Lookup'!C:C,B1191)&gt;0,LOOKUP(B1191,'Icon Lookup'!C:C,'Icon Lookup'!B:B),"")</f>
        <v/>
      </c>
      <c r="B1191" s="18" t="s">
        <v>1017</v>
      </c>
      <c r="C1191" s="17" t="s">
        <v>17</v>
      </c>
      <c r="D1191" s="17">
        <v>37.0</v>
      </c>
      <c r="E1191" s="17" t="s">
        <v>1126</v>
      </c>
      <c r="G1191" s="19"/>
      <c r="H1191" s="20" t="s">
        <v>1600</v>
      </c>
      <c r="I1191" s="17" t="s">
        <v>36</v>
      </c>
      <c r="J1191" s="17">
        <v>0.0</v>
      </c>
      <c r="K1191" s="17">
        <v>0.0</v>
      </c>
      <c r="L1191" s="17">
        <v>0.0</v>
      </c>
      <c r="M1191" s="17">
        <v>0.0</v>
      </c>
      <c r="N1191" s="17">
        <v>0.0</v>
      </c>
      <c r="O1191" s="17">
        <v>0.0</v>
      </c>
      <c r="P1191" s="17">
        <v>0.0</v>
      </c>
      <c r="Q1191" s="17">
        <v>0.0</v>
      </c>
      <c r="R1191" s="17">
        <v>0.0</v>
      </c>
      <c r="S1191" s="17">
        <v>0.0</v>
      </c>
      <c r="T1191" s="17">
        <v>0.0</v>
      </c>
      <c r="U1191" s="17">
        <v>0.0</v>
      </c>
    </row>
    <row r="1192" ht="23.25" customHeight="1">
      <c r="A1192" s="1" t="str">
        <f>IF(COUNTIF('Icon Lookup'!C:C,B1192)&gt;0,LOOKUP(B1192,'Icon Lookup'!C:C,'Icon Lookup'!B:B),"")</f>
        <v/>
      </c>
      <c r="B1192" s="15" t="s">
        <v>1601</v>
      </c>
      <c r="C1192" s="1" t="s">
        <v>17</v>
      </c>
      <c r="D1192" s="1" t="s">
        <v>1044</v>
      </c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</row>
    <row r="1193" ht="23.25" customHeight="1">
      <c r="A1193" s="20" t="str">
        <f>IF(COUNTIF('Icon Lookup'!C:C,B1193)&gt;0,LOOKUP(B1193,'Icon Lookup'!C:C,'Icon Lookup'!B:B),"")</f>
        <v/>
      </c>
      <c r="B1193" s="21" t="s">
        <v>60</v>
      </c>
      <c r="C1193" s="20" t="s">
        <v>17</v>
      </c>
      <c r="D1193" s="20">
        <v>32.0</v>
      </c>
      <c r="E1193" s="20" t="s">
        <v>61</v>
      </c>
      <c r="G1193" s="22"/>
      <c r="H1193" s="23" t="s">
        <v>1602</v>
      </c>
      <c r="I1193" s="20" t="s">
        <v>1045</v>
      </c>
      <c r="J1193" s="20">
        <v>0.0</v>
      </c>
      <c r="K1193" s="20">
        <v>0.0</v>
      </c>
      <c r="L1193" s="20">
        <v>0.0</v>
      </c>
      <c r="M1193" s="20">
        <v>0.0</v>
      </c>
      <c r="N1193" s="20">
        <v>0.0</v>
      </c>
      <c r="O1193" s="20">
        <v>0.0</v>
      </c>
      <c r="P1193" s="20">
        <v>0.0</v>
      </c>
      <c r="Q1193" s="20">
        <v>0.0</v>
      </c>
      <c r="R1193" s="20">
        <v>0.0</v>
      </c>
      <c r="S1193" s="20">
        <v>0.0</v>
      </c>
      <c r="T1193" s="20">
        <v>0.0</v>
      </c>
      <c r="U1193" s="20">
        <v>0.0</v>
      </c>
    </row>
    <row r="1194" ht="23.25" customHeight="1">
      <c r="A1194" s="17" t="str">
        <f>IF(COUNTIF('Icon Lookup'!C:C,B1194)&gt;0,LOOKUP(B1194,'Icon Lookup'!C:C,'Icon Lookup'!B:B),"")</f>
        <v/>
      </c>
      <c r="B1194" s="18" t="s">
        <v>691</v>
      </c>
      <c r="C1194" s="17" t="s">
        <v>17</v>
      </c>
      <c r="D1194" s="17">
        <v>34.0</v>
      </c>
      <c r="E1194" s="17" t="s">
        <v>58</v>
      </c>
      <c r="G1194" s="19"/>
      <c r="H1194" s="20" t="s">
        <v>1603</v>
      </c>
      <c r="I1194" s="17" t="s">
        <v>197</v>
      </c>
      <c r="J1194" s="17">
        <v>0.0</v>
      </c>
      <c r="K1194" s="17">
        <v>0.0</v>
      </c>
      <c r="L1194" s="17">
        <v>0.0</v>
      </c>
      <c r="M1194" s="17">
        <v>0.0</v>
      </c>
      <c r="N1194" s="17">
        <v>0.0</v>
      </c>
      <c r="O1194" s="17">
        <v>0.0</v>
      </c>
      <c r="P1194" s="17">
        <v>0.0</v>
      </c>
      <c r="Q1194" s="17">
        <v>0.0</v>
      </c>
      <c r="R1194" s="17">
        <v>0.0</v>
      </c>
      <c r="S1194" s="17">
        <v>0.0</v>
      </c>
      <c r="T1194" s="17">
        <v>0.0</v>
      </c>
      <c r="U1194" s="17">
        <v>0.0</v>
      </c>
    </row>
    <row r="1195" ht="23.25" customHeight="1">
      <c r="A1195" s="20" t="str">
        <f>IF(COUNTIF('Icon Lookup'!C:C,B1195)&gt;0,LOOKUP(B1195,'Icon Lookup'!C:C,'Icon Lookup'!B:B),"")</f>
        <v/>
      </c>
      <c r="B1195" s="21" t="s">
        <v>293</v>
      </c>
      <c r="C1195" s="20" t="s">
        <v>17</v>
      </c>
      <c r="D1195" s="20">
        <v>36.0</v>
      </c>
      <c r="E1195" s="20" t="s">
        <v>61</v>
      </c>
      <c r="G1195" s="22"/>
      <c r="H1195" s="23" t="s">
        <v>1604</v>
      </c>
      <c r="I1195" s="20" t="s">
        <v>73</v>
      </c>
      <c r="J1195" s="20">
        <v>0.0</v>
      </c>
      <c r="K1195" s="20">
        <v>0.0</v>
      </c>
      <c r="L1195" s="20">
        <v>0.0</v>
      </c>
      <c r="M1195" s="20">
        <v>0.0</v>
      </c>
      <c r="N1195" s="20">
        <v>0.0</v>
      </c>
      <c r="O1195" s="20">
        <v>0.0</v>
      </c>
      <c r="P1195" s="20">
        <v>0.0</v>
      </c>
      <c r="Q1195" s="20">
        <v>0.0</v>
      </c>
      <c r="R1195" s="20">
        <v>0.0</v>
      </c>
      <c r="S1195" s="20">
        <v>0.0</v>
      </c>
      <c r="T1195" s="20">
        <v>0.0</v>
      </c>
      <c r="U1195" s="20">
        <v>0.0</v>
      </c>
    </row>
    <row r="1196" ht="23.25" customHeight="1">
      <c r="A1196" s="1" t="str">
        <f>IF(COUNTIF('Icon Lookup'!C:C,B1196)&gt;0,LOOKUP(B1196,'Icon Lookup'!C:C,'Icon Lookup'!B:B),"")</f>
        <v/>
      </c>
      <c r="B1196" s="15" t="s">
        <v>1605</v>
      </c>
      <c r="C1196" s="1" t="s">
        <v>17</v>
      </c>
      <c r="D1196" s="1" t="s">
        <v>1044</v>
      </c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</row>
    <row r="1197" ht="23.25" customHeight="1">
      <c r="A1197" s="17" t="str">
        <f>IF(COUNTIF('Icon Lookup'!C:C,B1197)&gt;0,LOOKUP(B1197,'Icon Lookup'!C:C,'Icon Lookup'!B:B),"")</f>
        <v/>
      </c>
      <c r="B1197" s="18" t="s">
        <v>160</v>
      </c>
      <c r="C1197" s="17" t="s">
        <v>17</v>
      </c>
      <c r="D1197" s="17">
        <v>36.0</v>
      </c>
      <c r="E1197" s="17" t="s">
        <v>1434</v>
      </c>
      <c r="G1197" s="19"/>
      <c r="H1197" s="20" t="s">
        <v>1606</v>
      </c>
      <c r="I1197" s="17" t="s">
        <v>94</v>
      </c>
      <c r="J1197" s="17">
        <v>0.0</v>
      </c>
      <c r="K1197" s="17">
        <v>0.0</v>
      </c>
      <c r="L1197" s="17">
        <v>0.0</v>
      </c>
      <c r="M1197" s="17">
        <v>0.0</v>
      </c>
      <c r="N1197" s="17">
        <v>0.0</v>
      </c>
      <c r="O1197" s="17">
        <v>0.0</v>
      </c>
      <c r="P1197" s="17">
        <v>0.0</v>
      </c>
      <c r="Q1197" s="17">
        <v>0.0</v>
      </c>
      <c r="R1197" s="17">
        <v>0.0</v>
      </c>
      <c r="S1197" s="17">
        <v>0.0</v>
      </c>
      <c r="T1197" s="17">
        <v>0.0</v>
      </c>
      <c r="U1197" s="17">
        <v>0.0</v>
      </c>
    </row>
    <row r="1198" ht="23.25" customHeight="1">
      <c r="A1198" s="20" t="str">
        <f>IF(COUNTIF('Icon Lookup'!C:C,B1198)&gt;0,LOOKUP(B1198,'Icon Lookup'!C:C,'Icon Lookup'!B:B),"")</f>
        <v/>
      </c>
      <c r="B1198" s="21" t="s">
        <v>1017</v>
      </c>
      <c r="C1198" s="20" t="s">
        <v>17</v>
      </c>
      <c r="D1198" s="20">
        <v>36.0</v>
      </c>
      <c r="E1198" s="20" t="s">
        <v>1126</v>
      </c>
      <c r="G1198" s="22"/>
      <c r="H1198" s="23" t="s">
        <v>1607</v>
      </c>
      <c r="I1198" s="20" t="s">
        <v>36</v>
      </c>
      <c r="J1198" s="20">
        <v>0.0</v>
      </c>
      <c r="K1198" s="20">
        <v>0.0</v>
      </c>
      <c r="L1198" s="20">
        <v>0.0</v>
      </c>
      <c r="M1198" s="20">
        <v>0.0</v>
      </c>
      <c r="N1198" s="20">
        <v>0.0</v>
      </c>
      <c r="O1198" s="20">
        <v>0.0</v>
      </c>
      <c r="P1198" s="20">
        <v>0.0</v>
      </c>
      <c r="Q1198" s="20">
        <v>0.0</v>
      </c>
      <c r="R1198" s="20">
        <v>0.0</v>
      </c>
      <c r="S1198" s="20">
        <v>0.0</v>
      </c>
      <c r="T1198" s="20">
        <v>0.0</v>
      </c>
      <c r="U1198" s="20">
        <v>0.0</v>
      </c>
    </row>
    <row r="1199" ht="23.25" customHeight="1">
      <c r="A1199" s="1" t="str">
        <f>IF(COUNTIF('Icon Lookup'!C:C,B1199)&gt;0,LOOKUP(B1199,'Icon Lookup'!C:C,'Icon Lookup'!B:B),"")</f>
        <v/>
      </c>
      <c r="B1199" s="15" t="s">
        <v>1608</v>
      </c>
      <c r="C1199" s="1" t="s">
        <v>17</v>
      </c>
      <c r="D1199" s="1" t="s">
        <v>1044</v>
      </c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</row>
    <row r="1200" ht="23.25" customHeight="1">
      <c r="A1200" s="17" t="str">
        <f>IF(COUNTIF('Icon Lookup'!C:C,B1200)&gt;0,LOOKUP(B1200,'Icon Lookup'!C:C,'Icon Lookup'!B:B),"")</f>
        <v/>
      </c>
      <c r="B1200" s="18" t="s">
        <v>174</v>
      </c>
      <c r="C1200" s="17" t="s">
        <v>17</v>
      </c>
      <c r="D1200" s="17">
        <v>36.0</v>
      </c>
      <c r="E1200" s="17" t="s">
        <v>38</v>
      </c>
      <c r="G1200" s="19"/>
      <c r="H1200" s="20" t="s">
        <v>542</v>
      </c>
      <c r="I1200" s="17" t="s">
        <v>1045</v>
      </c>
      <c r="J1200" s="17">
        <v>0.0</v>
      </c>
      <c r="K1200" s="17">
        <v>0.0</v>
      </c>
      <c r="L1200" s="17">
        <v>0.0</v>
      </c>
      <c r="M1200" s="17">
        <v>0.0</v>
      </c>
      <c r="N1200" s="17">
        <v>0.0</v>
      </c>
      <c r="O1200" s="17">
        <v>0.0</v>
      </c>
      <c r="P1200" s="17">
        <v>0.0</v>
      </c>
      <c r="Q1200" s="17">
        <v>0.0</v>
      </c>
      <c r="R1200" s="17">
        <v>0.0</v>
      </c>
      <c r="S1200" s="17">
        <v>0.0</v>
      </c>
      <c r="T1200" s="17">
        <v>0.0</v>
      </c>
      <c r="U1200" s="17">
        <v>0.0</v>
      </c>
    </row>
    <row r="1201" ht="23.25" customHeight="1">
      <c r="A1201" s="20" t="str">
        <f>IF(COUNTIF('Icon Lookup'!C:C,B1201)&gt;0,LOOKUP(B1201,'Icon Lookup'!C:C,'Icon Lookup'!B:B),"")</f>
        <v/>
      </c>
      <c r="B1201" s="21" t="s">
        <v>174</v>
      </c>
      <c r="C1201" s="20" t="s">
        <v>17</v>
      </c>
      <c r="D1201" s="20">
        <v>36.0</v>
      </c>
      <c r="E1201" s="20" t="s">
        <v>38</v>
      </c>
      <c r="G1201" s="22"/>
      <c r="H1201" s="23" t="s">
        <v>542</v>
      </c>
      <c r="I1201" s="20" t="s">
        <v>197</v>
      </c>
      <c r="J1201" s="20">
        <v>0.0</v>
      </c>
      <c r="K1201" s="20">
        <v>0.0</v>
      </c>
      <c r="L1201" s="20">
        <v>0.0</v>
      </c>
      <c r="M1201" s="20">
        <v>0.0</v>
      </c>
      <c r="N1201" s="20">
        <v>0.0</v>
      </c>
      <c r="O1201" s="20">
        <v>0.0</v>
      </c>
      <c r="P1201" s="20">
        <v>0.0</v>
      </c>
      <c r="Q1201" s="20">
        <v>0.0</v>
      </c>
      <c r="R1201" s="20">
        <v>0.0</v>
      </c>
      <c r="S1201" s="20">
        <v>0.0</v>
      </c>
      <c r="T1201" s="20">
        <v>0.0</v>
      </c>
      <c r="U1201" s="20">
        <v>0.0</v>
      </c>
    </row>
    <row r="1202" ht="23.25" customHeight="1">
      <c r="A1202" s="1" t="str">
        <f>IF(COUNTIF('Icon Lookup'!C:C,B1202)&gt;0,LOOKUP(B1202,'Icon Lookup'!C:C,'Icon Lookup'!B:B),"")</f>
        <v/>
      </c>
      <c r="B1202" s="15" t="s">
        <v>1609</v>
      </c>
      <c r="C1202" s="1" t="s">
        <v>17</v>
      </c>
      <c r="D1202" s="1" t="s">
        <v>1044</v>
      </c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</row>
    <row r="1203" ht="23.25" customHeight="1">
      <c r="A1203" s="17" t="str">
        <f>IF(COUNTIF('Icon Lookup'!C:C,B1203)&gt;0,LOOKUP(B1203,'Icon Lookup'!C:C,'Icon Lookup'!B:B),"")</f>
        <v/>
      </c>
      <c r="B1203" s="18" t="s">
        <v>1017</v>
      </c>
      <c r="C1203" s="17" t="s">
        <v>17</v>
      </c>
      <c r="D1203" s="17">
        <v>36.0</v>
      </c>
      <c r="E1203" s="17" t="s">
        <v>1126</v>
      </c>
      <c r="G1203" s="19"/>
      <c r="H1203" s="20" t="s">
        <v>1610</v>
      </c>
      <c r="I1203" s="17" t="s">
        <v>73</v>
      </c>
      <c r="J1203" s="17">
        <v>0.0</v>
      </c>
      <c r="K1203" s="17">
        <v>0.0</v>
      </c>
      <c r="L1203" s="17">
        <v>0.0</v>
      </c>
      <c r="M1203" s="17">
        <v>0.0</v>
      </c>
      <c r="N1203" s="17">
        <v>0.0</v>
      </c>
      <c r="O1203" s="17">
        <v>0.0</v>
      </c>
      <c r="P1203" s="17">
        <v>0.0</v>
      </c>
      <c r="Q1203" s="17">
        <v>0.0</v>
      </c>
      <c r="R1203" s="17">
        <v>0.0</v>
      </c>
      <c r="S1203" s="17">
        <v>0.0</v>
      </c>
      <c r="T1203" s="17">
        <v>0.0</v>
      </c>
      <c r="U1203" s="17">
        <v>0.0</v>
      </c>
    </row>
    <row r="1204" ht="23.25" customHeight="1">
      <c r="A1204" s="20" t="str">
        <f>IF(COUNTIF('Icon Lookup'!C:C,B1204)&gt;0,LOOKUP(B1204,'Icon Lookup'!C:C,'Icon Lookup'!B:B),"")</f>
        <v/>
      </c>
      <c r="B1204" s="21" t="s">
        <v>288</v>
      </c>
      <c r="C1204" s="20" t="s">
        <v>17</v>
      </c>
      <c r="D1204" s="20">
        <v>36.0</v>
      </c>
      <c r="E1204" s="20" t="s">
        <v>289</v>
      </c>
      <c r="G1204" s="22"/>
      <c r="H1204" s="23" t="s">
        <v>1611</v>
      </c>
      <c r="I1204" s="20" t="s">
        <v>94</v>
      </c>
      <c r="J1204" s="20">
        <v>0.0</v>
      </c>
      <c r="K1204" s="20">
        <v>0.0</v>
      </c>
      <c r="L1204" s="20">
        <v>0.0</v>
      </c>
      <c r="M1204" s="20">
        <v>0.0</v>
      </c>
      <c r="N1204" s="20">
        <v>0.0</v>
      </c>
      <c r="O1204" s="20">
        <v>0.0</v>
      </c>
      <c r="P1204" s="20">
        <v>0.0</v>
      </c>
      <c r="Q1204" s="20">
        <v>0.0</v>
      </c>
      <c r="R1204" s="20">
        <v>0.0</v>
      </c>
      <c r="S1204" s="20">
        <v>0.0</v>
      </c>
      <c r="T1204" s="20">
        <v>0.0</v>
      </c>
      <c r="U1204" s="20">
        <v>0.0</v>
      </c>
    </row>
    <row r="1205" ht="23.25" customHeight="1">
      <c r="A1205" s="1" t="str">
        <f>IF(COUNTIF('Icon Lookup'!C:C,B1205)&gt;0,LOOKUP(B1205,'Icon Lookup'!C:C,'Icon Lookup'!B:B),"")</f>
        <v/>
      </c>
      <c r="B1205" s="15" t="s">
        <v>1612</v>
      </c>
      <c r="C1205" s="1" t="s">
        <v>17</v>
      </c>
      <c r="D1205" s="1" t="s">
        <v>1044</v>
      </c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</row>
    <row r="1206" ht="23.25" customHeight="1">
      <c r="A1206" s="17" t="str">
        <f>IF(COUNTIF('Icon Lookup'!C:C,B1206)&gt;0,LOOKUP(B1206,'Icon Lookup'!C:C,'Icon Lookup'!B:B),"")</f>
        <v/>
      </c>
      <c r="B1206" s="18" t="s">
        <v>160</v>
      </c>
      <c r="C1206" s="17" t="s">
        <v>17</v>
      </c>
      <c r="D1206" s="17">
        <v>39.0</v>
      </c>
      <c r="E1206" s="17" t="s">
        <v>1434</v>
      </c>
      <c r="G1206" s="19"/>
      <c r="H1206" s="20" t="s">
        <v>1613</v>
      </c>
      <c r="I1206" s="17" t="s">
        <v>1045</v>
      </c>
      <c r="J1206" s="17">
        <v>0.0</v>
      </c>
      <c r="K1206" s="17">
        <v>0.0</v>
      </c>
      <c r="L1206" s="17">
        <v>0.0</v>
      </c>
      <c r="M1206" s="17">
        <v>0.0</v>
      </c>
      <c r="N1206" s="17">
        <v>0.0</v>
      </c>
      <c r="O1206" s="17">
        <v>0.0</v>
      </c>
      <c r="P1206" s="17">
        <v>0.0</v>
      </c>
      <c r="Q1206" s="17">
        <v>0.0</v>
      </c>
      <c r="R1206" s="17">
        <v>0.0</v>
      </c>
      <c r="S1206" s="17">
        <v>0.0</v>
      </c>
      <c r="T1206" s="17">
        <v>0.0</v>
      </c>
      <c r="U1206" s="17">
        <v>0.0</v>
      </c>
    </row>
    <row r="1207" ht="23.25" customHeight="1">
      <c r="A1207" s="1" t="str">
        <f>IF(COUNTIF('Icon Lookup'!C:C,B1207)&gt;0,LOOKUP(B1207,'Icon Lookup'!C:C,'Icon Lookup'!B:B),"")</f>
        <v/>
      </c>
      <c r="B1207" s="15" t="s">
        <v>1614</v>
      </c>
      <c r="C1207" s="1" t="s">
        <v>17</v>
      </c>
      <c r="D1207" s="1" t="s">
        <v>1044</v>
      </c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</row>
    <row r="1208" ht="23.25" customHeight="1">
      <c r="A1208" s="20" t="str">
        <f>IF(COUNTIF('Icon Lookup'!C:C,B1208)&gt;0,LOOKUP(B1208,'Icon Lookup'!C:C,'Icon Lookup'!B:B),"")</f>
        <v/>
      </c>
      <c r="B1208" s="21" t="s">
        <v>293</v>
      </c>
      <c r="C1208" s="20" t="s">
        <v>17</v>
      </c>
      <c r="D1208" s="20">
        <v>35.0</v>
      </c>
      <c r="E1208" s="20" t="s">
        <v>61</v>
      </c>
      <c r="G1208" s="22"/>
      <c r="H1208" s="23" t="s">
        <v>1615</v>
      </c>
      <c r="I1208" s="20" t="s">
        <v>197</v>
      </c>
      <c r="J1208" s="20">
        <v>0.0</v>
      </c>
      <c r="K1208" s="20">
        <v>0.0</v>
      </c>
      <c r="L1208" s="20">
        <v>0.0</v>
      </c>
      <c r="M1208" s="20">
        <v>0.0</v>
      </c>
      <c r="N1208" s="20">
        <v>0.0</v>
      </c>
      <c r="O1208" s="20">
        <v>0.0</v>
      </c>
      <c r="P1208" s="20">
        <v>0.0</v>
      </c>
      <c r="Q1208" s="20">
        <v>0.0</v>
      </c>
      <c r="R1208" s="20">
        <v>0.0</v>
      </c>
      <c r="S1208" s="20">
        <v>0.0</v>
      </c>
      <c r="T1208" s="20">
        <v>0.0</v>
      </c>
      <c r="U1208" s="20">
        <v>0.0</v>
      </c>
    </row>
    <row r="1209" ht="23.25" customHeight="1">
      <c r="A1209" s="17" t="str">
        <f>IF(COUNTIF('Icon Lookup'!C:C,B1209)&gt;0,LOOKUP(B1209,'Icon Lookup'!C:C,'Icon Lookup'!B:B),"")</f>
        <v/>
      </c>
      <c r="B1209" s="18" t="s">
        <v>174</v>
      </c>
      <c r="C1209" s="17" t="s">
        <v>17</v>
      </c>
      <c r="D1209" s="17">
        <v>38.0</v>
      </c>
      <c r="E1209" s="17" t="s">
        <v>38</v>
      </c>
      <c r="G1209" s="19"/>
      <c r="H1209" s="20" t="s">
        <v>536</v>
      </c>
      <c r="I1209" s="17" t="s">
        <v>94</v>
      </c>
      <c r="J1209" s="17">
        <v>0.0</v>
      </c>
      <c r="K1209" s="17">
        <v>0.0</v>
      </c>
      <c r="L1209" s="17">
        <v>0.0</v>
      </c>
      <c r="M1209" s="17">
        <v>0.0</v>
      </c>
      <c r="N1209" s="17">
        <v>0.0</v>
      </c>
      <c r="O1209" s="17">
        <v>0.0</v>
      </c>
      <c r="P1209" s="17">
        <v>0.0</v>
      </c>
      <c r="Q1209" s="17">
        <v>0.0</v>
      </c>
      <c r="R1209" s="17">
        <v>0.0</v>
      </c>
      <c r="S1209" s="17">
        <v>0.0</v>
      </c>
      <c r="T1209" s="17">
        <v>0.0</v>
      </c>
      <c r="U1209" s="17">
        <v>0.0</v>
      </c>
    </row>
    <row r="1210" ht="23.25" customHeight="1">
      <c r="A1210" s="20" t="str">
        <f>IF(COUNTIF('Icon Lookup'!C:C,B1210)&gt;0,LOOKUP(B1210,'Icon Lookup'!C:C,'Icon Lookup'!B:B),"")</f>
        <v/>
      </c>
      <c r="B1210" s="21" t="s">
        <v>293</v>
      </c>
      <c r="C1210" s="20" t="s">
        <v>17</v>
      </c>
      <c r="D1210" s="20">
        <v>35.0</v>
      </c>
      <c r="E1210" s="20" t="s">
        <v>61</v>
      </c>
      <c r="G1210" s="22"/>
      <c r="H1210" s="23" t="s">
        <v>1604</v>
      </c>
      <c r="I1210" s="20" t="s">
        <v>73</v>
      </c>
      <c r="J1210" s="20">
        <v>0.0</v>
      </c>
      <c r="K1210" s="20">
        <v>0.0</v>
      </c>
      <c r="L1210" s="20">
        <v>0.0</v>
      </c>
      <c r="M1210" s="20">
        <v>0.0</v>
      </c>
      <c r="N1210" s="20">
        <v>0.0</v>
      </c>
      <c r="O1210" s="20">
        <v>0.0</v>
      </c>
      <c r="P1210" s="20">
        <v>0.0</v>
      </c>
      <c r="Q1210" s="20">
        <v>0.0</v>
      </c>
      <c r="R1210" s="20">
        <v>0.0</v>
      </c>
      <c r="S1210" s="20">
        <v>0.0</v>
      </c>
      <c r="T1210" s="20">
        <v>0.0</v>
      </c>
      <c r="U1210" s="20">
        <v>0.0</v>
      </c>
    </row>
    <row r="1211" ht="23.25" customHeight="1">
      <c r="A1211" s="1" t="str">
        <f>IF(COUNTIF('Icon Lookup'!C:C,B1211)&gt;0,LOOKUP(B1211,'Icon Lookup'!C:C,'Icon Lookup'!B:B),"")</f>
        <v/>
      </c>
      <c r="B1211" s="15" t="s">
        <v>1616</v>
      </c>
      <c r="C1211" s="1" t="s">
        <v>17</v>
      </c>
      <c r="D1211" s="1" t="s">
        <v>1044</v>
      </c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</row>
    <row r="1212" ht="23.25" customHeight="1">
      <c r="A1212" s="17" t="str">
        <f>IF(COUNTIF('Icon Lookup'!C:C,B1212)&gt;0,LOOKUP(B1212,'Icon Lookup'!C:C,'Icon Lookup'!B:B),"")</f>
        <v/>
      </c>
      <c r="B1212" s="18" t="s">
        <v>1017</v>
      </c>
      <c r="C1212" s="17" t="s">
        <v>17</v>
      </c>
      <c r="D1212" s="17">
        <v>38.0</v>
      </c>
      <c r="E1212" s="17" t="s">
        <v>1126</v>
      </c>
      <c r="G1212" s="19"/>
      <c r="H1212" s="20" t="s">
        <v>1610</v>
      </c>
      <c r="I1212" s="17" t="s">
        <v>36</v>
      </c>
      <c r="J1212" s="17">
        <v>0.0</v>
      </c>
      <c r="K1212" s="17">
        <v>0.0</v>
      </c>
      <c r="L1212" s="17">
        <v>0.0</v>
      </c>
      <c r="M1212" s="17">
        <v>0.0</v>
      </c>
      <c r="N1212" s="17">
        <v>0.0</v>
      </c>
      <c r="O1212" s="17">
        <v>0.0</v>
      </c>
      <c r="P1212" s="17">
        <v>0.0</v>
      </c>
      <c r="Q1212" s="17">
        <v>0.0</v>
      </c>
      <c r="R1212" s="17">
        <v>0.0</v>
      </c>
      <c r="S1212" s="17">
        <v>0.0</v>
      </c>
      <c r="T1212" s="17">
        <v>0.0</v>
      </c>
      <c r="U1212" s="17">
        <v>0.0</v>
      </c>
    </row>
    <row r="1213" ht="23.25" customHeight="1">
      <c r="A1213" s="20" t="str">
        <f>IF(COUNTIF('Icon Lookup'!C:C,B1213)&gt;0,LOOKUP(B1213,'Icon Lookup'!C:C,'Icon Lookup'!B:B),"")</f>
        <v/>
      </c>
      <c r="B1213" s="21" t="s">
        <v>174</v>
      </c>
      <c r="C1213" s="20" t="s">
        <v>17</v>
      </c>
      <c r="D1213" s="20">
        <v>38.0</v>
      </c>
      <c r="E1213" s="20" t="s">
        <v>38</v>
      </c>
      <c r="G1213" s="22"/>
      <c r="H1213" s="23" t="s">
        <v>1617</v>
      </c>
      <c r="I1213" s="20" t="s">
        <v>1045</v>
      </c>
      <c r="J1213" s="20">
        <v>0.0</v>
      </c>
      <c r="K1213" s="20">
        <v>0.0</v>
      </c>
      <c r="L1213" s="20">
        <v>0.0</v>
      </c>
      <c r="M1213" s="20">
        <v>0.0</v>
      </c>
      <c r="N1213" s="20">
        <v>0.0</v>
      </c>
      <c r="O1213" s="20">
        <v>0.0</v>
      </c>
      <c r="P1213" s="20">
        <v>0.0</v>
      </c>
      <c r="Q1213" s="20">
        <v>0.0</v>
      </c>
      <c r="R1213" s="20">
        <v>0.0</v>
      </c>
      <c r="S1213" s="20">
        <v>0.0</v>
      </c>
      <c r="T1213" s="20">
        <v>0.0</v>
      </c>
      <c r="U1213" s="20">
        <v>0.0</v>
      </c>
    </row>
    <row r="1214" ht="23.25" customHeight="1">
      <c r="A1214" s="1" t="str">
        <f>IF(COUNTIF('Icon Lookup'!C:C,B1214)&gt;0,LOOKUP(B1214,'Icon Lookup'!C:C,'Icon Lookup'!B:B),"")</f>
        <v/>
      </c>
      <c r="B1214" s="15" t="s">
        <v>1618</v>
      </c>
      <c r="C1214" s="1" t="s">
        <v>17</v>
      </c>
      <c r="D1214" s="1" t="s">
        <v>1044</v>
      </c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</row>
    <row r="1215" ht="23.25" customHeight="1">
      <c r="A1215" s="17" t="str">
        <f>IF(COUNTIF('Icon Lookup'!C:C,B1215)&gt;0,LOOKUP(B1215,'Icon Lookup'!C:C,'Icon Lookup'!B:B),"")</f>
        <v/>
      </c>
      <c r="B1215" s="18" t="s">
        <v>288</v>
      </c>
      <c r="C1215" s="17" t="s">
        <v>17</v>
      </c>
      <c r="D1215" s="17">
        <v>35.0</v>
      </c>
      <c r="E1215" s="17" t="s">
        <v>289</v>
      </c>
      <c r="G1215" s="19"/>
      <c r="H1215" s="20" t="s">
        <v>1407</v>
      </c>
      <c r="I1215" s="17" t="s">
        <v>197</v>
      </c>
      <c r="J1215" s="17">
        <v>0.0</v>
      </c>
      <c r="K1215" s="17">
        <v>0.0</v>
      </c>
      <c r="L1215" s="17">
        <v>0.0</v>
      </c>
      <c r="M1215" s="17">
        <v>0.0</v>
      </c>
      <c r="N1215" s="17">
        <v>0.0</v>
      </c>
      <c r="O1215" s="17">
        <v>0.0</v>
      </c>
      <c r="P1215" s="17">
        <v>0.0</v>
      </c>
      <c r="Q1215" s="17">
        <v>0.0</v>
      </c>
      <c r="R1215" s="17">
        <v>0.0</v>
      </c>
      <c r="S1215" s="17">
        <v>0.0</v>
      </c>
      <c r="T1215" s="17">
        <v>0.0</v>
      </c>
      <c r="U1215" s="17">
        <v>0.0</v>
      </c>
    </row>
    <row r="1216" ht="23.25" customHeight="1">
      <c r="A1216" s="20" t="str">
        <f>IF(COUNTIF('Icon Lookup'!C:C,B1216)&gt;0,LOOKUP(B1216,'Icon Lookup'!C:C,'Icon Lookup'!B:B),"")</f>
        <v/>
      </c>
      <c r="B1216" s="21" t="s">
        <v>1017</v>
      </c>
      <c r="C1216" s="20" t="s">
        <v>17</v>
      </c>
      <c r="D1216" s="20">
        <v>38.0</v>
      </c>
      <c r="E1216" s="20" t="s">
        <v>1126</v>
      </c>
      <c r="G1216" s="22"/>
      <c r="H1216" s="23" t="s">
        <v>1619</v>
      </c>
      <c r="I1216" s="20" t="s">
        <v>94</v>
      </c>
      <c r="J1216" s="20">
        <v>0.0</v>
      </c>
      <c r="K1216" s="20">
        <v>0.0</v>
      </c>
      <c r="L1216" s="20">
        <v>0.0</v>
      </c>
      <c r="M1216" s="20">
        <v>0.0</v>
      </c>
      <c r="N1216" s="20">
        <v>0.0</v>
      </c>
      <c r="O1216" s="20">
        <v>0.0</v>
      </c>
      <c r="P1216" s="20">
        <v>0.0</v>
      </c>
      <c r="Q1216" s="20">
        <v>0.0</v>
      </c>
      <c r="R1216" s="20">
        <v>0.0</v>
      </c>
      <c r="S1216" s="20">
        <v>0.0</v>
      </c>
      <c r="T1216" s="20">
        <v>0.0</v>
      </c>
      <c r="U1216" s="20">
        <v>0.0</v>
      </c>
    </row>
    <row r="1217" ht="23.25" customHeight="1">
      <c r="A1217" s="17" t="str">
        <f>IF(COUNTIF('Icon Lookup'!C:C,B1217)&gt;0,LOOKUP(B1217,'Icon Lookup'!C:C,'Icon Lookup'!B:B),"")</f>
        <v/>
      </c>
      <c r="B1217" s="18" t="s">
        <v>288</v>
      </c>
      <c r="C1217" s="17" t="s">
        <v>17</v>
      </c>
      <c r="D1217" s="17">
        <v>38.0</v>
      </c>
      <c r="E1217" s="17" t="s">
        <v>289</v>
      </c>
      <c r="G1217" s="19"/>
      <c r="H1217" s="20" t="s">
        <v>538</v>
      </c>
      <c r="I1217" s="17" t="s">
        <v>73</v>
      </c>
      <c r="J1217" s="17">
        <v>0.0</v>
      </c>
      <c r="K1217" s="17">
        <v>0.0</v>
      </c>
      <c r="L1217" s="17">
        <v>0.0</v>
      </c>
      <c r="M1217" s="17">
        <v>0.0</v>
      </c>
      <c r="N1217" s="17">
        <v>0.0</v>
      </c>
      <c r="O1217" s="17">
        <v>0.0</v>
      </c>
      <c r="P1217" s="17">
        <v>0.0</v>
      </c>
      <c r="Q1217" s="17">
        <v>0.0</v>
      </c>
      <c r="R1217" s="17">
        <v>0.0</v>
      </c>
      <c r="S1217" s="17">
        <v>0.0</v>
      </c>
      <c r="T1217" s="17">
        <v>0.0</v>
      </c>
      <c r="U1217" s="17">
        <v>0.0</v>
      </c>
    </row>
    <row r="1218" ht="23.25" customHeight="1">
      <c r="A1218" s="1" t="str">
        <f>IF(COUNTIF('Icon Lookup'!C:C,B1218)&gt;0,LOOKUP(B1218,'Icon Lookup'!C:C,'Icon Lookup'!B:B),"")</f>
        <v/>
      </c>
      <c r="B1218" s="15" t="s">
        <v>1620</v>
      </c>
      <c r="C1218" s="1" t="s">
        <v>17</v>
      </c>
      <c r="D1218" s="1" t="s">
        <v>1044</v>
      </c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</row>
    <row r="1219" ht="23.25" customHeight="1">
      <c r="A1219" s="20" t="str">
        <f>IF(COUNTIF('Icon Lookup'!C:C,B1219)&gt;0,LOOKUP(B1219,'Icon Lookup'!C:C,'Icon Lookup'!B:B),"")</f>
        <v/>
      </c>
      <c r="B1219" s="21" t="s">
        <v>174</v>
      </c>
      <c r="C1219" s="20" t="s">
        <v>17</v>
      </c>
      <c r="D1219" s="20">
        <v>40.0</v>
      </c>
      <c r="E1219" s="20" t="s">
        <v>38</v>
      </c>
      <c r="G1219" s="22"/>
      <c r="H1219" s="23" t="s">
        <v>1621</v>
      </c>
      <c r="I1219" s="20" t="s">
        <v>36</v>
      </c>
      <c r="J1219" s="20">
        <v>0.0</v>
      </c>
      <c r="K1219" s="20">
        <v>0.0</v>
      </c>
      <c r="L1219" s="20">
        <v>0.0</v>
      </c>
      <c r="M1219" s="20">
        <v>0.0</v>
      </c>
      <c r="N1219" s="20">
        <v>0.0</v>
      </c>
      <c r="O1219" s="20">
        <v>0.0</v>
      </c>
      <c r="P1219" s="20">
        <v>0.0</v>
      </c>
      <c r="Q1219" s="20">
        <v>0.0</v>
      </c>
      <c r="R1219" s="20">
        <v>0.0</v>
      </c>
      <c r="S1219" s="20">
        <v>0.0</v>
      </c>
      <c r="T1219" s="20">
        <v>0.0</v>
      </c>
      <c r="U1219" s="20">
        <v>0.0</v>
      </c>
    </row>
    <row r="1220" ht="23.25" customHeight="1">
      <c r="A1220" s="1" t="str">
        <f>IF(COUNTIF('Icon Lookup'!C:C,B1220)&gt;0,LOOKUP(B1220,'Icon Lookup'!C:C,'Icon Lookup'!B:B),"")</f>
        <v/>
      </c>
      <c r="B1220" s="15" t="s">
        <v>1622</v>
      </c>
      <c r="C1220" s="1" t="s">
        <v>17</v>
      </c>
      <c r="D1220" s="1" t="s">
        <v>1044</v>
      </c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</row>
    <row r="1221" ht="23.25" customHeight="1">
      <c r="A1221" s="17" t="str">
        <f>IF(COUNTIF('Icon Lookup'!C:C,B1221)&gt;0,LOOKUP(B1221,'Icon Lookup'!C:C,'Icon Lookup'!B:B),"")</f>
        <v/>
      </c>
      <c r="B1221" s="18" t="s">
        <v>160</v>
      </c>
      <c r="C1221" s="17" t="s">
        <v>17</v>
      </c>
      <c r="D1221" s="17">
        <v>37.0</v>
      </c>
      <c r="E1221" s="17" t="s">
        <v>1434</v>
      </c>
      <c r="G1221" s="19"/>
      <c r="H1221" s="20" t="s">
        <v>1623</v>
      </c>
      <c r="I1221" s="17" t="s">
        <v>1045</v>
      </c>
      <c r="J1221" s="17">
        <v>0.0</v>
      </c>
      <c r="K1221" s="17">
        <v>0.0</v>
      </c>
      <c r="L1221" s="17">
        <v>0.0</v>
      </c>
      <c r="M1221" s="17">
        <v>0.0</v>
      </c>
      <c r="N1221" s="17">
        <v>0.0</v>
      </c>
      <c r="O1221" s="17">
        <v>0.0</v>
      </c>
      <c r="P1221" s="17">
        <v>0.0</v>
      </c>
      <c r="Q1221" s="17">
        <v>0.0</v>
      </c>
      <c r="R1221" s="17">
        <v>0.0</v>
      </c>
      <c r="S1221" s="17">
        <v>0.0</v>
      </c>
      <c r="T1221" s="17">
        <v>0.0</v>
      </c>
      <c r="U1221" s="17">
        <v>0.0</v>
      </c>
    </row>
    <row r="1222" ht="23.25" customHeight="1">
      <c r="A1222" s="20" t="str">
        <f>IF(COUNTIF('Icon Lookup'!C:C,B1222)&gt;0,LOOKUP(B1222,'Icon Lookup'!C:C,'Icon Lookup'!B:B),"")</f>
        <v/>
      </c>
      <c r="B1222" s="21" t="s">
        <v>174</v>
      </c>
      <c r="C1222" s="20" t="s">
        <v>17</v>
      </c>
      <c r="D1222" s="20">
        <v>37.0</v>
      </c>
      <c r="E1222" s="20" t="s">
        <v>38</v>
      </c>
      <c r="G1222" s="22"/>
      <c r="H1222" s="23" t="s">
        <v>1617</v>
      </c>
      <c r="I1222" s="20" t="s">
        <v>197</v>
      </c>
      <c r="J1222" s="20">
        <v>0.0</v>
      </c>
      <c r="K1222" s="20">
        <v>0.0</v>
      </c>
      <c r="L1222" s="20">
        <v>0.0</v>
      </c>
      <c r="M1222" s="20">
        <v>0.0</v>
      </c>
      <c r="N1222" s="20">
        <v>0.0</v>
      </c>
      <c r="O1222" s="20">
        <v>0.0</v>
      </c>
      <c r="P1222" s="20">
        <v>0.0</v>
      </c>
      <c r="Q1222" s="20">
        <v>0.0</v>
      </c>
      <c r="R1222" s="20">
        <v>0.0</v>
      </c>
      <c r="S1222" s="20">
        <v>0.0</v>
      </c>
      <c r="T1222" s="20">
        <v>0.0</v>
      </c>
      <c r="U1222" s="20">
        <v>0.0</v>
      </c>
    </row>
    <row r="1223" ht="23.25" customHeight="1">
      <c r="A1223" s="1" t="str">
        <f>IF(COUNTIF('Icon Lookup'!C:C,B1223)&gt;0,LOOKUP(B1223,'Icon Lookup'!C:C,'Icon Lookup'!B:B),"")</f>
        <v/>
      </c>
      <c r="B1223" s="15" t="s">
        <v>1624</v>
      </c>
      <c r="C1223" s="1" t="s">
        <v>17</v>
      </c>
      <c r="D1223" s="1" t="s">
        <v>1044</v>
      </c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</row>
    <row r="1224" ht="23.25" customHeight="1">
      <c r="A1224" s="17" t="str">
        <f>IF(COUNTIF('Icon Lookup'!C:C,B1224)&gt;0,LOOKUP(B1224,'Icon Lookup'!C:C,'Icon Lookup'!B:B),"")</f>
        <v/>
      </c>
      <c r="B1224" s="18" t="s">
        <v>293</v>
      </c>
      <c r="C1224" s="17" t="s">
        <v>17</v>
      </c>
      <c r="D1224" s="17">
        <v>38.0</v>
      </c>
      <c r="E1224" s="17" t="s">
        <v>61</v>
      </c>
      <c r="G1224" s="19"/>
      <c r="H1224" s="20" t="s">
        <v>1625</v>
      </c>
      <c r="I1224" s="17" t="s">
        <v>73</v>
      </c>
      <c r="J1224" s="17">
        <v>0.0</v>
      </c>
      <c r="K1224" s="17">
        <v>0.0</v>
      </c>
      <c r="L1224" s="17">
        <v>0.0</v>
      </c>
      <c r="M1224" s="17">
        <v>0.0</v>
      </c>
      <c r="N1224" s="17">
        <v>0.0</v>
      </c>
      <c r="O1224" s="17">
        <v>0.0</v>
      </c>
      <c r="P1224" s="17">
        <v>0.0</v>
      </c>
      <c r="Q1224" s="17">
        <v>0.0</v>
      </c>
      <c r="R1224" s="17">
        <v>0.0</v>
      </c>
      <c r="S1224" s="17">
        <v>0.0</v>
      </c>
      <c r="T1224" s="17">
        <v>0.0</v>
      </c>
      <c r="U1224" s="17">
        <v>0.0</v>
      </c>
    </row>
    <row r="1225" ht="23.25" customHeight="1">
      <c r="A1225" s="20" t="str">
        <f>IF(COUNTIF('Icon Lookup'!C:C,B1225)&gt;0,LOOKUP(B1225,'Icon Lookup'!C:C,'Icon Lookup'!B:B),"")</f>
        <v/>
      </c>
      <c r="B1225" s="21" t="s">
        <v>288</v>
      </c>
      <c r="C1225" s="20" t="s">
        <v>17</v>
      </c>
      <c r="D1225" s="20">
        <v>38.0</v>
      </c>
      <c r="E1225" s="20" t="s">
        <v>289</v>
      </c>
      <c r="G1225" s="22"/>
      <c r="H1225" s="23" t="s">
        <v>538</v>
      </c>
      <c r="I1225" s="20" t="s">
        <v>94</v>
      </c>
      <c r="J1225" s="20">
        <v>0.0</v>
      </c>
      <c r="K1225" s="20">
        <v>0.0</v>
      </c>
      <c r="L1225" s="20">
        <v>0.0</v>
      </c>
      <c r="M1225" s="20">
        <v>0.0</v>
      </c>
      <c r="N1225" s="20">
        <v>0.0</v>
      </c>
      <c r="O1225" s="20">
        <v>0.0</v>
      </c>
      <c r="P1225" s="20">
        <v>0.0</v>
      </c>
      <c r="Q1225" s="20">
        <v>0.0</v>
      </c>
      <c r="R1225" s="20">
        <v>0.0</v>
      </c>
      <c r="S1225" s="20">
        <v>0.0</v>
      </c>
      <c r="T1225" s="20">
        <v>0.0</v>
      </c>
      <c r="U1225" s="20">
        <v>0.0</v>
      </c>
    </row>
    <row r="1226" ht="23.25" customHeight="1">
      <c r="A1226" s="1" t="str">
        <f>IF(COUNTIF('Icon Lookup'!C:C,B1226)&gt;0,LOOKUP(B1226,'Icon Lookup'!C:C,'Icon Lookup'!B:B),"")</f>
        <v/>
      </c>
      <c r="B1226" s="15" t="s">
        <v>1626</v>
      </c>
      <c r="C1226" s="1" t="s">
        <v>17</v>
      </c>
      <c r="D1226" s="1" t="s">
        <v>1044</v>
      </c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</row>
    <row r="1227" ht="23.25" customHeight="1">
      <c r="A1227" s="17" t="str">
        <f>IF(COUNTIF('Icon Lookup'!C:C,B1227)&gt;0,LOOKUP(B1227,'Icon Lookup'!C:C,'Icon Lookup'!B:B),"")</f>
        <v/>
      </c>
      <c r="B1227" s="18" t="s">
        <v>288</v>
      </c>
      <c r="C1227" s="17" t="s">
        <v>17</v>
      </c>
      <c r="D1227" s="17">
        <v>35.0</v>
      </c>
      <c r="E1227" s="17" t="s">
        <v>289</v>
      </c>
      <c r="G1227" s="19"/>
      <c r="H1227" s="20" t="s">
        <v>1407</v>
      </c>
      <c r="I1227" s="17" t="s">
        <v>73</v>
      </c>
      <c r="J1227" s="17">
        <v>0.0</v>
      </c>
      <c r="K1227" s="17">
        <v>0.0</v>
      </c>
      <c r="L1227" s="17">
        <v>0.0</v>
      </c>
      <c r="M1227" s="17">
        <v>0.0</v>
      </c>
      <c r="N1227" s="17">
        <v>0.0</v>
      </c>
      <c r="O1227" s="17">
        <v>0.0</v>
      </c>
      <c r="P1227" s="17">
        <v>0.0</v>
      </c>
      <c r="Q1227" s="17">
        <v>0.0</v>
      </c>
      <c r="R1227" s="17">
        <v>0.0</v>
      </c>
      <c r="S1227" s="17">
        <v>0.0</v>
      </c>
      <c r="T1227" s="17">
        <v>0.0</v>
      </c>
      <c r="U1227" s="17">
        <v>0.0</v>
      </c>
    </row>
    <row r="1228" ht="23.25" customHeight="1">
      <c r="A1228" s="20" t="str">
        <f>IF(COUNTIF('Icon Lookup'!C:C,B1228)&gt;0,LOOKUP(B1228,'Icon Lookup'!C:C,'Icon Lookup'!B:B),"")</f>
        <v/>
      </c>
      <c r="B1228" s="21" t="s">
        <v>1017</v>
      </c>
      <c r="C1228" s="20" t="s">
        <v>17</v>
      </c>
      <c r="D1228" s="20">
        <v>35.0</v>
      </c>
      <c r="E1228" s="20" t="s">
        <v>1126</v>
      </c>
      <c r="G1228" s="22"/>
      <c r="H1228" s="23" t="s">
        <v>1019</v>
      </c>
      <c r="I1228" s="20" t="s">
        <v>94</v>
      </c>
      <c r="J1228" s="20">
        <v>0.0</v>
      </c>
      <c r="K1228" s="20">
        <v>0.0</v>
      </c>
      <c r="L1228" s="20">
        <v>0.0</v>
      </c>
      <c r="M1228" s="20">
        <v>0.0</v>
      </c>
      <c r="N1228" s="20">
        <v>0.0</v>
      </c>
      <c r="O1228" s="20">
        <v>0.0</v>
      </c>
      <c r="P1228" s="20">
        <v>0.0</v>
      </c>
      <c r="Q1228" s="20">
        <v>0.0</v>
      </c>
      <c r="R1228" s="20">
        <v>0.0</v>
      </c>
      <c r="S1228" s="20">
        <v>0.0</v>
      </c>
      <c r="T1228" s="20">
        <v>0.0</v>
      </c>
      <c r="U1228" s="20">
        <v>0.0</v>
      </c>
    </row>
    <row r="1229" ht="23.25" customHeight="1">
      <c r="A1229" s="17" t="str">
        <f>IF(COUNTIF('Icon Lookup'!C:C,B1229)&gt;0,LOOKUP(B1229,'Icon Lookup'!C:C,'Icon Lookup'!B:B),"")</f>
        <v/>
      </c>
      <c r="B1229" s="18" t="s">
        <v>1003</v>
      </c>
      <c r="C1229" s="17" t="s">
        <v>17</v>
      </c>
      <c r="D1229" s="17">
        <v>35.0</v>
      </c>
      <c r="E1229" s="17" t="s">
        <v>1004</v>
      </c>
      <c r="G1229" s="19"/>
      <c r="H1229" s="20" t="s">
        <v>1627</v>
      </c>
      <c r="I1229" s="17" t="s">
        <v>36</v>
      </c>
      <c r="J1229" s="17">
        <v>0.0</v>
      </c>
      <c r="K1229" s="17">
        <v>0.0</v>
      </c>
      <c r="L1229" s="17">
        <v>0.0</v>
      </c>
      <c r="M1229" s="17">
        <v>0.0</v>
      </c>
      <c r="N1229" s="17">
        <v>0.0</v>
      </c>
      <c r="O1229" s="17">
        <v>0.0</v>
      </c>
      <c r="P1229" s="17">
        <v>0.0</v>
      </c>
      <c r="Q1229" s="17">
        <v>0.0</v>
      </c>
      <c r="R1229" s="17">
        <v>0.0</v>
      </c>
      <c r="S1229" s="17">
        <v>0.0</v>
      </c>
      <c r="T1229" s="17">
        <v>0.0</v>
      </c>
      <c r="U1229" s="17">
        <v>0.0</v>
      </c>
    </row>
    <row r="1230" ht="23.25" customHeight="1">
      <c r="A1230" s="1" t="str">
        <f>IF(COUNTIF('Icon Lookup'!C:C,B1230)&gt;0,LOOKUP(B1230,'Icon Lookup'!C:C,'Icon Lookup'!B:B),"")</f>
        <v/>
      </c>
      <c r="B1230" s="15" t="s">
        <v>1628</v>
      </c>
      <c r="C1230" s="1" t="s">
        <v>17</v>
      </c>
      <c r="D1230" s="1" t="s">
        <v>1044</v>
      </c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</row>
    <row r="1231" ht="23.25" customHeight="1">
      <c r="A1231" s="20" t="str">
        <f>IF(COUNTIF('Icon Lookup'!C:C,B1231)&gt;0,LOOKUP(B1231,'Icon Lookup'!C:C,'Icon Lookup'!B:B),"")</f>
        <v/>
      </c>
      <c r="B1231" s="21" t="s">
        <v>687</v>
      </c>
      <c r="C1231" s="20" t="s">
        <v>17</v>
      </c>
      <c r="D1231" s="20">
        <v>40.0</v>
      </c>
      <c r="E1231" s="20" t="s">
        <v>258</v>
      </c>
      <c r="G1231" s="22"/>
      <c r="H1231" s="23" t="s">
        <v>1629</v>
      </c>
      <c r="I1231" s="20" t="s">
        <v>36</v>
      </c>
      <c r="J1231" s="20">
        <v>0.0</v>
      </c>
      <c r="K1231" s="20">
        <v>0.0</v>
      </c>
      <c r="L1231" s="20">
        <v>0.0</v>
      </c>
      <c r="M1231" s="20">
        <v>0.0</v>
      </c>
      <c r="N1231" s="20">
        <v>0.0</v>
      </c>
      <c r="O1231" s="20">
        <v>0.0</v>
      </c>
      <c r="P1231" s="20">
        <v>0.0</v>
      </c>
      <c r="Q1231" s="20">
        <v>0.0</v>
      </c>
      <c r="R1231" s="20">
        <v>0.0</v>
      </c>
      <c r="S1231" s="20">
        <v>0.0</v>
      </c>
      <c r="T1231" s="20">
        <v>0.0</v>
      </c>
      <c r="U1231" s="20">
        <v>0.0</v>
      </c>
    </row>
    <row r="1232" ht="23.25" customHeight="1">
      <c r="A1232" s="1" t="str">
        <f>IF(COUNTIF('Icon Lookup'!C:C,B1232)&gt;0,LOOKUP(B1232,'Icon Lookup'!C:C,'Icon Lookup'!B:B),"")</f>
        <v/>
      </c>
      <c r="B1232" s="15" t="s">
        <v>1630</v>
      </c>
      <c r="C1232" s="1" t="s">
        <v>17</v>
      </c>
      <c r="D1232" s="1" t="s">
        <v>1044</v>
      </c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</row>
    <row r="1233" ht="23.25" customHeight="1">
      <c r="A1233" s="17" t="str">
        <f>IF(COUNTIF('Icon Lookup'!C:C,B1233)&gt;0,LOOKUP(B1233,'Icon Lookup'!C:C,'Icon Lookup'!B:B),"")</f>
        <v/>
      </c>
      <c r="B1233" s="18" t="s">
        <v>60</v>
      </c>
      <c r="C1233" s="17" t="s">
        <v>17</v>
      </c>
      <c r="D1233" s="17">
        <v>34.0</v>
      </c>
      <c r="E1233" s="17" t="s">
        <v>61</v>
      </c>
      <c r="G1233" s="19"/>
      <c r="H1233" s="20" t="s">
        <v>1602</v>
      </c>
      <c r="I1233" s="17" t="s">
        <v>1045</v>
      </c>
      <c r="J1233" s="17">
        <v>0.0</v>
      </c>
      <c r="K1233" s="17">
        <v>0.0</v>
      </c>
      <c r="L1233" s="17">
        <v>0.0</v>
      </c>
      <c r="M1233" s="17">
        <v>0.0</v>
      </c>
      <c r="N1233" s="17">
        <v>0.0</v>
      </c>
      <c r="O1233" s="17">
        <v>0.0</v>
      </c>
      <c r="P1233" s="17">
        <v>0.0</v>
      </c>
      <c r="Q1233" s="17">
        <v>0.0</v>
      </c>
      <c r="R1233" s="17">
        <v>0.0</v>
      </c>
      <c r="S1233" s="17">
        <v>0.0</v>
      </c>
      <c r="T1233" s="17">
        <v>0.0</v>
      </c>
      <c r="U1233" s="17">
        <v>0.0</v>
      </c>
    </row>
    <row r="1234" ht="23.25" customHeight="1">
      <c r="A1234" s="20" t="str">
        <f>IF(COUNTIF('Icon Lookup'!C:C,B1234)&gt;0,LOOKUP(B1234,'Icon Lookup'!C:C,'Icon Lookup'!B:B),"")</f>
        <v/>
      </c>
      <c r="B1234" s="21" t="s">
        <v>685</v>
      </c>
      <c r="C1234" s="20" t="s">
        <v>17</v>
      </c>
      <c r="D1234" s="20">
        <v>36.0</v>
      </c>
      <c r="E1234" s="20" t="s">
        <v>58</v>
      </c>
      <c r="G1234" s="22"/>
      <c r="H1234" s="23" t="s">
        <v>1421</v>
      </c>
      <c r="I1234" s="20" t="s">
        <v>197</v>
      </c>
      <c r="J1234" s="20">
        <v>0.0</v>
      </c>
      <c r="K1234" s="20">
        <v>0.0</v>
      </c>
      <c r="L1234" s="20">
        <v>0.0</v>
      </c>
      <c r="M1234" s="20">
        <v>0.0</v>
      </c>
      <c r="N1234" s="20">
        <v>0.0</v>
      </c>
      <c r="O1234" s="20">
        <v>0.0</v>
      </c>
      <c r="P1234" s="20">
        <v>0.0</v>
      </c>
      <c r="Q1234" s="20">
        <v>0.0</v>
      </c>
      <c r="R1234" s="20">
        <v>0.0</v>
      </c>
      <c r="S1234" s="20">
        <v>0.0</v>
      </c>
      <c r="T1234" s="20">
        <v>0.0</v>
      </c>
      <c r="U1234" s="20">
        <v>0.0</v>
      </c>
    </row>
    <row r="1235" ht="23.25" customHeight="1">
      <c r="A1235" s="17" t="str">
        <f>IF(COUNTIF('Icon Lookup'!C:C,B1235)&gt;0,LOOKUP(B1235,'Icon Lookup'!C:C,'Icon Lookup'!B:B),"")</f>
        <v/>
      </c>
      <c r="B1235" s="18" t="s">
        <v>687</v>
      </c>
      <c r="C1235" s="17" t="s">
        <v>17</v>
      </c>
      <c r="D1235" s="17">
        <v>38.0</v>
      </c>
      <c r="E1235" s="17" t="s">
        <v>258</v>
      </c>
      <c r="G1235" s="19"/>
      <c r="H1235" s="20" t="s">
        <v>1631</v>
      </c>
      <c r="I1235" s="17" t="s">
        <v>73</v>
      </c>
      <c r="J1235" s="17">
        <v>0.0</v>
      </c>
      <c r="K1235" s="17">
        <v>0.0</v>
      </c>
      <c r="L1235" s="17">
        <v>0.0</v>
      </c>
      <c r="M1235" s="17">
        <v>0.0</v>
      </c>
      <c r="N1235" s="17">
        <v>0.0</v>
      </c>
      <c r="O1235" s="17">
        <v>0.0</v>
      </c>
      <c r="P1235" s="17">
        <v>0.0</v>
      </c>
      <c r="Q1235" s="17">
        <v>0.0</v>
      </c>
      <c r="R1235" s="17">
        <v>0.0</v>
      </c>
      <c r="S1235" s="17">
        <v>0.0</v>
      </c>
      <c r="T1235" s="17">
        <v>0.0</v>
      </c>
      <c r="U1235" s="17">
        <v>0.0</v>
      </c>
    </row>
    <row r="1236" ht="23.25" customHeight="1">
      <c r="A1236" s="1" t="str">
        <f>IF(COUNTIF('Icon Lookup'!C:C,B1236)&gt;0,LOOKUP(B1236,'Icon Lookup'!C:C,'Icon Lookup'!B:B),"")</f>
        <v/>
      </c>
      <c r="B1236" s="15" t="s">
        <v>1632</v>
      </c>
      <c r="C1236" s="1" t="s">
        <v>17</v>
      </c>
      <c r="D1236" s="1" t="s">
        <v>1044</v>
      </c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</row>
    <row r="1237" ht="23.25" customHeight="1">
      <c r="A1237" s="20" t="str">
        <f>IF(COUNTIF('Icon Lookup'!C:C,B1237)&gt;0,LOOKUP(B1237,'Icon Lookup'!C:C,'Icon Lookup'!B:B),"")</f>
        <v/>
      </c>
      <c r="B1237" s="21" t="s">
        <v>160</v>
      </c>
      <c r="C1237" s="20" t="s">
        <v>17</v>
      </c>
      <c r="D1237" s="20">
        <v>38.0</v>
      </c>
      <c r="E1237" s="20" t="s">
        <v>161</v>
      </c>
      <c r="G1237" s="22"/>
      <c r="H1237" s="23" t="s">
        <v>1633</v>
      </c>
      <c r="I1237" s="20" t="s">
        <v>94</v>
      </c>
      <c r="J1237" s="20">
        <v>0.0</v>
      </c>
      <c r="K1237" s="20">
        <v>0.0</v>
      </c>
      <c r="L1237" s="20">
        <v>0.0</v>
      </c>
      <c r="M1237" s="20">
        <v>0.0</v>
      </c>
      <c r="N1237" s="20">
        <v>0.0</v>
      </c>
      <c r="O1237" s="20">
        <v>0.0</v>
      </c>
      <c r="P1237" s="20">
        <v>0.0</v>
      </c>
      <c r="Q1237" s="20">
        <v>0.0</v>
      </c>
      <c r="R1237" s="20">
        <v>0.0</v>
      </c>
      <c r="S1237" s="20">
        <v>0.0</v>
      </c>
      <c r="T1237" s="20">
        <v>0.0</v>
      </c>
      <c r="U1237" s="20">
        <v>0.0</v>
      </c>
    </row>
    <row r="1238" ht="23.25" customHeight="1">
      <c r="A1238" s="17" t="str">
        <f>IF(COUNTIF('Icon Lookup'!C:C,B1238)&gt;0,LOOKUP(B1238,'Icon Lookup'!C:C,'Icon Lookup'!B:B),"")</f>
        <v/>
      </c>
      <c r="B1238" s="18" t="s">
        <v>1003</v>
      </c>
      <c r="C1238" s="17" t="s">
        <v>17</v>
      </c>
      <c r="D1238" s="17">
        <v>38.0</v>
      </c>
      <c r="E1238" s="17" t="s">
        <v>1004</v>
      </c>
      <c r="G1238" s="19"/>
      <c r="H1238" s="20" t="s">
        <v>1427</v>
      </c>
      <c r="I1238" s="17" t="s">
        <v>36</v>
      </c>
      <c r="J1238" s="17">
        <v>0.0</v>
      </c>
      <c r="K1238" s="17">
        <v>0.0</v>
      </c>
      <c r="L1238" s="17">
        <v>0.0</v>
      </c>
      <c r="M1238" s="17">
        <v>0.0</v>
      </c>
      <c r="N1238" s="17">
        <v>0.0</v>
      </c>
      <c r="O1238" s="17">
        <v>0.0</v>
      </c>
      <c r="P1238" s="17">
        <v>0.0</v>
      </c>
      <c r="Q1238" s="17">
        <v>0.0</v>
      </c>
      <c r="R1238" s="17">
        <v>0.0</v>
      </c>
      <c r="S1238" s="17">
        <v>0.0</v>
      </c>
      <c r="T1238" s="17">
        <v>0.0</v>
      </c>
      <c r="U1238" s="17">
        <v>0.0</v>
      </c>
    </row>
    <row r="1239" ht="23.25" customHeight="1">
      <c r="A1239" s="1" t="str">
        <f>IF(COUNTIF('Icon Lookup'!C:C,B1239)&gt;0,LOOKUP(B1239,'Icon Lookup'!C:C,'Icon Lookup'!B:B),"")</f>
        <v/>
      </c>
      <c r="B1239" s="15" t="s">
        <v>1634</v>
      </c>
      <c r="C1239" s="1" t="s">
        <v>17</v>
      </c>
      <c r="D1239" s="1" t="s">
        <v>1044</v>
      </c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</row>
    <row r="1240" ht="23.25" customHeight="1">
      <c r="A1240" s="20" t="str">
        <f>IF(COUNTIF('Icon Lookup'!C:C,B1240)&gt;0,LOOKUP(B1240,'Icon Lookup'!C:C,'Icon Lookup'!B:B),"")</f>
        <v/>
      </c>
      <c r="B1240" s="21" t="s">
        <v>174</v>
      </c>
      <c r="C1240" s="20" t="s">
        <v>17</v>
      </c>
      <c r="D1240" s="20">
        <v>37.0</v>
      </c>
      <c r="E1240" s="20" t="s">
        <v>38</v>
      </c>
      <c r="G1240" s="22"/>
      <c r="H1240" s="23" t="s">
        <v>1617</v>
      </c>
      <c r="I1240" s="20" t="s">
        <v>1045</v>
      </c>
      <c r="J1240" s="20">
        <v>0.0</v>
      </c>
      <c r="K1240" s="20">
        <v>0.0</v>
      </c>
      <c r="L1240" s="20">
        <v>0.0</v>
      </c>
      <c r="M1240" s="20">
        <v>0.0</v>
      </c>
      <c r="N1240" s="20">
        <v>0.0</v>
      </c>
      <c r="O1240" s="20">
        <v>0.0</v>
      </c>
      <c r="P1240" s="20">
        <v>0.0</v>
      </c>
      <c r="Q1240" s="20">
        <v>0.0</v>
      </c>
      <c r="R1240" s="20">
        <v>0.0</v>
      </c>
      <c r="S1240" s="20">
        <v>0.0</v>
      </c>
      <c r="T1240" s="20">
        <v>0.0</v>
      </c>
      <c r="U1240" s="20">
        <v>0.0</v>
      </c>
    </row>
    <row r="1241" ht="23.25" customHeight="1">
      <c r="A1241" s="17" t="str">
        <f>IF(COUNTIF('Icon Lookup'!C:C,B1241)&gt;0,LOOKUP(B1241,'Icon Lookup'!C:C,'Icon Lookup'!B:B),"")</f>
        <v/>
      </c>
      <c r="B1241" s="18" t="s">
        <v>1003</v>
      </c>
      <c r="C1241" s="17" t="s">
        <v>17</v>
      </c>
      <c r="D1241" s="17">
        <v>37.0</v>
      </c>
      <c r="E1241" s="17" t="s">
        <v>1004</v>
      </c>
      <c r="G1241" s="19"/>
      <c r="H1241" s="20" t="s">
        <v>1635</v>
      </c>
      <c r="I1241" s="17" t="s">
        <v>197</v>
      </c>
      <c r="J1241" s="17">
        <v>0.0</v>
      </c>
      <c r="K1241" s="17">
        <v>0.0</v>
      </c>
      <c r="L1241" s="17">
        <v>0.0</v>
      </c>
      <c r="M1241" s="17">
        <v>0.0</v>
      </c>
      <c r="N1241" s="17">
        <v>0.0</v>
      </c>
      <c r="O1241" s="17">
        <v>0.0</v>
      </c>
      <c r="P1241" s="17">
        <v>0.0</v>
      </c>
      <c r="Q1241" s="17">
        <v>0.0</v>
      </c>
      <c r="R1241" s="17">
        <v>0.0</v>
      </c>
      <c r="S1241" s="17">
        <v>0.0</v>
      </c>
      <c r="T1241" s="17">
        <v>0.0</v>
      </c>
      <c r="U1241" s="17">
        <v>0.0</v>
      </c>
    </row>
    <row r="1242" ht="23.25" customHeight="1">
      <c r="A1242" s="20" t="str">
        <f>IF(COUNTIF('Icon Lookup'!C:C,B1242)&gt;0,LOOKUP(B1242,'Icon Lookup'!C:C,'Icon Lookup'!B:B),"")</f>
        <v/>
      </c>
      <c r="B1242" s="21" t="s">
        <v>160</v>
      </c>
      <c r="C1242" s="20" t="s">
        <v>17</v>
      </c>
      <c r="D1242" s="20">
        <v>37.0</v>
      </c>
      <c r="E1242" s="20" t="s">
        <v>161</v>
      </c>
      <c r="G1242" s="22"/>
      <c r="H1242" s="23" t="s">
        <v>1613</v>
      </c>
      <c r="I1242" s="20" t="s">
        <v>73</v>
      </c>
      <c r="J1242" s="20">
        <v>0.0</v>
      </c>
      <c r="K1242" s="20">
        <v>0.0</v>
      </c>
      <c r="L1242" s="20">
        <v>0.0</v>
      </c>
      <c r="M1242" s="20">
        <v>0.0</v>
      </c>
      <c r="N1242" s="20">
        <v>0.0</v>
      </c>
      <c r="O1242" s="20">
        <v>0.0</v>
      </c>
      <c r="P1242" s="20">
        <v>0.0</v>
      </c>
      <c r="Q1242" s="20">
        <v>0.0</v>
      </c>
      <c r="R1242" s="20">
        <v>0.0</v>
      </c>
      <c r="S1242" s="20">
        <v>0.0</v>
      </c>
      <c r="T1242" s="20">
        <v>0.0</v>
      </c>
      <c r="U1242" s="20">
        <v>0.0</v>
      </c>
    </row>
    <row r="1243" ht="23.25" customHeight="1">
      <c r="A1243" s="1" t="str">
        <f>IF(COUNTIF('Icon Lookup'!C:C,B1243)&gt;0,LOOKUP(B1243,'Icon Lookup'!C:C,'Icon Lookup'!B:B),"")</f>
        <v/>
      </c>
      <c r="B1243" s="15" t="s">
        <v>1636</v>
      </c>
      <c r="C1243" s="1" t="s">
        <v>17</v>
      </c>
      <c r="D1243" s="1" t="s">
        <v>1044</v>
      </c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</row>
    <row r="1244" ht="23.25" customHeight="1">
      <c r="A1244" s="17" t="str">
        <f>IF(COUNTIF('Icon Lookup'!C:C,B1244)&gt;0,LOOKUP(B1244,'Icon Lookup'!C:C,'Icon Lookup'!B:B),"")</f>
        <v/>
      </c>
      <c r="B1244" s="18" t="s">
        <v>1017</v>
      </c>
      <c r="C1244" s="17" t="s">
        <v>17</v>
      </c>
      <c r="D1244" s="17">
        <v>38.0</v>
      </c>
      <c r="E1244" s="17" t="s">
        <v>1126</v>
      </c>
      <c r="G1244" s="19"/>
      <c r="H1244" s="20" t="s">
        <v>1610</v>
      </c>
      <c r="I1244" s="17" t="s">
        <v>94</v>
      </c>
      <c r="J1244" s="17">
        <v>0.0</v>
      </c>
      <c r="K1244" s="17">
        <v>0.0</v>
      </c>
      <c r="L1244" s="17">
        <v>0.0</v>
      </c>
      <c r="M1244" s="17">
        <v>0.0</v>
      </c>
      <c r="N1244" s="17">
        <v>0.0</v>
      </c>
      <c r="O1244" s="17">
        <v>0.0</v>
      </c>
      <c r="P1244" s="17">
        <v>0.0</v>
      </c>
      <c r="Q1244" s="17">
        <v>0.0</v>
      </c>
      <c r="R1244" s="17">
        <v>0.0</v>
      </c>
      <c r="S1244" s="17">
        <v>0.0</v>
      </c>
      <c r="T1244" s="17">
        <v>0.0</v>
      </c>
      <c r="U1244" s="17">
        <v>0.0</v>
      </c>
    </row>
    <row r="1245" ht="23.25" customHeight="1">
      <c r="A1245" s="20" t="str">
        <f>IF(COUNTIF('Icon Lookup'!C:C,B1245)&gt;0,LOOKUP(B1245,'Icon Lookup'!C:C,'Icon Lookup'!B:B),"")</f>
        <v/>
      </c>
      <c r="B1245" s="21" t="s">
        <v>1003</v>
      </c>
      <c r="C1245" s="20" t="s">
        <v>17</v>
      </c>
      <c r="D1245" s="20">
        <v>38.0</v>
      </c>
      <c r="E1245" s="20" t="s">
        <v>1004</v>
      </c>
      <c r="G1245" s="22"/>
      <c r="H1245" s="23" t="s">
        <v>1425</v>
      </c>
      <c r="I1245" s="20" t="s">
        <v>36</v>
      </c>
      <c r="J1245" s="20">
        <v>0.0</v>
      </c>
      <c r="K1245" s="20">
        <v>0.0</v>
      </c>
      <c r="L1245" s="20">
        <v>0.0</v>
      </c>
      <c r="M1245" s="20">
        <v>0.0</v>
      </c>
      <c r="N1245" s="20">
        <v>0.0</v>
      </c>
      <c r="O1245" s="20">
        <v>0.0</v>
      </c>
      <c r="P1245" s="20">
        <v>0.0</v>
      </c>
      <c r="Q1245" s="20">
        <v>0.0</v>
      </c>
      <c r="R1245" s="20">
        <v>0.0</v>
      </c>
      <c r="S1245" s="20">
        <v>0.0</v>
      </c>
      <c r="T1245" s="20">
        <v>0.0</v>
      </c>
      <c r="U1245" s="20">
        <v>0.0</v>
      </c>
    </row>
    <row r="1246" ht="23.25" customHeight="1">
      <c r="A1246" s="1" t="str">
        <f>IF(COUNTIF('Icon Lookup'!C:C,B1246)&gt;0,LOOKUP(B1246,'Icon Lookup'!C:C,'Icon Lookup'!B:B),"")</f>
        <v/>
      </c>
      <c r="B1246" s="15" t="s">
        <v>1637</v>
      </c>
      <c r="C1246" s="1" t="s">
        <v>17</v>
      </c>
      <c r="D1246" s="1" t="s">
        <v>1038</v>
      </c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</row>
    <row r="1247" ht="23.25" customHeight="1">
      <c r="A1247" s="17" t="str">
        <f>IF(COUNTIF('Icon Lookup'!C:C,B1247)&gt;0,LOOKUP(B1247,'Icon Lookup'!C:C,'Icon Lookup'!B:B),"")</f>
        <v/>
      </c>
      <c r="B1247" s="18" t="s">
        <v>160</v>
      </c>
      <c r="C1247" s="17" t="s">
        <v>17</v>
      </c>
      <c r="D1247" s="17">
        <v>41.0</v>
      </c>
      <c r="E1247" s="17" t="s">
        <v>161</v>
      </c>
      <c r="G1247" s="19"/>
      <c r="H1247" s="20" t="s">
        <v>1638</v>
      </c>
      <c r="I1247" s="17" t="s">
        <v>156</v>
      </c>
      <c r="J1247" s="17">
        <v>68.0</v>
      </c>
      <c r="K1247" s="17">
        <v>0.0</v>
      </c>
      <c r="L1247" s="17">
        <v>68.0</v>
      </c>
      <c r="M1247" s="17">
        <v>0.0</v>
      </c>
      <c r="N1247" s="17">
        <v>68.0</v>
      </c>
      <c r="O1247" s="17">
        <v>0.0</v>
      </c>
      <c r="P1247" s="17">
        <v>15.0</v>
      </c>
      <c r="Q1247" s="17">
        <v>0.0</v>
      </c>
      <c r="R1247" s="17">
        <v>15.0</v>
      </c>
      <c r="S1247" s="17">
        <v>0.0</v>
      </c>
      <c r="T1247" s="17">
        <v>15.0</v>
      </c>
      <c r="U1247" s="17">
        <v>0.0</v>
      </c>
    </row>
    <row r="1248" ht="23.25" customHeight="1">
      <c r="A1248" s="20" t="str">
        <f>IF(COUNTIF('Icon Lookup'!C:C,B1248)&gt;0,LOOKUP(B1248,'Icon Lookup'!C:C,'Icon Lookup'!B:B),"")</f>
        <v/>
      </c>
      <c r="B1248" s="21" t="s">
        <v>174</v>
      </c>
      <c r="C1248" s="20" t="s">
        <v>17</v>
      </c>
      <c r="D1248" s="20">
        <v>42.0</v>
      </c>
      <c r="E1248" s="20" t="s">
        <v>38</v>
      </c>
      <c r="G1248" s="22"/>
      <c r="H1248" s="23" t="s">
        <v>1639</v>
      </c>
      <c r="I1248" s="20" t="s">
        <v>22</v>
      </c>
      <c r="J1248" s="20">
        <v>68.0</v>
      </c>
      <c r="K1248" s="20">
        <v>0.0</v>
      </c>
      <c r="L1248" s="20">
        <v>68.0</v>
      </c>
      <c r="M1248" s="20">
        <v>0.0</v>
      </c>
      <c r="N1248" s="20">
        <v>68.0</v>
      </c>
      <c r="O1248" s="20">
        <v>0.0</v>
      </c>
      <c r="P1248" s="20">
        <v>15.0</v>
      </c>
      <c r="Q1248" s="20">
        <v>0.0</v>
      </c>
      <c r="R1248" s="20">
        <v>15.0</v>
      </c>
      <c r="S1248" s="20">
        <v>0.0</v>
      </c>
      <c r="T1248" s="20">
        <v>15.0</v>
      </c>
      <c r="U1248" s="20">
        <v>0.0</v>
      </c>
    </row>
    <row r="1249" ht="23.25" customHeight="1">
      <c r="A1249" s="17" t="str">
        <f>IF(COUNTIF('Icon Lookup'!C:C,B1249)&gt;0,LOOKUP(B1249,'Icon Lookup'!C:C,'Icon Lookup'!B:B),"")</f>
        <v/>
      </c>
      <c r="B1249" s="18" t="s">
        <v>1040</v>
      </c>
      <c r="C1249" s="17" t="s">
        <v>17</v>
      </c>
      <c r="D1249" s="17">
        <v>45.0</v>
      </c>
      <c r="E1249" s="17" t="str">
        <f>IMAGE("https://www.serebii.net/itemdex/sprites/sitrusberry.png")</f>
        <v/>
      </c>
      <c r="F1249" s="17" t="s">
        <v>382</v>
      </c>
      <c r="G1249" s="17" t="s">
        <v>824</v>
      </c>
      <c r="H1249" s="20" t="s">
        <v>1640</v>
      </c>
      <c r="I1249" s="17" t="s">
        <v>22</v>
      </c>
      <c r="J1249" s="17">
        <v>68.0</v>
      </c>
      <c r="K1249" s="17">
        <v>0.0</v>
      </c>
      <c r="L1249" s="17">
        <v>68.0</v>
      </c>
      <c r="M1249" s="17">
        <v>0.0</v>
      </c>
      <c r="N1249" s="17">
        <v>68.0</v>
      </c>
      <c r="O1249" s="17">
        <v>0.0</v>
      </c>
      <c r="P1249" s="17">
        <v>15.0</v>
      </c>
      <c r="Q1249" s="17">
        <v>0.0</v>
      </c>
      <c r="R1249" s="17">
        <v>15.0</v>
      </c>
      <c r="S1249" s="17">
        <v>0.0</v>
      </c>
      <c r="T1249" s="17">
        <v>15.0</v>
      </c>
      <c r="U1249" s="17">
        <v>0.0</v>
      </c>
    </row>
    <row r="1250" ht="23.25" customHeight="1">
      <c r="A1250" s="1" t="str">
        <f>IF(COUNTIF('Icon Lookup'!C:C,B1250)&gt;0,LOOKUP(B1250,'Icon Lookup'!C:C,'Icon Lookup'!B:B),"")</f>
        <v/>
      </c>
      <c r="B1250" s="15" t="s">
        <v>1641</v>
      </c>
      <c r="C1250" s="1" t="s">
        <v>17</v>
      </c>
      <c r="D1250" s="1" t="s">
        <v>1642</v>
      </c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</row>
    <row r="1251" ht="23.25" customHeight="1">
      <c r="A1251" s="20" t="str">
        <f>IF(COUNTIF('Icon Lookup'!C:C,B1251)&gt;0,LOOKUP(B1251,'Icon Lookup'!C:C,'Icon Lookup'!B:B),"")</f>
        <v/>
      </c>
      <c r="B1251" s="21" t="s">
        <v>217</v>
      </c>
      <c r="C1251" s="20" t="s">
        <v>17</v>
      </c>
      <c r="D1251" s="20">
        <v>19.0</v>
      </c>
      <c r="E1251" s="20" t="s">
        <v>218</v>
      </c>
      <c r="G1251" s="22"/>
      <c r="H1251" s="23" t="s">
        <v>1643</v>
      </c>
      <c r="I1251" s="20" t="s">
        <v>156</v>
      </c>
      <c r="J1251" s="20">
        <v>0.0</v>
      </c>
      <c r="K1251" s="20">
        <v>0.0</v>
      </c>
      <c r="L1251" s="20">
        <v>0.0</v>
      </c>
      <c r="M1251" s="20">
        <v>0.0</v>
      </c>
      <c r="N1251" s="20">
        <v>0.0</v>
      </c>
      <c r="O1251" s="20">
        <v>0.0</v>
      </c>
      <c r="P1251" s="20">
        <v>0.0</v>
      </c>
      <c r="Q1251" s="20">
        <v>0.0</v>
      </c>
      <c r="R1251" s="20">
        <v>0.0</v>
      </c>
      <c r="S1251" s="20">
        <v>0.0</v>
      </c>
      <c r="T1251" s="20">
        <v>0.0</v>
      </c>
      <c r="U1251" s="20">
        <v>0.0</v>
      </c>
    </row>
    <row r="1252" ht="23.25" customHeight="1">
      <c r="A1252" s="1" t="str">
        <f>IF(COUNTIF('Icon Lookup'!C:C,B1252)&gt;0,LOOKUP(B1252,'Icon Lookup'!C:C,'Icon Lookup'!B:B),"")</f>
        <v/>
      </c>
      <c r="B1252" s="15" t="s">
        <v>1644</v>
      </c>
      <c r="C1252" s="1" t="s">
        <v>17</v>
      </c>
      <c r="D1252" s="1" t="s">
        <v>1645</v>
      </c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</row>
    <row r="1253" ht="23.25" customHeight="1">
      <c r="A1253" s="17" t="str">
        <f>IF(COUNTIF('Icon Lookup'!C:C,B1253)&gt;0,LOOKUP(B1253,'Icon Lookup'!C:C,'Icon Lookup'!B:B),"")</f>
        <v/>
      </c>
      <c r="B1253" s="18" t="s">
        <v>212</v>
      </c>
      <c r="C1253" s="17" t="s">
        <v>17</v>
      </c>
      <c r="D1253" s="17">
        <v>15.0</v>
      </c>
      <c r="E1253" s="17" t="s">
        <v>137</v>
      </c>
      <c r="G1253" s="19"/>
      <c r="H1253" s="20" t="s">
        <v>213</v>
      </c>
      <c r="I1253" s="17" t="s">
        <v>156</v>
      </c>
      <c r="J1253" s="17">
        <v>0.0</v>
      </c>
      <c r="K1253" s="17">
        <v>0.0</v>
      </c>
      <c r="L1253" s="17">
        <v>0.0</v>
      </c>
      <c r="M1253" s="17">
        <v>0.0</v>
      </c>
      <c r="N1253" s="17">
        <v>0.0</v>
      </c>
      <c r="O1253" s="17">
        <v>0.0</v>
      </c>
      <c r="P1253" s="17">
        <v>0.0</v>
      </c>
      <c r="Q1253" s="17">
        <v>0.0</v>
      </c>
      <c r="R1253" s="17">
        <v>0.0</v>
      </c>
      <c r="S1253" s="17">
        <v>0.0</v>
      </c>
      <c r="T1253" s="17">
        <v>0.0</v>
      </c>
      <c r="U1253" s="17">
        <v>0.0</v>
      </c>
    </row>
    <row r="1254" ht="23.25" customHeight="1">
      <c r="A1254" s="20" t="str">
        <f>IF(COUNTIF('Icon Lookup'!C:C,B1254)&gt;0,LOOKUP(B1254,'Icon Lookup'!C:C,'Icon Lookup'!B:B),"")</f>
        <v/>
      </c>
      <c r="B1254" s="21" t="s">
        <v>212</v>
      </c>
      <c r="C1254" s="20" t="s">
        <v>17</v>
      </c>
      <c r="D1254" s="20">
        <v>15.0</v>
      </c>
      <c r="E1254" s="20" t="s">
        <v>137</v>
      </c>
      <c r="G1254" s="22"/>
      <c r="H1254" s="23" t="s">
        <v>213</v>
      </c>
      <c r="I1254" s="20" t="s">
        <v>156</v>
      </c>
      <c r="J1254" s="20">
        <v>0.0</v>
      </c>
      <c r="K1254" s="20">
        <v>0.0</v>
      </c>
      <c r="L1254" s="20">
        <v>0.0</v>
      </c>
      <c r="M1254" s="20">
        <v>0.0</v>
      </c>
      <c r="N1254" s="20">
        <v>0.0</v>
      </c>
      <c r="O1254" s="20">
        <v>0.0</v>
      </c>
      <c r="P1254" s="20">
        <v>0.0</v>
      </c>
      <c r="Q1254" s="20">
        <v>0.0</v>
      </c>
      <c r="R1254" s="20">
        <v>0.0</v>
      </c>
      <c r="S1254" s="20">
        <v>0.0</v>
      </c>
      <c r="T1254" s="20">
        <v>0.0</v>
      </c>
      <c r="U1254" s="20">
        <v>0.0</v>
      </c>
    </row>
    <row r="1255" ht="23.25" customHeight="1">
      <c r="A1255" s="17" t="str">
        <f>IF(COUNTIF('Icon Lookup'!C:C,B1255)&gt;0,LOOKUP(B1255,'Icon Lookup'!C:C,'Icon Lookup'!B:B),"")</f>
        <v/>
      </c>
      <c r="B1255" s="18" t="s">
        <v>136</v>
      </c>
      <c r="C1255" s="17" t="s">
        <v>17</v>
      </c>
      <c r="D1255" s="17">
        <v>18.0</v>
      </c>
      <c r="E1255" s="17" t="s">
        <v>137</v>
      </c>
      <c r="G1255" s="19"/>
      <c r="H1255" s="20" t="s">
        <v>1646</v>
      </c>
      <c r="I1255" s="17" t="s">
        <v>156</v>
      </c>
      <c r="J1255" s="17">
        <v>0.0</v>
      </c>
      <c r="K1255" s="17">
        <v>0.0</v>
      </c>
      <c r="L1255" s="17">
        <v>0.0</v>
      </c>
      <c r="M1255" s="17">
        <v>0.0</v>
      </c>
      <c r="N1255" s="17">
        <v>0.0</v>
      </c>
      <c r="O1255" s="17">
        <v>0.0</v>
      </c>
      <c r="P1255" s="17">
        <v>0.0</v>
      </c>
      <c r="Q1255" s="17">
        <v>0.0</v>
      </c>
      <c r="R1255" s="17">
        <v>0.0</v>
      </c>
      <c r="S1255" s="17">
        <v>0.0</v>
      </c>
      <c r="T1255" s="17">
        <v>0.0</v>
      </c>
      <c r="U1255" s="17">
        <v>0.0</v>
      </c>
    </row>
    <row r="1256" ht="23.25" customHeight="1">
      <c r="A1256" s="1" t="str">
        <f>IF(COUNTIF('Icon Lookup'!C:C,B1256)&gt;0,LOOKUP(B1256,'Icon Lookup'!C:C,'Icon Lookup'!B:B),"")</f>
        <v/>
      </c>
      <c r="B1256" s="15" t="s">
        <v>1647</v>
      </c>
      <c r="C1256" s="1" t="s">
        <v>17</v>
      </c>
      <c r="D1256" s="1" t="s">
        <v>1648</v>
      </c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</row>
    <row r="1257" ht="23.25" customHeight="1">
      <c r="A1257" s="20" t="str">
        <f>IF(COUNTIF('Icon Lookup'!C:C,B1257)&gt;0,LOOKUP(B1257,'Icon Lookup'!C:C,'Icon Lookup'!B:B),"")</f>
        <v/>
      </c>
      <c r="B1257" s="21" t="s">
        <v>206</v>
      </c>
      <c r="C1257" s="20" t="s">
        <v>17</v>
      </c>
      <c r="D1257" s="20">
        <v>19.0</v>
      </c>
      <c r="E1257" s="20" t="s">
        <v>98</v>
      </c>
      <c r="G1257" s="22"/>
      <c r="H1257" s="23" t="s">
        <v>1034</v>
      </c>
      <c r="I1257" s="20" t="s">
        <v>211</v>
      </c>
      <c r="J1257" s="20">
        <v>0.0</v>
      </c>
      <c r="K1257" s="20">
        <v>0.0</v>
      </c>
      <c r="L1257" s="20">
        <v>0.0</v>
      </c>
      <c r="M1257" s="20">
        <v>0.0</v>
      </c>
      <c r="N1257" s="20">
        <v>0.0</v>
      </c>
      <c r="O1257" s="20">
        <v>0.0</v>
      </c>
      <c r="P1257" s="20">
        <v>0.0</v>
      </c>
      <c r="Q1257" s="20">
        <v>0.0</v>
      </c>
      <c r="R1257" s="20">
        <v>0.0</v>
      </c>
      <c r="S1257" s="20">
        <v>0.0</v>
      </c>
      <c r="T1257" s="20">
        <v>0.0</v>
      </c>
      <c r="U1257" s="20">
        <v>0.0</v>
      </c>
    </row>
    <row r="1258" ht="23.25" customHeight="1">
      <c r="A1258" s="1" t="str">
        <f>IF(COUNTIF('Icon Lookup'!C:C,B1258)&gt;0,LOOKUP(B1258,'Icon Lookup'!C:C,'Icon Lookup'!B:B),"")</f>
        <v/>
      </c>
      <c r="B1258" s="15" t="s">
        <v>1649</v>
      </c>
      <c r="C1258" s="1" t="s">
        <v>17</v>
      </c>
      <c r="D1258" s="1" t="s">
        <v>1650</v>
      </c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</row>
    <row r="1259" ht="23.25" customHeight="1">
      <c r="A1259" s="17" t="str">
        <f>IF(COUNTIF('Icon Lookup'!C:C,B1259)&gt;0,LOOKUP(B1259,'Icon Lookup'!C:C,'Icon Lookup'!B:B),"")</f>
        <v/>
      </c>
      <c r="B1259" s="18" t="s">
        <v>1017</v>
      </c>
      <c r="C1259" s="17" t="s">
        <v>17</v>
      </c>
      <c r="D1259" s="17">
        <v>16.0</v>
      </c>
      <c r="E1259" s="17" t="s">
        <v>1018</v>
      </c>
      <c r="G1259" s="19"/>
      <c r="H1259" s="20" t="s">
        <v>1651</v>
      </c>
      <c r="I1259" s="17" t="s">
        <v>46</v>
      </c>
      <c r="J1259" s="17">
        <v>0.0</v>
      </c>
      <c r="K1259" s="17">
        <v>0.0</v>
      </c>
      <c r="L1259" s="17">
        <v>0.0</v>
      </c>
      <c r="M1259" s="17">
        <v>0.0</v>
      </c>
      <c r="N1259" s="17">
        <v>0.0</v>
      </c>
      <c r="O1259" s="17">
        <v>0.0</v>
      </c>
      <c r="P1259" s="17">
        <v>0.0</v>
      </c>
      <c r="Q1259" s="17">
        <v>0.0</v>
      </c>
      <c r="R1259" s="17">
        <v>0.0</v>
      </c>
      <c r="S1259" s="17">
        <v>0.0</v>
      </c>
      <c r="T1259" s="17">
        <v>0.0</v>
      </c>
      <c r="U1259" s="17">
        <v>0.0</v>
      </c>
    </row>
    <row r="1260" ht="23.25" customHeight="1">
      <c r="A1260" s="20" t="str">
        <f>IF(COUNTIF('Icon Lookup'!C:C,B1260)&gt;0,LOOKUP(B1260,'Icon Lookup'!C:C,'Icon Lookup'!B:B),"")</f>
        <v/>
      </c>
      <c r="B1260" s="21" t="s">
        <v>697</v>
      </c>
      <c r="C1260" s="20" t="s">
        <v>17</v>
      </c>
      <c r="D1260" s="20">
        <v>16.0</v>
      </c>
      <c r="E1260" s="20" t="s">
        <v>258</v>
      </c>
      <c r="G1260" s="22"/>
      <c r="H1260" s="23" t="s">
        <v>1652</v>
      </c>
      <c r="I1260" s="20" t="s">
        <v>36</v>
      </c>
      <c r="J1260" s="20">
        <v>0.0</v>
      </c>
      <c r="K1260" s="20">
        <v>0.0</v>
      </c>
      <c r="L1260" s="20">
        <v>0.0</v>
      </c>
      <c r="M1260" s="20">
        <v>0.0</v>
      </c>
      <c r="N1260" s="20">
        <v>0.0</v>
      </c>
      <c r="O1260" s="20">
        <v>0.0</v>
      </c>
      <c r="P1260" s="20">
        <v>0.0</v>
      </c>
      <c r="Q1260" s="20">
        <v>0.0</v>
      </c>
      <c r="R1260" s="20">
        <v>0.0</v>
      </c>
      <c r="S1260" s="20">
        <v>0.0</v>
      </c>
      <c r="T1260" s="20">
        <v>0.0</v>
      </c>
      <c r="U1260" s="20">
        <v>0.0</v>
      </c>
    </row>
    <row r="1261" ht="23.25" customHeight="1">
      <c r="A1261" s="17" t="str">
        <f>IF(COUNTIF('Icon Lookup'!C:C,B1261)&gt;0,LOOKUP(B1261,'Icon Lookup'!C:C,'Icon Lookup'!B:B),"")</f>
        <v/>
      </c>
      <c r="B1261" s="18" t="s">
        <v>365</v>
      </c>
      <c r="C1261" s="17" t="s">
        <v>17</v>
      </c>
      <c r="D1261" s="17">
        <v>16.0</v>
      </c>
      <c r="E1261" s="17" t="s">
        <v>366</v>
      </c>
      <c r="G1261" s="19"/>
      <c r="H1261" s="20" t="s">
        <v>367</v>
      </c>
      <c r="I1261" s="17" t="s">
        <v>40</v>
      </c>
      <c r="J1261" s="17">
        <v>0.0</v>
      </c>
      <c r="K1261" s="17">
        <v>0.0</v>
      </c>
      <c r="L1261" s="17">
        <v>0.0</v>
      </c>
      <c r="M1261" s="17">
        <v>0.0</v>
      </c>
      <c r="N1261" s="17">
        <v>0.0</v>
      </c>
      <c r="O1261" s="17">
        <v>0.0</v>
      </c>
      <c r="P1261" s="17">
        <v>0.0</v>
      </c>
      <c r="Q1261" s="17">
        <v>0.0</v>
      </c>
      <c r="R1261" s="17">
        <v>0.0</v>
      </c>
      <c r="S1261" s="17">
        <v>0.0</v>
      </c>
      <c r="T1261" s="17">
        <v>0.0</v>
      </c>
      <c r="U1261" s="17">
        <v>0.0</v>
      </c>
    </row>
    <row r="1262" ht="23.25" customHeight="1">
      <c r="A1262" s="1" t="str">
        <f>IF(COUNTIF('Icon Lookup'!C:C,B1262)&gt;0,LOOKUP(B1262,'Icon Lookup'!C:C,'Icon Lookup'!B:B),"")</f>
        <v/>
      </c>
      <c r="B1262" s="15" t="s">
        <v>1653</v>
      </c>
      <c r="C1262" s="1" t="s">
        <v>17</v>
      </c>
      <c r="D1262" s="1" t="s">
        <v>1654</v>
      </c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</row>
    <row r="1263" ht="23.25" customHeight="1">
      <c r="A1263" s="20" t="str">
        <f>IF(COUNTIF('Icon Lookup'!C:C,B1263)&gt;0,LOOKUP(B1263,'Icon Lookup'!C:C,'Icon Lookup'!B:B),"")</f>
        <v/>
      </c>
      <c r="B1263" s="21" t="s">
        <v>78</v>
      </c>
      <c r="C1263" s="20" t="s">
        <v>17</v>
      </c>
      <c r="D1263" s="20">
        <v>19.0</v>
      </c>
      <c r="E1263" s="20" t="s">
        <v>121</v>
      </c>
      <c r="G1263" s="22"/>
      <c r="H1263" s="23" t="s">
        <v>122</v>
      </c>
      <c r="I1263" s="20" t="s">
        <v>156</v>
      </c>
      <c r="J1263" s="20">
        <v>0.0</v>
      </c>
      <c r="K1263" s="20">
        <v>0.0</v>
      </c>
      <c r="L1263" s="20">
        <v>0.0</v>
      </c>
      <c r="M1263" s="20">
        <v>0.0</v>
      </c>
      <c r="N1263" s="20">
        <v>0.0</v>
      </c>
      <c r="O1263" s="20">
        <v>0.0</v>
      </c>
      <c r="P1263" s="20">
        <v>0.0</v>
      </c>
      <c r="Q1263" s="20">
        <v>0.0</v>
      </c>
      <c r="R1263" s="20">
        <v>0.0</v>
      </c>
      <c r="S1263" s="20">
        <v>0.0</v>
      </c>
      <c r="T1263" s="20">
        <v>0.0</v>
      </c>
      <c r="U1263" s="20">
        <v>0.0</v>
      </c>
    </row>
    <row r="1264" ht="23.25" customHeight="1">
      <c r="A1264" s="1" t="str">
        <f>IF(COUNTIF('Icon Lookup'!C:C,B1264)&gt;0,LOOKUP(B1264,'Icon Lookup'!C:C,'Icon Lookup'!B:B),"")</f>
        <v/>
      </c>
      <c r="B1264" s="15" t="s">
        <v>1655</v>
      </c>
      <c r="C1264" s="1" t="s">
        <v>17</v>
      </c>
      <c r="D1264" s="1" t="s">
        <v>1656</v>
      </c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</row>
    <row r="1265" ht="23.25" customHeight="1">
      <c r="A1265" s="17" t="str">
        <f>IF(COUNTIF('Icon Lookup'!C:C,B1265)&gt;0,LOOKUP(B1265,'Icon Lookup'!C:C,'Icon Lookup'!B:B),"")</f>
        <v/>
      </c>
      <c r="B1265" s="18" t="s">
        <v>271</v>
      </c>
      <c r="C1265" s="17" t="s">
        <v>17</v>
      </c>
      <c r="D1265" s="17">
        <v>19.0</v>
      </c>
      <c r="E1265" s="17" t="s">
        <v>44</v>
      </c>
      <c r="G1265" s="19"/>
      <c r="H1265" s="20" t="s">
        <v>1657</v>
      </c>
      <c r="I1265" s="17" t="s">
        <v>89</v>
      </c>
      <c r="J1265" s="17">
        <v>0.0</v>
      </c>
      <c r="K1265" s="17">
        <v>0.0</v>
      </c>
      <c r="L1265" s="17">
        <v>0.0</v>
      </c>
      <c r="M1265" s="17">
        <v>0.0</v>
      </c>
      <c r="N1265" s="17">
        <v>0.0</v>
      </c>
      <c r="O1265" s="17">
        <v>0.0</v>
      </c>
      <c r="P1265" s="17">
        <v>0.0</v>
      </c>
      <c r="Q1265" s="17">
        <v>0.0</v>
      </c>
      <c r="R1265" s="17">
        <v>0.0</v>
      </c>
      <c r="S1265" s="17">
        <v>0.0</v>
      </c>
      <c r="T1265" s="17">
        <v>0.0</v>
      </c>
      <c r="U1265" s="17">
        <v>0.0</v>
      </c>
    </row>
    <row r="1266" ht="23.25" customHeight="1">
      <c r="A1266" s="1" t="str">
        <f>IF(COUNTIF('Icon Lookup'!C:C,B1266)&gt;0,LOOKUP(B1266,'Icon Lookup'!C:C,'Icon Lookup'!B:B),"")</f>
        <v/>
      </c>
      <c r="B1266" s="15" t="s">
        <v>1658</v>
      </c>
      <c r="C1266" s="1" t="s">
        <v>17</v>
      </c>
      <c r="D1266" s="1" t="s">
        <v>1659</v>
      </c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</row>
    <row r="1267" ht="23.25" customHeight="1">
      <c r="A1267" s="20" t="str">
        <f>IF(COUNTIF('Icon Lookup'!C:C,B1267)&gt;0,LOOKUP(B1267,'Icon Lookup'!C:C,'Icon Lookup'!B:B),"")</f>
        <v/>
      </c>
      <c r="B1267" s="21" t="s">
        <v>1280</v>
      </c>
      <c r="C1267" s="20" t="s">
        <v>17</v>
      </c>
      <c r="D1267" s="20">
        <v>19.0</v>
      </c>
      <c r="E1267" s="20" t="s">
        <v>719</v>
      </c>
      <c r="G1267" s="22"/>
      <c r="H1267" s="23" t="s">
        <v>1660</v>
      </c>
      <c r="I1267" s="20" t="s">
        <v>197</v>
      </c>
      <c r="J1267" s="20">
        <v>0.0</v>
      </c>
      <c r="K1267" s="20">
        <v>0.0</v>
      </c>
      <c r="L1267" s="20">
        <v>0.0</v>
      </c>
      <c r="M1267" s="20">
        <v>0.0</v>
      </c>
      <c r="N1267" s="20">
        <v>0.0</v>
      </c>
      <c r="O1267" s="20">
        <v>0.0</v>
      </c>
      <c r="P1267" s="20">
        <v>0.0</v>
      </c>
      <c r="Q1267" s="20">
        <v>0.0</v>
      </c>
      <c r="R1267" s="20">
        <v>0.0</v>
      </c>
      <c r="S1267" s="20">
        <v>0.0</v>
      </c>
      <c r="T1267" s="20">
        <v>0.0</v>
      </c>
      <c r="U1267" s="20">
        <v>0.0</v>
      </c>
    </row>
    <row r="1268" ht="23.25" customHeight="1">
      <c r="A1268" s="1" t="str">
        <f>IF(COUNTIF('Icon Lookup'!C:C,B1268)&gt;0,LOOKUP(B1268,'Icon Lookup'!C:C,'Icon Lookup'!B:B),"")</f>
        <v/>
      </c>
      <c r="B1268" s="15" t="s">
        <v>1661</v>
      </c>
      <c r="C1268" s="1" t="s">
        <v>17</v>
      </c>
      <c r="D1268" s="1" t="s">
        <v>1662</v>
      </c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</row>
    <row r="1269" ht="23.25" customHeight="1">
      <c r="A1269" s="17" t="str">
        <f>IF(COUNTIF('Icon Lookup'!C:C,B1269)&gt;0,LOOKUP(B1269,'Icon Lookup'!C:C,'Icon Lookup'!B:B),"")</f>
        <v/>
      </c>
      <c r="B1269" s="18" t="s">
        <v>449</v>
      </c>
      <c r="C1269" s="17" t="s">
        <v>17</v>
      </c>
      <c r="D1269" s="17">
        <v>19.0</v>
      </c>
      <c r="E1269" s="17" t="s">
        <v>161</v>
      </c>
      <c r="G1269" s="19"/>
      <c r="H1269" s="20" t="s">
        <v>1663</v>
      </c>
      <c r="I1269" s="17" t="s">
        <v>105</v>
      </c>
      <c r="J1269" s="17">
        <v>0.0</v>
      </c>
      <c r="K1269" s="17">
        <v>0.0</v>
      </c>
      <c r="L1269" s="17">
        <v>0.0</v>
      </c>
      <c r="M1269" s="17">
        <v>0.0</v>
      </c>
      <c r="N1269" s="17">
        <v>0.0</v>
      </c>
      <c r="O1269" s="17">
        <v>0.0</v>
      </c>
      <c r="P1269" s="17">
        <v>0.0</v>
      </c>
      <c r="Q1269" s="17">
        <v>0.0</v>
      </c>
      <c r="R1269" s="17">
        <v>0.0</v>
      </c>
      <c r="S1269" s="17">
        <v>0.0</v>
      </c>
      <c r="T1269" s="17">
        <v>0.0</v>
      </c>
      <c r="U1269" s="17">
        <v>0.0</v>
      </c>
    </row>
    <row r="1270" ht="23.25" customHeight="1">
      <c r="A1270" s="1" t="str">
        <f>IF(COUNTIF('Icon Lookup'!C:C,B1270)&gt;0,LOOKUP(B1270,'Icon Lookup'!C:C,'Icon Lookup'!B:B),"")</f>
        <v/>
      </c>
      <c r="B1270" s="15" t="s">
        <v>1664</v>
      </c>
      <c r="C1270" s="1" t="s">
        <v>17</v>
      </c>
      <c r="D1270" s="1" t="s">
        <v>1665</v>
      </c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</row>
    <row r="1271" ht="23.25" customHeight="1">
      <c r="A1271" s="20" t="str">
        <f>IF(COUNTIF('Icon Lookup'!C:C,B1271)&gt;0,LOOKUP(B1271,'Icon Lookup'!C:C,'Icon Lookup'!B:B),"")</f>
        <v/>
      </c>
      <c r="B1271" s="21" t="s">
        <v>198</v>
      </c>
      <c r="C1271" s="20" t="s">
        <v>17</v>
      </c>
      <c r="D1271" s="20">
        <v>23.0</v>
      </c>
      <c r="E1271" s="20" t="s">
        <v>50</v>
      </c>
      <c r="G1271" s="22"/>
      <c r="H1271" s="23" t="s">
        <v>199</v>
      </c>
      <c r="I1271" s="20" t="s">
        <v>105</v>
      </c>
      <c r="J1271" s="20">
        <v>0.0</v>
      </c>
      <c r="K1271" s="20">
        <v>0.0</v>
      </c>
      <c r="L1271" s="20">
        <v>0.0</v>
      </c>
      <c r="M1271" s="20">
        <v>0.0</v>
      </c>
      <c r="N1271" s="20">
        <v>0.0</v>
      </c>
      <c r="O1271" s="20">
        <v>0.0</v>
      </c>
      <c r="P1271" s="20">
        <v>0.0</v>
      </c>
      <c r="Q1271" s="20">
        <v>0.0</v>
      </c>
      <c r="R1271" s="20">
        <v>0.0</v>
      </c>
      <c r="S1271" s="20">
        <v>0.0</v>
      </c>
      <c r="T1271" s="20">
        <v>0.0</v>
      </c>
      <c r="U1271" s="20">
        <v>0.0</v>
      </c>
    </row>
    <row r="1272" ht="23.25" customHeight="1">
      <c r="A1272" s="1" t="str">
        <f>IF(COUNTIF('Icon Lookup'!C:C,B1272)&gt;0,LOOKUP(B1272,'Icon Lookup'!C:C,'Icon Lookup'!B:B),"")</f>
        <v/>
      </c>
      <c r="B1272" s="15" t="s">
        <v>1666</v>
      </c>
      <c r="C1272" s="1" t="s">
        <v>17</v>
      </c>
      <c r="D1272" s="1" t="s">
        <v>1667</v>
      </c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</row>
    <row r="1273" ht="23.25" customHeight="1">
      <c r="A1273" s="17" t="str">
        <f>IF(COUNTIF('Icon Lookup'!C:C,B1273)&gt;0,LOOKUP(B1273,'Icon Lookup'!C:C,'Icon Lookup'!B:B),"")</f>
        <v/>
      </c>
      <c r="B1273" s="18" t="s">
        <v>476</v>
      </c>
      <c r="C1273" s="17" t="s">
        <v>17</v>
      </c>
      <c r="D1273" s="17">
        <v>23.0</v>
      </c>
      <c r="E1273" s="17" t="s">
        <v>950</v>
      </c>
      <c r="G1273" s="19"/>
      <c r="H1273" s="20" t="s">
        <v>1668</v>
      </c>
      <c r="I1273" s="17" t="s">
        <v>156</v>
      </c>
      <c r="J1273" s="17">
        <v>0.0</v>
      </c>
      <c r="K1273" s="17">
        <v>0.0</v>
      </c>
      <c r="L1273" s="17">
        <v>0.0</v>
      </c>
      <c r="M1273" s="17">
        <v>0.0</v>
      </c>
      <c r="N1273" s="17">
        <v>0.0</v>
      </c>
      <c r="O1273" s="17">
        <v>0.0</v>
      </c>
      <c r="P1273" s="17">
        <v>0.0</v>
      </c>
      <c r="Q1273" s="17">
        <v>0.0</v>
      </c>
      <c r="R1273" s="17">
        <v>0.0</v>
      </c>
      <c r="S1273" s="17">
        <v>0.0</v>
      </c>
      <c r="T1273" s="17">
        <v>0.0</v>
      </c>
      <c r="U1273" s="17">
        <v>0.0</v>
      </c>
    </row>
    <row r="1274" ht="23.25" customHeight="1">
      <c r="A1274" s="1" t="str">
        <f>IF(COUNTIF('Icon Lookup'!C:C,B1274)&gt;0,LOOKUP(B1274,'Icon Lookup'!C:C,'Icon Lookup'!B:B),"")</f>
        <v/>
      </c>
      <c r="B1274" s="15" t="s">
        <v>1669</v>
      </c>
      <c r="C1274" s="1" t="s">
        <v>17</v>
      </c>
      <c r="D1274" s="1" t="s">
        <v>1670</v>
      </c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</row>
    <row r="1275" ht="23.25" customHeight="1">
      <c r="A1275" s="20" t="str">
        <f>IF(COUNTIF('Icon Lookup'!C:C,B1275)&gt;0,LOOKUP(B1275,'Icon Lookup'!C:C,'Icon Lookup'!B:B),"")</f>
        <v/>
      </c>
      <c r="B1275" s="21" t="s">
        <v>1017</v>
      </c>
      <c r="C1275" s="20" t="s">
        <v>17</v>
      </c>
      <c r="D1275" s="20">
        <v>21.0</v>
      </c>
      <c r="E1275" s="20" t="s">
        <v>1018</v>
      </c>
      <c r="G1275" s="22"/>
      <c r="H1275" s="23" t="s">
        <v>1671</v>
      </c>
      <c r="I1275" s="20" t="s">
        <v>211</v>
      </c>
      <c r="J1275" s="20">
        <v>0.0</v>
      </c>
      <c r="K1275" s="20">
        <v>0.0</v>
      </c>
      <c r="L1275" s="20">
        <v>0.0</v>
      </c>
      <c r="M1275" s="20">
        <v>0.0</v>
      </c>
      <c r="N1275" s="20">
        <v>0.0</v>
      </c>
      <c r="O1275" s="20">
        <v>0.0</v>
      </c>
      <c r="P1275" s="20">
        <v>0.0</v>
      </c>
      <c r="Q1275" s="20">
        <v>0.0</v>
      </c>
      <c r="R1275" s="20">
        <v>0.0</v>
      </c>
      <c r="S1275" s="20">
        <v>0.0</v>
      </c>
      <c r="T1275" s="20">
        <v>0.0</v>
      </c>
      <c r="U1275" s="20">
        <v>0.0</v>
      </c>
    </row>
    <row r="1276" ht="23.25" customHeight="1">
      <c r="A1276" s="17" t="str">
        <f>IF(COUNTIF('Icon Lookup'!C:C,B1276)&gt;0,LOOKUP(B1276,'Icon Lookup'!C:C,'Icon Lookup'!B:B),"")</f>
        <v/>
      </c>
      <c r="B1276" s="18" t="s">
        <v>271</v>
      </c>
      <c r="C1276" s="17" t="s">
        <v>17</v>
      </c>
      <c r="D1276" s="17">
        <v>21.0</v>
      </c>
      <c r="E1276" s="17" t="s">
        <v>44</v>
      </c>
      <c r="G1276" s="19"/>
      <c r="H1276" s="20" t="s">
        <v>1672</v>
      </c>
      <c r="I1276" s="17" t="s">
        <v>211</v>
      </c>
      <c r="J1276" s="17">
        <v>0.0</v>
      </c>
      <c r="K1276" s="17">
        <v>0.0</v>
      </c>
      <c r="L1276" s="17">
        <v>0.0</v>
      </c>
      <c r="M1276" s="17">
        <v>0.0</v>
      </c>
      <c r="N1276" s="17">
        <v>0.0</v>
      </c>
      <c r="O1276" s="17">
        <v>0.0</v>
      </c>
      <c r="P1276" s="17">
        <v>0.0</v>
      </c>
      <c r="Q1276" s="17">
        <v>0.0</v>
      </c>
      <c r="R1276" s="17">
        <v>0.0</v>
      </c>
      <c r="S1276" s="17">
        <v>0.0</v>
      </c>
      <c r="T1276" s="17">
        <v>0.0</v>
      </c>
      <c r="U1276" s="17">
        <v>0.0</v>
      </c>
    </row>
    <row r="1277" ht="23.25" customHeight="1">
      <c r="A1277" s="1" t="str">
        <f>IF(COUNTIF('Icon Lookup'!C:C,B1277)&gt;0,LOOKUP(B1277,'Icon Lookup'!C:C,'Icon Lookup'!B:B),"")</f>
        <v/>
      </c>
      <c r="B1277" s="15" t="s">
        <v>1673</v>
      </c>
      <c r="C1277" s="1" t="s">
        <v>17</v>
      </c>
      <c r="D1277" s="1" t="s">
        <v>1674</v>
      </c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</row>
    <row r="1278" ht="23.25" customHeight="1">
      <c r="A1278" s="20" t="str">
        <f>IF(COUNTIF('Icon Lookup'!C:C,B1278)&gt;0,LOOKUP(B1278,'Icon Lookup'!C:C,'Icon Lookup'!B:B),"")</f>
        <v/>
      </c>
      <c r="B1278" s="21" t="s">
        <v>225</v>
      </c>
      <c r="C1278" s="20" t="s">
        <v>17</v>
      </c>
      <c r="D1278" s="20">
        <v>21.0</v>
      </c>
      <c r="E1278" s="20" t="s">
        <v>26</v>
      </c>
      <c r="G1278" s="22"/>
      <c r="H1278" s="23" t="s">
        <v>226</v>
      </c>
      <c r="I1278" s="20" t="s">
        <v>94</v>
      </c>
      <c r="J1278" s="20">
        <v>0.0</v>
      </c>
      <c r="K1278" s="20">
        <v>0.0</v>
      </c>
      <c r="L1278" s="20">
        <v>0.0</v>
      </c>
      <c r="M1278" s="20">
        <v>0.0</v>
      </c>
      <c r="N1278" s="20">
        <v>0.0</v>
      </c>
      <c r="O1278" s="20">
        <v>0.0</v>
      </c>
      <c r="P1278" s="20">
        <v>0.0</v>
      </c>
      <c r="Q1278" s="20">
        <v>0.0</v>
      </c>
      <c r="R1278" s="20">
        <v>0.0</v>
      </c>
      <c r="S1278" s="20">
        <v>0.0</v>
      </c>
      <c r="T1278" s="20">
        <v>0.0</v>
      </c>
      <c r="U1278" s="20">
        <v>0.0</v>
      </c>
    </row>
    <row r="1279" ht="23.25" customHeight="1">
      <c r="A1279" s="17" t="str">
        <f>IF(COUNTIF('Icon Lookup'!C:C,B1279)&gt;0,LOOKUP(B1279,'Icon Lookup'!C:C,'Icon Lookup'!B:B),"")</f>
        <v/>
      </c>
      <c r="B1279" s="18" t="s">
        <v>136</v>
      </c>
      <c r="C1279" s="17" t="s">
        <v>17</v>
      </c>
      <c r="D1279" s="17">
        <v>21.0</v>
      </c>
      <c r="E1279" s="17" t="s">
        <v>137</v>
      </c>
      <c r="G1279" s="19"/>
      <c r="H1279" s="20" t="s">
        <v>1675</v>
      </c>
      <c r="I1279" s="17" t="s">
        <v>156</v>
      </c>
      <c r="J1279" s="17">
        <v>0.0</v>
      </c>
      <c r="K1279" s="17">
        <v>0.0</v>
      </c>
      <c r="L1279" s="17">
        <v>0.0</v>
      </c>
      <c r="M1279" s="17">
        <v>0.0</v>
      </c>
      <c r="N1279" s="17">
        <v>0.0</v>
      </c>
      <c r="O1279" s="17">
        <v>0.0</v>
      </c>
      <c r="P1279" s="17">
        <v>0.0</v>
      </c>
      <c r="Q1279" s="17">
        <v>0.0</v>
      </c>
      <c r="R1279" s="17">
        <v>0.0</v>
      </c>
      <c r="S1279" s="17">
        <v>0.0</v>
      </c>
      <c r="T1279" s="17">
        <v>0.0</v>
      </c>
      <c r="U1279" s="17">
        <v>0.0</v>
      </c>
    </row>
    <row r="1280" ht="23.25" customHeight="1">
      <c r="A1280" s="1" t="str">
        <f>IF(COUNTIF('Icon Lookup'!C:C,B1280)&gt;0,LOOKUP(B1280,'Icon Lookup'!C:C,'Icon Lookup'!B:B),"")</f>
        <v/>
      </c>
      <c r="B1280" s="15" t="s">
        <v>1676</v>
      </c>
      <c r="C1280" s="1" t="s">
        <v>17</v>
      </c>
      <c r="D1280" s="1" t="s">
        <v>1677</v>
      </c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</row>
    <row r="1281" ht="23.25" customHeight="1">
      <c r="A1281" s="20" t="str">
        <f>IF(COUNTIF('Icon Lookup'!C:C,B1281)&gt;0,LOOKUP(B1281,'Icon Lookup'!C:C,'Icon Lookup'!B:B),"")</f>
        <v/>
      </c>
      <c r="B1281" s="21" t="s">
        <v>245</v>
      </c>
      <c r="C1281" s="20" t="s">
        <v>17</v>
      </c>
      <c r="D1281" s="20">
        <v>20.0</v>
      </c>
      <c r="E1281" s="20" t="s">
        <v>253</v>
      </c>
      <c r="G1281" s="22"/>
      <c r="H1281" s="23" t="s">
        <v>1678</v>
      </c>
      <c r="I1281" s="20" t="s">
        <v>156</v>
      </c>
      <c r="J1281" s="20">
        <v>0.0</v>
      </c>
      <c r="K1281" s="20">
        <v>0.0</v>
      </c>
      <c r="L1281" s="20">
        <v>0.0</v>
      </c>
      <c r="M1281" s="20">
        <v>0.0</v>
      </c>
      <c r="N1281" s="20">
        <v>0.0</v>
      </c>
      <c r="O1281" s="20">
        <v>0.0</v>
      </c>
      <c r="P1281" s="20">
        <v>0.0</v>
      </c>
      <c r="Q1281" s="20">
        <v>0.0</v>
      </c>
      <c r="R1281" s="20">
        <v>0.0</v>
      </c>
      <c r="S1281" s="20">
        <v>0.0</v>
      </c>
      <c r="T1281" s="20">
        <v>0.0</v>
      </c>
      <c r="U1281" s="20">
        <v>0.0</v>
      </c>
    </row>
    <row r="1282" ht="23.25" customHeight="1">
      <c r="A1282" s="17" t="str">
        <f>IF(COUNTIF('Icon Lookup'!C:C,B1282)&gt;0,LOOKUP(B1282,'Icon Lookup'!C:C,'Icon Lookup'!B:B),"")</f>
        <v/>
      </c>
      <c r="B1282" s="18" t="s">
        <v>245</v>
      </c>
      <c r="C1282" s="17" t="s">
        <v>17</v>
      </c>
      <c r="D1282" s="17">
        <v>20.0</v>
      </c>
      <c r="E1282" s="17" t="s">
        <v>253</v>
      </c>
      <c r="G1282" s="19"/>
      <c r="H1282" s="20" t="s">
        <v>1679</v>
      </c>
      <c r="I1282" s="17" t="s">
        <v>156</v>
      </c>
      <c r="J1282" s="17">
        <v>0.0</v>
      </c>
      <c r="K1282" s="17">
        <v>0.0</v>
      </c>
      <c r="L1282" s="17">
        <v>0.0</v>
      </c>
      <c r="M1282" s="17">
        <v>0.0</v>
      </c>
      <c r="N1282" s="17">
        <v>0.0</v>
      </c>
      <c r="O1282" s="17">
        <v>0.0</v>
      </c>
      <c r="P1282" s="17">
        <v>0.0</v>
      </c>
      <c r="Q1282" s="17">
        <v>0.0</v>
      </c>
      <c r="R1282" s="17">
        <v>0.0</v>
      </c>
      <c r="S1282" s="17">
        <v>0.0</v>
      </c>
      <c r="T1282" s="17">
        <v>0.0</v>
      </c>
      <c r="U1282" s="17">
        <v>0.0</v>
      </c>
    </row>
    <row r="1283" ht="23.25" customHeight="1">
      <c r="A1283" s="20" t="str">
        <f>IF(COUNTIF('Icon Lookup'!C:C,B1283)&gt;0,LOOKUP(B1283,'Icon Lookup'!C:C,'Icon Lookup'!B:B),"")</f>
        <v/>
      </c>
      <c r="B1283" s="21" t="s">
        <v>245</v>
      </c>
      <c r="C1283" s="20" t="s">
        <v>17</v>
      </c>
      <c r="D1283" s="20">
        <v>20.0</v>
      </c>
      <c r="E1283" s="20" t="s">
        <v>253</v>
      </c>
      <c r="G1283" s="22"/>
      <c r="H1283" s="23" t="s">
        <v>1679</v>
      </c>
      <c r="I1283" s="20" t="s">
        <v>156</v>
      </c>
      <c r="J1283" s="20">
        <v>0.0</v>
      </c>
      <c r="K1283" s="20">
        <v>0.0</v>
      </c>
      <c r="L1283" s="20">
        <v>0.0</v>
      </c>
      <c r="M1283" s="20">
        <v>0.0</v>
      </c>
      <c r="N1283" s="20">
        <v>0.0</v>
      </c>
      <c r="O1283" s="20">
        <v>0.0</v>
      </c>
      <c r="P1283" s="20">
        <v>0.0</v>
      </c>
      <c r="Q1283" s="20">
        <v>0.0</v>
      </c>
      <c r="R1283" s="20">
        <v>0.0</v>
      </c>
      <c r="S1283" s="20">
        <v>0.0</v>
      </c>
      <c r="T1283" s="20">
        <v>0.0</v>
      </c>
      <c r="U1283" s="20">
        <v>0.0</v>
      </c>
    </row>
    <row r="1284" ht="23.25" customHeight="1">
      <c r="A1284" s="1" t="str">
        <f>IF(COUNTIF('Icon Lookup'!C:C,B1284)&gt;0,LOOKUP(B1284,'Icon Lookup'!C:C,'Icon Lookup'!B:B),"")</f>
        <v/>
      </c>
      <c r="B1284" s="15" t="s">
        <v>1680</v>
      </c>
      <c r="C1284" s="1" t="s">
        <v>17</v>
      </c>
      <c r="D1284" s="1" t="s">
        <v>1681</v>
      </c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</row>
    <row r="1285" ht="23.25" customHeight="1">
      <c r="A1285" s="17" t="str">
        <f>IF(COUNTIF('Icon Lookup'!C:C,B1285)&gt;0,LOOKUP(B1285,'Icon Lookup'!C:C,'Icon Lookup'!B:B),"")</f>
        <v/>
      </c>
      <c r="B1285" s="18" t="s">
        <v>381</v>
      </c>
      <c r="C1285" s="17" t="s">
        <v>17</v>
      </c>
      <c r="D1285" s="17">
        <v>21.0</v>
      </c>
      <c r="E1285" s="17" t="s">
        <v>382</v>
      </c>
      <c r="G1285" s="19"/>
      <c r="H1285" s="20" t="s">
        <v>1682</v>
      </c>
      <c r="I1285" s="17" t="s">
        <v>197</v>
      </c>
      <c r="J1285" s="17">
        <v>0.0</v>
      </c>
      <c r="K1285" s="17">
        <v>0.0</v>
      </c>
      <c r="L1285" s="17">
        <v>0.0</v>
      </c>
      <c r="M1285" s="17">
        <v>0.0</v>
      </c>
      <c r="N1285" s="17">
        <v>0.0</v>
      </c>
      <c r="O1285" s="17">
        <v>0.0</v>
      </c>
      <c r="P1285" s="17">
        <v>0.0</v>
      </c>
      <c r="Q1285" s="17">
        <v>0.0</v>
      </c>
      <c r="R1285" s="17">
        <v>0.0</v>
      </c>
      <c r="S1285" s="17">
        <v>0.0</v>
      </c>
      <c r="T1285" s="17">
        <v>0.0</v>
      </c>
      <c r="U1285" s="17">
        <v>0.0</v>
      </c>
    </row>
    <row r="1286" ht="23.25" customHeight="1">
      <c r="A1286" s="20" t="str">
        <f>IF(COUNTIF('Icon Lookup'!C:C,B1286)&gt;0,LOOKUP(B1286,'Icon Lookup'!C:C,'Icon Lookup'!B:B),"")</f>
        <v/>
      </c>
      <c r="B1286" s="21" t="s">
        <v>379</v>
      </c>
      <c r="C1286" s="20" t="s">
        <v>17</v>
      </c>
      <c r="D1286" s="20">
        <v>21.0</v>
      </c>
      <c r="E1286" s="20" t="s">
        <v>71</v>
      </c>
      <c r="G1286" s="22"/>
      <c r="H1286" s="23" t="s">
        <v>1683</v>
      </c>
      <c r="I1286" s="20" t="s">
        <v>197</v>
      </c>
      <c r="J1286" s="20">
        <v>0.0</v>
      </c>
      <c r="K1286" s="20">
        <v>0.0</v>
      </c>
      <c r="L1286" s="20">
        <v>0.0</v>
      </c>
      <c r="M1286" s="20">
        <v>0.0</v>
      </c>
      <c r="N1286" s="20">
        <v>0.0</v>
      </c>
      <c r="O1286" s="20">
        <v>0.0</v>
      </c>
      <c r="P1286" s="20">
        <v>0.0</v>
      </c>
      <c r="Q1286" s="20">
        <v>0.0</v>
      </c>
      <c r="R1286" s="20">
        <v>0.0</v>
      </c>
      <c r="S1286" s="20">
        <v>0.0</v>
      </c>
      <c r="T1286" s="20">
        <v>0.0</v>
      </c>
      <c r="U1286" s="20">
        <v>0.0</v>
      </c>
    </row>
    <row r="1287" ht="23.25" customHeight="1">
      <c r="A1287" s="1" t="str">
        <f>IF(COUNTIF('Icon Lookup'!C:C,B1287)&gt;0,LOOKUP(B1287,'Icon Lookup'!C:C,'Icon Lookup'!B:B),"")</f>
        <v/>
      </c>
      <c r="B1287" s="15" t="s">
        <v>1684</v>
      </c>
      <c r="C1287" s="1" t="s">
        <v>17</v>
      </c>
      <c r="D1287" s="1" t="s">
        <v>1685</v>
      </c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</row>
    <row r="1288" ht="23.25" customHeight="1">
      <c r="A1288" s="17" t="str">
        <f>IF(COUNTIF('Icon Lookup'!C:C,B1288)&gt;0,LOOKUP(B1288,'Icon Lookup'!C:C,'Icon Lookup'!B:B),"")</f>
        <v/>
      </c>
      <c r="B1288" s="18" t="s">
        <v>110</v>
      </c>
      <c r="C1288" s="17" t="s">
        <v>17</v>
      </c>
      <c r="D1288" s="17">
        <v>22.0</v>
      </c>
      <c r="E1288" s="17" t="s">
        <v>44</v>
      </c>
      <c r="G1288" s="19"/>
      <c r="H1288" s="20" t="s">
        <v>572</v>
      </c>
      <c r="I1288" s="17" t="s">
        <v>89</v>
      </c>
      <c r="J1288" s="17">
        <v>0.0</v>
      </c>
      <c r="K1288" s="17">
        <v>0.0</v>
      </c>
      <c r="L1288" s="17">
        <v>0.0</v>
      </c>
      <c r="M1288" s="17">
        <v>0.0</v>
      </c>
      <c r="N1288" s="17">
        <v>0.0</v>
      </c>
      <c r="O1288" s="17">
        <v>0.0</v>
      </c>
      <c r="P1288" s="17">
        <v>0.0</v>
      </c>
      <c r="Q1288" s="17">
        <v>0.0</v>
      </c>
      <c r="R1288" s="17">
        <v>0.0</v>
      </c>
      <c r="S1288" s="17">
        <v>0.0</v>
      </c>
      <c r="T1288" s="17">
        <v>0.0</v>
      </c>
      <c r="U1288" s="17">
        <v>0.0</v>
      </c>
    </row>
    <row r="1289" ht="23.25" customHeight="1">
      <c r="A1289" s="20" t="str">
        <f>IF(COUNTIF('Icon Lookup'!C:C,B1289)&gt;0,LOOKUP(B1289,'Icon Lookup'!C:C,'Icon Lookup'!B:B),"")</f>
        <v/>
      </c>
      <c r="B1289" s="21" t="s">
        <v>110</v>
      </c>
      <c r="C1289" s="20" t="s">
        <v>17</v>
      </c>
      <c r="D1289" s="20">
        <v>22.0</v>
      </c>
      <c r="E1289" s="20" t="s">
        <v>44</v>
      </c>
      <c r="G1289" s="22"/>
      <c r="H1289" s="23" t="s">
        <v>572</v>
      </c>
      <c r="I1289" s="20" t="s">
        <v>89</v>
      </c>
      <c r="J1289" s="20">
        <v>0.0</v>
      </c>
      <c r="K1289" s="20">
        <v>0.0</v>
      </c>
      <c r="L1289" s="20">
        <v>0.0</v>
      </c>
      <c r="M1289" s="20">
        <v>0.0</v>
      </c>
      <c r="N1289" s="20">
        <v>0.0</v>
      </c>
      <c r="O1289" s="20">
        <v>0.0</v>
      </c>
      <c r="P1289" s="20">
        <v>0.0</v>
      </c>
      <c r="Q1289" s="20">
        <v>0.0</v>
      </c>
      <c r="R1289" s="20">
        <v>0.0</v>
      </c>
      <c r="S1289" s="20">
        <v>0.0</v>
      </c>
      <c r="T1289" s="20">
        <v>0.0</v>
      </c>
      <c r="U1289" s="20">
        <v>0.0</v>
      </c>
    </row>
    <row r="1290" ht="23.25" customHeight="1">
      <c r="A1290" s="1" t="str">
        <f>IF(COUNTIF('Icon Lookup'!C:C,B1290)&gt;0,LOOKUP(B1290,'Icon Lookup'!C:C,'Icon Lookup'!B:B),"")</f>
        <v/>
      </c>
      <c r="B1290" s="15" t="s">
        <v>1686</v>
      </c>
      <c r="C1290" s="1" t="s">
        <v>17</v>
      </c>
      <c r="D1290" s="1" t="s">
        <v>1687</v>
      </c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</row>
    <row r="1291" ht="23.25" customHeight="1">
      <c r="A1291" s="17" t="str">
        <f>IF(COUNTIF('Icon Lookup'!C:C,B1291)&gt;0,LOOKUP(B1291,'Icon Lookup'!C:C,'Icon Lookup'!B:B),"")</f>
        <v/>
      </c>
      <c r="B1291" s="18" t="s">
        <v>19</v>
      </c>
      <c r="C1291" s="17" t="s">
        <v>17</v>
      </c>
      <c r="D1291" s="17">
        <v>21.0</v>
      </c>
      <c r="E1291" s="17" t="s">
        <v>20</v>
      </c>
      <c r="G1291" s="19"/>
      <c r="H1291" s="20" t="s">
        <v>1688</v>
      </c>
      <c r="I1291" s="17" t="s">
        <v>94</v>
      </c>
      <c r="J1291" s="17">
        <v>0.0</v>
      </c>
      <c r="K1291" s="17">
        <v>0.0</v>
      </c>
      <c r="L1291" s="17">
        <v>0.0</v>
      </c>
      <c r="M1291" s="17">
        <v>0.0</v>
      </c>
      <c r="N1291" s="17">
        <v>0.0</v>
      </c>
      <c r="O1291" s="17">
        <v>0.0</v>
      </c>
      <c r="P1291" s="17">
        <v>0.0</v>
      </c>
      <c r="Q1291" s="17">
        <v>0.0</v>
      </c>
      <c r="R1291" s="17">
        <v>0.0</v>
      </c>
      <c r="S1291" s="17">
        <v>0.0</v>
      </c>
      <c r="T1291" s="17">
        <v>0.0</v>
      </c>
      <c r="U1291" s="17">
        <v>0.0</v>
      </c>
    </row>
    <row r="1292" ht="23.25" customHeight="1">
      <c r="A1292" s="20" t="str">
        <f>IF(COUNTIF('Icon Lookup'!C:C,B1292)&gt;0,LOOKUP(B1292,'Icon Lookup'!C:C,'Icon Lookup'!B:B),"")</f>
        <v/>
      </c>
      <c r="B1292" s="21" t="s">
        <v>302</v>
      </c>
      <c r="C1292" s="20" t="s">
        <v>17</v>
      </c>
      <c r="D1292" s="20">
        <v>21.0</v>
      </c>
      <c r="E1292" s="20" t="s">
        <v>719</v>
      </c>
      <c r="G1292" s="22"/>
      <c r="H1292" s="23" t="s">
        <v>1689</v>
      </c>
      <c r="I1292" s="20" t="s">
        <v>156</v>
      </c>
      <c r="J1292" s="20">
        <v>0.0</v>
      </c>
      <c r="K1292" s="20">
        <v>0.0</v>
      </c>
      <c r="L1292" s="20">
        <v>0.0</v>
      </c>
      <c r="M1292" s="20">
        <v>0.0</v>
      </c>
      <c r="N1292" s="20">
        <v>0.0</v>
      </c>
      <c r="O1292" s="20">
        <v>0.0</v>
      </c>
      <c r="P1292" s="20">
        <v>0.0</v>
      </c>
      <c r="Q1292" s="20">
        <v>0.0</v>
      </c>
      <c r="R1292" s="20">
        <v>0.0</v>
      </c>
      <c r="S1292" s="20">
        <v>0.0</v>
      </c>
      <c r="T1292" s="20">
        <v>0.0</v>
      </c>
      <c r="U1292" s="20">
        <v>0.0</v>
      </c>
    </row>
    <row r="1293" ht="23.25" customHeight="1">
      <c r="A1293" s="1" t="str">
        <f>IF(COUNTIF('Icon Lookup'!C:C,B1293)&gt;0,LOOKUP(B1293,'Icon Lookup'!C:C,'Icon Lookup'!B:B),"")</f>
        <v/>
      </c>
      <c r="B1293" s="15" t="s">
        <v>1690</v>
      </c>
      <c r="C1293" s="1" t="s">
        <v>17</v>
      </c>
      <c r="D1293" s="1" t="s">
        <v>1691</v>
      </c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</row>
    <row r="1294" ht="23.25" customHeight="1">
      <c r="A1294" s="17" t="str">
        <f>IF(COUNTIF('Icon Lookup'!C:C,B1294)&gt;0,LOOKUP(B1294,'Icon Lookup'!C:C,'Icon Lookup'!B:B),"")</f>
        <v/>
      </c>
      <c r="B1294" s="18" t="s">
        <v>482</v>
      </c>
      <c r="C1294" s="17" t="s">
        <v>17</v>
      </c>
      <c r="D1294" s="17">
        <v>22.0</v>
      </c>
      <c r="E1294" s="17" t="s">
        <v>218</v>
      </c>
      <c r="G1294" s="19"/>
      <c r="H1294" s="20" t="s">
        <v>1692</v>
      </c>
      <c r="I1294" s="17" t="s">
        <v>265</v>
      </c>
      <c r="J1294" s="17">
        <v>0.0</v>
      </c>
      <c r="K1294" s="17">
        <v>0.0</v>
      </c>
      <c r="L1294" s="17">
        <v>0.0</v>
      </c>
      <c r="M1294" s="17">
        <v>0.0</v>
      </c>
      <c r="N1294" s="17">
        <v>0.0</v>
      </c>
      <c r="O1294" s="17">
        <v>0.0</v>
      </c>
      <c r="P1294" s="17">
        <v>0.0</v>
      </c>
      <c r="Q1294" s="17">
        <v>0.0</v>
      </c>
      <c r="R1294" s="17">
        <v>0.0</v>
      </c>
      <c r="S1294" s="17">
        <v>0.0</v>
      </c>
      <c r="T1294" s="17">
        <v>0.0</v>
      </c>
      <c r="U1294" s="17">
        <v>0.0</v>
      </c>
    </row>
    <row r="1295" ht="23.25" customHeight="1">
      <c r="A1295" s="20" t="str">
        <f>IF(COUNTIF('Icon Lookup'!C:C,B1295)&gt;0,LOOKUP(B1295,'Icon Lookup'!C:C,'Icon Lookup'!B:B),"")</f>
        <v/>
      </c>
      <c r="B1295" s="21" t="s">
        <v>1003</v>
      </c>
      <c r="C1295" s="20" t="s">
        <v>17</v>
      </c>
      <c r="D1295" s="20">
        <v>20.0</v>
      </c>
      <c r="E1295" s="20" t="s">
        <v>1022</v>
      </c>
      <c r="G1295" s="22"/>
      <c r="H1295" s="23" t="s">
        <v>1005</v>
      </c>
      <c r="I1295" s="20" t="s">
        <v>211</v>
      </c>
      <c r="J1295" s="20">
        <v>0.0</v>
      </c>
      <c r="K1295" s="20">
        <v>0.0</v>
      </c>
      <c r="L1295" s="20">
        <v>0.0</v>
      </c>
      <c r="M1295" s="20">
        <v>0.0</v>
      </c>
      <c r="N1295" s="20">
        <v>0.0</v>
      </c>
      <c r="O1295" s="20">
        <v>0.0</v>
      </c>
      <c r="P1295" s="20">
        <v>0.0</v>
      </c>
      <c r="Q1295" s="20">
        <v>0.0</v>
      </c>
      <c r="R1295" s="20">
        <v>0.0</v>
      </c>
      <c r="S1295" s="20">
        <v>0.0</v>
      </c>
      <c r="T1295" s="20">
        <v>0.0</v>
      </c>
      <c r="U1295" s="20">
        <v>0.0</v>
      </c>
    </row>
    <row r="1296" ht="23.25" customHeight="1">
      <c r="A1296" s="1" t="str">
        <f>IF(COUNTIF('Icon Lookup'!C:C,B1296)&gt;0,LOOKUP(B1296,'Icon Lookup'!C:C,'Icon Lookup'!B:B),"")</f>
        <v/>
      </c>
      <c r="B1296" s="15" t="s">
        <v>1693</v>
      </c>
      <c r="C1296" s="1" t="s">
        <v>17</v>
      </c>
      <c r="D1296" s="1" t="s">
        <v>1694</v>
      </c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</row>
    <row r="1297" ht="23.25" customHeight="1">
      <c r="A1297" s="17" t="str">
        <f>IF(COUNTIF('Icon Lookup'!C:C,B1297)&gt;0,LOOKUP(B1297,'Icon Lookup'!C:C,'Icon Lookup'!B:B),"")</f>
        <v/>
      </c>
      <c r="B1297" s="18" t="s">
        <v>30</v>
      </c>
      <c r="C1297" s="17" t="s">
        <v>17</v>
      </c>
      <c r="D1297" s="17">
        <v>21.0</v>
      </c>
      <c r="E1297" s="17" t="s">
        <v>31</v>
      </c>
      <c r="G1297" s="19"/>
      <c r="H1297" s="20" t="s">
        <v>1695</v>
      </c>
      <c r="I1297" s="17" t="s">
        <v>22</v>
      </c>
      <c r="J1297" s="17">
        <v>0.0</v>
      </c>
      <c r="K1297" s="17">
        <v>0.0</v>
      </c>
      <c r="L1297" s="17">
        <v>0.0</v>
      </c>
      <c r="M1297" s="17">
        <v>0.0</v>
      </c>
      <c r="N1297" s="17">
        <v>0.0</v>
      </c>
      <c r="O1297" s="17">
        <v>0.0</v>
      </c>
      <c r="P1297" s="17">
        <v>0.0</v>
      </c>
      <c r="Q1297" s="17">
        <v>0.0</v>
      </c>
      <c r="R1297" s="17">
        <v>0.0</v>
      </c>
      <c r="S1297" s="17">
        <v>0.0</v>
      </c>
      <c r="T1297" s="17">
        <v>0.0</v>
      </c>
      <c r="U1297" s="17">
        <v>0.0</v>
      </c>
    </row>
    <row r="1298" ht="23.25" customHeight="1">
      <c r="A1298" s="20" t="str">
        <f>IF(COUNTIF('Icon Lookup'!C:C,B1298)&gt;0,LOOKUP(B1298,'Icon Lookup'!C:C,'Icon Lookup'!B:B),"")</f>
        <v/>
      </c>
      <c r="B1298" s="21" t="s">
        <v>30</v>
      </c>
      <c r="C1298" s="20" t="s">
        <v>17</v>
      </c>
      <c r="D1298" s="20">
        <v>21.0</v>
      </c>
      <c r="E1298" s="20" t="s">
        <v>31</v>
      </c>
      <c r="G1298" s="22"/>
      <c r="H1298" s="23" t="s">
        <v>1695</v>
      </c>
      <c r="I1298" s="20" t="s">
        <v>22</v>
      </c>
      <c r="J1298" s="20">
        <v>0.0</v>
      </c>
      <c r="K1298" s="20">
        <v>0.0</v>
      </c>
      <c r="L1298" s="20">
        <v>0.0</v>
      </c>
      <c r="M1298" s="20">
        <v>0.0</v>
      </c>
      <c r="N1298" s="20">
        <v>0.0</v>
      </c>
      <c r="O1298" s="20">
        <v>0.0</v>
      </c>
      <c r="P1298" s="20">
        <v>0.0</v>
      </c>
      <c r="Q1298" s="20">
        <v>0.0</v>
      </c>
      <c r="R1298" s="20">
        <v>0.0</v>
      </c>
      <c r="S1298" s="20">
        <v>0.0</v>
      </c>
      <c r="T1298" s="20">
        <v>0.0</v>
      </c>
      <c r="U1298" s="20">
        <v>0.0</v>
      </c>
    </row>
    <row r="1299" ht="23.25" customHeight="1">
      <c r="A1299" s="1" t="str">
        <f>IF(COUNTIF('Icon Lookup'!C:C,B1299)&gt;0,LOOKUP(B1299,'Icon Lookup'!C:C,'Icon Lookup'!B:B),"")</f>
        <v/>
      </c>
      <c r="B1299" s="15" t="s">
        <v>1696</v>
      </c>
      <c r="C1299" s="1" t="s">
        <v>17</v>
      </c>
      <c r="D1299" s="1" t="s">
        <v>1697</v>
      </c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</row>
    <row r="1300" ht="23.25" customHeight="1">
      <c r="A1300" s="17" t="str">
        <f>IF(COUNTIF('Icon Lookup'!C:C,B1300)&gt;0,LOOKUP(B1300,'Icon Lookup'!C:C,'Icon Lookup'!B:B),"")</f>
        <v/>
      </c>
      <c r="B1300" s="18" t="s">
        <v>488</v>
      </c>
      <c r="C1300" s="17" t="s">
        <v>17</v>
      </c>
      <c r="D1300" s="17">
        <v>23.0</v>
      </c>
      <c r="E1300" s="17" t="s">
        <v>98</v>
      </c>
      <c r="G1300" s="19"/>
      <c r="H1300" s="20" t="s">
        <v>954</v>
      </c>
      <c r="I1300" s="17" t="s">
        <v>46</v>
      </c>
      <c r="J1300" s="17">
        <v>0.0</v>
      </c>
      <c r="K1300" s="17">
        <v>0.0</v>
      </c>
      <c r="L1300" s="17">
        <v>0.0</v>
      </c>
      <c r="M1300" s="17">
        <v>0.0</v>
      </c>
      <c r="N1300" s="17">
        <v>0.0</v>
      </c>
      <c r="O1300" s="17">
        <v>0.0</v>
      </c>
      <c r="P1300" s="17">
        <v>0.0</v>
      </c>
      <c r="Q1300" s="17">
        <v>0.0</v>
      </c>
      <c r="R1300" s="17">
        <v>0.0</v>
      </c>
      <c r="S1300" s="17">
        <v>0.0</v>
      </c>
      <c r="T1300" s="17">
        <v>0.0</v>
      </c>
      <c r="U1300" s="17">
        <v>0.0</v>
      </c>
    </row>
    <row r="1301" ht="23.25" customHeight="1">
      <c r="A1301" s="1" t="str">
        <f>IF(COUNTIF('Icon Lookup'!C:C,B1301)&gt;0,LOOKUP(B1301,'Icon Lookup'!C:C,'Icon Lookup'!B:B),"")</f>
        <v/>
      </c>
      <c r="B1301" s="15" t="s">
        <v>1698</v>
      </c>
      <c r="C1301" s="1" t="s">
        <v>17</v>
      </c>
      <c r="D1301" s="1" t="s">
        <v>1699</v>
      </c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</row>
    <row r="1302" ht="23.25" customHeight="1">
      <c r="A1302" s="20" t="str">
        <f>IF(COUNTIF('Icon Lookup'!C:C,B1302)&gt;0,LOOKUP(B1302,'Icon Lookup'!C:C,'Icon Lookup'!B:B),"")</f>
        <v/>
      </c>
      <c r="B1302" s="21" t="s">
        <v>206</v>
      </c>
      <c r="C1302" s="20" t="s">
        <v>17</v>
      </c>
      <c r="D1302" s="20">
        <v>21.0</v>
      </c>
      <c r="E1302" s="20" t="s">
        <v>98</v>
      </c>
      <c r="G1302" s="22"/>
      <c r="H1302" s="23" t="s">
        <v>1700</v>
      </c>
      <c r="I1302" s="20" t="s">
        <v>22</v>
      </c>
      <c r="J1302" s="20">
        <v>0.0</v>
      </c>
      <c r="K1302" s="20">
        <v>0.0</v>
      </c>
      <c r="L1302" s="20">
        <v>0.0</v>
      </c>
      <c r="M1302" s="20">
        <v>0.0</v>
      </c>
      <c r="N1302" s="20">
        <v>0.0</v>
      </c>
      <c r="O1302" s="20">
        <v>0.0</v>
      </c>
      <c r="P1302" s="20">
        <v>0.0</v>
      </c>
      <c r="Q1302" s="20">
        <v>0.0</v>
      </c>
      <c r="R1302" s="20">
        <v>0.0</v>
      </c>
      <c r="S1302" s="20">
        <v>0.0</v>
      </c>
      <c r="T1302" s="20">
        <v>0.0</v>
      </c>
      <c r="U1302" s="20">
        <v>0.0</v>
      </c>
    </row>
    <row r="1303" ht="23.25" customHeight="1">
      <c r="A1303" s="17" t="str">
        <f>IF(COUNTIF('Icon Lookup'!C:C,B1303)&gt;0,LOOKUP(B1303,'Icon Lookup'!C:C,'Icon Lookup'!B:B),"")</f>
        <v/>
      </c>
      <c r="B1303" s="18" t="s">
        <v>212</v>
      </c>
      <c r="C1303" s="17" t="s">
        <v>17</v>
      </c>
      <c r="D1303" s="17">
        <v>21.0</v>
      </c>
      <c r="E1303" s="17" t="s">
        <v>137</v>
      </c>
      <c r="G1303" s="19"/>
      <c r="H1303" s="20" t="s">
        <v>1701</v>
      </c>
      <c r="I1303" s="17" t="s">
        <v>22</v>
      </c>
      <c r="J1303" s="17">
        <v>0.0</v>
      </c>
      <c r="K1303" s="17">
        <v>0.0</v>
      </c>
      <c r="L1303" s="17">
        <v>0.0</v>
      </c>
      <c r="M1303" s="17">
        <v>0.0</v>
      </c>
      <c r="N1303" s="17">
        <v>0.0</v>
      </c>
      <c r="O1303" s="17">
        <v>0.0</v>
      </c>
      <c r="P1303" s="17">
        <v>0.0</v>
      </c>
      <c r="Q1303" s="17">
        <v>0.0</v>
      </c>
      <c r="R1303" s="17">
        <v>0.0</v>
      </c>
      <c r="S1303" s="17">
        <v>0.0</v>
      </c>
      <c r="T1303" s="17">
        <v>0.0</v>
      </c>
      <c r="U1303" s="17">
        <v>0.0</v>
      </c>
    </row>
    <row r="1304" ht="23.25" customHeight="1">
      <c r="A1304" s="1" t="str">
        <f>IF(COUNTIF('Icon Lookup'!C:C,B1304)&gt;0,LOOKUP(B1304,'Icon Lookup'!C:C,'Icon Lookup'!B:B),"")</f>
        <v/>
      </c>
      <c r="B1304" s="15" t="s">
        <v>1702</v>
      </c>
      <c r="C1304" s="1" t="s">
        <v>17</v>
      </c>
      <c r="D1304" s="1" t="s">
        <v>1703</v>
      </c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</row>
    <row r="1305" ht="23.25" customHeight="1">
      <c r="A1305" s="20" t="str">
        <f>IF(COUNTIF('Icon Lookup'!C:C,B1305)&gt;0,LOOKUP(B1305,'Icon Lookup'!C:C,'Icon Lookup'!B:B),"")</f>
        <v/>
      </c>
      <c r="B1305" s="21" t="s">
        <v>1280</v>
      </c>
      <c r="C1305" s="20" t="s">
        <v>17</v>
      </c>
      <c r="D1305" s="20">
        <v>23.0</v>
      </c>
      <c r="E1305" s="20" t="s">
        <v>719</v>
      </c>
      <c r="G1305" s="22"/>
      <c r="H1305" s="23" t="s">
        <v>1704</v>
      </c>
      <c r="I1305" s="20" t="s">
        <v>197</v>
      </c>
      <c r="J1305" s="20">
        <v>0.0</v>
      </c>
      <c r="K1305" s="20">
        <v>0.0</v>
      </c>
      <c r="L1305" s="20">
        <v>0.0</v>
      </c>
      <c r="M1305" s="20">
        <v>0.0</v>
      </c>
      <c r="N1305" s="20">
        <v>0.0</v>
      </c>
      <c r="O1305" s="20">
        <v>0.0</v>
      </c>
      <c r="P1305" s="20">
        <v>0.0</v>
      </c>
      <c r="Q1305" s="20">
        <v>0.0</v>
      </c>
      <c r="R1305" s="20">
        <v>0.0</v>
      </c>
      <c r="S1305" s="20">
        <v>0.0</v>
      </c>
      <c r="T1305" s="20">
        <v>0.0</v>
      </c>
      <c r="U1305" s="20">
        <v>0.0</v>
      </c>
    </row>
    <row r="1306" ht="23.25" customHeight="1">
      <c r="A1306" s="1" t="str">
        <f>IF(COUNTIF('Icon Lookup'!C:C,B1306)&gt;0,LOOKUP(B1306,'Icon Lookup'!C:C,'Icon Lookup'!B:B),"")</f>
        <v/>
      </c>
      <c r="B1306" s="15" t="s">
        <v>1705</v>
      </c>
      <c r="C1306" s="1" t="s">
        <v>17</v>
      </c>
      <c r="D1306" s="1" t="s">
        <v>1706</v>
      </c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</row>
    <row r="1307" ht="23.25" customHeight="1">
      <c r="A1307" s="17" t="str">
        <f>IF(COUNTIF('Icon Lookup'!C:C,B1307)&gt;0,LOOKUP(B1307,'Icon Lookup'!C:C,'Icon Lookup'!B:B),"")</f>
        <v/>
      </c>
      <c r="B1307" s="18" t="s">
        <v>1261</v>
      </c>
      <c r="C1307" s="17" t="s">
        <v>17</v>
      </c>
      <c r="D1307" s="17">
        <v>23.0</v>
      </c>
      <c r="E1307" s="17" t="s">
        <v>399</v>
      </c>
      <c r="G1307" s="19"/>
      <c r="H1307" s="20" t="s">
        <v>1707</v>
      </c>
      <c r="I1307" s="17" t="s">
        <v>46</v>
      </c>
      <c r="J1307" s="17">
        <v>0.0</v>
      </c>
      <c r="K1307" s="17">
        <v>0.0</v>
      </c>
      <c r="L1307" s="17">
        <v>0.0</v>
      </c>
      <c r="M1307" s="17">
        <v>0.0</v>
      </c>
      <c r="N1307" s="17">
        <v>0.0</v>
      </c>
      <c r="O1307" s="17">
        <v>0.0</v>
      </c>
      <c r="P1307" s="17">
        <v>0.0</v>
      </c>
      <c r="Q1307" s="17">
        <v>0.0</v>
      </c>
      <c r="R1307" s="17">
        <v>0.0</v>
      </c>
      <c r="S1307" s="17">
        <v>0.0</v>
      </c>
      <c r="T1307" s="17">
        <v>0.0</v>
      </c>
      <c r="U1307" s="17">
        <v>0.0</v>
      </c>
    </row>
    <row r="1308" ht="23.25" customHeight="1">
      <c r="A1308" s="1" t="str">
        <f>IF(COUNTIF('Icon Lookup'!C:C,B1308)&gt;0,LOOKUP(B1308,'Icon Lookup'!C:C,'Icon Lookup'!B:B),"")</f>
        <v/>
      </c>
      <c r="B1308" s="15" t="s">
        <v>1708</v>
      </c>
      <c r="C1308" s="1" t="s">
        <v>17</v>
      </c>
      <c r="D1308" s="1" t="s">
        <v>1709</v>
      </c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</row>
    <row r="1309" ht="23.25" customHeight="1">
      <c r="A1309" s="20" t="str">
        <f>IF(COUNTIF('Icon Lookup'!C:C,B1309)&gt;0,LOOKUP(B1309,'Icon Lookup'!C:C,'Icon Lookup'!B:B),"")</f>
        <v/>
      </c>
      <c r="B1309" s="21" t="s">
        <v>386</v>
      </c>
      <c r="C1309" s="20" t="s">
        <v>17</v>
      </c>
      <c r="D1309" s="20">
        <v>23.0</v>
      </c>
      <c r="E1309" s="20" t="s">
        <v>387</v>
      </c>
      <c r="G1309" s="22"/>
      <c r="H1309" s="23" t="s">
        <v>1006</v>
      </c>
      <c r="I1309" s="20" t="s">
        <v>156</v>
      </c>
      <c r="J1309" s="20">
        <v>0.0</v>
      </c>
      <c r="K1309" s="20">
        <v>0.0</v>
      </c>
      <c r="L1309" s="20">
        <v>0.0</v>
      </c>
      <c r="M1309" s="20">
        <v>0.0</v>
      </c>
      <c r="N1309" s="20">
        <v>0.0</v>
      </c>
      <c r="O1309" s="20">
        <v>0.0</v>
      </c>
      <c r="P1309" s="20">
        <v>0.0</v>
      </c>
      <c r="Q1309" s="20">
        <v>0.0</v>
      </c>
      <c r="R1309" s="20">
        <v>0.0</v>
      </c>
      <c r="S1309" s="20">
        <v>0.0</v>
      </c>
      <c r="T1309" s="20">
        <v>0.0</v>
      </c>
      <c r="U1309" s="20">
        <v>0.0</v>
      </c>
    </row>
    <row r="1310" ht="23.25" customHeight="1">
      <c r="A1310" s="1" t="str">
        <f>IF(COUNTIF('Icon Lookup'!C:C,B1310)&gt;0,LOOKUP(B1310,'Icon Lookup'!C:C,'Icon Lookup'!B:B),"")</f>
        <v/>
      </c>
      <c r="B1310" s="15" t="s">
        <v>1710</v>
      </c>
      <c r="C1310" s="1" t="s">
        <v>17</v>
      </c>
      <c r="D1310" s="1" t="s">
        <v>1711</v>
      </c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</row>
    <row r="1311" ht="23.25" customHeight="1">
      <c r="A1311" s="17" t="str">
        <f>IF(COUNTIF('Icon Lookup'!C:C,B1311)&gt;0,LOOKUP(B1311,'Icon Lookup'!C:C,'Icon Lookup'!B:B),"")</f>
        <v/>
      </c>
      <c r="B1311" s="18" t="s">
        <v>592</v>
      </c>
      <c r="C1311" s="17" t="s">
        <v>17</v>
      </c>
      <c r="D1311" s="17">
        <v>23.0</v>
      </c>
      <c r="E1311" s="17" t="s">
        <v>44</v>
      </c>
      <c r="G1311" s="19"/>
      <c r="H1311" s="20" t="s">
        <v>593</v>
      </c>
      <c r="I1311" s="17" t="s">
        <v>197</v>
      </c>
      <c r="J1311" s="17">
        <v>0.0</v>
      </c>
      <c r="K1311" s="17">
        <v>0.0</v>
      </c>
      <c r="L1311" s="17">
        <v>0.0</v>
      </c>
      <c r="M1311" s="17">
        <v>0.0</v>
      </c>
      <c r="N1311" s="17">
        <v>0.0</v>
      </c>
      <c r="O1311" s="17">
        <v>0.0</v>
      </c>
      <c r="P1311" s="17">
        <v>0.0</v>
      </c>
      <c r="Q1311" s="17">
        <v>0.0</v>
      </c>
      <c r="R1311" s="17">
        <v>0.0</v>
      </c>
      <c r="S1311" s="17">
        <v>0.0</v>
      </c>
      <c r="T1311" s="17">
        <v>0.0</v>
      </c>
      <c r="U1311" s="17">
        <v>0.0</v>
      </c>
    </row>
    <row r="1312" ht="23.25" customHeight="1">
      <c r="A1312" s="1" t="str">
        <f>IF(COUNTIF('Icon Lookup'!C:C,B1312)&gt;0,LOOKUP(B1312,'Icon Lookup'!C:C,'Icon Lookup'!B:B),"")</f>
        <v/>
      </c>
      <c r="B1312" s="15" t="s">
        <v>1712</v>
      </c>
      <c r="C1312" s="1" t="s">
        <v>17</v>
      </c>
      <c r="D1312" s="1" t="s">
        <v>1713</v>
      </c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</row>
    <row r="1313" ht="23.25" customHeight="1">
      <c r="A1313" s="20" t="str">
        <f>IF(COUNTIF('Icon Lookup'!C:C,B1313)&gt;0,LOOKUP(B1313,'Icon Lookup'!C:C,'Icon Lookup'!B:B),"")</f>
        <v/>
      </c>
      <c r="B1313" s="21" t="s">
        <v>577</v>
      </c>
      <c r="C1313" s="20" t="s">
        <v>17</v>
      </c>
      <c r="D1313" s="20">
        <v>23.0</v>
      </c>
      <c r="E1313" s="20" t="s">
        <v>399</v>
      </c>
      <c r="G1313" s="22"/>
      <c r="H1313" s="23" t="s">
        <v>1172</v>
      </c>
      <c r="I1313" s="20" t="s">
        <v>105</v>
      </c>
      <c r="J1313" s="20">
        <v>0.0</v>
      </c>
      <c r="K1313" s="20">
        <v>0.0</v>
      </c>
      <c r="L1313" s="20">
        <v>0.0</v>
      </c>
      <c r="M1313" s="20">
        <v>0.0</v>
      </c>
      <c r="N1313" s="20">
        <v>0.0</v>
      </c>
      <c r="O1313" s="20">
        <v>0.0</v>
      </c>
      <c r="P1313" s="20">
        <v>0.0</v>
      </c>
      <c r="Q1313" s="20">
        <v>0.0</v>
      </c>
      <c r="R1313" s="20">
        <v>0.0</v>
      </c>
      <c r="S1313" s="20">
        <v>0.0</v>
      </c>
      <c r="T1313" s="20">
        <v>0.0</v>
      </c>
      <c r="U1313" s="20">
        <v>0.0</v>
      </c>
    </row>
    <row r="1314" ht="23.25" customHeight="1">
      <c r="A1314" s="1" t="str">
        <f>IF(COUNTIF('Icon Lookup'!C:C,B1314)&gt;0,LOOKUP(B1314,'Icon Lookup'!C:C,'Icon Lookup'!B:B),"")</f>
        <v/>
      </c>
      <c r="B1314" s="15" t="s">
        <v>1714</v>
      </c>
      <c r="C1314" s="1" t="s">
        <v>17</v>
      </c>
      <c r="D1314" s="1" t="s">
        <v>1715</v>
      </c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</row>
    <row r="1315" ht="23.25" customHeight="1">
      <c r="A1315" s="17" t="str">
        <f>IF(COUNTIF('Icon Lookup'!C:C,B1315)&gt;0,LOOKUP(B1315,'Icon Lookup'!C:C,'Icon Lookup'!B:B),"")</f>
        <v/>
      </c>
      <c r="B1315" s="18" t="s">
        <v>90</v>
      </c>
      <c r="C1315" s="17" t="s">
        <v>17</v>
      </c>
      <c r="D1315" s="17">
        <v>23.0</v>
      </c>
      <c r="E1315" s="17" t="s">
        <v>91</v>
      </c>
      <c r="G1315" s="19"/>
      <c r="H1315" s="20" t="s">
        <v>184</v>
      </c>
      <c r="I1315" s="17" t="s">
        <v>89</v>
      </c>
      <c r="J1315" s="17">
        <v>0.0</v>
      </c>
      <c r="K1315" s="17">
        <v>0.0</v>
      </c>
      <c r="L1315" s="17">
        <v>0.0</v>
      </c>
      <c r="M1315" s="17">
        <v>0.0</v>
      </c>
      <c r="N1315" s="17">
        <v>0.0</v>
      </c>
      <c r="O1315" s="17">
        <v>0.0</v>
      </c>
      <c r="P1315" s="17">
        <v>0.0</v>
      </c>
      <c r="Q1315" s="17">
        <v>0.0</v>
      </c>
      <c r="R1315" s="17">
        <v>0.0</v>
      </c>
      <c r="S1315" s="17">
        <v>0.0</v>
      </c>
      <c r="T1315" s="17">
        <v>0.0</v>
      </c>
      <c r="U1315" s="17">
        <v>0.0</v>
      </c>
    </row>
    <row r="1316" ht="23.25" customHeight="1">
      <c r="A1316" s="20" t="str">
        <f>IF(COUNTIF('Icon Lookup'!C:C,B1316)&gt;0,LOOKUP(B1316,'Icon Lookup'!C:C,'Icon Lookup'!B:B),"")</f>
        <v/>
      </c>
      <c r="B1316" s="21" t="s">
        <v>160</v>
      </c>
      <c r="C1316" s="20" t="s">
        <v>17</v>
      </c>
      <c r="D1316" s="20">
        <v>23.0</v>
      </c>
      <c r="E1316" s="20" t="s">
        <v>161</v>
      </c>
      <c r="G1316" s="22"/>
      <c r="H1316" s="23" t="s">
        <v>1716</v>
      </c>
      <c r="I1316" s="20" t="s">
        <v>94</v>
      </c>
      <c r="J1316" s="20">
        <v>0.0</v>
      </c>
      <c r="K1316" s="20">
        <v>0.0</v>
      </c>
      <c r="L1316" s="20">
        <v>0.0</v>
      </c>
      <c r="M1316" s="20">
        <v>0.0</v>
      </c>
      <c r="N1316" s="20">
        <v>0.0</v>
      </c>
      <c r="O1316" s="20">
        <v>0.0</v>
      </c>
      <c r="P1316" s="20">
        <v>0.0</v>
      </c>
      <c r="Q1316" s="20">
        <v>0.0</v>
      </c>
      <c r="R1316" s="20">
        <v>0.0</v>
      </c>
      <c r="S1316" s="20">
        <v>0.0</v>
      </c>
      <c r="T1316" s="20">
        <v>0.0</v>
      </c>
      <c r="U1316" s="20">
        <v>0.0</v>
      </c>
    </row>
    <row r="1317" ht="23.25" customHeight="1">
      <c r="A1317" s="1" t="str">
        <f>IF(COUNTIF('Icon Lookup'!C:C,B1317)&gt;0,LOOKUP(B1317,'Icon Lookup'!C:C,'Icon Lookup'!B:B),"")</f>
        <v/>
      </c>
      <c r="B1317" s="15" t="s">
        <v>1717</v>
      </c>
      <c r="C1317" s="1" t="s">
        <v>17</v>
      </c>
      <c r="D1317" s="1" t="s">
        <v>1718</v>
      </c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</row>
    <row r="1318" ht="23.25" customHeight="1">
      <c r="A1318" s="17" t="str">
        <f>IF(COUNTIF('Icon Lookup'!C:C,B1318)&gt;0,LOOKUP(B1318,'Icon Lookup'!C:C,'Icon Lookup'!B:B),"")</f>
        <v/>
      </c>
      <c r="B1318" s="18" t="s">
        <v>86</v>
      </c>
      <c r="C1318" s="17" t="s">
        <v>17</v>
      </c>
      <c r="D1318" s="17">
        <v>16.0</v>
      </c>
      <c r="E1318" s="17" t="s">
        <v>87</v>
      </c>
      <c r="G1318" s="19"/>
      <c r="H1318" s="20" t="s">
        <v>159</v>
      </c>
      <c r="I1318" s="17" t="s">
        <v>89</v>
      </c>
      <c r="J1318" s="17">
        <v>0.0</v>
      </c>
      <c r="K1318" s="17">
        <v>0.0</v>
      </c>
      <c r="L1318" s="17">
        <v>0.0</v>
      </c>
      <c r="M1318" s="17">
        <v>0.0</v>
      </c>
      <c r="N1318" s="17">
        <v>0.0</v>
      </c>
      <c r="O1318" s="17">
        <v>0.0</v>
      </c>
      <c r="P1318" s="17">
        <v>0.0</v>
      </c>
      <c r="Q1318" s="17">
        <v>0.0</v>
      </c>
      <c r="R1318" s="17">
        <v>0.0</v>
      </c>
      <c r="S1318" s="17">
        <v>0.0</v>
      </c>
      <c r="T1318" s="17">
        <v>0.0</v>
      </c>
      <c r="U1318" s="17">
        <v>0.0</v>
      </c>
    </row>
    <row r="1319" ht="23.25" customHeight="1">
      <c r="A1319" s="20" t="str">
        <f>IF(COUNTIF('Icon Lookup'!C:C,B1319)&gt;0,LOOKUP(B1319,'Icon Lookup'!C:C,'Icon Lookup'!B:B),"")</f>
        <v/>
      </c>
      <c r="B1319" s="21" t="s">
        <v>86</v>
      </c>
      <c r="C1319" s="20" t="s">
        <v>17</v>
      </c>
      <c r="D1319" s="20">
        <v>17.0</v>
      </c>
      <c r="E1319" s="20" t="s">
        <v>87</v>
      </c>
      <c r="G1319" s="22"/>
      <c r="H1319" s="23" t="s">
        <v>1300</v>
      </c>
      <c r="I1319" s="20" t="s">
        <v>89</v>
      </c>
      <c r="J1319" s="20">
        <v>0.0</v>
      </c>
      <c r="K1319" s="20">
        <v>0.0</v>
      </c>
      <c r="L1319" s="20">
        <v>0.0</v>
      </c>
      <c r="M1319" s="20">
        <v>0.0</v>
      </c>
      <c r="N1319" s="20">
        <v>0.0</v>
      </c>
      <c r="O1319" s="20">
        <v>0.0</v>
      </c>
      <c r="P1319" s="20">
        <v>0.0</v>
      </c>
      <c r="Q1319" s="20">
        <v>0.0</v>
      </c>
      <c r="R1319" s="20">
        <v>0.0</v>
      </c>
      <c r="S1319" s="20">
        <v>0.0</v>
      </c>
      <c r="T1319" s="20">
        <v>0.0</v>
      </c>
      <c r="U1319" s="20">
        <v>0.0</v>
      </c>
    </row>
    <row r="1320" ht="23.25" customHeight="1">
      <c r="A1320" s="17" t="str">
        <f>IF(COUNTIF('Icon Lookup'!C:C,B1320)&gt;0,LOOKUP(B1320,'Icon Lookup'!C:C,'Icon Lookup'!B:B),"")</f>
        <v/>
      </c>
      <c r="B1320" s="18" t="s">
        <v>160</v>
      </c>
      <c r="C1320" s="17" t="s">
        <v>17</v>
      </c>
      <c r="D1320" s="17">
        <v>18.0</v>
      </c>
      <c r="E1320" s="17" t="s">
        <v>161</v>
      </c>
      <c r="G1320" s="19"/>
      <c r="H1320" s="20" t="s">
        <v>162</v>
      </c>
      <c r="I1320" s="17" t="s">
        <v>94</v>
      </c>
      <c r="J1320" s="17">
        <v>0.0</v>
      </c>
      <c r="K1320" s="17">
        <v>0.0</v>
      </c>
      <c r="L1320" s="17">
        <v>0.0</v>
      </c>
      <c r="M1320" s="17">
        <v>0.0</v>
      </c>
      <c r="N1320" s="17">
        <v>0.0</v>
      </c>
      <c r="O1320" s="17">
        <v>0.0</v>
      </c>
      <c r="P1320" s="17">
        <v>0.0</v>
      </c>
      <c r="Q1320" s="17">
        <v>0.0</v>
      </c>
      <c r="R1320" s="17">
        <v>0.0</v>
      </c>
      <c r="S1320" s="17">
        <v>0.0</v>
      </c>
      <c r="T1320" s="17">
        <v>0.0</v>
      </c>
      <c r="U1320" s="17">
        <v>0.0</v>
      </c>
    </row>
    <row r="1321" ht="23.25" customHeight="1">
      <c r="A1321" s="1" t="str">
        <f>IF(COUNTIF('Icon Lookup'!C:C,B1321)&gt;0,LOOKUP(B1321,'Icon Lookup'!C:C,'Icon Lookup'!B:B),"")</f>
        <v/>
      </c>
      <c r="B1321" s="15" t="s">
        <v>1719</v>
      </c>
      <c r="C1321" s="1" t="s">
        <v>17</v>
      </c>
      <c r="D1321" s="1" t="s">
        <v>1720</v>
      </c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</row>
    <row r="1322" ht="23.25" customHeight="1">
      <c r="A1322" s="20" t="str">
        <f>IF(COUNTIF('Icon Lookup'!C:C,B1322)&gt;0,LOOKUP(B1322,'Icon Lookup'!C:C,'Icon Lookup'!B:B),"")</f>
        <v/>
      </c>
      <c r="B1322" s="21" t="s">
        <v>1721</v>
      </c>
      <c r="C1322" s="20" t="s">
        <v>17</v>
      </c>
      <c r="D1322" s="20">
        <v>52.0</v>
      </c>
      <c r="E1322" s="20" t="s">
        <v>38</v>
      </c>
      <c r="G1322" s="22"/>
      <c r="H1322" s="23" t="s">
        <v>1722</v>
      </c>
      <c r="I1322" s="20" t="s">
        <v>22</v>
      </c>
      <c r="J1322" s="20">
        <v>0.0</v>
      </c>
      <c r="K1322" s="20">
        <v>0.0</v>
      </c>
      <c r="L1322" s="20">
        <v>0.0</v>
      </c>
      <c r="M1322" s="20">
        <v>0.0</v>
      </c>
      <c r="N1322" s="20">
        <v>0.0</v>
      </c>
      <c r="O1322" s="20">
        <v>0.0</v>
      </c>
      <c r="P1322" s="20">
        <v>0.0</v>
      </c>
      <c r="Q1322" s="20">
        <v>0.0</v>
      </c>
      <c r="R1322" s="20">
        <v>0.0</v>
      </c>
      <c r="S1322" s="20">
        <v>0.0</v>
      </c>
      <c r="T1322" s="20">
        <v>0.0</v>
      </c>
      <c r="U1322" s="20">
        <v>0.0</v>
      </c>
    </row>
    <row r="1323" ht="23.25" customHeight="1">
      <c r="A1323" s="17" t="str">
        <f>IF(COUNTIF('Icon Lookup'!C:C,B1323)&gt;0,LOOKUP(B1323,'Icon Lookup'!C:C,'Icon Lookup'!B:B),"")</f>
        <v/>
      </c>
      <c r="B1323" s="18" t="s">
        <v>1723</v>
      </c>
      <c r="C1323" s="17" t="s">
        <v>17</v>
      </c>
      <c r="D1323" s="17">
        <v>54.0</v>
      </c>
      <c r="E1323" s="17" t="s">
        <v>276</v>
      </c>
      <c r="G1323" s="19"/>
      <c r="H1323" s="20" t="s">
        <v>1724</v>
      </c>
      <c r="I1323" s="17" t="s">
        <v>22</v>
      </c>
      <c r="J1323" s="17">
        <v>0.0</v>
      </c>
      <c r="K1323" s="17">
        <v>0.0</v>
      </c>
      <c r="L1323" s="17">
        <v>0.0</v>
      </c>
      <c r="M1323" s="17">
        <v>0.0</v>
      </c>
      <c r="N1323" s="17">
        <v>0.0</v>
      </c>
      <c r="O1323" s="17">
        <v>0.0</v>
      </c>
      <c r="P1323" s="17">
        <v>0.0</v>
      </c>
      <c r="Q1323" s="17">
        <v>0.0</v>
      </c>
      <c r="R1323" s="17">
        <v>0.0</v>
      </c>
      <c r="S1323" s="17">
        <v>0.0</v>
      </c>
      <c r="T1323" s="17">
        <v>0.0</v>
      </c>
      <c r="U1323" s="17">
        <v>0.0</v>
      </c>
    </row>
    <row r="1324" ht="23.25" customHeight="1">
      <c r="A1324" s="1" t="str">
        <f>IF(COUNTIF('Icon Lookup'!C:C,B1324)&gt;0,LOOKUP(B1324,'Icon Lookup'!C:C,'Icon Lookup'!B:B),"")</f>
        <v/>
      </c>
      <c r="B1324" s="15" t="s">
        <v>1725</v>
      </c>
      <c r="C1324" s="1" t="s">
        <v>17</v>
      </c>
      <c r="D1324" s="1" t="s">
        <v>1726</v>
      </c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</row>
    <row r="1325" ht="23.25" customHeight="1">
      <c r="A1325" s="20" t="str">
        <f>IF(COUNTIF('Icon Lookup'!C:C,B1325)&gt;0,LOOKUP(B1325,'Icon Lookup'!C:C,'Icon Lookup'!B:B),"")</f>
        <v/>
      </c>
      <c r="B1325" s="21" t="s">
        <v>174</v>
      </c>
      <c r="C1325" s="20" t="s">
        <v>17</v>
      </c>
      <c r="D1325" s="20">
        <v>53.0</v>
      </c>
      <c r="E1325" s="20" t="s">
        <v>38</v>
      </c>
      <c r="G1325" s="22"/>
      <c r="H1325" s="23" t="s">
        <v>1727</v>
      </c>
      <c r="I1325" s="20" t="s">
        <v>211</v>
      </c>
      <c r="J1325" s="20">
        <v>0.0</v>
      </c>
      <c r="K1325" s="20">
        <v>0.0</v>
      </c>
      <c r="L1325" s="20">
        <v>0.0</v>
      </c>
      <c r="M1325" s="20">
        <v>0.0</v>
      </c>
      <c r="N1325" s="20">
        <v>0.0</v>
      </c>
      <c r="O1325" s="20">
        <v>0.0</v>
      </c>
      <c r="P1325" s="20">
        <v>0.0</v>
      </c>
      <c r="Q1325" s="20">
        <v>0.0</v>
      </c>
      <c r="R1325" s="20">
        <v>0.0</v>
      </c>
      <c r="S1325" s="20">
        <v>0.0</v>
      </c>
      <c r="T1325" s="20">
        <v>0.0</v>
      </c>
      <c r="U1325" s="20">
        <v>0.0</v>
      </c>
    </row>
    <row r="1326" ht="23.25" customHeight="1">
      <c r="A1326" s="17" t="str">
        <f>IF(COUNTIF('Icon Lookup'!C:C,B1326)&gt;0,LOOKUP(B1326,'Icon Lookup'!C:C,'Icon Lookup'!B:B),"")</f>
        <v/>
      </c>
      <c r="B1326" s="18" t="s">
        <v>1728</v>
      </c>
      <c r="C1326" s="17" t="s">
        <v>17</v>
      </c>
      <c r="D1326" s="17">
        <v>57.0</v>
      </c>
      <c r="E1326" s="17" t="s">
        <v>387</v>
      </c>
      <c r="G1326" s="19"/>
      <c r="H1326" s="20" t="s">
        <v>1729</v>
      </c>
      <c r="I1326" s="17" t="s">
        <v>105</v>
      </c>
      <c r="J1326" s="17">
        <v>0.0</v>
      </c>
      <c r="K1326" s="17">
        <v>0.0</v>
      </c>
      <c r="L1326" s="17">
        <v>0.0</v>
      </c>
      <c r="M1326" s="17">
        <v>0.0</v>
      </c>
      <c r="N1326" s="17">
        <v>0.0</v>
      </c>
      <c r="O1326" s="17">
        <v>0.0</v>
      </c>
      <c r="P1326" s="17">
        <v>0.0</v>
      </c>
      <c r="Q1326" s="17">
        <v>0.0</v>
      </c>
      <c r="R1326" s="17">
        <v>0.0</v>
      </c>
      <c r="S1326" s="17">
        <v>0.0</v>
      </c>
      <c r="T1326" s="17">
        <v>0.0</v>
      </c>
      <c r="U1326" s="17">
        <v>0.0</v>
      </c>
    </row>
    <row r="1327" ht="23.25" customHeight="1">
      <c r="A1327" s="1" t="str">
        <f>IF(COUNTIF('Icon Lookup'!C:C,B1327)&gt;0,LOOKUP(B1327,'Icon Lookup'!C:C,'Icon Lookup'!B:B),"")</f>
        <v/>
      </c>
      <c r="B1327" s="15" t="s">
        <v>1730</v>
      </c>
      <c r="C1327" s="1" t="s">
        <v>17</v>
      </c>
      <c r="D1327" s="1" t="s">
        <v>1731</v>
      </c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</row>
    <row r="1328" ht="23.25" customHeight="1">
      <c r="A1328" s="20" t="str">
        <f>IF(COUNTIF('Icon Lookup'!C:C,B1328)&gt;0,LOOKUP(B1328,'Icon Lookup'!C:C,'Icon Lookup'!B:B),"")</f>
        <v/>
      </c>
      <c r="B1328" s="21" t="s">
        <v>1732</v>
      </c>
      <c r="C1328" s="20" t="s">
        <v>17</v>
      </c>
      <c r="D1328" s="20">
        <v>55.0</v>
      </c>
      <c r="E1328" s="20" t="s">
        <v>1733</v>
      </c>
      <c r="G1328" s="22"/>
      <c r="H1328" s="23" t="s">
        <v>1734</v>
      </c>
      <c r="I1328" s="20" t="s">
        <v>211</v>
      </c>
      <c r="J1328" s="20">
        <v>0.0</v>
      </c>
      <c r="K1328" s="20">
        <v>0.0</v>
      </c>
      <c r="L1328" s="20">
        <v>0.0</v>
      </c>
      <c r="M1328" s="20">
        <v>0.0</v>
      </c>
      <c r="N1328" s="20">
        <v>0.0</v>
      </c>
      <c r="O1328" s="20">
        <v>0.0</v>
      </c>
      <c r="P1328" s="20">
        <v>0.0</v>
      </c>
      <c r="Q1328" s="20">
        <v>0.0</v>
      </c>
      <c r="R1328" s="20">
        <v>0.0</v>
      </c>
      <c r="S1328" s="20">
        <v>0.0</v>
      </c>
      <c r="T1328" s="20">
        <v>0.0</v>
      </c>
      <c r="U1328" s="20">
        <v>0.0</v>
      </c>
    </row>
    <row r="1329" ht="23.25" customHeight="1">
      <c r="A1329" s="17" t="str">
        <f>IF(COUNTIF('Icon Lookup'!C:C,B1329)&gt;0,LOOKUP(B1329,'Icon Lookup'!C:C,'Icon Lookup'!B:B),"")</f>
        <v/>
      </c>
      <c r="B1329" s="18" t="s">
        <v>1735</v>
      </c>
      <c r="C1329" s="17" t="s">
        <v>17</v>
      </c>
      <c r="D1329" s="17">
        <v>55.0</v>
      </c>
      <c r="E1329" s="17" t="s">
        <v>20</v>
      </c>
      <c r="G1329" s="19"/>
      <c r="H1329" s="20" t="s">
        <v>1736</v>
      </c>
      <c r="I1329" s="17" t="s">
        <v>94</v>
      </c>
      <c r="J1329" s="17">
        <v>0.0</v>
      </c>
      <c r="K1329" s="17">
        <v>0.0</v>
      </c>
      <c r="L1329" s="17">
        <v>0.0</v>
      </c>
      <c r="M1329" s="17">
        <v>0.0</v>
      </c>
      <c r="N1329" s="17">
        <v>0.0</v>
      </c>
      <c r="O1329" s="17">
        <v>0.0</v>
      </c>
      <c r="P1329" s="17">
        <v>0.0</v>
      </c>
      <c r="Q1329" s="17">
        <v>0.0</v>
      </c>
      <c r="R1329" s="17">
        <v>0.0</v>
      </c>
      <c r="S1329" s="17">
        <v>0.0</v>
      </c>
      <c r="T1329" s="17">
        <v>0.0</v>
      </c>
      <c r="U1329" s="17">
        <v>0.0</v>
      </c>
    </row>
    <row r="1330" ht="23.25" customHeight="1">
      <c r="A1330" s="20" t="str">
        <f>IF(COUNTIF('Icon Lookup'!C:C,B1330)&gt;0,LOOKUP(B1330,'Icon Lookup'!C:C,'Icon Lookup'!B:B),"")</f>
        <v/>
      </c>
      <c r="B1330" s="21" t="s">
        <v>718</v>
      </c>
      <c r="C1330" s="20" t="s">
        <v>17</v>
      </c>
      <c r="D1330" s="20">
        <v>55.0</v>
      </c>
      <c r="E1330" s="20" t="s">
        <v>719</v>
      </c>
      <c r="G1330" s="22"/>
      <c r="H1330" s="23" t="s">
        <v>1737</v>
      </c>
      <c r="I1330" s="20" t="s">
        <v>36</v>
      </c>
      <c r="J1330" s="20">
        <v>0.0</v>
      </c>
      <c r="K1330" s="20">
        <v>0.0</v>
      </c>
      <c r="L1330" s="20">
        <v>0.0</v>
      </c>
      <c r="M1330" s="20">
        <v>0.0</v>
      </c>
      <c r="N1330" s="20">
        <v>0.0</v>
      </c>
      <c r="O1330" s="20">
        <v>0.0</v>
      </c>
      <c r="P1330" s="20">
        <v>0.0</v>
      </c>
      <c r="Q1330" s="20">
        <v>0.0</v>
      </c>
      <c r="R1330" s="20">
        <v>0.0</v>
      </c>
      <c r="S1330" s="20">
        <v>0.0</v>
      </c>
      <c r="T1330" s="20">
        <v>0.0</v>
      </c>
      <c r="U1330" s="20">
        <v>0.0</v>
      </c>
    </row>
    <row r="1331" ht="23.25" customHeight="1">
      <c r="A1331" s="1" t="str">
        <f>IF(COUNTIF('Icon Lookup'!C:C,B1331)&gt;0,LOOKUP(B1331,'Icon Lookup'!C:C,'Icon Lookup'!B:B),"")</f>
        <v/>
      </c>
      <c r="B1331" s="15" t="s">
        <v>1738</v>
      </c>
      <c r="C1331" s="1" t="s">
        <v>17</v>
      </c>
      <c r="D1331" s="1" t="s">
        <v>1739</v>
      </c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</row>
    <row r="1332" ht="23.25" customHeight="1">
      <c r="A1332" s="17" t="str">
        <f>IF(COUNTIF('Icon Lookup'!C:C,B1332)&gt;0,LOOKUP(B1332,'Icon Lookup'!C:C,'Icon Lookup'!B:B),"")</f>
        <v/>
      </c>
      <c r="B1332" s="18" t="s">
        <v>1740</v>
      </c>
      <c r="C1332" s="17" t="s">
        <v>17</v>
      </c>
      <c r="D1332" s="17">
        <v>53.0</v>
      </c>
      <c r="E1332" s="17" t="s">
        <v>58</v>
      </c>
      <c r="G1332" s="19"/>
      <c r="H1332" s="20" t="s">
        <v>1741</v>
      </c>
      <c r="I1332" s="17" t="s">
        <v>550</v>
      </c>
      <c r="J1332" s="17">
        <v>0.0</v>
      </c>
      <c r="K1332" s="17">
        <v>0.0</v>
      </c>
      <c r="L1332" s="17">
        <v>0.0</v>
      </c>
      <c r="M1332" s="17">
        <v>0.0</v>
      </c>
      <c r="N1332" s="17">
        <v>0.0</v>
      </c>
      <c r="O1332" s="17">
        <v>0.0</v>
      </c>
      <c r="P1332" s="17">
        <v>0.0</v>
      </c>
      <c r="Q1332" s="17">
        <v>0.0</v>
      </c>
      <c r="R1332" s="17">
        <v>0.0</v>
      </c>
      <c r="S1332" s="17">
        <v>0.0</v>
      </c>
      <c r="T1332" s="17">
        <v>0.0</v>
      </c>
      <c r="U1332" s="17">
        <v>0.0</v>
      </c>
    </row>
    <row r="1333" ht="23.25" customHeight="1">
      <c r="A1333" s="20" t="str">
        <f>IF(COUNTIF('Icon Lookup'!C:C,B1333)&gt;0,LOOKUP(B1333,'Icon Lookup'!C:C,'Icon Lookup'!B:B),"")</f>
        <v/>
      </c>
      <c r="B1333" s="21" t="s">
        <v>1742</v>
      </c>
      <c r="C1333" s="20" t="s">
        <v>17</v>
      </c>
      <c r="D1333" s="20">
        <v>55.0</v>
      </c>
      <c r="E1333" s="20" t="s">
        <v>58</v>
      </c>
      <c r="G1333" s="22"/>
      <c r="H1333" s="23" t="s">
        <v>1743</v>
      </c>
      <c r="I1333" s="20" t="s">
        <v>22</v>
      </c>
      <c r="J1333" s="20">
        <v>0.0</v>
      </c>
      <c r="K1333" s="20">
        <v>0.0</v>
      </c>
      <c r="L1333" s="20">
        <v>0.0</v>
      </c>
      <c r="M1333" s="20">
        <v>0.0</v>
      </c>
      <c r="N1333" s="20">
        <v>0.0</v>
      </c>
      <c r="O1333" s="20">
        <v>0.0</v>
      </c>
      <c r="P1333" s="20">
        <v>0.0</v>
      </c>
      <c r="Q1333" s="20">
        <v>0.0</v>
      </c>
      <c r="R1333" s="20">
        <v>0.0</v>
      </c>
      <c r="S1333" s="20">
        <v>0.0</v>
      </c>
      <c r="T1333" s="20">
        <v>0.0</v>
      </c>
      <c r="U1333" s="20">
        <v>0.0</v>
      </c>
    </row>
    <row r="1334" ht="23.25" customHeight="1">
      <c r="A1334" s="1" t="str">
        <f>IF(COUNTIF('Icon Lookup'!C:C,B1334)&gt;0,LOOKUP(B1334,'Icon Lookup'!C:C,'Icon Lookup'!B:B),"")</f>
        <v/>
      </c>
      <c r="B1334" s="15" t="s">
        <v>1744</v>
      </c>
      <c r="C1334" s="1" t="s">
        <v>17</v>
      </c>
      <c r="D1334" s="1" t="s">
        <v>1745</v>
      </c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</row>
    <row r="1335" ht="23.25" customHeight="1">
      <c r="A1335" s="17" t="str">
        <f>IF(COUNTIF('Icon Lookup'!C:C,B1335)&gt;0,LOOKUP(B1335,'Icon Lookup'!C:C,'Icon Lookup'!B:B),"")</f>
        <v/>
      </c>
      <c r="B1335" s="18" t="s">
        <v>190</v>
      </c>
      <c r="C1335" s="17" t="s">
        <v>17</v>
      </c>
      <c r="D1335" s="17">
        <v>60.0</v>
      </c>
      <c r="E1335" s="17" t="s">
        <v>26</v>
      </c>
      <c r="G1335" s="19"/>
      <c r="H1335" s="20" t="s">
        <v>984</v>
      </c>
      <c r="I1335" s="17" t="s">
        <v>211</v>
      </c>
      <c r="J1335" s="17">
        <v>0.0</v>
      </c>
      <c r="K1335" s="17">
        <v>0.0</v>
      </c>
      <c r="L1335" s="17">
        <v>0.0</v>
      </c>
      <c r="M1335" s="17">
        <v>0.0</v>
      </c>
      <c r="N1335" s="17">
        <v>0.0</v>
      </c>
      <c r="O1335" s="17">
        <v>0.0</v>
      </c>
      <c r="P1335" s="17">
        <v>0.0</v>
      </c>
      <c r="Q1335" s="17">
        <v>0.0</v>
      </c>
      <c r="R1335" s="17">
        <v>0.0</v>
      </c>
      <c r="S1335" s="17">
        <v>0.0</v>
      </c>
      <c r="T1335" s="17">
        <v>0.0</v>
      </c>
      <c r="U1335" s="17">
        <v>0.0</v>
      </c>
    </row>
    <row r="1336" ht="23.25" customHeight="1">
      <c r="A1336" s="1" t="str">
        <f>IF(COUNTIF('Icon Lookup'!C:C,B1336)&gt;0,LOOKUP(B1336,'Icon Lookup'!C:C,'Icon Lookup'!B:B),"")</f>
        <v/>
      </c>
      <c r="B1336" s="15" t="s">
        <v>1746</v>
      </c>
      <c r="C1336" s="1" t="s">
        <v>17</v>
      </c>
      <c r="D1336" s="1" t="s">
        <v>1747</v>
      </c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</row>
    <row r="1337" ht="23.25" customHeight="1">
      <c r="A1337" s="20" t="str">
        <f>IF(COUNTIF('Icon Lookup'!C:C,B1337)&gt;0,LOOKUP(B1337,'Icon Lookup'!C:C,'Icon Lookup'!B:B),"")</f>
        <v/>
      </c>
      <c r="B1337" s="21" t="s">
        <v>190</v>
      </c>
      <c r="C1337" s="20" t="s">
        <v>17</v>
      </c>
      <c r="D1337" s="20">
        <v>58.0</v>
      </c>
      <c r="E1337" s="20" t="s">
        <v>26</v>
      </c>
      <c r="G1337" s="22"/>
      <c r="H1337" s="23" t="s">
        <v>1748</v>
      </c>
      <c r="I1337" s="20" t="s">
        <v>89</v>
      </c>
      <c r="J1337" s="20">
        <v>0.0</v>
      </c>
      <c r="K1337" s="20">
        <v>0.0</v>
      </c>
      <c r="L1337" s="20">
        <v>0.0</v>
      </c>
      <c r="M1337" s="20">
        <v>0.0</v>
      </c>
      <c r="N1337" s="20">
        <v>0.0</v>
      </c>
      <c r="O1337" s="20">
        <v>0.0</v>
      </c>
      <c r="P1337" s="20">
        <v>0.0</v>
      </c>
      <c r="Q1337" s="20">
        <v>0.0</v>
      </c>
      <c r="R1337" s="20">
        <v>0.0</v>
      </c>
      <c r="S1337" s="20">
        <v>0.0</v>
      </c>
      <c r="T1337" s="20">
        <v>0.0</v>
      </c>
      <c r="U1337" s="20">
        <v>0.0</v>
      </c>
    </row>
    <row r="1338" ht="23.25" customHeight="1">
      <c r="A1338" s="1" t="str">
        <f>IF(COUNTIF('Icon Lookup'!C:C,B1338)&gt;0,LOOKUP(B1338,'Icon Lookup'!C:C,'Icon Lookup'!B:B),"")</f>
        <v/>
      </c>
      <c r="B1338" s="15" t="s">
        <v>1749</v>
      </c>
      <c r="C1338" s="1" t="s">
        <v>17</v>
      </c>
      <c r="D1338" s="1" t="s">
        <v>1750</v>
      </c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</row>
    <row r="1339" ht="23.25" customHeight="1">
      <c r="A1339" s="17" t="str">
        <f>IF(COUNTIF('Icon Lookup'!C:C,B1339)&gt;0,LOOKUP(B1339,'Icon Lookup'!C:C,'Icon Lookup'!B:B),"")</f>
        <v/>
      </c>
      <c r="B1339" s="18" t="s">
        <v>1751</v>
      </c>
      <c r="C1339" s="17" t="s">
        <v>17</v>
      </c>
      <c r="D1339" s="17">
        <v>56.0</v>
      </c>
      <c r="E1339" s="17" t="s">
        <v>50</v>
      </c>
      <c r="G1339" s="19"/>
      <c r="H1339" s="20" t="s">
        <v>1752</v>
      </c>
      <c r="I1339" s="17" t="s">
        <v>156</v>
      </c>
      <c r="J1339" s="17">
        <v>0.0</v>
      </c>
      <c r="K1339" s="17">
        <v>0.0</v>
      </c>
      <c r="L1339" s="17">
        <v>0.0</v>
      </c>
      <c r="M1339" s="17">
        <v>0.0</v>
      </c>
      <c r="N1339" s="17">
        <v>0.0</v>
      </c>
      <c r="O1339" s="17">
        <v>0.0</v>
      </c>
      <c r="P1339" s="17">
        <v>0.0</v>
      </c>
      <c r="Q1339" s="17">
        <v>0.0</v>
      </c>
      <c r="R1339" s="17">
        <v>0.0</v>
      </c>
      <c r="S1339" s="17">
        <v>0.0</v>
      </c>
      <c r="T1339" s="17">
        <v>0.0</v>
      </c>
      <c r="U1339" s="17">
        <v>0.0</v>
      </c>
    </row>
    <row r="1340" ht="23.25" customHeight="1">
      <c r="A1340" s="20" t="str">
        <f>IF(COUNTIF('Icon Lookup'!C:C,B1340)&gt;0,LOOKUP(B1340,'Icon Lookup'!C:C,'Icon Lookup'!B:B),"")</f>
        <v/>
      </c>
      <c r="B1340" s="21" t="s">
        <v>190</v>
      </c>
      <c r="C1340" s="20" t="s">
        <v>17</v>
      </c>
      <c r="D1340" s="20">
        <v>56.0</v>
      </c>
      <c r="E1340" s="20" t="s">
        <v>26</v>
      </c>
      <c r="G1340" s="22"/>
      <c r="H1340" s="23" t="s">
        <v>1753</v>
      </c>
      <c r="I1340" s="20" t="s">
        <v>89</v>
      </c>
      <c r="J1340" s="20">
        <v>0.0</v>
      </c>
      <c r="K1340" s="20">
        <v>0.0</v>
      </c>
      <c r="L1340" s="20">
        <v>0.0</v>
      </c>
      <c r="M1340" s="20">
        <v>0.0</v>
      </c>
      <c r="N1340" s="20">
        <v>0.0</v>
      </c>
      <c r="O1340" s="20">
        <v>0.0</v>
      </c>
      <c r="P1340" s="20">
        <v>0.0</v>
      </c>
      <c r="Q1340" s="20">
        <v>0.0</v>
      </c>
      <c r="R1340" s="20">
        <v>0.0</v>
      </c>
      <c r="S1340" s="20">
        <v>0.0</v>
      </c>
      <c r="T1340" s="20">
        <v>0.0</v>
      </c>
      <c r="U1340" s="20">
        <v>0.0</v>
      </c>
    </row>
    <row r="1341" ht="23.25" customHeight="1">
      <c r="A1341" s="1" t="str">
        <f>IF(COUNTIF('Icon Lookup'!C:C,B1341)&gt;0,LOOKUP(B1341,'Icon Lookup'!C:C,'Icon Lookup'!B:B),"")</f>
        <v/>
      </c>
      <c r="B1341" s="15" t="s">
        <v>1754</v>
      </c>
      <c r="C1341" s="1" t="s">
        <v>17</v>
      </c>
      <c r="D1341" s="1" t="s">
        <v>1755</v>
      </c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</row>
    <row r="1342" ht="23.25" customHeight="1">
      <c r="A1342" s="17" t="str">
        <f>IF(COUNTIF('Icon Lookup'!C:C,B1342)&gt;0,LOOKUP(B1342,'Icon Lookup'!C:C,'Icon Lookup'!B:B),"")</f>
        <v/>
      </c>
      <c r="B1342" s="18" t="s">
        <v>1756</v>
      </c>
      <c r="C1342" s="17" t="s">
        <v>17</v>
      </c>
      <c r="D1342" s="17">
        <v>57.0</v>
      </c>
      <c r="E1342" s="17" t="s">
        <v>161</v>
      </c>
      <c r="G1342" s="19"/>
      <c r="H1342" s="20" t="s">
        <v>1757</v>
      </c>
      <c r="I1342" s="17" t="s">
        <v>197</v>
      </c>
      <c r="J1342" s="17">
        <v>0.0</v>
      </c>
      <c r="K1342" s="17">
        <v>0.0</v>
      </c>
      <c r="L1342" s="17">
        <v>0.0</v>
      </c>
      <c r="M1342" s="17">
        <v>0.0</v>
      </c>
      <c r="N1342" s="17">
        <v>0.0</v>
      </c>
      <c r="O1342" s="17">
        <v>0.0</v>
      </c>
      <c r="P1342" s="17">
        <v>0.0</v>
      </c>
      <c r="Q1342" s="17">
        <v>0.0</v>
      </c>
      <c r="R1342" s="17">
        <v>0.0</v>
      </c>
      <c r="S1342" s="17">
        <v>0.0</v>
      </c>
      <c r="T1342" s="17">
        <v>0.0</v>
      </c>
      <c r="U1342" s="17">
        <v>0.0</v>
      </c>
    </row>
    <row r="1343" ht="23.25" customHeight="1">
      <c r="A1343" s="20" t="str">
        <f>IF(COUNTIF('Icon Lookup'!C:C,B1343)&gt;0,LOOKUP(B1343,'Icon Lookup'!C:C,'Icon Lookup'!B:B),"")</f>
        <v/>
      </c>
      <c r="B1343" s="21" t="s">
        <v>1751</v>
      </c>
      <c r="C1343" s="20" t="s">
        <v>17</v>
      </c>
      <c r="D1343" s="20">
        <v>57.0</v>
      </c>
      <c r="E1343" s="20" t="s">
        <v>50</v>
      </c>
      <c r="G1343" s="22"/>
      <c r="H1343" s="23" t="s">
        <v>1758</v>
      </c>
      <c r="I1343" s="20" t="s">
        <v>205</v>
      </c>
      <c r="J1343" s="20">
        <v>0.0</v>
      </c>
      <c r="K1343" s="20">
        <v>0.0</v>
      </c>
      <c r="L1343" s="20">
        <v>0.0</v>
      </c>
      <c r="M1343" s="20">
        <v>0.0</v>
      </c>
      <c r="N1343" s="20">
        <v>0.0</v>
      </c>
      <c r="O1343" s="20">
        <v>0.0</v>
      </c>
      <c r="P1343" s="20">
        <v>0.0</v>
      </c>
      <c r="Q1343" s="20">
        <v>0.0</v>
      </c>
      <c r="R1343" s="20">
        <v>0.0</v>
      </c>
      <c r="S1343" s="20">
        <v>0.0</v>
      </c>
      <c r="T1343" s="20">
        <v>0.0</v>
      </c>
      <c r="U1343" s="20">
        <v>0.0</v>
      </c>
    </row>
    <row r="1344" ht="23.25" customHeight="1">
      <c r="A1344" s="17" t="str">
        <f>IF(COUNTIF('Icon Lookup'!C:C,B1344)&gt;0,LOOKUP(B1344,'Icon Lookup'!C:C,'Icon Lookup'!B:B),"")</f>
        <v/>
      </c>
      <c r="B1344" s="18" t="s">
        <v>1742</v>
      </c>
      <c r="C1344" s="17" t="s">
        <v>17</v>
      </c>
      <c r="D1344" s="17">
        <v>57.0</v>
      </c>
      <c r="E1344" s="17" t="s">
        <v>58</v>
      </c>
      <c r="G1344" s="19"/>
      <c r="H1344" s="20" t="s">
        <v>1759</v>
      </c>
      <c r="I1344" s="17" t="s">
        <v>1045</v>
      </c>
      <c r="J1344" s="17">
        <v>0.0</v>
      </c>
      <c r="K1344" s="17">
        <v>0.0</v>
      </c>
      <c r="L1344" s="17">
        <v>0.0</v>
      </c>
      <c r="M1344" s="17">
        <v>0.0</v>
      </c>
      <c r="N1344" s="17">
        <v>0.0</v>
      </c>
      <c r="O1344" s="17">
        <v>0.0</v>
      </c>
      <c r="P1344" s="17">
        <v>0.0</v>
      </c>
      <c r="Q1344" s="17">
        <v>0.0</v>
      </c>
      <c r="R1344" s="17">
        <v>0.0</v>
      </c>
      <c r="S1344" s="17">
        <v>0.0</v>
      </c>
      <c r="T1344" s="17">
        <v>0.0</v>
      </c>
      <c r="U1344" s="17">
        <v>0.0</v>
      </c>
    </row>
    <row r="1345" ht="23.25" customHeight="1">
      <c r="A1345" s="1" t="str">
        <f>IF(COUNTIF('Icon Lookup'!C:C,B1345)&gt;0,LOOKUP(B1345,'Icon Lookup'!C:C,'Icon Lookup'!B:B),"")</f>
        <v/>
      </c>
      <c r="B1345" s="15" t="s">
        <v>1760</v>
      </c>
      <c r="C1345" s="1" t="s">
        <v>17</v>
      </c>
      <c r="D1345" s="1" t="s">
        <v>1761</v>
      </c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</row>
    <row r="1346" ht="23.25" customHeight="1">
      <c r="A1346" s="20" t="str">
        <f>IF(COUNTIF('Icon Lookup'!C:C,B1346)&gt;0,LOOKUP(B1346,'Icon Lookup'!C:C,'Icon Lookup'!B:B),"")</f>
        <v/>
      </c>
      <c r="B1346" s="21" t="s">
        <v>1762</v>
      </c>
      <c r="C1346" s="20" t="s">
        <v>17</v>
      </c>
      <c r="D1346" s="20">
        <v>57.0</v>
      </c>
      <c r="E1346" s="20" t="s">
        <v>87</v>
      </c>
      <c r="G1346" s="22"/>
      <c r="H1346" s="23" t="s">
        <v>1763</v>
      </c>
      <c r="I1346" s="20" t="s">
        <v>1045</v>
      </c>
      <c r="J1346" s="20">
        <v>0.0</v>
      </c>
      <c r="K1346" s="20">
        <v>0.0</v>
      </c>
      <c r="L1346" s="20">
        <v>0.0</v>
      </c>
      <c r="M1346" s="20">
        <v>0.0</v>
      </c>
      <c r="N1346" s="20">
        <v>0.0</v>
      </c>
      <c r="O1346" s="20">
        <v>0.0</v>
      </c>
      <c r="P1346" s="20">
        <v>0.0</v>
      </c>
      <c r="Q1346" s="20">
        <v>0.0</v>
      </c>
      <c r="R1346" s="20">
        <v>0.0</v>
      </c>
      <c r="S1346" s="20">
        <v>0.0</v>
      </c>
      <c r="T1346" s="20">
        <v>0.0</v>
      </c>
      <c r="U1346" s="20">
        <v>0.0</v>
      </c>
    </row>
    <row r="1347" ht="23.25" customHeight="1">
      <c r="A1347" s="17" t="str">
        <f>IF(COUNTIF('Icon Lookup'!C:C,B1347)&gt;0,LOOKUP(B1347,'Icon Lookup'!C:C,'Icon Lookup'!B:B),"")</f>
        <v/>
      </c>
      <c r="B1347" s="18" t="s">
        <v>1764</v>
      </c>
      <c r="C1347" s="17" t="s">
        <v>17</v>
      </c>
      <c r="D1347" s="17">
        <v>59.0</v>
      </c>
      <c r="E1347" s="17" t="s">
        <v>87</v>
      </c>
      <c r="G1347" s="19"/>
      <c r="H1347" s="20" t="s">
        <v>1765</v>
      </c>
      <c r="I1347" s="17" t="s">
        <v>89</v>
      </c>
      <c r="J1347" s="17">
        <v>0.0</v>
      </c>
      <c r="K1347" s="17">
        <v>0.0</v>
      </c>
      <c r="L1347" s="17">
        <v>0.0</v>
      </c>
      <c r="M1347" s="17">
        <v>0.0</v>
      </c>
      <c r="N1347" s="17">
        <v>0.0</v>
      </c>
      <c r="O1347" s="17">
        <v>0.0</v>
      </c>
      <c r="P1347" s="17">
        <v>0.0</v>
      </c>
      <c r="Q1347" s="17">
        <v>0.0</v>
      </c>
      <c r="R1347" s="17">
        <v>0.0</v>
      </c>
      <c r="S1347" s="17">
        <v>0.0</v>
      </c>
      <c r="T1347" s="17">
        <v>0.0</v>
      </c>
      <c r="U1347" s="17">
        <v>0.0</v>
      </c>
    </row>
    <row r="1348" ht="23.25" customHeight="1">
      <c r="A1348" s="1" t="str">
        <f>IF(COUNTIF('Icon Lookup'!C:C,B1348)&gt;0,LOOKUP(B1348,'Icon Lookup'!C:C,'Icon Lookup'!B:B),"")</f>
        <v/>
      </c>
      <c r="B1348" s="15" t="s">
        <v>1766</v>
      </c>
      <c r="C1348" s="1" t="s">
        <v>17</v>
      </c>
      <c r="D1348" s="1" t="s">
        <v>1767</v>
      </c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</row>
    <row r="1349" ht="23.25" customHeight="1">
      <c r="A1349" s="20" t="str">
        <f>IF(COUNTIF('Icon Lookup'!C:C,B1349)&gt;0,LOOKUP(B1349,'Icon Lookup'!C:C,'Icon Lookup'!B:B),"")</f>
        <v/>
      </c>
      <c r="B1349" s="21" t="s">
        <v>1768</v>
      </c>
      <c r="C1349" s="20" t="s">
        <v>17</v>
      </c>
      <c r="D1349" s="20">
        <v>53.0</v>
      </c>
      <c r="E1349" s="20" t="s">
        <v>1004</v>
      </c>
      <c r="G1349" s="22"/>
      <c r="H1349" s="23" t="s">
        <v>1769</v>
      </c>
      <c r="I1349" s="20" t="s">
        <v>550</v>
      </c>
      <c r="J1349" s="20">
        <v>0.0</v>
      </c>
      <c r="K1349" s="20">
        <v>0.0</v>
      </c>
      <c r="L1349" s="20">
        <v>0.0</v>
      </c>
      <c r="M1349" s="20">
        <v>0.0</v>
      </c>
      <c r="N1349" s="20">
        <v>0.0</v>
      </c>
      <c r="O1349" s="20">
        <v>0.0</v>
      </c>
      <c r="P1349" s="20">
        <v>0.0</v>
      </c>
      <c r="Q1349" s="20">
        <v>0.0</v>
      </c>
      <c r="R1349" s="20">
        <v>0.0</v>
      </c>
      <c r="S1349" s="20">
        <v>0.0</v>
      </c>
      <c r="T1349" s="20">
        <v>0.0</v>
      </c>
      <c r="U1349" s="20">
        <v>0.0</v>
      </c>
    </row>
    <row r="1350" ht="23.25" customHeight="1">
      <c r="A1350" s="17" t="str">
        <f>IF(COUNTIF('Icon Lookup'!C:C,B1350)&gt;0,LOOKUP(B1350,'Icon Lookup'!C:C,'Icon Lookup'!B:B),"")</f>
        <v/>
      </c>
      <c r="B1350" s="18" t="s">
        <v>1770</v>
      </c>
      <c r="C1350" s="17" t="s">
        <v>17</v>
      </c>
      <c r="D1350" s="17">
        <v>53.0</v>
      </c>
      <c r="E1350" s="17" t="s">
        <v>1771</v>
      </c>
      <c r="G1350" s="19"/>
      <c r="H1350" s="20" t="s">
        <v>1772</v>
      </c>
      <c r="I1350" s="17" t="s">
        <v>550</v>
      </c>
      <c r="J1350" s="17">
        <v>0.0</v>
      </c>
      <c r="K1350" s="17">
        <v>0.0</v>
      </c>
      <c r="L1350" s="17">
        <v>0.0</v>
      </c>
      <c r="M1350" s="17">
        <v>0.0</v>
      </c>
      <c r="N1350" s="17">
        <v>0.0</v>
      </c>
      <c r="O1350" s="17">
        <v>0.0</v>
      </c>
      <c r="P1350" s="17">
        <v>0.0</v>
      </c>
      <c r="Q1350" s="17">
        <v>0.0</v>
      </c>
      <c r="R1350" s="17">
        <v>0.0</v>
      </c>
      <c r="S1350" s="17">
        <v>0.0</v>
      </c>
      <c r="T1350" s="17">
        <v>0.0</v>
      </c>
      <c r="U1350" s="17">
        <v>0.0</v>
      </c>
    </row>
    <row r="1351" ht="23.25" customHeight="1">
      <c r="A1351" s="1" t="str">
        <f>IF(COUNTIF('Icon Lookup'!C:C,B1351)&gt;0,LOOKUP(B1351,'Icon Lookup'!C:C,'Icon Lookup'!B:B),"")</f>
        <v/>
      </c>
      <c r="B1351" s="15" t="s">
        <v>1773</v>
      </c>
      <c r="C1351" s="1" t="s">
        <v>17</v>
      </c>
      <c r="D1351" s="1" t="s">
        <v>1774</v>
      </c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</row>
    <row r="1352" ht="23.25" customHeight="1">
      <c r="A1352" s="20" t="str">
        <f>IF(COUNTIF('Icon Lookup'!C:C,B1352)&gt;0,LOOKUP(B1352,'Icon Lookup'!C:C,'Icon Lookup'!B:B),"")</f>
        <v/>
      </c>
      <c r="B1352" s="21" t="s">
        <v>1775</v>
      </c>
      <c r="C1352" s="20" t="s">
        <v>17</v>
      </c>
      <c r="D1352" s="20">
        <v>55.0</v>
      </c>
      <c r="E1352" s="20" t="s">
        <v>26</v>
      </c>
      <c r="G1352" s="22"/>
      <c r="H1352" s="23" t="s">
        <v>1776</v>
      </c>
      <c r="I1352" s="20" t="s">
        <v>22</v>
      </c>
      <c r="J1352" s="20">
        <v>0.0</v>
      </c>
      <c r="K1352" s="20">
        <v>0.0</v>
      </c>
      <c r="L1352" s="20">
        <v>0.0</v>
      </c>
      <c r="M1352" s="20">
        <v>0.0</v>
      </c>
      <c r="N1352" s="20">
        <v>0.0</v>
      </c>
      <c r="O1352" s="20">
        <v>0.0</v>
      </c>
      <c r="P1352" s="20">
        <v>0.0</v>
      </c>
      <c r="Q1352" s="20">
        <v>0.0</v>
      </c>
      <c r="R1352" s="20">
        <v>0.0</v>
      </c>
      <c r="S1352" s="20">
        <v>0.0</v>
      </c>
      <c r="T1352" s="20">
        <v>0.0</v>
      </c>
      <c r="U1352" s="20">
        <v>0.0</v>
      </c>
    </row>
    <row r="1353" ht="23.25" customHeight="1">
      <c r="A1353" s="1" t="str">
        <f>IF(COUNTIF('Icon Lookup'!C:C,B1353)&gt;0,LOOKUP(B1353,'Icon Lookup'!C:C,'Icon Lookup'!B:B),"")</f>
        <v/>
      </c>
      <c r="B1353" s="15" t="s">
        <v>1777</v>
      </c>
      <c r="C1353" s="1" t="s">
        <v>17</v>
      </c>
      <c r="D1353" s="1" t="s">
        <v>1778</v>
      </c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</row>
    <row r="1354" ht="23.25" customHeight="1">
      <c r="A1354" s="17" t="str">
        <f>IF(COUNTIF('Icon Lookup'!C:C,B1354)&gt;0,LOOKUP(B1354,'Icon Lookup'!C:C,'Icon Lookup'!B:B),"")</f>
        <v/>
      </c>
      <c r="B1354" s="18" t="s">
        <v>398</v>
      </c>
      <c r="C1354" s="17" t="s">
        <v>17</v>
      </c>
      <c r="D1354" s="17">
        <v>55.0</v>
      </c>
      <c r="E1354" s="17" t="s">
        <v>399</v>
      </c>
      <c r="G1354" s="19"/>
      <c r="H1354" s="20" t="s">
        <v>1779</v>
      </c>
      <c r="I1354" s="17" t="s">
        <v>156</v>
      </c>
      <c r="J1354" s="17">
        <v>0.0</v>
      </c>
      <c r="K1354" s="17">
        <v>0.0</v>
      </c>
      <c r="L1354" s="17">
        <v>0.0</v>
      </c>
      <c r="M1354" s="17">
        <v>0.0</v>
      </c>
      <c r="N1354" s="17">
        <v>0.0</v>
      </c>
      <c r="O1354" s="17">
        <v>0.0</v>
      </c>
      <c r="P1354" s="17">
        <v>0.0</v>
      </c>
      <c r="Q1354" s="17">
        <v>0.0</v>
      </c>
      <c r="R1354" s="17">
        <v>0.0</v>
      </c>
      <c r="S1354" s="17">
        <v>0.0</v>
      </c>
      <c r="T1354" s="17">
        <v>0.0</v>
      </c>
      <c r="U1354" s="17">
        <v>0.0</v>
      </c>
    </row>
    <row r="1355" ht="23.25" customHeight="1">
      <c r="A1355" s="20" t="str">
        <f>IF(COUNTIF('Icon Lookup'!C:C,B1355)&gt;0,LOOKUP(B1355,'Icon Lookup'!C:C,'Icon Lookup'!B:B),"")</f>
        <v/>
      </c>
      <c r="B1355" s="21" t="s">
        <v>1780</v>
      </c>
      <c r="C1355" s="20" t="s">
        <v>17</v>
      </c>
      <c r="D1355" s="20">
        <v>55.0</v>
      </c>
      <c r="E1355" s="20" t="s">
        <v>298</v>
      </c>
      <c r="G1355" s="22"/>
      <c r="H1355" s="23" t="s">
        <v>1781</v>
      </c>
      <c r="I1355" s="20" t="s">
        <v>89</v>
      </c>
      <c r="J1355" s="20">
        <v>0.0</v>
      </c>
      <c r="K1355" s="20">
        <v>0.0</v>
      </c>
      <c r="L1355" s="20">
        <v>0.0</v>
      </c>
      <c r="M1355" s="20">
        <v>0.0</v>
      </c>
      <c r="N1355" s="20">
        <v>0.0</v>
      </c>
      <c r="O1355" s="20">
        <v>0.0</v>
      </c>
      <c r="P1355" s="20">
        <v>0.0</v>
      </c>
      <c r="Q1355" s="20">
        <v>0.0</v>
      </c>
      <c r="R1355" s="20">
        <v>0.0</v>
      </c>
      <c r="S1355" s="20">
        <v>0.0</v>
      </c>
      <c r="T1355" s="20">
        <v>0.0</v>
      </c>
      <c r="U1355" s="20">
        <v>0.0</v>
      </c>
    </row>
    <row r="1356" ht="23.25" customHeight="1">
      <c r="A1356" s="1" t="str">
        <f>IF(COUNTIF('Icon Lookup'!C:C,B1356)&gt;0,LOOKUP(B1356,'Icon Lookup'!C:C,'Icon Lookup'!B:B),"")</f>
        <v/>
      </c>
      <c r="B1356" s="15" t="s">
        <v>1782</v>
      </c>
      <c r="C1356" s="1" t="s">
        <v>17</v>
      </c>
      <c r="D1356" s="1" t="s">
        <v>1783</v>
      </c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</row>
    <row r="1357" ht="23.25" customHeight="1">
      <c r="A1357" s="17" t="str">
        <f>IF(COUNTIF('Icon Lookup'!C:C,B1357)&gt;0,LOOKUP(B1357,'Icon Lookup'!C:C,'Icon Lookup'!B:B),"")</f>
        <v/>
      </c>
      <c r="B1357" s="18" t="s">
        <v>1784</v>
      </c>
      <c r="C1357" s="17" t="s">
        <v>17</v>
      </c>
      <c r="D1357" s="17">
        <v>55.0</v>
      </c>
      <c r="E1357" s="17" t="s">
        <v>903</v>
      </c>
      <c r="G1357" s="19"/>
      <c r="H1357" s="20" t="s">
        <v>1785</v>
      </c>
      <c r="I1357" s="17" t="s">
        <v>89</v>
      </c>
      <c r="J1357" s="17">
        <v>0.0</v>
      </c>
      <c r="K1357" s="17">
        <v>0.0</v>
      </c>
      <c r="L1357" s="17">
        <v>0.0</v>
      </c>
      <c r="M1357" s="17">
        <v>0.0</v>
      </c>
      <c r="N1357" s="17">
        <v>0.0</v>
      </c>
      <c r="O1357" s="17">
        <v>0.0</v>
      </c>
      <c r="P1357" s="17">
        <v>0.0</v>
      </c>
      <c r="Q1357" s="17">
        <v>0.0</v>
      </c>
      <c r="R1357" s="17">
        <v>0.0</v>
      </c>
      <c r="S1357" s="17">
        <v>0.0</v>
      </c>
      <c r="T1357" s="17">
        <v>0.0</v>
      </c>
      <c r="U1357" s="17">
        <v>0.0</v>
      </c>
    </row>
    <row r="1358" ht="23.25" customHeight="1">
      <c r="A1358" s="20" t="str">
        <f>IF(COUNTIF('Icon Lookup'!C:C,B1358)&gt;0,LOOKUP(B1358,'Icon Lookup'!C:C,'Icon Lookup'!B:B),"")</f>
        <v/>
      </c>
      <c r="B1358" s="21" t="s">
        <v>1786</v>
      </c>
      <c r="C1358" s="20" t="s">
        <v>17</v>
      </c>
      <c r="D1358" s="20">
        <v>55.0</v>
      </c>
      <c r="E1358" s="20" t="s">
        <v>26</v>
      </c>
      <c r="G1358" s="22"/>
      <c r="H1358" s="23" t="s">
        <v>1787</v>
      </c>
      <c r="I1358" s="20" t="s">
        <v>89</v>
      </c>
      <c r="J1358" s="20">
        <v>0.0</v>
      </c>
      <c r="K1358" s="20">
        <v>0.0</v>
      </c>
      <c r="L1358" s="20">
        <v>0.0</v>
      </c>
      <c r="M1358" s="20">
        <v>0.0</v>
      </c>
      <c r="N1358" s="20">
        <v>0.0</v>
      </c>
      <c r="O1358" s="20">
        <v>0.0</v>
      </c>
      <c r="P1358" s="20">
        <v>0.0</v>
      </c>
      <c r="Q1358" s="20">
        <v>0.0</v>
      </c>
      <c r="R1358" s="20">
        <v>0.0</v>
      </c>
      <c r="S1358" s="20">
        <v>0.0</v>
      </c>
      <c r="T1358" s="20">
        <v>0.0</v>
      </c>
      <c r="U1358" s="20">
        <v>0.0</v>
      </c>
    </row>
    <row r="1359" ht="23.25" customHeight="1">
      <c r="A1359" s="1" t="str">
        <f>IF(COUNTIF('Icon Lookup'!C:C,B1359)&gt;0,LOOKUP(B1359,'Icon Lookup'!C:C,'Icon Lookup'!B:B),"")</f>
        <v/>
      </c>
      <c r="B1359" s="15" t="s">
        <v>1788</v>
      </c>
      <c r="C1359" s="1" t="s">
        <v>17</v>
      </c>
      <c r="D1359" s="1" t="s">
        <v>1789</v>
      </c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</row>
    <row r="1360" ht="23.25" customHeight="1">
      <c r="A1360" s="17" t="str">
        <f>IF(COUNTIF('Icon Lookup'!C:C,B1360)&gt;0,LOOKUP(B1360,'Icon Lookup'!C:C,'Icon Lookup'!B:B),"")</f>
        <v/>
      </c>
      <c r="B1360" s="18" t="s">
        <v>1790</v>
      </c>
      <c r="C1360" s="17" t="s">
        <v>17</v>
      </c>
      <c r="D1360" s="17">
        <v>53.0</v>
      </c>
      <c r="E1360" s="17" t="s">
        <v>1791</v>
      </c>
      <c r="G1360" s="19"/>
      <c r="H1360" s="20" t="s">
        <v>1792</v>
      </c>
      <c r="I1360" s="17" t="s">
        <v>94</v>
      </c>
      <c r="J1360" s="17">
        <v>0.0</v>
      </c>
      <c r="K1360" s="17">
        <v>0.0</v>
      </c>
      <c r="L1360" s="17">
        <v>0.0</v>
      </c>
      <c r="M1360" s="17">
        <v>0.0</v>
      </c>
      <c r="N1360" s="17">
        <v>0.0</v>
      </c>
      <c r="O1360" s="17">
        <v>0.0</v>
      </c>
      <c r="P1360" s="17">
        <v>0.0</v>
      </c>
      <c r="Q1360" s="17">
        <v>0.0</v>
      </c>
      <c r="R1360" s="17">
        <v>0.0</v>
      </c>
      <c r="S1360" s="17">
        <v>0.0</v>
      </c>
      <c r="T1360" s="17">
        <v>0.0</v>
      </c>
      <c r="U1360" s="17">
        <v>0.0</v>
      </c>
    </row>
    <row r="1361" ht="23.25" customHeight="1">
      <c r="A1361" s="20" t="str">
        <f>IF(COUNTIF('Icon Lookup'!C:C,B1361)&gt;0,LOOKUP(B1361,'Icon Lookup'!C:C,'Icon Lookup'!B:B),"")</f>
        <v/>
      </c>
      <c r="B1361" s="21" t="s">
        <v>1793</v>
      </c>
      <c r="C1361" s="20" t="s">
        <v>17</v>
      </c>
      <c r="D1361" s="20">
        <v>53.0</v>
      </c>
      <c r="E1361" s="20" t="s">
        <v>26</v>
      </c>
      <c r="G1361" s="22"/>
      <c r="H1361" s="23" t="s">
        <v>1794</v>
      </c>
      <c r="I1361" s="20" t="s">
        <v>94</v>
      </c>
      <c r="J1361" s="20">
        <v>0.0</v>
      </c>
      <c r="K1361" s="20">
        <v>0.0</v>
      </c>
      <c r="L1361" s="20">
        <v>0.0</v>
      </c>
      <c r="M1361" s="20">
        <v>0.0</v>
      </c>
      <c r="N1361" s="20">
        <v>0.0</v>
      </c>
      <c r="O1361" s="20">
        <v>0.0</v>
      </c>
      <c r="P1361" s="20">
        <v>0.0</v>
      </c>
      <c r="Q1361" s="20">
        <v>0.0</v>
      </c>
      <c r="R1361" s="20">
        <v>0.0</v>
      </c>
      <c r="S1361" s="20">
        <v>0.0</v>
      </c>
      <c r="T1361" s="20">
        <v>0.0</v>
      </c>
      <c r="U1361" s="20">
        <v>0.0</v>
      </c>
    </row>
    <row r="1362" ht="23.25" customHeight="1">
      <c r="A1362" s="1" t="str">
        <f>IF(COUNTIF('Icon Lookup'!C:C,B1362)&gt;0,LOOKUP(B1362,'Icon Lookup'!C:C,'Icon Lookup'!B:B),"")</f>
        <v/>
      </c>
      <c r="B1362" s="15" t="s">
        <v>1795</v>
      </c>
      <c r="C1362" s="1" t="s">
        <v>17</v>
      </c>
      <c r="D1362" s="1" t="s">
        <v>1796</v>
      </c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</row>
    <row r="1363" ht="23.25" customHeight="1">
      <c r="A1363" s="17" t="str">
        <f>IF(COUNTIF('Icon Lookup'!C:C,B1363)&gt;0,LOOKUP(B1363,'Icon Lookup'!C:C,'Icon Lookup'!B:B),"")</f>
        <v/>
      </c>
      <c r="B1363" s="18" t="s">
        <v>1797</v>
      </c>
      <c r="C1363" s="17" t="s">
        <v>17</v>
      </c>
      <c r="D1363" s="17">
        <v>56.0</v>
      </c>
      <c r="E1363" s="17" t="s">
        <v>20</v>
      </c>
      <c r="G1363" s="19"/>
      <c r="H1363" s="20" t="s">
        <v>1798</v>
      </c>
      <c r="I1363" s="17" t="s">
        <v>89</v>
      </c>
      <c r="J1363" s="17">
        <v>0.0</v>
      </c>
      <c r="K1363" s="17">
        <v>0.0</v>
      </c>
      <c r="L1363" s="17">
        <v>0.0</v>
      </c>
      <c r="M1363" s="17">
        <v>0.0</v>
      </c>
      <c r="N1363" s="17">
        <v>0.0</v>
      </c>
      <c r="O1363" s="17">
        <v>0.0</v>
      </c>
      <c r="P1363" s="17">
        <v>0.0</v>
      </c>
      <c r="Q1363" s="17">
        <v>0.0</v>
      </c>
      <c r="R1363" s="17">
        <v>0.0</v>
      </c>
      <c r="S1363" s="17">
        <v>0.0</v>
      </c>
      <c r="T1363" s="17">
        <v>0.0</v>
      </c>
      <c r="U1363" s="17">
        <v>0.0</v>
      </c>
    </row>
    <row r="1364" ht="23.25" customHeight="1">
      <c r="A1364" s="1" t="str">
        <f>IF(COUNTIF('Icon Lookup'!C:C,B1364)&gt;0,LOOKUP(B1364,'Icon Lookup'!C:C,'Icon Lookup'!B:B),"")</f>
        <v/>
      </c>
      <c r="B1364" s="15" t="s">
        <v>1799</v>
      </c>
      <c r="C1364" s="1" t="s">
        <v>17</v>
      </c>
      <c r="D1364" s="1" t="s">
        <v>1800</v>
      </c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</row>
    <row r="1365" ht="23.25" customHeight="1">
      <c r="A1365" s="20" t="str">
        <f>IF(COUNTIF('Icon Lookup'!C:C,B1365)&gt;0,LOOKUP(B1365,'Icon Lookup'!C:C,'Icon Lookup'!B:B),"")</f>
        <v/>
      </c>
      <c r="B1365" s="21" t="s">
        <v>1801</v>
      </c>
      <c r="C1365" s="20" t="s">
        <v>17</v>
      </c>
      <c r="D1365" s="20">
        <v>57.0</v>
      </c>
      <c r="E1365" s="20" t="s">
        <v>1802</v>
      </c>
      <c r="G1365" s="22"/>
      <c r="H1365" s="23" t="s">
        <v>1803</v>
      </c>
      <c r="I1365" s="20" t="s">
        <v>36</v>
      </c>
      <c r="J1365" s="20">
        <v>0.0</v>
      </c>
      <c r="K1365" s="20">
        <v>0.0</v>
      </c>
      <c r="L1365" s="20">
        <v>0.0</v>
      </c>
      <c r="M1365" s="20">
        <v>0.0</v>
      </c>
      <c r="N1365" s="20">
        <v>0.0</v>
      </c>
      <c r="O1365" s="20">
        <v>0.0</v>
      </c>
      <c r="P1365" s="20">
        <v>0.0</v>
      </c>
      <c r="Q1365" s="20">
        <v>0.0</v>
      </c>
      <c r="R1365" s="20">
        <v>0.0</v>
      </c>
      <c r="S1365" s="20">
        <v>0.0</v>
      </c>
      <c r="T1365" s="20">
        <v>0.0</v>
      </c>
      <c r="U1365" s="20">
        <v>0.0</v>
      </c>
    </row>
    <row r="1366" ht="23.25" customHeight="1">
      <c r="A1366" s="17" t="str">
        <f>IF(COUNTIF('Icon Lookup'!C:C,B1366)&gt;0,LOOKUP(B1366,'Icon Lookup'!C:C,'Icon Lookup'!B:B),"")</f>
        <v/>
      </c>
      <c r="B1366" s="18" t="s">
        <v>1804</v>
      </c>
      <c r="C1366" s="17" t="s">
        <v>17</v>
      </c>
      <c r="D1366" s="17">
        <v>57.0</v>
      </c>
      <c r="E1366" s="17" t="s">
        <v>1805</v>
      </c>
      <c r="G1366" s="19"/>
      <c r="H1366" s="20" t="s">
        <v>1806</v>
      </c>
      <c r="I1366" s="17" t="s">
        <v>205</v>
      </c>
      <c r="J1366" s="17">
        <v>0.0</v>
      </c>
      <c r="K1366" s="17">
        <v>0.0</v>
      </c>
      <c r="L1366" s="17">
        <v>0.0</v>
      </c>
      <c r="M1366" s="17">
        <v>0.0</v>
      </c>
      <c r="N1366" s="17">
        <v>0.0</v>
      </c>
      <c r="O1366" s="17">
        <v>0.0</v>
      </c>
      <c r="P1366" s="17">
        <v>0.0</v>
      </c>
      <c r="Q1366" s="17">
        <v>0.0</v>
      </c>
      <c r="R1366" s="17">
        <v>0.0</v>
      </c>
      <c r="S1366" s="17">
        <v>0.0</v>
      </c>
      <c r="T1366" s="17">
        <v>0.0</v>
      </c>
      <c r="U1366" s="17">
        <v>0.0</v>
      </c>
    </row>
    <row r="1367" ht="23.25" customHeight="1">
      <c r="A1367" s="1" t="str">
        <f>IF(COUNTIF('Icon Lookup'!C:C,B1367)&gt;0,LOOKUP(B1367,'Icon Lookup'!C:C,'Icon Lookup'!B:B),"")</f>
        <v/>
      </c>
      <c r="B1367" s="15" t="s">
        <v>1807</v>
      </c>
      <c r="C1367" s="1" t="s">
        <v>17</v>
      </c>
      <c r="D1367" s="1" t="s">
        <v>1808</v>
      </c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</row>
    <row r="1368" ht="23.25" customHeight="1">
      <c r="A1368" s="20" t="str">
        <f>IF(COUNTIF('Icon Lookup'!C:C,B1368)&gt;0,LOOKUP(B1368,'Icon Lookup'!C:C,'Icon Lookup'!B:B),"")</f>
        <v/>
      </c>
      <c r="B1368" s="21" t="s">
        <v>1809</v>
      </c>
      <c r="C1368" s="20" t="s">
        <v>17</v>
      </c>
      <c r="D1368" s="20">
        <v>57.0</v>
      </c>
      <c r="E1368" s="20" t="s">
        <v>276</v>
      </c>
      <c r="G1368" s="22"/>
      <c r="H1368" s="23" t="s">
        <v>1810</v>
      </c>
      <c r="I1368" s="20" t="s">
        <v>211</v>
      </c>
      <c r="J1368" s="20">
        <v>0.0</v>
      </c>
      <c r="K1368" s="20">
        <v>0.0</v>
      </c>
      <c r="L1368" s="20">
        <v>0.0</v>
      </c>
      <c r="M1368" s="20">
        <v>0.0</v>
      </c>
      <c r="N1368" s="20">
        <v>0.0</v>
      </c>
      <c r="O1368" s="20">
        <v>0.0</v>
      </c>
      <c r="P1368" s="20">
        <v>0.0</v>
      </c>
      <c r="Q1368" s="20">
        <v>0.0</v>
      </c>
      <c r="R1368" s="20">
        <v>0.0</v>
      </c>
      <c r="S1368" s="20">
        <v>0.0</v>
      </c>
      <c r="T1368" s="20">
        <v>0.0</v>
      </c>
      <c r="U1368" s="20">
        <v>0.0</v>
      </c>
    </row>
    <row r="1369" ht="23.25" customHeight="1">
      <c r="A1369" s="17" t="str">
        <f>IF(COUNTIF('Icon Lookup'!C:C,B1369)&gt;0,LOOKUP(B1369,'Icon Lookup'!C:C,'Icon Lookup'!B:B),"")</f>
        <v/>
      </c>
      <c r="B1369" s="18" t="s">
        <v>1811</v>
      </c>
      <c r="C1369" s="17" t="s">
        <v>17</v>
      </c>
      <c r="D1369" s="17">
        <v>57.0</v>
      </c>
      <c r="E1369" s="17" t="s">
        <v>869</v>
      </c>
      <c r="G1369" s="19"/>
      <c r="H1369" s="20" t="s">
        <v>1812</v>
      </c>
      <c r="I1369" s="17" t="s">
        <v>89</v>
      </c>
      <c r="J1369" s="17">
        <v>0.0</v>
      </c>
      <c r="K1369" s="17">
        <v>0.0</v>
      </c>
      <c r="L1369" s="17">
        <v>0.0</v>
      </c>
      <c r="M1369" s="17">
        <v>0.0</v>
      </c>
      <c r="N1369" s="17">
        <v>0.0</v>
      </c>
      <c r="O1369" s="17">
        <v>0.0</v>
      </c>
      <c r="P1369" s="17">
        <v>0.0</v>
      </c>
      <c r="Q1369" s="17">
        <v>0.0</v>
      </c>
      <c r="R1369" s="17">
        <v>0.0</v>
      </c>
      <c r="S1369" s="17">
        <v>0.0</v>
      </c>
      <c r="T1369" s="17">
        <v>0.0</v>
      </c>
      <c r="U1369" s="17">
        <v>0.0</v>
      </c>
    </row>
    <row r="1370" ht="23.25" customHeight="1">
      <c r="A1370" s="1" t="str">
        <f>IF(COUNTIF('Icon Lookup'!C:C,B1370)&gt;0,LOOKUP(B1370,'Icon Lookup'!C:C,'Icon Lookup'!B:B),"")</f>
        <v/>
      </c>
      <c r="B1370" s="15" t="s">
        <v>1813</v>
      </c>
      <c r="C1370" s="1" t="s">
        <v>17</v>
      </c>
      <c r="D1370" s="1" t="s">
        <v>1814</v>
      </c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</row>
    <row r="1371" ht="23.25" customHeight="1">
      <c r="A1371" s="20" t="str">
        <f>IF(COUNTIF('Icon Lookup'!C:C,B1371)&gt;0,LOOKUP(B1371,'Icon Lookup'!C:C,'Icon Lookup'!B:B),"")</f>
        <v/>
      </c>
      <c r="B1371" s="21" t="s">
        <v>1815</v>
      </c>
      <c r="C1371" s="20" t="s">
        <v>17</v>
      </c>
      <c r="D1371" s="20">
        <v>57.0</v>
      </c>
      <c r="E1371" s="20" t="s">
        <v>950</v>
      </c>
      <c r="G1371" s="22"/>
      <c r="H1371" s="23" t="s">
        <v>1816</v>
      </c>
      <c r="I1371" s="20" t="s">
        <v>36</v>
      </c>
      <c r="J1371" s="20">
        <v>0.0</v>
      </c>
      <c r="K1371" s="20">
        <v>0.0</v>
      </c>
      <c r="L1371" s="20">
        <v>0.0</v>
      </c>
      <c r="M1371" s="20">
        <v>0.0</v>
      </c>
      <c r="N1371" s="20">
        <v>0.0</v>
      </c>
      <c r="O1371" s="20">
        <v>0.0</v>
      </c>
      <c r="P1371" s="20">
        <v>0.0</v>
      </c>
      <c r="Q1371" s="20">
        <v>0.0</v>
      </c>
      <c r="R1371" s="20">
        <v>0.0</v>
      </c>
      <c r="S1371" s="20">
        <v>0.0</v>
      </c>
      <c r="T1371" s="20">
        <v>0.0</v>
      </c>
      <c r="U1371" s="20">
        <v>0.0</v>
      </c>
    </row>
    <row r="1372" ht="23.25" customHeight="1">
      <c r="A1372" s="17" t="str">
        <f>IF(COUNTIF('Icon Lookup'!C:C,B1372)&gt;0,LOOKUP(B1372,'Icon Lookup'!C:C,'Icon Lookup'!B:B),"")</f>
        <v/>
      </c>
      <c r="B1372" s="18" t="s">
        <v>714</v>
      </c>
      <c r="C1372" s="17" t="s">
        <v>17</v>
      </c>
      <c r="D1372" s="17">
        <v>57.0</v>
      </c>
      <c r="E1372" s="17" t="s">
        <v>434</v>
      </c>
      <c r="G1372" s="19"/>
      <c r="H1372" s="20" t="s">
        <v>1817</v>
      </c>
      <c r="I1372" s="17" t="s">
        <v>89</v>
      </c>
      <c r="J1372" s="17">
        <v>0.0</v>
      </c>
      <c r="K1372" s="17">
        <v>0.0</v>
      </c>
      <c r="L1372" s="17">
        <v>0.0</v>
      </c>
      <c r="M1372" s="17">
        <v>0.0</v>
      </c>
      <c r="N1372" s="17">
        <v>0.0</v>
      </c>
      <c r="O1372" s="17">
        <v>0.0</v>
      </c>
      <c r="P1372" s="17">
        <v>0.0</v>
      </c>
      <c r="Q1372" s="17">
        <v>0.0</v>
      </c>
      <c r="R1372" s="17">
        <v>0.0</v>
      </c>
      <c r="S1372" s="17">
        <v>0.0</v>
      </c>
      <c r="T1372" s="17">
        <v>0.0</v>
      </c>
      <c r="U1372" s="17">
        <v>0.0</v>
      </c>
    </row>
    <row r="1373" ht="23.25" customHeight="1">
      <c r="A1373" s="1" t="str">
        <f>IF(COUNTIF('Icon Lookup'!C:C,B1373)&gt;0,LOOKUP(B1373,'Icon Lookup'!C:C,'Icon Lookup'!B:B),"")</f>
        <v/>
      </c>
      <c r="B1373" s="15" t="s">
        <v>1818</v>
      </c>
      <c r="C1373" s="1" t="s">
        <v>17</v>
      </c>
      <c r="D1373" s="1" t="s">
        <v>1819</v>
      </c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</row>
    <row r="1374" ht="23.25" customHeight="1">
      <c r="A1374" s="20" t="str">
        <f>IF(COUNTIF('Icon Lookup'!C:C,B1374)&gt;0,LOOKUP(B1374,'Icon Lookup'!C:C,'Icon Lookup'!B:B),"")</f>
        <v/>
      </c>
      <c r="B1374" s="21" t="s">
        <v>1820</v>
      </c>
      <c r="C1374" s="20" t="s">
        <v>17</v>
      </c>
      <c r="D1374" s="20">
        <v>59.0</v>
      </c>
      <c r="E1374" s="20" t="s">
        <v>87</v>
      </c>
      <c r="G1374" s="22"/>
      <c r="H1374" s="23" t="s">
        <v>1821</v>
      </c>
      <c r="I1374" s="20" t="s">
        <v>94</v>
      </c>
      <c r="J1374" s="20">
        <v>0.0</v>
      </c>
      <c r="K1374" s="20">
        <v>0.0</v>
      </c>
      <c r="L1374" s="20">
        <v>0.0</v>
      </c>
      <c r="M1374" s="20">
        <v>0.0</v>
      </c>
      <c r="N1374" s="20">
        <v>0.0</v>
      </c>
      <c r="O1374" s="20">
        <v>0.0</v>
      </c>
      <c r="P1374" s="20">
        <v>0.0</v>
      </c>
      <c r="Q1374" s="20">
        <v>0.0</v>
      </c>
      <c r="R1374" s="20">
        <v>0.0</v>
      </c>
      <c r="S1374" s="20">
        <v>0.0</v>
      </c>
      <c r="T1374" s="20">
        <v>0.0</v>
      </c>
      <c r="U1374" s="20">
        <v>0.0</v>
      </c>
    </row>
    <row r="1375" ht="23.25" customHeight="1">
      <c r="A1375" s="1" t="str">
        <f>IF(COUNTIF('Icon Lookup'!C:C,B1375)&gt;0,LOOKUP(B1375,'Icon Lookup'!C:C,'Icon Lookup'!B:B),"")</f>
        <v/>
      </c>
      <c r="B1375" s="15" t="s">
        <v>1822</v>
      </c>
      <c r="C1375" s="1" t="s">
        <v>17</v>
      </c>
      <c r="D1375" s="1" t="s">
        <v>1823</v>
      </c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</row>
    <row r="1376" ht="23.25" customHeight="1">
      <c r="A1376" s="17" t="str">
        <f>IF(COUNTIF('Icon Lookup'!C:C,B1376)&gt;0,LOOKUP(B1376,'Icon Lookup'!C:C,'Icon Lookup'!B:B),"")</f>
        <v/>
      </c>
      <c r="B1376" s="18" t="s">
        <v>1824</v>
      </c>
      <c r="C1376" s="17" t="s">
        <v>17</v>
      </c>
      <c r="D1376" s="17">
        <v>53.0</v>
      </c>
      <c r="E1376" s="17" t="s">
        <v>137</v>
      </c>
      <c r="G1376" s="19"/>
      <c r="H1376" s="20" t="s">
        <v>1825</v>
      </c>
      <c r="I1376" s="17" t="s">
        <v>612</v>
      </c>
      <c r="J1376" s="17">
        <v>0.0</v>
      </c>
      <c r="K1376" s="17">
        <v>0.0</v>
      </c>
      <c r="L1376" s="17">
        <v>0.0</v>
      </c>
      <c r="M1376" s="17">
        <v>0.0</v>
      </c>
      <c r="N1376" s="17">
        <v>0.0</v>
      </c>
      <c r="O1376" s="17">
        <v>0.0</v>
      </c>
      <c r="P1376" s="17">
        <v>0.0</v>
      </c>
      <c r="Q1376" s="17">
        <v>0.0</v>
      </c>
      <c r="R1376" s="17">
        <v>0.0</v>
      </c>
      <c r="S1376" s="17">
        <v>0.0</v>
      </c>
      <c r="T1376" s="17">
        <v>0.0</v>
      </c>
      <c r="U1376" s="17">
        <v>0.0</v>
      </c>
    </row>
    <row r="1377" ht="23.25" customHeight="1">
      <c r="A1377" s="20" t="str">
        <f>IF(COUNTIF('Icon Lookup'!C:C,B1377)&gt;0,LOOKUP(B1377,'Icon Lookup'!C:C,'Icon Lookup'!B:B),"")</f>
        <v/>
      </c>
      <c r="B1377" s="21" t="s">
        <v>1826</v>
      </c>
      <c r="C1377" s="20" t="s">
        <v>17</v>
      </c>
      <c r="D1377" s="20">
        <v>53.0</v>
      </c>
      <c r="E1377" s="20" t="s">
        <v>66</v>
      </c>
      <c r="G1377" s="22"/>
      <c r="H1377" s="23" t="s">
        <v>1827</v>
      </c>
      <c r="I1377" s="20" t="s">
        <v>52</v>
      </c>
      <c r="J1377" s="20">
        <v>0.0</v>
      </c>
      <c r="K1377" s="20">
        <v>0.0</v>
      </c>
      <c r="L1377" s="20">
        <v>0.0</v>
      </c>
      <c r="M1377" s="20">
        <v>0.0</v>
      </c>
      <c r="N1377" s="20">
        <v>0.0</v>
      </c>
      <c r="O1377" s="20">
        <v>0.0</v>
      </c>
      <c r="P1377" s="20">
        <v>0.0</v>
      </c>
      <c r="Q1377" s="20">
        <v>0.0</v>
      </c>
      <c r="R1377" s="20">
        <v>0.0</v>
      </c>
      <c r="S1377" s="20">
        <v>0.0</v>
      </c>
      <c r="T1377" s="20">
        <v>0.0</v>
      </c>
      <c r="U1377" s="20">
        <v>0.0</v>
      </c>
    </row>
    <row r="1378" ht="23.25" customHeight="1">
      <c r="A1378" s="1" t="str">
        <f>IF(COUNTIF('Icon Lookup'!C:C,B1378)&gt;0,LOOKUP(B1378,'Icon Lookup'!C:C,'Icon Lookup'!B:B),"")</f>
        <v/>
      </c>
      <c r="B1378" s="15" t="s">
        <v>1828</v>
      </c>
      <c r="C1378" s="1" t="s">
        <v>17</v>
      </c>
      <c r="D1378" s="1" t="s">
        <v>1829</v>
      </c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</row>
    <row r="1379" ht="23.25" customHeight="1">
      <c r="A1379" s="17" t="str">
        <f>IF(COUNTIF('Icon Lookup'!C:C,B1379)&gt;0,LOOKUP(B1379,'Icon Lookup'!C:C,'Icon Lookup'!B:B),"")</f>
        <v/>
      </c>
      <c r="B1379" s="18" t="s">
        <v>471</v>
      </c>
      <c r="C1379" s="17" t="s">
        <v>17</v>
      </c>
      <c r="D1379" s="17">
        <v>54.0</v>
      </c>
      <c r="E1379" s="17" t="s">
        <v>1109</v>
      </c>
      <c r="G1379" s="19"/>
      <c r="H1379" s="20" t="s">
        <v>1830</v>
      </c>
      <c r="I1379" s="17" t="s">
        <v>22</v>
      </c>
      <c r="J1379" s="17">
        <v>0.0</v>
      </c>
      <c r="K1379" s="17">
        <v>0.0</v>
      </c>
      <c r="L1379" s="17">
        <v>0.0</v>
      </c>
      <c r="M1379" s="17">
        <v>0.0</v>
      </c>
      <c r="N1379" s="17">
        <v>0.0</v>
      </c>
      <c r="O1379" s="17">
        <v>0.0</v>
      </c>
      <c r="P1379" s="17">
        <v>0.0</v>
      </c>
      <c r="Q1379" s="17">
        <v>0.0</v>
      </c>
      <c r="R1379" s="17">
        <v>0.0</v>
      </c>
      <c r="S1379" s="17">
        <v>0.0</v>
      </c>
      <c r="T1379" s="17">
        <v>0.0</v>
      </c>
      <c r="U1379" s="17">
        <v>0.0</v>
      </c>
    </row>
    <row r="1380" ht="23.25" customHeight="1">
      <c r="A1380" s="20" t="str">
        <f>IF(COUNTIF('Icon Lookup'!C:C,B1380)&gt;0,LOOKUP(B1380,'Icon Lookup'!C:C,'Icon Lookup'!B:B),"")</f>
        <v/>
      </c>
      <c r="B1380" s="21" t="s">
        <v>710</v>
      </c>
      <c r="C1380" s="20" t="s">
        <v>17</v>
      </c>
      <c r="D1380" s="20">
        <v>54.0</v>
      </c>
      <c r="E1380" s="20" t="s">
        <v>79</v>
      </c>
      <c r="G1380" s="22"/>
      <c r="H1380" s="23" t="s">
        <v>1831</v>
      </c>
      <c r="I1380" s="20" t="s">
        <v>550</v>
      </c>
      <c r="J1380" s="20">
        <v>0.0</v>
      </c>
      <c r="K1380" s="20">
        <v>0.0</v>
      </c>
      <c r="L1380" s="20">
        <v>0.0</v>
      </c>
      <c r="M1380" s="20">
        <v>0.0</v>
      </c>
      <c r="N1380" s="20">
        <v>0.0</v>
      </c>
      <c r="O1380" s="20">
        <v>0.0</v>
      </c>
      <c r="P1380" s="20">
        <v>0.0</v>
      </c>
      <c r="Q1380" s="20">
        <v>0.0</v>
      </c>
      <c r="R1380" s="20">
        <v>0.0</v>
      </c>
      <c r="S1380" s="20">
        <v>0.0</v>
      </c>
      <c r="T1380" s="20">
        <v>0.0</v>
      </c>
      <c r="U1380" s="20">
        <v>0.0</v>
      </c>
    </row>
    <row r="1381" ht="23.25" customHeight="1">
      <c r="A1381" s="17" t="str">
        <f>IF(COUNTIF('Icon Lookup'!C:C,B1381)&gt;0,LOOKUP(B1381,'Icon Lookup'!C:C,'Icon Lookup'!B:B),"")</f>
        <v/>
      </c>
      <c r="B1381" s="18" t="s">
        <v>1832</v>
      </c>
      <c r="C1381" s="17" t="s">
        <v>17</v>
      </c>
      <c r="D1381" s="17">
        <v>54.0</v>
      </c>
      <c r="E1381" s="17" t="s">
        <v>959</v>
      </c>
      <c r="G1381" s="19"/>
      <c r="H1381" s="20" t="s">
        <v>1833</v>
      </c>
      <c r="I1381" s="17" t="s">
        <v>205</v>
      </c>
      <c r="J1381" s="17">
        <v>0.0</v>
      </c>
      <c r="K1381" s="17">
        <v>0.0</v>
      </c>
      <c r="L1381" s="17">
        <v>0.0</v>
      </c>
      <c r="M1381" s="17">
        <v>0.0</v>
      </c>
      <c r="N1381" s="17">
        <v>0.0</v>
      </c>
      <c r="O1381" s="17">
        <v>0.0</v>
      </c>
      <c r="P1381" s="17">
        <v>0.0</v>
      </c>
      <c r="Q1381" s="17">
        <v>0.0</v>
      </c>
      <c r="R1381" s="17">
        <v>0.0</v>
      </c>
      <c r="S1381" s="17">
        <v>0.0</v>
      </c>
      <c r="T1381" s="17">
        <v>0.0</v>
      </c>
      <c r="U1381" s="17">
        <v>0.0</v>
      </c>
    </row>
    <row r="1382" ht="23.25" customHeight="1">
      <c r="A1382" s="1" t="str">
        <f>IF(COUNTIF('Icon Lookup'!C:C,B1382)&gt;0,LOOKUP(B1382,'Icon Lookup'!C:C,'Icon Lookup'!B:B),"")</f>
        <v/>
      </c>
      <c r="B1382" s="15" t="s">
        <v>1834</v>
      </c>
      <c r="C1382" s="1" t="s">
        <v>17</v>
      </c>
      <c r="D1382" s="1" t="s">
        <v>1835</v>
      </c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</row>
    <row r="1383" ht="23.25" customHeight="1">
      <c r="A1383" s="20" t="str">
        <f>IF(COUNTIF('Icon Lookup'!C:C,B1383)&gt;0,LOOKUP(B1383,'Icon Lookup'!C:C,'Icon Lookup'!B:B),"")</f>
        <v/>
      </c>
      <c r="B1383" s="21" t="s">
        <v>1793</v>
      </c>
      <c r="C1383" s="20" t="s">
        <v>17</v>
      </c>
      <c r="D1383" s="20">
        <v>55.0</v>
      </c>
      <c r="E1383" s="20" t="s">
        <v>26</v>
      </c>
      <c r="G1383" s="22"/>
      <c r="H1383" s="23" t="s">
        <v>1836</v>
      </c>
      <c r="I1383" s="20" t="s">
        <v>89</v>
      </c>
      <c r="J1383" s="20">
        <v>0.0</v>
      </c>
      <c r="K1383" s="20">
        <v>0.0</v>
      </c>
      <c r="L1383" s="20">
        <v>0.0</v>
      </c>
      <c r="M1383" s="20">
        <v>0.0</v>
      </c>
      <c r="N1383" s="20">
        <v>0.0</v>
      </c>
      <c r="O1383" s="20">
        <v>0.0</v>
      </c>
      <c r="P1383" s="20">
        <v>0.0</v>
      </c>
      <c r="Q1383" s="20">
        <v>0.0</v>
      </c>
      <c r="R1383" s="20">
        <v>0.0</v>
      </c>
      <c r="S1383" s="20">
        <v>0.0</v>
      </c>
      <c r="T1383" s="20">
        <v>0.0</v>
      </c>
      <c r="U1383" s="20">
        <v>0.0</v>
      </c>
    </row>
    <row r="1384" ht="23.25" customHeight="1">
      <c r="A1384" s="17" t="str">
        <f>IF(COUNTIF('Icon Lookup'!C:C,B1384)&gt;0,LOOKUP(B1384,'Icon Lookup'!C:C,'Icon Lookup'!B:B),"")</f>
        <v/>
      </c>
      <c r="B1384" s="18" t="s">
        <v>1837</v>
      </c>
      <c r="C1384" s="17" t="s">
        <v>17</v>
      </c>
      <c r="D1384" s="17">
        <v>55.0</v>
      </c>
      <c r="E1384" s="17" t="s">
        <v>387</v>
      </c>
      <c r="G1384" s="19"/>
      <c r="H1384" s="20" t="s">
        <v>1838</v>
      </c>
      <c r="I1384" s="17" t="s">
        <v>156</v>
      </c>
      <c r="J1384" s="17">
        <v>0.0</v>
      </c>
      <c r="K1384" s="17">
        <v>0.0</v>
      </c>
      <c r="L1384" s="17">
        <v>0.0</v>
      </c>
      <c r="M1384" s="17">
        <v>0.0</v>
      </c>
      <c r="N1384" s="17">
        <v>0.0</v>
      </c>
      <c r="O1384" s="17">
        <v>0.0</v>
      </c>
      <c r="P1384" s="17">
        <v>0.0</v>
      </c>
      <c r="Q1384" s="17">
        <v>0.0</v>
      </c>
      <c r="R1384" s="17">
        <v>0.0</v>
      </c>
      <c r="S1384" s="17">
        <v>0.0</v>
      </c>
      <c r="T1384" s="17">
        <v>0.0</v>
      </c>
      <c r="U1384" s="17">
        <v>0.0</v>
      </c>
    </row>
    <row r="1385" ht="23.25" customHeight="1">
      <c r="A1385" s="1" t="str">
        <f>IF(COUNTIF('Icon Lookup'!C:C,B1385)&gt;0,LOOKUP(B1385,'Icon Lookup'!C:C,'Icon Lookup'!B:B),"")</f>
        <v/>
      </c>
      <c r="B1385" s="15" t="s">
        <v>1839</v>
      </c>
      <c r="C1385" s="1" t="s">
        <v>17</v>
      </c>
      <c r="D1385" s="1" t="s">
        <v>1840</v>
      </c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</row>
    <row r="1386" ht="23.25" customHeight="1">
      <c r="A1386" s="20" t="str">
        <f>IF(COUNTIF('Icon Lookup'!C:C,B1386)&gt;0,LOOKUP(B1386,'Icon Lookup'!C:C,'Icon Lookup'!B:B),"")</f>
        <v/>
      </c>
      <c r="B1386" s="21" t="s">
        <v>1841</v>
      </c>
      <c r="C1386" s="20" t="s">
        <v>17</v>
      </c>
      <c r="D1386" s="20">
        <v>56.0</v>
      </c>
      <c r="E1386" s="20" t="s">
        <v>1109</v>
      </c>
      <c r="G1386" s="22"/>
      <c r="H1386" s="23" t="s">
        <v>1842</v>
      </c>
      <c r="I1386" s="20" t="s">
        <v>265</v>
      </c>
      <c r="J1386" s="20">
        <v>0.0</v>
      </c>
      <c r="K1386" s="20">
        <v>0.0</v>
      </c>
      <c r="L1386" s="20">
        <v>0.0</v>
      </c>
      <c r="M1386" s="20">
        <v>0.0</v>
      </c>
      <c r="N1386" s="20">
        <v>0.0</v>
      </c>
      <c r="O1386" s="20">
        <v>0.0</v>
      </c>
      <c r="P1386" s="20">
        <v>0.0</v>
      </c>
      <c r="Q1386" s="20">
        <v>0.0</v>
      </c>
      <c r="R1386" s="20">
        <v>0.0</v>
      </c>
      <c r="S1386" s="20">
        <v>0.0</v>
      </c>
      <c r="T1386" s="20">
        <v>0.0</v>
      </c>
      <c r="U1386" s="20">
        <v>0.0</v>
      </c>
    </row>
    <row r="1387" ht="23.25" customHeight="1">
      <c r="A1387" s="17" t="str">
        <f>IF(COUNTIF('Icon Lookup'!C:C,B1387)&gt;0,LOOKUP(B1387,'Icon Lookup'!C:C,'Icon Lookup'!B:B),"")</f>
        <v/>
      </c>
      <c r="B1387" s="18" t="s">
        <v>1843</v>
      </c>
      <c r="C1387" s="17" t="s">
        <v>17</v>
      </c>
      <c r="D1387" s="17">
        <v>56.0</v>
      </c>
      <c r="E1387" s="17" t="s">
        <v>1109</v>
      </c>
      <c r="G1387" s="19"/>
      <c r="H1387" s="20" t="s">
        <v>1844</v>
      </c>
      <c r="I1387" s="17" t="s">
        <v>265</v>
      </c>
      <c r="J1387" s="17">
        <v>0.0</v>
      </c>
      <c r="K1387" s="17">
        <v>0.0</v>
      </c>
      <c r="L1387" s="17">
        <v>0.0</v>
      </c>
      <c r="M1387" s="17">
        <v>0.0</v>
      </c>
      <c r="N1387" s="17">
        <v>0.0</v>
      </c>
      <c r="O1387" s="17">
        <v>0.0</v>
      </c>
      <c r="P1387" s="17">
        <v>0.0</v>
      </c>
      <c r="Q1387" s="17">
        <v>0.0</v>
      </c>
      <c r="R1387" s="17">
        <v>0.0</v>
      </c>
      <c r="S1387" s="17">
        <v>0.0</v>
      </c>
      <c r="T1387" s="17">
        <v>0.0</v>
      </c>
      <c r="U1387" s="17">
        <v>0.0</v>
      </c>
    </row>
    <row r="1388" ht="23.25" customHeight="1">
      <c r="A1388" s="20" t="str">
        <f>IF(COUNTIF('Icon Lookup'!C:C,B1388)&gt;0,LOOKUP(B1388,'Icon Lookup'!C:C,'Icon Lookup'!B:B),"")</f>
        <v/>
      </c>
      <c r="B1388" s="21" t="s">
        <v>1845</v>
      </c>
      <c r="C1388" s="20" t="s">
        <v>17</v>
      </c>
      <c r="D1388" s="20">
        <v>56.0</v>
      </c>
      <c r="E1388" s="20" t="s">
        <v>719</v>
      </c>
      <c r="G1388" s="22"/>
      <c r="H1388" s="23" t="s">
        <v>1846</v>
      </c>
      <c r="I1388" s="20" t="s">
        <v>105</v>
      </c>
      <c r="J1388" s="20">
        <v>0.0</v>
      </c>
      <c r="K1388" s="20">
        <v>0.0</v>
      </c>
      <c r="L1388" s="20">
        <v>0.0</v>
      </c>
      <c r="M1388" s="20">
        <v>0.0</v>
      </c>
      <c r="N1388" s="20">
        <v>0.0</v>
      </c>
      <c r="O1388" s="20">
        <v>0.0</v>
      </c>
      <c r="P1388" s="20">
        <v>0.0</v>
      </c>
      <c r="Q1388" s="20">
        <v>0.0</v>
      </c>
      <c r="R1388" s="20">
        <v>0.0</v>
      </c>
      <c r="S1388" s="20">
        <v>0.0</v>
      </c>
      <c r="T1388" s="20">
        <v>0.0</v>
      </c>
      <c r="U1388" s="20">
        <v>0.0</v>
      </c>
    </row>
    <row r="1389" ht="23.25" customHeight="1">
      <c r="A1389" s="1" t="str">
        <f>IF(COUNTIF('Icon Lookup'!C:C,B1389)&gt;0,LOOKUP(B1389,'Icon Lookup'!C:C,'Icon Lookup'!B:B),"")</f>
        <v/>
      </c>
      <c r="B1389" s="15" t="s">
        <v>1847</v>
      </c>
      <c r="C1389" s="1" t="s">
        <v>17</v>
      </c>
      <c r="D1389" s="1" t="s">
        <v>1848</v>
      </c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</row>
    <row r="1390" ht="23.25" customHeight="1">
      <c r="A1390" s="17" t="str">
        <f>IF(COUNTIF('Icon Lookup'!C:C,B1390)&gt;0,LOOKUP(B1390,'Icon Lookup'!C:C,'Icon Lookup'!B:B),"")</f>
        <v/>
      </c>
      <c r="B1390" s="18" t="s">
        <v>1849</v>
      </c>
      <c r="C1390" s="17" t="s">
        <v>17</v>
      </c>
      <c r="D1390" s="17">
        <v>55.0</v>
      </c>
      <c r="E1390" s="17" t="s">
        <v>218</v>
      </c>
      <c r="G1390" s="19"/>
      <c r="H1390" s="20" t="s">
        <v>1850</v>
      </c>
      <c r="I1390" s="17" t="s">
        <v>94</v>
      </c>
      <c r="J1390" s="17">
        <v>0.0</v>
      </c>
      <c r="K1390" s="17">
        <v>0.0</v>
      </c>
      <c r="L1390" s="17">
        <v>0.0</v>
      </c>
      <c r="M1390" s="17">
        <v>0.0</v>
      </c>
      <c r="N1390" s="17">
        <v>0.0</v>
      </c>
      <c r="O1390" s="17">
        <v>0.0</v>
      </c>
      <c r="P1390" s="17">
        <v>0.0</v>
      </c>
      <c r="Q1390" s="17">
        <v>0.0</v>
      </c>
      <c r="R1390" s="17">
        <v>0.0</v>
      </c>
      <c r="S1390" s="17">
        <v>0.0</v>
      </c>
      <c r="T1390" s="17">
        <v>0.0</v>
      </c>
      <c r="U1390" s="17">
        <v>0.0</v>
      </c>
    </row>
    <row r="1391" ht="23.25" customHeight="1">
      <c r="A1391" s="20" t="str">
        <f>IF(COUNTIF('Icon Lookup'!C:C,B1391)&gt;0,LOOKUP(B1391,'Icon Lookup'!C:C,'Icon Lookup'!B:B),"")</f>
        <v/>
      </c>
      <c r="B1391" s="21" t="s">
        <v>1851</v>
      </c>
      <c r="C1391" s="20" t="s">
        <v>17</v>
      </c>
      <c r="D1391" s="20">
        <v>55.0</v>
      </c>
      <c r="E1391" s="20" t="s">
        <v>1852</v>
      </c>
      <c r="G1391" s="22"/>
      <c r="H1391" s="23" t="s">
        <v>1853</v>
      </c>
      <c r="I1391" s="20" t="s">
        <v>94</v>
      </c>
      <c r="J1391" s="20">
        <v>0.0</v>
      </c>
      <c r="K1391" s="20">
        <v>0.0</v>
      </c>
      <c r="L1391" s="20">
        <v>0.0</v>
      </c>
      <c r="M1391" s="20">
        <v>0.0</v>
      </c>
      <c r="N1391" s="20">
        <v>0.0</v>
      </c>
      <c r="O1391" s="20">
        <v>0.0</v>
      </c>
      <c r="P1391" s="20">
        <v>0.0</v>
      </c>
      <c r="Q1391" s="20">
        <v>0.0</v>
      </c>
      <c r="R1391" s="20">
        <v>0.0</v>
      </c>
      <c r="S1391" s="20">
        <v>0.0</v>
      </c>
      <c r="T1391" s="20">
        <v>0.0</v>
      </c>
      <c r="U1391" s="20">
        <v>0.0</v>
      </c>
    </row>
    <row r="1392" ht="23.25" customHeight="1">
      <c r="A1392" s="1" t="str">
        <f>IF(COUNTIF('Icon Lookup'!C:C,B1392)&gt;0,LOOKUP(B1392,'Icon Lookup'!C:C,'Icon Lookup'!B:B),"")</f>
        <v/>
      </c>
      <c r="B1392" s="15" t="s">
        <v>1854</v>
      </c>
      <c r="C1392" s="1" t="s">
        <v>17</v>
      </c>
      <c r="D1392" s="1" t="s">
        <v>1855</v>
      </c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</row>
    <row r="1393" ht="23.25" customHeight="1">
      <c r="A1393" s="17" t="str">
        <f>IF(COUNTIF('Icon Lookup'!C:C,B1393)&gt;0,LOOKUP(B1393,'Icon Lookup'!C:C,'Icon Lookup'!B:B),"")</f>
        <v/>
      </c>
      <c r="B1393" s="18" t="s">
        <v>1856</v>
      </c>
      <c r="C1393" s="17" t="s">
        <v>17</v>
      </c>
      <c r="D1393" s="17">
        <v>57.0</v>
      </c>
      <c r="E1393" s="17" t="s">
        <v>26</v>
      </c>
      <c r="G1393" s="19"/>
      <c r="H1393" s="20" t="s">
        <v>1857</v>
      </c>
      <c r="I1393" s="17" t="s">
        <v>211</v>
      </c>
      <c r="J1393" s="17">
        <v>0.0</v>
      </c>
      <c r="K1393" s="17">
        <v>0.0</v>
      </c>
      <c r="L1393" s="17">
        <v>0.0</v>
      </c>
      <c r="M1393" s="17">
        <v>0.0</v>
      </c>
      <c r="N1393" s="17">
        <v>0.0</v>
      </c>
      <c r="O1393" s="17">
        <v>0.0</v>
      </c>
      <c r="P1393" s="17">
        <v>0.0</v>
      </c>
      <c r="Q1393" s="17">
        <v>0.0</v>
      </c>
      <c r="R1393" s="17">
        <v>0.0</v>
      </c>
      <c r="S1393" s="17">
        <v>0.0</v>
      </c>
      <c r="T1393" s="17">
        <v>0.0</v>
      </c>
      <c r="U1393" s="17">
        <v>0.0</v>
      </c>
    </row>
    <row r="1394" ht="23.25" customHeight="1">
      <c r="A1394" s="1" t="str">
        <f>IF(COUNTIF('Icon Lookup'!C:C,B1394)&gt;0,LOOKUP(B1394,'Icon Lookup'!C:C,'Icon Lookup'!B:B),"")</f>
        <v/>
      </c>
      <c r="B1394" s="15" t="s">
        <v>1858</v>
      </c>
      <c r="C1394" s="1" t="s">
        <v>17</v>
      </c>
      <c r="D1394" s="1" t="s">
        <v>1859</v>
      </c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</row>
    <row r="1395" ht="23.25" customHeight="1">
      <c r="A1395" s="20" t="str">
        <f>IF(COUNTIF('Icon Lookup'!C:C,B1395)&gt;0,LOOKUP(B1395,'Icon Lookup'!C:C,'Icon Lookup'!B:B),"")</f>
        <v/>
      </c>
      <c r="B1395" s="21" t="s">
        <v>1860</v>
      </c>
      <c r="C1395" s="20" t="s">
        <v>17</v>
      </c>
      <c r="D1395" s="20">
        <v>58.0</v>
      </c>
      <c r="E1395" s="20" t="s">
        <v>26</v>
      </c>
      <c r="G1395" s="22"/>
      <c r="H1395" s="23" t="s">
        <v>1861</v>
      </c>
      <c r="I1395" s="20" t="s">
        <v>36</v>
      </c>
      <c r="J1395" s="20">
        <v>0.0</v>
      </c>
      <c r="K1395" s="20">
        <v>0.0</v>
      </c>
      <c r="L1395" s="20">
        <v>0.0</v>
      </c>
      <c r="M1395" s="20">
        <v>0.0</v>
      </c>
      <c r="N1395" s="20">
        <v>0.0</v>
      </c>
      <c r="O1395" s="20">
        <v>0.0</v>
      </c>
      <c r="P1395" s="20">
        <v>0.0</v>
      </c>
      <c r="Q1395" s="20">
        <v>0.0</v>
      </c>
      <c r="R1395" s="20">
        <v>0.0</v>
      </c>
      <c r="S1395" s="20">
        <v>0.0</v>
      </c>
      <c r="T1395" s="20">
        <v>0.0</v>
      </c>
      <c r="U1395" s="20">
        <v>0.0</v>
      </c>
    </row>
    <row r="1396" ht="23.25" customHeight="1">
      <c r="A1396" s="17" t="str">
        <f>IF(COUNTIF('Icon Lookup'!C:C,B1396)&gt;0,LOOKUP(B1396,'Icon Lookup'!C:C,'Icon Lookup'!B:B),"")</f>
        <v/>
      </c>
      <c r="B1396" s="18" t="s">
        <v>712</v>
      </c>
      <c r="C1396" s="17" t="s">
        <v>17</v>
      </c>
      <c r="D1396" s="17">
        <v>58.0</v>
      </c>
      <c r="E1396" s="17" t="s">
        <v>161</v>
      </c>
      <c r="G1396" s="19"/>
      <c r="H1396" s="20" t="s">
        <v>1862</v>
      </c>
      <c r="I1396" s="17" t="s">
        <v>1045</v>
      </c>
      <c r="J1396" s="17">
        <v>0.0</v>
      </c>
      <c r="K1396" s="17">
        <v>0.0</v>
      </c>
      <c r="L1396" s="17">
        <v>0.0</v>
      </c>
      <c r="M1396" s="17">
        <v>0.0</v>
      </c>
      <c r="N1396" s="17">
        <v>0.0</v>
      </c>
      <c r="O1396" s="17">
        <v>0.0</v>
      </c>
      <c r="P1396" s="17">
        <v>0.0</v>
      </c>
      <c r="Q1396" s="17">
        <v>0.0</v>
      </c>
      <c r="R1396" s="17">
        <v>0.0</v>
      </c>
      <c r="S1396" s="17">
        <v>0.0</v>
      </c>
      <c r="T1396" s="17">
        <v>0.0</v>
      </c>
      <c r="U1396" s="17">
        <v>0.0</v>
      </c>
    </row>
    <row r="1397" ht="23.25" customHeight="1">
      <c r="A1397" s="1" t="str">
        <f>IF(COUNTIF('Icon Lookup'!C:C,B1397)&gt;0,LOOKUP(B1397,'Icon Lookup'!C:C,'Icon Lookup'!B:B),"")</f>
        <v/>
      </c>
      <c r="B1397" s="15" t="s">
        <v>1863</v>
      </c>
      <c r="C1397" s="1" t="s">
        <v>17</v>
      </c>
      <c r="D1397" s="1" t="s">
        <v>1864</v>
      </c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</row>
    <row r="1398" ht="23.25" customHeight="1">
      <c r="A1398" s="20" t="str">
        <f>IF(COUNTIF('Icon Lookup'!C:C,B1398)&gt;0,LOOKUP(B1398,'Icon Lookup'!C:C,'Icon Lookup'!B:B),"")</f>
        <v/>
      </c>
      <c r="B1398" s="21" t="s">
        <v>854</v>
      </c>
      <c r="C1398" s="20" t="s">
        <v>17</v>
      </c>
      <c r="D1398" s="20">
        <v>59.0</v>
      </c>
      <c r="E1398" s="20" t="s">
        <v>283</v>
      </c>
      <c r="G1398" s="22"/>
      <c r="H1398" s="23" t="s">
        <v>1865</v>
      </c>
      <c r="I1398" s="20" t="s">
        <v>211</v>
      </c>
      <c r="J1398" s="20">
        <v>0.0</v>
      </c>
      <c r="K1398" s="20">
        <v>0.0</v>
      </c>
      <c r="L1398" s="20">
        <v>0.0</v>
      </c>
      <c r="M1398" s="20">
        <v>0.0</v>
      </c>
      <c r="N1398" s="20">
        <v>0.0</v>
      </c>
      <c r="O1398" s="20">
        <v>0.0</v>
      </c>
      <c r="P1398" s="20">
        <v>0.0</v>
      </c>
      <c r="Q1398" s="20">
        <v>0.0</v>
      </c>
      <c r="R1398" s="20">
        <v>0.0</v>
      </c>
      <c r="S1398" s="20">
        <v>0.0</v>
      </c>
      <c r="T1398" s="20">
        <v>0.0</v>
      </c>
      <c r="U1398" s="20">
        <v>0.0</v>
      </c>
    </row>
    <row r="1399" ht="23.25" customHeight="1">
      <c r="A1399" s="1" t="str">
        <f>IF(COUNTIF('Icon Lookup'!C:C,B1399)&gt;0,LOOKUP(B1399,'Icon Lookup'!C:C,'Icon Lookup'!B:B),"")</f>
        <v/>
      </c>
      <c r="B1399" s="15" t="s">
        <v>1866</v>
      </c>
      <c r="C1399" s="1" t="s">
        <v>17</v>
      </c>
      <c r="D1399" s="1" t="s">
        <v>1867</v>
      </c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</row>
    <row r="1400" ht="23.25" customHeight="1">
      <c r="A1400" s="17" t="str">
        <f>IF(COUNTIF('Icon Lookup'!C:C,B1400)&gt;0,LOOKUP(B1400,'Icon Lookup'!C:C,'Icon Lookup'!B:B),"")</f>
        <v/>
      </c>
      <c r="B1400" s="18" t="s">
        <v>1868</v>
      </c>
      <c r="C1400" s="17" t="s">
        <v>17</v>
      </c>
      <c r="D1400" s="17">
        <v>56.0</v>
      </c>
      <c r="E1400" s="17" t="s">
        <v>240</v>
      </c>
      <c r="G1400" s="19"/>
      <c r="H1400" s="20" t="s">
        <v>1869</v>
      </c>
      <c r="I1400" s="17" t="s">
        <v>1045</v>
      </c>
      <c r="J1400" s="17">
        <v>0.0</v>
      </c>
      <c r="K1400" s="17">
        <v>0.0</v>
      </c>
      <c r="L1400" s="17">
        <v>0.0</v>
      </c>
      <c r="M1400" s="17">
        <v>0.0</v>
      </c>
      <c r="N1400" s="17">
        <v>0.0</v>
      </c>
      <c r="O1400" s="17">
        <v>0.0</v>
      </c>
      <c r="P1400" s="17">
        <v>0.0</v>
      </c>
      <c r="Q1400" s="17">
        <v>0.0</v>
      </c>
      <c r="R1400" s="17">
        <v>0.0</v>
      </c>
      <c r="S1400" s="17">
        <v>0.0</v>
      </c>
      <c r="T1400" s="17">
        <v>0.0</v>
      </c>
      <c r="U1400" s="17">
        <v>0.0</v>
      </c>
    </row>
    <row r="1401" ht="23.25" customHeight="1">
      <c r="A1401" s="20" t="str">
        <f>IF(COUNTIF('Icon Lookup'!C:C,B1401)&gt;0,LOOKUP(B1401,'Icon Lookup'!C:C,'Icon Lookup'!B:B),"")</f>
        <v/>
      </c>
      <c r="B1401" s="21" t="s">
        <v>1870</v>
      </c>
      <c r="C1401" s="20" t="s">
        <v>17</v>
      </c>
      <c r="D1401" s="20">
        <v>56.0</v>
      </c>
      <c r="E1401" s="20" t="s">
        <v>258</v>
      </c>
      <c r="G1401" s="22"/>
      <c r="H1401" s="23" t="s">
        <v>1871</v>
      </c>
      <c r="I1401" s="20" t="s">
        <v>265</v>
      </c>
      <c r="J1401" s="20">
        <v>0.0</v>
      </c>
      <c r="K1401" s="20">
        <v>0.0</v>
      </c>
      <c r="L1401" s="20">
        <v>0.0</v>
      </c>
      <c r="M1401" s="20">
        <v>0.0</v>
      </c>
      <c r="N1401" s="20">
        <v>0.0</v>
      </c>
      <c r="O1401" s="20">
        <v>0.0</v>
      </c>
      <c r="P1401" s="20">
        <v>0.0</v>
      </c>
      <c r="Q1401" s="20">
        <v>0.0</v>
      </c>
      <c r="R1401" s="20">
        <v>0.0</v>
      </c>
      <c r="S1401" s="20">
        <v>0.0</v>
      </c>
      <c r="T1401" s="20">
        <v>0.0</v>
      </c>
      <c r="U1401" s="20">
        <v>0.0</v>
      </c>
    </row>
    <row r="1402" ht="23.25" customHeight="1">
      <c r="A1402" s="17" t="str">
        <f>IF(COUNTIF('Icon Lookup'!C:C,B1402)&gt;0,LOOKUP(B1402,'Icon Lookup'!C:C,'Icon Lookup'!B:B),"")</f>
        <v/>
      </c>
      <c r="B1402" s="18" t="s">
        <v>1872</v>
      </c>
      <c r="C1402" s="17" t="s">
        <v>17</v>
      </c>
      <c r="D1402" s="17">
        <v>56.0</v>
      </c>
      <c r="E1402" s="17" t="s">
        <v>87</v>
      </c>
      <c r="G1402" s="19"/>
      <c r="H1402" s="20" t="s">
        <v>1873</v>
      </c>
      <c r="I1402" s="17" t="s">
        <v>1045</v>
      </c>
      <c r="J1402" s="17">
        <v>0.0</v>
      </c>
      <c r="K1402" s="17">
        <v>0.0</v>
      </c>
      <c r="L1402" s="17">
        <v>0.0</v>
      </c>
      <c r="M1402" s="17">
        <v>0.0</v>
      </c>
      <c r="N1402" s="17">
        <v>0.0</v>
      </c>
      <c r="O1402" s="17">
        <v>0.0</v>
      </c>
      <c r="P1402" s="17">
        <v>0.0</v>
      </c>
      <c r="Q1402" s="17">
        <v>0.0</v>
      </c>
      <c r="R1402" s="17">
        <v>0.0</v>
      </c>
      <c r="S1402" s="17">
        <v>0.0</v>
      </c>
      <c r="T1402" s="17">
        <v>0.0</v>
      </c>
      <c r="U1402" s="17">
        <v>0.0</v>
      </c>
    </row>
    <row r="1403" ht="23.25" customHeight="1">
      <c r="A1403" s="1" t="str">
        <f>IF(COUNTIF('Icon Lookup'!C:C,B1403)&gt;0,LOOKUP(B1403,'Icon Lookup'!C:C,'Icon Lookup'!B:B),"")</f>
        <v/>
      </c>
      <c r="B1403" s="15" t="s">
        <v>1874</v>
      </c>
      <c r="C1403" s="1" t="s">
        <v>17</v>
      </c>
      <c r="D1403" s="1" t="s">
        <v>1875</v>
      </c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</row>
    <row r="1404" ht="23.25" customHeight="1">
      <c r="A1404" s="20" t="str">
        <f>IF(COUNTIF('Icon Lookup'!C:C,B1404)&gt;0,LOOKUP(B1404,'Icon Lookup'!C:C,'Icon Lookup'!B:B),"")</f>
        <v/>
      </c>
      <c r="B1404" s="21" t="s">
        <v>1876</v>
      </c>
      <c r="C1404" s="20" t="s">
        <v>17</v>
      </c>
      <c r="D1404" s="20">
        <v>57.0</v>
      </c>
      <c r="E1404" s="20" t="s">
        <v>1771</v>
      </c>
      <c r="G1404" s="22"/>
      <c r="H1404" s="23" t="s">
        <v>1877</v>
      </c>
      <c r="I1404" s="20" t="s">
        <v>197</v>
      </c>
      <c r="J1404" s="20">
        <v>0.0</v>
      </c>
      <c r="K1404" s="20">
        <v>0.0</v>
      </c>
      <c r="L1404" s="20">
        <v>0.0</v>
      </c>
      <c r="M1404" s="20">
        <v>0.0</v>
      </c>
      <c r="N1404" s="20">
        <v>0.0</v>
      </c>
      <c r="O1404" s="20">
        <v>0.0</v>
      </c>
      <c r="P1404" s="20">
        <v>0.0</v>
      </c>
      <c r="Q1404" s="20">
        <v>0.0</v>
      </c>
      <c r="R1404" s="20">
        <v>0.0</v>
      </c>
      <c r="S1404" s="20">
        <v>0.0</v>
      </c>
      <c r="T1404" s="20">
        <v>0.0</v>
      </c>
      <c r="U1404" s="20">
        <v>0.0</v>
      </c>
    </row>
    <row r="1405" ht="23.25" customHeight="1">
      <c r="A1405" s="17" t="str">
        <f>IF(COUNTIF('Icon Lookup'!C:C,B1405)&gt;0,LOOKUP(B1405,'Icon Lookup'!C:C,'Icon Lookup'!B:B),"")</f>
        <v/>
      </c>
      <c r="B1405" s="18" t="s">
        <v>1878</v>
      </c>
      <c r="C1405" s="17" t="s">
        <v>17</v>
      </c>
      <c r="D1405" s="17">
        <v>57.0</v>
      </c>
      <c r="E1405" s="17" t="s">
        <v>1879</v>
      </c>
      <c r="G1405" s="19"/>
      <c r="H1405" s="20" t="s">
        <v>1880</v>
      </c>
      <c r="I1405" s="17" t="s">
        <v>211</v>
      </c>
      <c r="J1405" s="17">
        <v>0.0</v>
      </c>
      <c r="K1405" s="17">
        <v>0.0</v>
      </c>
      <c r="L1405" s="17">
        <v>0.0</v>
      </c>
      <c r="M1405" s="17">
        <v>0.0</v>
      </c>
      <c r="N1405" s="17">
        <v>0.0</v>
      </c>
      <c r="O1405" s="17">
        <v>0.0</v>
      </c>
      <c r="P1405" s="17">
        <v>0.0</v>
      </c>
      <c r="Q1405" s="17">
        <v>0.0</v>
      </c>
      <c r="R1405" s="17">
        <v>0.0</v>
      </c>
      <c r="S1405" s="17">
        <v>0.0</v>
      </c>
      <c r="T1405" s="17">
        <v>0.0</v>
      </c>
      <c r="U1405" s="17">
        <v>0.0</v>
      </c>
    </row>
    <row r="1406" ht="23.25" customHeight="1">
      <c r="A1406" s="1" t="str">
        <f>IF(COUNTIF('Icon Lookup'!C:C,B1406)&gt;0,LOOKUP(B1406,'Icon Lookup'!C:C,'Icon Lookup'!B:B),"")</f>
        <v/>
      </c>
      <c r="B1406" s="15" t="s">
        <v>1881</v>
      </c>
      <c r="C1406" s="1" t="s">
        <v>17</v>
      </c>
      <c r="D1406" s="1" t="s">
        <v>1882</v>
      </c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</row>
    <row r="1407" ht="23.25" customHeight="1">
      <c r="A1407" s="20" t="str">
        <f>IF(COUNTIF('Icon Lookup'!C:C,B1407)&gt;0,LOOKUP(B1407,'Icon Lookup'!C:C,'Icon Lookup'!B:B),"")</f>
        <v/>
      </c>
      <c r="B1407" s="21" t="s">
        <v>1883</v>
      </c>
      <c r="C1407" s="20" t="s">
        <v>17</v>
      </c>
      <c r="D1407" s="20">
        <v>53.0</v>
      </c>
      <c r="E1407" s="20" t="s">
        <v>719</v>
      </c>
      <c r="G1407" s="22"/>
      <c r="H1407" s="23" t="s">
        <v>1884</v>
      </c>
      <c r="I1407" s="20" t="s">
        <v>550</v>
      </c>
      <c r="J1407" s="20">
        <v>0.0</v>
      </c>
      <c r="K1407" s="20">
        <v>0.0</v>
      </c>
      <c r="L1407" s="20">
        <v>0.0</v>
      </c>
      <c r="M1407" s="20">
        <v>0.0</v>
      </c>
      <c r="N1407" s="20">
        <v>0.0</v>
      </c>
      <c r="O1407" s="20">
        <v>0.0</v>
      </c>
      <c r="P1407" s="20">
        <v>0.0</v>
      </c>
      <c r="Q1407" s="20">
        <v>0.0</v>
      </c>
      <c r="R1407" s="20">
        <v>0.0</v>
      </c>
      <c r="S1407" s="20">
        <v>0.0</v>
      </c>
      <c r="T1407" s="20">
        <v>0.0</v>
      </c>
      <c r="U1407" s="20">
        <v>0.0</v>
      </c>
    </row>
    <row r="1408" ht="23.25" customHeight="1">
      <c r="A1408" s="17" t="str">
        <f>IF(COUNTIF('Icon Lookup'!C:C,B1408)&gt;0,LOOKUP(B1408,'Icon Lookup'!C:C,'Icon Lookup'!B:B),"")</f>
        <v/>
      </c>
      <c r="B1408" s="18" t="s">
        <v>1885</v>
      </c>
      <c r="C1408" s="17" t="s">
        <v>17</v>
      </c>
      <c r="D1408" s="17">
        <v>55.0</v>
      </c>
      <c r="E1408" s="17" t="s">
        <v>161</v>
      </c>
      <c r="G1408" s="19"/>
      <c r="H1408" s="20" t="s">
        <v>1886</v>
      </c>
      <c r="I1408" s="17" t="s">
        <v>211</v>
      </c>
      <c r="J1408" s="17">
        <v>0.0</v>
      </c>
      <c r="K1408" s="17">
        <v>0.0</v>
      </c>
      <c r="L1408" s="17">
        <v>0.0</v>
      </c>
      <c r="M1408" s="17">
        <v>0.0</v>
      </c>
      <c r="N1408" s="17">
        <v>0.0</v>
      </c>
      <c r="O1408" s="17">
        <v>0.0</v>
      </c>
      <c r="P1408" s="17">
        <v>0.0</v>
      </c>
      <c r="Q1408" s="17">
        <v>0.0</v>
      </c>
      <c r="R1408" s="17">
        <v>0.0</v>
      </c>
      <c r="S1408" s="17">
        <v>0.0</v>
      </c>
      <c r="T1408" s="17">
        <v>0.0</v>
      </c>
      <c r="U1408" s="17">
        <v>0.0</v>
      </c>
    </row>
    <row r="1409" ht="23.25" customHeight="1">
      <c r="A1409" s="1" t="str">
        <f>IF(COUNTIF('Icon Lookup'!C:C,B1409)&gt;0,LOOKUP(B1409,'Icon Lookup'!C:C,'Icon Lookup'!B:B),"")</f>
        <v/>
      </c>
      <c r="B1409" s="15" t="s">
        <v>1887</v>
      </c>
      <c r="C1409" s="1" t="s">
        <v>17</v>
      </c>
      <c r="D1409" s="1" t="s">
        <v>1888</v>
      </c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</row>
    <row r="1410" ht="23.25" customHeight="1">
      <c r="A1410" s="20" t="str">
        <f>IF(COUNTIF('Icon Lookup'!C:C,B1410)&gt;0,LOOKUP(B1410,'Icon Lookup'!C:C,'Icon Lookup'!B:B),"")</f>
        <v/>
      </c>
      <c r="B1410" s="21" t="s">
        <v>1889</v>
      </c>
      <c r="C1410" s="20" t="s">
        <v>17</v>
      </c>
      <c r="D1410" s="20">
        <v>54.0</v>
      </c>
      <c r="E1410" s="20" t="s">
        <v>161</v>
      </c>
      <c r="G1410" s="22"/>
      <c r="H1410" s="23" t="s">
        <v>1890</v>
      </c>
      <c r="I1410" s="20" t="s">
        <v>105</v>
      </c>
      <c r="J1410" s="20">
        <v>0.0</v>
      </c>
      <c r="K1410" s="20">
        <v>0.0</v>
      </c>
      <c r="L1410" s="20">
        <v>0.0</v>
      </c>
      <c r="M1410" s="20">
        <v>0.0</v>
      </c>
      <c r="N1410" s="20">
        <v>0.0</v>
      </c>
      <c r="O1410" s="20">
        <v>0.0</v>
      </c>
      <c r="P1410" s="20">
        <v>0.0</v>
      </c>
      <c r="Q1410" s="20">
        <v>0.0</v>
      </c>
      <c r="R1410" s="20">
        <v>0.0</v>
      </c>
      <c r="S1410" s="20">
        <v>0.0</v>
      </c>
      <c r="T1410" s="20">
        <v>0.0</v>
      </c>
      <c r="U1410" s="20">
        <v>0.0</v>
      </c>
    </row>
    <row r="1411" ht="23.25" customHeight="1">
      <c r="A1411" s="17" t="str">
        <f>IF(COUNTIF('Icon Lookup'!C:C,B1411)&gt;0,LOOKUP(B1411,'Icon Lookup'!C:C,'Icon Lookup'!B:B),"")</f>
        <v/>
      </c>
      <c r="B1411" s="18" t="s">
        <v>1891</v>
      </c>
      <c r="C1411" s="17" t="s">
        <v>17</v>
      </c>
      <c r="D1411" s="17">
        <v>58.0</v>
      </c>
      <c r="E1411" s="17" t="s">
        <v>382</v>
      </c>
      <c r="G1411" s="19"/>
      <c r="H1411" s="20" t="s">
        <v>1892</v>
      </c>
      <c r="I1411" s="17" t="s">
        <v>205</v>
      </c>
      <c r="J1411" s="17">
        <v>0.0</v>
      </c>
      <c r="K1411" s="17">
        <v>0.0</v>
      </c>
      <c r="L1411" s="17">
        <v>0.0</v>
      </c>
      <c r="M1411" s="17">
        <v>0.0</v>
      </c>
      <c r="N1411" s="17">
        <v>0.0</v>
      </c>
      <c r="O1411" s="17">
        <v>0.0</v>
      </c>
      <c r="P1411" s="17">
        <v>0.0</v>
      </c>
      <c r="Q1411" s="17">
        <v>0.0</v>
      </c>
      <c r="R1411" s="17">
        <v>0.0</v>
      </c>
      <c r="S1411" s="17">
        <v>0.0</v>
      </c>
      <c r="T1411" s="17">
        <v>0.0</v>
      </c>
      <c r="U1411" s="17">
        <v>0.0</v>
      </c>
    </row>
    <row r="1412" ht="23.25" customHeight="1">
      <c r="A1412" s="1" t="str">
        <f>IF(COUNTIF('Icon Lookup'!C:C,B1412)&gt;0,LOOKUP(B1412,'Icon Lookup'!C:C,'Icon Lookup'!B:B),"")</f>
        <v/>
      </c>
      <c r="B1412" s="15" t="s">
        <v>1893</v>
      </c>
      <c r="C1412" s="1" t="s">
        <v>17</v>
      </c>
      <c r="D1412" s="1" t="s">
        <v>1894</v>
      </c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</row>
    <row r="1413" ht="23.25" customHeight="1">
      <c r="A1413" s="20" t="str">
        <f>IF(COUNTIF('Icon Lookup'!C:C,B1413)&gt;0,LOOKUP(B1413,'Icon Lookup'!C:C,'Icon Lookup'!B:B),"")</f>
        <v/>
      </c>
      <c r="B1413" s="21" t="s">
        <v>1895</v>
      </c>
      <c r="C1413" s="20" t="s">
        <v>17</v>
      </c>
      <c r="D1413" s="20">
        <v>51.0</v>
      </c>
      <c r="E1413" s="20" t="s">
        <v>1004</v>
      </c>
      <c r="G1413" s="22"/>
      <c r="H1413" s="23" t="s">
        <v>1896</v>
      </c>
      <c r="I1413" s="20" t="s">
        <v>205</v>
      </c>
      <c r="J1413" s="20">
        <v>0.0</v>
      </c>
      <c r="K1413" s="20">
        <v>0.0</v>
      </c>
      <c r="L1413" s="20">
        <v>0.0</v>
      </c>
      <c r="M1413" s="20">
        <v>0.0</v>
      </c>
      <c r="N1413" s="20">
        <v>0.0</v>
      </c>
      <c r="O1413" s="20">
        <v>0.0</v>
      </c>
      <c r="P1413" s="20">
        <v>0.0</v>
      </c>
      <c r="Q1413" s="20">
        <v>0.0</v>
      </c>
      <c r="R1413" s="20">
        <v>0.0</v>
      </c>
      <c r="S1413" s="20">
        <v>0.0</v>
      </c>
      <c r="T1413" s="20">
        <v>0.0</v>
      </c>
      <c r="U1413" s="20">
        <v>0.0</v>
      </c>
    </row>
    <row r="1414" ht="23.25" customHeight="1">
      <c r="A1414" s="17" t="str">
        <f>IF(COUNTIF('Icon Lookup'!C:C,B1414)&gt;0,LOOKUP(B1414,'Icon Lookup'!C:C,'Icon Lookup'!B:B),"")</f>
        <v/>
      </c>
      <c r="B1414" s="18" t="s">
        <v>1897</v>
      </c>
      <c r="C1414" s="17" t="s">
        <v>17</v>
      </c>
      <c r="D1414" s="17">
        <v>55.0</v>
      </c>
      <c r="E1414" s="17" t="s">
        <v>188</v>
      </c>
      <c r="G1414" s="19"/>
      <c r="H1414" s="20" t="s">
        <v>1898</v>
      </c>
      <c r="I1414" s="17" t="s">
        <v>612</v>
      </c>
      <c r="J1414" s="17">
        <v>0.0</v>
      </c>
      <c r="K1414" s="17">
        <v>0.0</v>
      </c>
      <c r="L1414" s="17">
        <v>0.0</v>
      </c>
      <c r="M1414" s="17">
        <v>0.0</v>
      </c>
      <c r="N1414" s="17">
        <v>0.0</v>
      </c>
      <c r="O1414" s="17">
        <v>0.0</v>
      </c>
      <c r="P1414" s="17">
        <v>0.0</v>
      </c>
      <c r="Q1414" s="17">
        <v>0.0</v>
      </c>
      <c r="R1414" s="17">
        <v>0.0</v>
      </c>
      <c r="S1414" s="17">
        <v>0.0</v>
      </c>
      <c r="T1414" s="17">
        <v>0.0</v>
      </c>
      <c r="U1414" s="17">
        <v>0.0</v>
      </c>
    </row>
    <row r="1415" ht="23.25" customHeight="1">
      <c r="A1415" s="1" t="str">
        <f>IF(COUNTIF('Icon Lookup'!C:C,B1415)&gt;0,LOOKUP(B1415,'Icon Lookup'!C:C,'Icon Lookup'!B:B),"")</f>
        <v/>
      </c>
      <c r="B1415" s="15" t="s">
        <v>1899</v>
      </c>
      <c r="C1415" s="1" t="s">
        <v>17</v>
      </c>
      <c r="D1415" s="1" t="s">
        <v>1900</v>
      </c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</row>
    <row r="1416" ht="23.25" customHeight="1">
      <c r="A1416" s="20" t="str">
        <f>IF(COUNTIF('Icon Lookup'!C:C,B1416)&gt;0,LOOKUP(B1416,'Icon Lookup'!C:C,'Icon Lookup'!B:B),"")</f>
        <v/>
      </c>
      <c r="B1416" s="21" t="s">
        <v>1728</v>
      </c>
      <c r="C1416" s="20" t="s">
        <v>17</v>
      </c>
      <c r="D1416" s="20">
        <v>56.0</v>
      </c>
      <c r="E1416" s="20" t="s">
        <v>387</v>
      </c>
      <c r="G1416" s="22"/>
      <c r="H1416" s="23" t="s">
        <v>1901</v>
      </c>
      <c r="I1416" s="20" t="s">
        <v>105</v>
      </c>
      <c r="J1416" s="20">
        <v>0.0</v>
      </c>
      <c r="K1416" s="20">
        <v>0.0</v>
      </c>
      <c r="L1416" s="20">
        <v>0.0</v>
      </c>
      <c r="M1416" s="20">
        <v>0.0</v>
      </c>
      <c r="N1416" s="20">
        <v>0.0</v>
      </c>
      <c r="O1416" s="20">
        <v>0.0</v>
      </c>
      <c r="P1416" s="20">
        <v>0.0</v>
      </c>
      <c r="Q1416" s="20">
        <v>0.0</v>
      </c>
      <c r="R1416" s="20">
        <v>0.0</v>
      </c>
      <c r="S1416" s="20">
        <v>0.0</v>
      </c>
      <c r="T1416" s="20">
        <v>0.0</v>
      </c>
      <c r="U1416" s="20">
        <v>0.0</v>
      </c>
    </row>
    <row r="1417" ht="23.25" customHeight="1">
      <c r="A1417" s="17" t="str">
        <f>IF(COUNTIF('Icon Lookup'!C:C,B1417)&gt;0,LOOKUP(B1417,'Icon Lookup'!C:C,'Icon Lookup'!B:B),"")</f>
        <v/>
      </c>
      <c r="B1417" s="18" t="s">
        <v>1131</v>
      </c>
      <c r="C1417" s="17" t="s">
        <v>17</v>
      </c>
      <c r="D1417" s="17">
        <v>58.0</v>
      </c>
      <c r="E1417" s="17" t="s">
        <v>161</v>
      </c>
      <c r="G1417" s="19"/>
      <c r="H1417" s="20" t="s">
        <v>1902</v>
      </c>
      <c r="I1417" s="17" t="s">
        <v>205</v>
      </c>
      <c r="J1417" s="17">
        <v>0.0</v>
      </c>
      <c r="K1417" s="17">
        <v>0.0</v>
      </c>
      <c r="L1417" s="17">
        <v>0.0</v>
      </c>
      <c r="M1417" s="17">
        <v>0.0</v>
      </c>
      <c r="N1417" s="17">
        <v>0.0</v>
      </c>
      <c r="O1417" s="17">
        <v>0.0</v>
      </c>
      <c r="P1417" s="17">
        <v>0.0</v>
      </c>
      <c r="Q1417" s="17">
        <v>0.0</v>
      </c>
      <c r="R1417" s="17">
        <v>0.0</v>
      </c>
      <c r="S1417" s="17">
        <v>0.0</v>
      </c>
      <c r="T1417" s="17">
        <v>0.0</v>
      </c>
      <c r="U1417" s="17">
        <v>0.0</v>
      </c>
    </row>
    <row r="1418" ht="23.25" customHeight="1">
      <c r="A1418" s="1" t="str">
        <f>IF(COUNTIF('Icon Lookup'!C:C,B1418)&gt;0,LOOKUP(B1418,'Icon Lookup'!C:C,'Icon Lookup'!B:B),"")</f>
        <v/>
      </c>
      <c r="B1418" s="15" t="s">
        <v>1903</v>
      </c>
      <c r="C1418" s="1" t="s">
        <v>17</v>
      </c>
      <c r="D1418" s="1" t="s">
        <v>1904</v>
      </c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</row>
    <row r="1419" ht="23.25" customHeight="1">
      <c r="A1419" s="20" t="str">
        <f>IF(COUNTIF('Icon Lookup'!C:C,B1419)&gt;0,LOOKUP(B1419,'Icon Lookup'!C:C,'Icon Lookup'!B:B),"")</f>
        <v/>
      </c>
      <c r="B1419" s="21" t="s">
        <v>1905</v>
      </c>
      <c r="C1419" s="20" t="s">
        <v>17</v>
      </c>
      <c r="D1419" s="20">
        <v>54.0</v>
      </c>
      <c r="E1419" s="20" t="s">
        <v>1802</v>
      </c>
      <c r="G1419" s="22"/>
      <c r="H1419" s="23" t="s">
        <v>1906</v>
      </c>
      <c r="I1419" s="20" t="s">
        <v>550</v>
      </c>
      <c r="J1419" s="20">
        <v>0.0</v>
      </c>
      <c r="K1419" s="20">
        <v>0.0</v>
      </c>
      <c r="L1419" s="20">
        <v>0.0</v>
      </c>
      <c r="M1419" s="20">
        <v>0.0</v>
      </c>
      <c r="N1419" s="20">
        <v>0.0</v>
      </c>
      <c r="O1419" s="20">
        <v>0.0</v>
      </c>
      <c r="P1419" s="20">
        <v>0.0</v>
      </c>
      <c r="Q1419" s="20">
        <v>0.0</v>
      </c>
      <c r="R1419" s="20">
        <v>0.0</v>
      </c>
      <c r="S1419" s="20">
        <v>0.0</v>
      </c>
      <c r="T1419" s="20">
        <v>0.0</v>
      </c>
      <c r="U1419" s="20">
        <v>0.0</v>
      </c>
    </row>
    <row r="1420" ht="23.25" customHeight="1">
      <c r="A1420" s="17" t="str">
        <f>IF(COUNTIF('Icon Lookup'!C:C,B1420)&gt;0,LOOKUP(B1420,'Icon Lookup'!C:C,'Icon Lookup'!B:B),"")</f>
        <v/>
      </c>
      <c r="B1420" s="18" t="s">
        <v>1907</v>
      </c>
      <c r="C1420" s="17" t="s">
        <v>17</v>
      </c>
      <c r="D1420" s="17">
        <v>53.0</v>
      </c>
      <c r="E1420" s="17" t="s">
        <v>382</v>
      </c>
      <c r="G1420" s="19"/>
      <c r="H1420" s="20" t="s">
        <v>1908</v>
      </c>
      <c r="I1420" s="17" t="s">
        <v>550</v>
      </c>
      <c r="J1420" s="17">
        <v>0.0</v>
      </c>
      <c r="K1420" s="17">
        <v>0.0</v>
      </c>
      <c r="L1420" s="17">
        <v>0.0</v>
      </c>
      <c r="M1420" s="17">
        <v>0.0</v>
      </c>
      <c r="N1420" s="17">
        <v>0.0</v>
      </c>
      <c r="O1420" s="17">
        <v>0.0</v>
      </c>
      <c r="P1420" s="17">
        <v>0.0</v>
      </c>
      <c r="Q1420" s="17">
        <v>0.0</v>
      </c>
      <c r="R1420" s="17">
        <v>0.0</v>
      </c>
      <c r="S1420" s="17">
        <v>0.0</v>
      </c>
      <c r="T1420" s="17">
        <v>0.0</v>
      </c>
      <c r="U1420" s="17">
        <v>0.0</v>
      </c>
    </row>
    <row r="1421" ht="23.25" customHeight="1">
      <c r="A1421" s="20" t="str">
        <f>IF(COUNTIF('Icon Lookup'!C:C,B1421)&gt;0,LOOKUP(B1421,'Icon Lookup'!C:C,'Icon Lookup'!B:B),"")</f>
        <v/>
      </c>
      <c r="B1421" s="21" t="s">
        <v>1909</v>
      </c>
      <c r="C1421" s="20" t="s">
        <v>17</v>
      </c>
      <c r="D1421" s="20">
        <v>55.0</v>
      </c>
      <c r="E1421" s="20" t="s">
        <v>276</v>
      </c>
      <c r="G1421" s="22"/>
      <c r="H1421" s="23" t="s">
        <v>1908</v>
      </c>
      <c r="I1421" s="20" t="s">
        <v>550</v>
      </c>
      <c r="J1421" s="20">
        <v>0.0</v>
      </c>
      <c r="K1421" s="20">
        <v>0.0</v>
      </c>
      <c r="L1421" s="20">
        <v>0.0</v>
      </c>
      <c r="M1421" s="20">
        <v>0.0</v>
      </c>
      <c r="N1421" s="20">
        <v>0.0</v>
      </c>
      <c r="O1421" s="20">
        <v>0.0</v>
      </c>
      <c r="P1421" s="20">
        <v>0.0</v>
      </c>
      <c r="Q1421" s="20">
        <v>0.0</v>
      </c>
      <c r="R1421" s="20">
        <v>0.0</v>
      </c>
      <c r="S1421" s="20">
        <v>0.0</v>
      </c>
      <c r="T1421" s="20">
        <v>0.0</v>
      </c>
      <c r="U1421" s="20">
        <v>0.0</v>
      </c>
    </row>
    <row r="1422" ht="23.25" customHeight="1">
      <c r="A1422" s="1" t="str">
        <f>IF(COUNTIF('Icon Lookup'!C:C,B1422)&gt;0,LOOKUP(B1422,'Icon Lookup'!C:C,'Icon Lookup'!B:B),"")</f>
        <v/>
      </c>
      <c r="B1422" s="15" t="s">
        <v>1910</v>
      </c>
      <c r="C1422" s="1" t="s">
        <v>17</v>
      </c>
      <c r="D1422" s="1" t="s">
        <v>1911</v>
      </c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</row>
    <row r="1423" ht="23.25" customHeight="1">
      <c r="A1423" s="17" t="str">
        <f>IF(COUNTIF('Icon Lookup'!C:C,B1423)&gt;0,LOOKUP(B1423,'Icon Lookup'!C:C,'Icon Lookup'!B:B),"")</f>
        <v/>
      </c>
      <c r="B1423" s="18" t="s">
        <v>1912</v>
      </c>
      <c r="C1423" s="17" t="s">
        <v>17</v>
      </c>
      <c r="D1423" s="17">
        <v>57.0</v>
      </c>
      <c r="E1423" s="17" t="s">
        <v>298</v>
      </c>
      <c r="G1423" s="19"/>
      <c r="H1423" s="20" t="s">
        <v>1913</v>
      </c>
      <c r="I1423" s="17" t="s">
        <v>197</v>
      </c>
      <c r="J1423" s="17">
        <v>0.0</v>
      </c>
      <c r="K1423" s="17">
        <v>0.0</v>
      </c>
      <c r="L1423" s="17">
        <v>0.0</v>
      </c>
      <c r="M1423" s="17">
        <v>0.0</v>
      </c>
      <c r="N1423" s="17">
        <v>0.0</v>
      </c>
      <c r="O1423" s="17">
        <v>0.0</v>
      </c>
      <c r="P1423" s="17">
        <v>0.0</v>
      </c>
      <c r="Q1423" s="17">
        <v>0.0</v>
      </c>
      <c r="R1423" s="17">
        <v>0.0</v>
      </c>
      <c r="S1423" s="17">
        <v>0.0</v>
      </c>
      <c r="T1423" s="17">
        <v>0.0</v>
      </c>
      <c r="U1423" s="17">
        <v>0.0</v>
      </c>
    </row>
    <row r="1424" ht="23.25" customHeight="1">
      <c r="A1424" s="20" t="str">
        <f>IF(COUNTIF('Icon Lookup'!C:C,B1424)&gt;0,LOOKUP(B1424,'Icon Lookup'!C:C,'Icon Lookup'!B:B),"")</f>
        <v/>
      </c>
      <c r="B1424" s="21" t="s">
        <v>1098</v>
      </c>
      <c r="C1424" s="20" t="s">
        <v>17</v>
      </c>
      <c r="D1424" s="20">
        <v>57.0</v>
      </c>
      <c r="E1424" s="20" t="s">
        <v>91</v>
      </c>
      <c r="G1424" s="22"/>
      <c r="H1424" s="23" t="s">
        <v>1914</v>
      </c>
      <c r="I1424" s="20" t="s">
        <v>156</v>
      </c>
      <c r="J1424" s="20">
        <v>0.0</v>
      </c>
      <c r="K1424" s="20">
        <v>0.0</v>
      </c>
      <c r="L1424" s="20">
        <v>0.0</v>
      </c>
      <c r="M1424" s="20">
        <v>0.0</v>
      </c>
      <c r="N1424" s="20">
        <v>0.0</v>
      </c>
      <c r="O1424" s="20">
        <v>0.0</v>
      </c>
      <c r="P1424" s="20">
        <v>0.0</v>
      </c>
      <c r="Q1424" s="20">
        <v>0.0</v>
      </c>
      <c r="R1424" s="20">
        <v>0.0</v>
      </c>
      <c r="S1424" s="20">
        <v>0.0</v>
      </c>
      <c r="T1424" s="20">
        <v>0.0</v>
      </c>
      <c r="U1424" s="20">
        <v>0.0</v>
      </c>
    </row>
    <row r="1425" ht="23.25" customHeight="1">
      <c r="A1425" s="1" t="str">
        <f>IF(COUNTIF('Icon Lookup'!C:C,B1425)&gt;0,LOOKUP(B1425,'Icon Lookup'!C:C,'Icon Lookup'!B:B),"")</f>
        <v/>
      </c>
      <c r="B1425" s="15" t="s">
        <v>1915</v>
      </c>
      <c r="C1425" s="1" t="s">
        <v>17</v>
      </c>
      <c r="D1425" s="1" t="s">
        <v>1916</v>
      </c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</row>
    <row r="1426" ht="23.25" customHeight="1">
      <c r="A1426" s="17" t="str">
        <f>IF(COUNTIF('Icon Lookup'!C:C,B1426)&gt;0,LOOKUP(B1426,'Icon Lookup'!C:C,'Icon Lookup'!B:B),"")</f>
        <v/>
      </c>
      <c r="B1426" s="18" t="s">
        <v>1917</v>
      </c>
      <c r="C1426" s="17" t="s">
        <v>17</v>
      </c>
      <c r="D1426" s="17">
        <v>53.0</v>
      </c>
      <c r="E1426" s="17" t="s">
        <v>1121</v>
      </c>
      <c r="G1426" s="19"/>
      <c r="H1426" s="20" t="s">
        <v>1918</v>
      </c>
      <c r="I1426" s="17" t="s">
        <v>1045</v>
      </c>
      <c r="J1426" s="17">
        <v>0.0</v>
      </c>
      <c r="K1426" s="17">
        <v>0.0</v>
      </c>
      <c r="L1426" s="17">
        <v>0.0</v>
      </c>
      <c r="M1426" s="17">
        <v>0.0</v>
      </c>
      <c r="N1426" s="17">
        <v>0.0</v>
      </c>
      <c r="O1426" s="17">
        <v>0.0</v>
      </c>
      <c r="P1426" s="17">
        <v>0.0</v>
      </c>
      <c r="Q1426" s="17">
        <v>0.0</v>
      </c>
      <c r="R1426" s="17">
        <v>0.0</v>
      </c>
      <c r="S1426" s="17">
        <v>0.0</v>
      </c>
      <c r="T1426" s="17">
        <v>0.0</v>
      </c>
      <c r="U1426" s="17">
        <v>0.0</v>
      </c>
    </row>
    <row r="1427" ht="23.25" customHeight="1">
      <c r="A1427" s="20" t="str">
        <f>IF(COUNTIF('Icon Lookup'!C:C,B1427)&gt;0,LOOKUP(B1427,'Icon Lookup'!C:C,'Icon Lookup'!B:B),"")</f>
        <v/>
      </c>
      <c r="B1427" s="21" t="s">
        <v>1872</v>
      </c>
      <c r="C1427" s="20" t="s">
        <v>17</v>
      </c>
      <c r="D1427" s="20">
        <v>57.0</v>
      </c>
      <c r="E1427" s="20" t="s">
        <v>87</v>
      </c>
      <c r="G1427" s="22"/>
      <c r="H1427" s="23" t="s">
        <v>1919</v>
      </c>
      <c r="I1427" s="20" t="s">
        <v>211</v>
      </c>
      <c r="J1427" s="20">
        <v>0.0</v>
      </c>
      <c r="K1427" s="20">
        <v>0.0</v>
      </c>
      <c r="L1427" s="20">
        <v>0.0</v>
      </c>
      <c r="M1427" s="20">
        <v>0.0</v>
      </c>
      <c r="N1427" s="20">
        <v>0.0</v>
      </c>
      <c r="O1427" s="20">
        <v>0.0</v>
      </c>
      <c r="P1427" s="20">
        <v>0.0</v>
      </c>
      <c r="Q1427" s="20">
        <v>0.0</v>
      </c>
      <c r="R1427" s="20">
        <v>0.0</v>
      </c>
      <c r="S1427" s="20">
        <v>0.0</v>
      </c>
      <c r="T1427" s="20">
        <v>0.0</v>
      </c>
      <c r="U1427" s="20">
        <v>0.0</v>
      </c>
    </row>
    <row r="1428" ht="23.25" customHeight="1">
      <c r="A1428" s="17" t="str">
        <f>IF(COUNTIF('Icon Lookup'!C:C,B1428)&gt;0,LOOKUP(B1428,'Icon Lookup'!C:C,'Icon Lookup'!B:B),"")</f>
        <v/>
      </c>
      <c r="B1428" s="18" t="s">
        <v>1920</v>
      </c>
      <c r="C1428" s="17" t="s">
        <v>17</v>
      </c>
      <c r="D1428" s="17">
        <v>58.0</v>
      </c>
      <c r="E1428" s="17" t="s">
        <v>1921</v>
      </c>
      <c r="G1428" s="19"/>
      <c r="H1428" s="20" t="s">
        <v>1922</v>
      </c>
      <c r="I1428" s="17" t="s">
        <v>22</v>
      </c>
      <c r="J1428" s="17">
        <v>0.0</v>
      </c>
      <c r="K1428" s="17">
        <v>0.0</v>
      </c>
      <c r="L1428" s="17">
        <v>0.0</v>
      </c>
      <c r="M1428" s="17">
        <v>0.0</v>
      </c>
      <c r="N1428" s="17">
        <v>0.0</v>
      </c>
      <c r="O1428" s="17">
        <v>0.0</v>
      </c>
      <c r="P1428" s="17">
        <v>0.0</v>
      </c>
      <c r="Q1428" s="17">
        <v>0.0</v>
      </c>
      <c r="R1428" s="17">
        <v>0.0</v>
      </c>
      <c r="S1428" s="17">
        <v>0.0</v>
      </c>
      <c r="T1428" s="17">
        <v>0.0</v>
      </c>
      <c r="U1428" s="17">
        <v>0.0</v>
      </c>
    </row>
    <row r="1429" ht="23.25" customHeight="1">
      <c r="A1429" s="1" t="str">
        <f>IF(COUNTIF('Icon Lookup'!C:C,B1429)&gt;0,LOOKUP(B1429,'Icon Lookup'!C:C,'Icon Lookup'!B:B),"")</f>
        <v/>
      </c>
      <c r="B1429" s="15" t="s">
        <v>1923</v>
      </c>
      <c r="C1429" s="1" t="s">
        <v>17</v>
      </c>
      <c r="D1429" s="1" t="s">
        <v>1924</v>
      </c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</row>
    <row r="1430" ht="23.25" customHeight="1">
      <c r="A1430" s="20" t="str">
        <f>IF(COUNTIF('Icon Lookup'!C:C,B1430)&gt;0,LOOKUP(B1430,'Icon Lookup'!C:C,'Icon Lookup'!B:B),"")</f>
        <v/>
      </c>
      <c r="B1430" s="21" t="s">
        <v>1098</v>
      </c>
      <c r="C1430" s="20" t="s">
        <v>17</v>
      </c>
      <c r="D1430" s="20">
        <v>59.0</v>
      </c>
      <c r="E1430" s="20" t="s">
        <v>91</v>
      </c>
      <c r="G1430" s="22"/>
      <c r="H1430" s="23" t="s">
        <v>1925</v>
      </c>
      <c r="I1430" s="20" t="s">
        <v>265</v>
      </c>
      <c r="J1430" s="20">
        <v>0.0</v>
      </c>
      <c r="K1430" s="20">
        <v>0.0</v>
      </c>
      <c r="L1430" s="20">
        <v>0.0</v>
      </c>
      <c r="M1430" s="20">
        <v>0.0</v>
      </c>
      <c r="N1430" s="20">
        <v>0.0</v>
      </c>
      <c r="O1430" s="20">
        <v>0.0</v>
      </c>
      <c r="P1430" s="20">
        <v>0.0</v>
      </c>
      <c r="Q1430" s="20">
        <v>0.0</v>
      </c>
      <c r="R1430" s="20">
        <v>0.0</v>
      </c>
      <c r="S1430" s="20">
        <v>0.0</v>
      </c>
      <c r="T1430" s="20">
        <v>0.0</v>
      </c>
      <c r="U1430" s="20">
        <v>0.0</v>
      </c>
    </row>
    <row r="1431" ht="23.25" customHeight="1">
      <c r="A1431" s="1" t="str">
        <f>IF(COUNTIF('Icon Lookup'!C:C,B1431)&gt;0,LOOKUP(B1431,'Icon Lookup'!C:C,'Icon Lookup'!B:B),"")</f>
        <v/>
      </c>
      <c r="B1431" s="15" t="s">
        <v>1926</v>
      </c>
      <c r="C1431" s="1" t="s">
        <v>17</v>
      </c>
      <c r="D1431" s="1" t="s">
        <v>1927</v>
      </c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</row>
    <row r="1432" ht="23.25" customHeight="1">
      <c r="A1432" s="17" t="str">
        <f>IF(COUNTIF('Icon Lookup'!C:C,B1432)&gt;0,LOOKUP(B1432,'Icon Lookup'!C:C,'Icon Lookup'!B:B),"")</f>
        <v/>
      </c>
      <c r="B1432" s="18" t="s">
        <v>1928</v>
      </c>
      <c r="C1432" s="17" t="s">
        <v>17</v>
      </c>
      <c r="D1432" s="17">
        <v>52.0</v>
      </c>
      <c r="E1432" s="17" t="s">
        <v>66</v>
      </c>
      <c r="G1432" s="19"/>
      <c r="H1432" s="20" t="s">
        <v>1929</v>
      </c>
      <c r="I1432" s="17" t="s">
        <v>612</v>
      </c>
      <c r="J1432" s="17">
        <v>0.0</v>
      </c>
      <c r="K1432" s="17">
        <v>0.0</v>
      </c>
      <c r="L1432" s="17">
        <v>0.0</v>
      </c>
      <c r="M1432" s="17">
        <v>0.0</v>
      </c>
      <c r="N1432" s="17">
        <v>0.0</v>
      </c>
      <c r="O1432" s="17">
        <v>0.0</v>
      </c>
      <c r="P1432" s="17">
        <v>0.0</v>
      </c>
      <c r="Q1432" s="17">
        <v>0.0</v>
      </c>
      <c r="R1432" s="17">
        <v>0.0</v>
      </c>
      <c r="S1432" s="17">
        <v>0.0</v>
      </c>
      <c r="T1432" s="17">
        <v>0.0</v>
      </c>
      <c r="U1432" s="17">
        <v>0.0</v>
      </c>
    </row>
    <row r="1433" ht="23.25" customHeight="1">
      <c r="A1433" s="20" t="str">
        <f>IF(COUNTIF('Icon Lookup'!C:C,B1433)&gt;0,LOOKUP(B1433,'Icon Lookup'!C:C,'Icon Lookup'!B:B),"")</f>
        <v/>
      </c>
      <c r="B1433" s="21" t="s">
        <v>1878</v>
      </c>
      <c r="C1433" s="20" t="s">
        <v>17</v>
      </c>
      <c r="D1433" s="20">
        <v>58.0</v>
      </c>
      <c r="E1433" s="20" t="s">
        <v>276</v>
      </c>
      <c r="G1433" s="22"/>
      <c r="H1433" s="23" t="s">
        <v>1930</v>
      </c>
      <c r="I1433" s="20" t="s">
        <v>550</v>
      </c>
      <c r="J1433" s="20">
        <v>0.0</v>
      </c>
      <c r="K1433" s="20">
        <v>0.0</v>
      </c>
      <c r="L1433" s="20">
        <v>0.0</v>
      </c>
      <c r="M1433" s="20">
        <v>0.0</v>
      </c>
      <c r="N1433" s="20">
        <v>0.0</v>
      </c>
      <c r="O1433" s="20">
        <v>0.0</v>
      </c>
      <c r="P1433" s="20">
        <v>0.0</v>
      </c>
      <c r="Q1433" s="20">
        <v>0.0</v>
      </c>
      <c r="R1433" s="20">
        <v>0.0</v>
      </c>
      <c r="S1433" s="20">
        <v>0.0</v>
      </c>
      <c r="T1433" s="20">
        <v>0.0</v>
      </c>
      <c r="U1433" s="20">
        <v>0.0</v>
      </c>
    </row>
    <row r="1434" ht="23.25" customHeight="1">
      <c r="A1434" s="1" t="str">
        <f>IF(COUNTIF('Icon Lookup'!C:C,B1434)&gt;0,LOOKUP(B1434,'Icon Lookup'!C:C,'Icon Lookup'!B:B),"")</f>
        <v/>
      </c>
      <c r="B1434" s="15" t="s">
        <v>1931</v>
      </c>
      <c r="C1434" s="1" t="s">
        <v>17</v>
      </c>
      <c r="D1434" s="1" t="s">
        <v>1932</v>
      </c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</row>
    <row r="1435" ht="23.25" customHeight="1">
      <c r="A1435" s="17" t="str">
        <f>IF(COUNTIF('Icon Lookup'!C:C,B1435)&gt;0,LOOKUP(B1435,'Icon Lookup'!C:C,'Icon Lookup'!B:B),"")</f>
        <v/>
      </c>
      <c r="B1435" s="18" t="s">
        <v>1933</v>
      </c>
      <c r="C1435" s="17" t="s">
        <v>17</v>
      </c>
      <c r="D1435" s="17">
        <v>55.0</v>
      </c>
      <c r="E1435" s="17" t="s">
        <v>1004</v>
      </c>
      <c r="G1435" s="19"/>
      <c r="H1435" s="20" t="s">
        <v>1934</v>
      </c>
      <c r="I1435" s="17" t="s">
        <v>197</v>
      </c>
      <c r="J1435" s="17">
        <v>0.0</v>
      </c>
      <c r="K1435" s="17">
        <v>0.0</v>
      </c>
      <c r="L1435" s="17">
        <v>0.0</v>
      </c>
      <c r="M1435" s="17">
        <v>0.0</v>
      </c>
      <c r="N1435" s="17">
        <v>0.0</v>
      </c>
      <c r="O1435" s="17">
        <v>0.0</v>
      </c>
      <c r="P1435" s="17">
        <v>0.0</v>
      </c>
      <c r="Q1435" s="17">
        <v>0.0</v>
      </c>
      <c r="R1435" s="17">
        <v>0.0</v>
      </c>
      <c r="S1435" s="17">
        <v>0.0</v>
      </c>
      <c r="T1435" s="17">
        <v>0.0</v>
      </c>
      <c r="U1435" s="17">
        <v>0.0</v>
      </c>
    </row>
    <row r="1436" ht="23.25" customHeight="1">
      <c r="A1436" s="20" t="str">
        <f>IF(COUNTIF('Icon Lookup'!C:C,B1436)&gt;0,LOOKUP(B1436,'Icon Lookup'!C:C,'Icon Lookup'!B:B),"")</f>
        <v/>
      </c>
      <c r="B1436" s="21" t="s">
        <v>1935</v>
      </c>
      <c r="C1436" s="20" t="s">
        <v>17</v>
      </c>
      <c r="D1436" s="20">
        <v>55.0</v>
      </c>
      <c r="E1436" s="20" t="s">
        <v>1936</v>
      </c>
      <c r="G1436" s="22"/>
      <c r="H1436" s="23" t="s">
        <v>1937</v>
      </c>
      <c r="I1436" s="20" t="s">
        <v>1045</v>
      </c>
      <c r="J1436" s="20">
        <v>0.0</v>
      </c>
      <c r="K1436" s="20">
        <v>0.0</v>
      </c>
      <c r="L1436" s="20">
        <v>0.0</v>
      </c>
      <c r="M1436" s="20">
        <v>0.0</v>
      </c>
      <c r="N1436" s="20">
        <v>0.0</v>
      </c>
      <c r="O1436" s="20">
        <v>0.0</v>
      </c>
      <c r="P1436" s="20">
        <v>0.0</v>
      </c>
      <c r="Q1436" s="20">
        <v>0.0</v>
      </c>
      <c r="R1436" s="20">
        <v>0.0</v>
      </c>
      <c r="S1436" s="20">
        <v>0.0</v>
      </c>
      <c r="T1436" s="20">
        <v>0.0</v>
      </c>
      <c r="U1436" s="20">
        <v>0.0</v>
      </c>
    </row>
    <row r="1437" ht="23.25" customHeight="1">
      <c r="A1437" s="1" t="str">
        <f>IF(COUNTIF('Icon Lookup'!C:C,B1437)&gt;0,LOOKUP(B1437,'Icon Lookup'!C:C,'Icon Lookup'!B:B),"")</f>
        <v/>
      </c>
      <c r="B1437" s="15" t="s">
        <v>1938</v>
      </c>
      <c r="C1437" s="1" t="s">
        <v>17</v>
      </c>
      <c r="D1437" s="1" t="s">
        <v>1939</v>
      </c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</row>
    <row r="1438" ht="23.25" customHeight="1">
      <c r="A1438" s="17" t="str">
        <f>IF(COUNTIF('Icon Lookup'!C:C,B1438)&gt;0,LOOKUP(B1438,'Icon Lookup'!C:C,'Icon Lookup'!B:B),"")</f>
        <v/>
      </c>
      <c r="B1438" s="18" t="s">
        <v>1940</v>
      </c>
      <c r="C1438" s="17" t="s">
        <v>17</v>
      </c>
      <c r="D1438" s="17">
        <v>55.0</v>
      </c>
      <c r="E1438" s="17" t="s">
        <v>98</v>
      </c>
      <c r="G1438" s="19"/>
      <c r="H1438" s="20" t="s">
        <v>1941</v>
      </c>
      <c r="I1438" s="17" t="s">
        <v>89</v>
      </c>
      <c r="J1438" s="17">
        <v>0.0</v>
      </c>
      <c r="K1438" s="17">
        <v>0.0</v>
      </c>
      <c r="L1438" s="17">
        <v>0.0</v>
      </c>
      <c r="M1438" s="17">
        <v>0.0</v>
      </c>
      <c r="N1438" s="17">
        <v>0.0</v>
      </c>
      <c r="O1438" s="17">
        <v>0.0</v>
      </c>
      <c r="P1438" s="17">
        <v>0.0</v>
      </c>
      <c r="Q1438" s="17">
        <v>0.0</v>
      </c>
      <c r="R1438" s="17">
        <v>0.0</v>
      </c>
      <c r="S1438" s="17">
        <v>0.0</v>
      </c>
      <c r="T1438" s="17">
        <v>0.0</v>
      </c>
      <c r="U1438" s="17">
        <v>0.0</v>
      </c>
    </row>
    <row r="1439" ht="23.25" customHeight="1">
      <c r="A1439" s="1" t="str">
        <f>IF(COUNTIF('Icon Lookup'!C:C,B1439)&gt;0,LOOKUP(B1439,'Icon Lookup'!C:C,'Icon Lookup'!B:B),"")</f>
        <v/>
      </c>
      <c r="B1439" s="15" t="s">
        <v>1942</v>
      </c>
      <c r="C1439" s="1" t="s">
        <v>17</v>
      </c>
      <c r="D1439" s="1" t="s">
        <v>1943</v>
      </c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</row>
    <row r="1440" ht="23.25" customHeight="1">
      <c r="A1440" s="20" t="str">
        <f>IF(COUNTIF('Icon Lookup'!C:C,B1440)&gt;0,LOOKUP(B1440,'Icon Lookup'!C:C,'Icon Lookup'!B:B),"")</f>
        <v/>
      </c>
      <c r="B1440" s="21" t="s">
        <v>1944</v>
      </c>
      <c r="C1440" s="20" t="s">
        <v>17</v>
      </c>
      <c r="D1440" s="20">
        <v>50.0</v>
      </c>
      <c r="E1440" s="20" t="s">
        <v>71</v>
      </c>
      <c r="G1440" s="22"/>
      <c r="H1440" s="23" t="s">
        <v>1945</v>
      </c>
      <c r="I1440" s="20" t="s">
        <v>22</v>
      </c>
      <c r="J1440" s="20">
        <v>0.0</v>
      </c>
      <c r="K1440" s="20">
        <v>0.0</v>
      </c>
      <c r="L1440" s="20">
        <v>0.0</v>
      </c>
      <c r="M1440" s="20">
        <v>0.0</v>
      </c>
      <c r="N1440" s="20">
        <v>0.0</v>
      </c>
      <c r="O1440" s="20">
        <v>0.0</v>
      </c>
      <c r="P1440" s="20">
        <v>0.0</v>
      </c>
      <c r="Q1440" s="20">
        <v>0.0</v>
      </c>
      <c r="R1440" s="20">
        <v>0.0</v>
      </c>
      <c r="S1440" s="20">
        <v>0.0</v>
      </c>
      <c r="T1440" s="20">
        <v>0.0</v>
      </c>
      <c r="U1440" s="20">
        <v>0.0</v>
      </c>
    </row>
    <row r="1441" ht="23.25" customHeight="1">
      <c r="A1441" s="17" t="str">
        <f>IF(COUNTIF('Icon Lookup'!C:C,B1441)&gt;0,LOOKUP(B1441,'Icon Lookup'!C:C,'Icon Lookup'!B:B),"")</f>
        <v/>
      </c>
      <c r="B1441" s="18" t="s">
        <v>1797</v>
      </c>
      <c r="C1441" s="17" t="s">
        <v>17</v>
      </c>
      <c r="D1441" s="17">
        <v>56.0</v>
      </c>
      <c r="E1441" s="17" t="s">
        <v>20</v>
      </c>
      <c r="G1441" s="19"/>
      <c r="H1441" s="20" t="s">
        <v>1946</v>
      </c>
      <c r="I1441" s="17" t="s">
        <v>211</v>
      </c>
      <c r="J1441" s="17">
        <v>0.0</v>
      </c>
      <c r="K1441" s="17">
        <v>0.0</v>
      </c>
      <c r="L1441" s="17">
        <v>0.0</v>
      </c>
      <c r="M1441" s="17">
        <v>0.0</v>
      </c>
      <c r="N1441" s="17">
        <v>0.0</v>
      </c>
      <c r="O1441" s="17">
        <v>0.0</v>
      </c>
      <c r="P1441" s="17">
        <v>0.0</v>
      </c>
      <c r="Q1441" s="17">
        <v>0.0</v>
      </c>
      <c r="R1441" s="17">
        <v>0.0</v>
      </c>
      <c r="S1441" s="17">
        <v>0.0</v>
      </c>
      <c r="T1441" s="17">
        <v>0.0</v>
      </c>
      <c r="U1441" s="17">
        <v>0.0</v>
      </c>
    </row>
    <row r="1442" ht="23.25" customHeight="1">
      <c r="A1442" s="1" t="str">
        <f>IF(COUNTIF('Icon Lookup'!C:C,B1442)&gt;0,LOOKUP(B1442,'Icon Lookup'!C:C,'Icon Lookup'!B:B),"")</f>
        <v/>
      </c>
      <c r="B1442" s="15" t="s">
        <v>1947</v>
      </c>
      <c r="C1442" s="1" t="s">
        <v>17</v>
      </c>
      <c r="D1442" s="1" t="s">
        <v>1948</v>
      </c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</row>
    <row r="1443" ht="23.25" customHeight="1">
      <c r="A1443" s="20" t="str">
        <f>IF(COUNTIF('Icon Lookup'!C:C,B1443)&gt;0,LOOKUP(B1443,'Icon Lookup'!C:C,'Icon Lookup'!B:B),"")</f>
        <v/>
      </c>
      <c r="B1443" s="21" t="s">
        <v>1768</v>
      </c>
      <c r="C1443" s="20" t="s">
        <v>17</v>
      </c>
      <c r="D1443" s="20">
        <v>57.0</v>
      </c>
      <c r="E1443" s="20" t="s">
        <v>1004</v>
      </c>
      <c r="G1443" s="22"/>
      <c r="H1443" s="23" t="s">
        <v>1949</v>
      </c>
      <c r="I1443" s="20" t="s">
        <v>94</v>
      </c>
      <c r="J1443" s="20">
        <v>0.0</v>
      </c>
      <c r="K1443" s="20">
        <v>0.0</v>
      </c>
      <c r="L1443" s="20">
        <v>0.0</v>
      </c>
      <c r="M1443" s="20">
        <v>0.0</v>
      </c>
      <c r="N1443" s="20">
        <v>0.0</v>
      </c>
      <c r="O1443" s="20">
        <v>0.0</v>
      </c>
      <c r="P1443" s="20">
        <v>0.0</v>
      </c>
      <c r="Q1443" s="20">
        <v>0.0</v>
      </c>
      <c r="R1443" s="20">
        <v>0.0</v>
      </c>
      <c r="S1443" s="20">
        <v>0.0</v>
      </c>
      <c r="T1443" s="20">
        <v>0.0</v>
      </c>
      <c r="U1443" s="20">
        <v>0.0</v>
      </c>
    </row>
    <row r="1444" ht="23.25" customHeight="1">
      <c r="A1444" s="17" t="str">
        <f>IF(COUNTIF('Icon Lookup'!C:C,B1444)&gt;0,LOOKUP(B1444,'Icon Lookup'!C:C,'Icon Lookup'!B:B),"")</f>
        <v/>
      </c>
      <c r="B1444" s="18" t="s">
        <v>1950</v>
      </c>
      <c r="C1444" s="17" t="s">
        <v>17</v>
      </c>
      <c r="D1444" s="17">
        <v>57.0</v>
      </c>
      <c r="E1444" s="17" t="s">
        <v>1802</v>
      </c>
      <c r="G1444" s="19"/>
      <c r="H1444" s="20" t="s">
        <v>1951</v>
      </c>
      <c r="I1444" s="17" t="s">
        <v>89</v>
      </c>
      <c r="J1444" s="17">
        <v>0.0</v>
      </c>
      <c r="K1444" s="17">
        <v>0.0</v>
      </c>
      <c r="L1444" s="17">
        <v>0.0</v>
      </c>
      <c r="M1444" s="17">
        <v>0.0</v>
      </c>
      <c r="N1444" s="17">
        <v>0.0</v>
      </c>
      <c r="O1444" s="17">
        <v>0.0</v>
      </c>
      <c r="P1444" s="17">
        <v>0.0</v>
      </c>
      <c r="Q1444" s="17">
        <v>0.0</v>
      </c>
      <c r="R1444" s="17">
        <v>0.0</v>
      </c>
      <c r="S1444" s="17">
        <v>0.0</v>
      </c>
      <c r="T1444" s="17">
        <v>0.0</v>
      </c>
      <c r="U1444" s="17">
        <v>0.0</v>
      </c>
    </row>
    <row r="1445" ht="23.25" customHeight="1">
      <c r="A1445" s="1" t="str">
        <f>IF(COUNTIF('Icon Lookup'!C:C,B1445)&gt;0,LOOKUP(B1445,'Icon Lookup'!C:C,'Icon Lookup'!B:B),"")</f>
        <v/>
      </c>
      <c r="B1445" s="15" t="s">
        <v>1952</v>
      </c>
      <c r="C1445" s="1" t="s">
        <v>17</v>
      </c>
      <c r="D1445" s="1" t="s">
        <v>1953</v>
      </c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</row>
    <row r="1446" ht="23.25" customHeight="1">
      <c r="A1446" s="20" t="str">
        <f>IF(COUNTIF('Icon Lookup'!C:C,B1446)&gt;0,LOOKUP(B1446,'Icon Lookup'!C:C,'Icon Lookup'!B:B),"")</f>
        <v/>
      </c>
      <c r="B1446" s="21" t="s">
        <v>1954</v>
      </c>
      <c r="C1446" s="20" t="s">
        <v>17</v>
      </c>
      <c r="D1446" s="20">
        <v>54.0</v>
      </c>
      <c r="E1446" s="20" t="s">
        <v>1791</v>
      </c>
      <c r="G1446" s="22"/>
      <c r="H1446" s="23" t="s">
        <v>1955</v>
      </c>
      <c r="I1446" s="20" t="s">
        <v>94</v>
      </c>
      <c r="J1446" s="20">
        <v>0.0</v>
      </c>
      <c r="K1446" s="20">
        <v>0.0</v>
      </c>
      <c r="L1446" s="20">
        <v>0.0</v>
      </c>
      <c r="M1446" s="20">
        <v>0.0</v>
      </c>
      <c r="N1446" s="20">
        <v>0.0</v>
      </c>
      <c r="O1446" s="20">
        <v>0.0</v>
      </c>
      <c r="P1446" s="20">
        <v>0.0</v>
      </c>
      <c r="Q1446" s="20">
        <v>0.0</v>
      </c>
      <c r="R1446" s="20">
        <v>0.0</v>
      </c>
      <c r="S1446" s="20">
        <v>0.0</v>
      </c>
      <c r="T1446" s="20">
        <v>0.0</v>
      </c>
      <c r="U1446" s="20">
        <v>0.0</v>
      </c>
    </row>
    <row r="1447" ht="23.25" customHeight="1">
      <c r="A1447" s="17" t="str">
        <f>IF(COUNTIF('Icon Lookup'!C:C,B1447)&gt;0,LOOKUP(B1447,'Icon Lookup'!C:C,'Icon Lookup'!B:B),"")</f>
        <v/>
      </c>
      <c r="B1447" s="18" t="s">
        <v>1756</v>
      </c>
      <c r="C1447" s="17" t="s">
        <v>17</v>
      </c>
      <c r="D1447" s="17">
        <v>56.0</v>
      </c>
      <c r="E1447" s="17" t="s">
        <v>161</v>
      </c>
      <c r="G1447" s="19"/>
      <c r="H1447" s="20" t="s">
        <v>1956</v>
      </c>
      <c r="I1447" s="17" t="s">
        <v>211</v>
      </c>
      <c r="J1447" s="17">
        <v>0.0</v>
      </c>
      <c r="K1447" s="17">
        <v>0.0</v>
      </c>
      <c r="L1447" s="17">
        <v>0.0</v>
      </c>
      <c r="M1447" s="17">
        <v>0.0</v>
      </c>
      <c r="N1447" s="17">
        <v>0.0</v>
      </c>
      <c r="O1447" s="17">
        <v>0.0</v>
      </c>
      <c r="P1447" s="17">
        <v>0.0</v>
      </c>
      <c r="Q1447" s="17">
        <v>0.0</v>
      </c>
      <c r="R1447" s="17">
        <v>0.0</v>
      </c>
      <c r="S1447" s="17">
        <v>0.0</v>
      </c>
      <c r="T1447" s="17">
        <v>0.0</v>
      </c>
      <c r="U1447" s="17">
        <v>0.0</v>
      </c>
    </row>
    <row r="1448" ht="23.25" customHeight="1">
      <c r="A1448" s="1" t="str">
        <f>IF(COUNTIF('Icon Lookup'!C:C,B1448)&gt;0,LOOKUP(B1448,'Icon Lookup'!C:C,'Icon Lookup'!B:B),"")</f>
        <v/>
      </c>
      <c r="B1448" s="15" t="s">
        <v>1957</v>
      </c>
      <c r="C1448" s="1" t="s">
        <v>17</v>
      </c>
      <c r="D1448" s="1" t="s">
        <v>1958</v>
      </c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</row>
    <row r="1449" ht="23.25" customHeight="1">
      <c r="A1449" s="20" t="str">
        <f>IF(COUNTIF('Icon Lookup'!C:C,B1449)&gt;0,LOOKUP(B1449,'Icon Lookup'!C:C,'Icon Lookup'!B:B),"")</f>
        <v/>
      </c>
      <c r="B1449" s="21" t="s">
        <v>1959</v>
      </c>
      <c r="C1449" s="20" t="s">
        <v>17</v>
      </c>
      <c r="D1449" s="20">
        <v>51.0</v>
      </c>
      <c r="E1449" s="20" t="s">
        <v>382</v>
      </c>
      <c r="G1449" s="22"/>
      <c r="H1449" s="23" t="s">
        <v>1960</v>
      </c>
      <c r="I1449" s="20" t="s">
        <v>105</v>
      </c>
      <c r="J1449" s="20">
        <v>0.0</v>
      </c>
      <c r="K1449" s="20">
        <v>0.0</v>
      </c>
      <c r="L1449" s="20">
        <v>0.0</v>
      </c>
      <c r="M1449" s="20">
        <v>0.0</v>
      </c>
      <c r="N1449" s="20">
        <v>0.0</v>
      </c>
      <c r="O1449" s="20">
        <v>0.0</v>
      </c>
      <c r="P1449" s="20">
        <v>0.0</v>
      </c>
      <c r="Q1449" s="20">
        <v>0.0</v>
      </c>
      <c r="R1449" s="20">
        <v>0.0</v>
      </c>
      <c r="S1449" s="20">
        <v>0.0</v>
      </c>
      <c r="T1449" s="20">
        <v>0.0</v>
      </c>
      <c r="U1449" s="20">
        <v>0.0</v>
      </c>
    </row>
    <row r="1450" ht="23.25" customHeight="1">
      <c r="A1450" s="17" t="str">
        <f>IF(COUNTIF('Icon Lookup'!C:C,B1450)&gt;0,LOOKUP(B1450,'Icon Lookup'!C:C,'Icon Lookup'!B:B),"")</f>
        <v/>
      </c>
      <c r="B1450" s="18" t="s">
        <v>1961</v>
      </c>
      <c r="C1450" s="17" t="s">
        <v>17</v>
      </c>
      <c r="D1450" s="17">
        <v>51.0</v>
      </c>
      <c r="E1450" s="17" t="s">
        <v>959</v>
      </c>
      <c r="G1450" s="19"/>
      <c r="H1450" s="20" t="s">
        <v>1962</v>
      </c>
      <c r="I1450" s="17" t="s">
        <v>52</v>
      </c>
      <c r="J1450" s="17">
        <v>0.0</v>
      </c>
      <c r="K1450" s="17">
        <v>0.0</v>
      </c>
      <c r="L1450" s="17">
        <v>0.0</v>
      </c>
      <c r="M1450" s="17">
        <v>0.0</v>
      </c>
      <c r="N1450" s="17">
        <v>0.0</v>
      </c>
      <c r="O1450" s="17">
        <v>0.0</v>
      </c>
      <c r="P1450" s="17">
        <v>0.0</v>
      </c>
      <c r="Q1450" s="17">
        <v>0.0</v>
      </c>
      <c r="R1450" s="17">
        <v>0.0</v>
      </c>
      <c r="S1450" s="17">
        <v>0.0</v>
      </c>
      <c r="T1450" s="17">
        <v>0.0</v>
      </c>
      <c r="U1450" s="17">
        <v>0.0</v>
      </c>
    </row>
    <row r="1451" ht="23.25" customHeight="1">
      <c r="A1451" s="1" t="str">
        <f>IF(COUNTIF('Icon Lookup'!C:C,B1451)&gt;0,LOOKUP(B1451,'Icon Lookup'!C:C,'Icon Lookup'!B:B),"")</f>
        <v/>
      </c>
      <c r="B1451" s="15" t="s">
        <v>1963</v>
      </c>
      <c r="C1451" s="1" t="s">
        <v>17</v>
      </c>
      <c r="D1451" s="1" t="s">
        <v>1964</v>
      </c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</row>
    <row r="1452" ht="23.25" customHeight="1">
      <c r="A1452" s="20" t="str">
        <f>IF(COUNTIF('Icon Lookup'!C:C,B1452)&gt;0,LOOKUP(B1452,'Icon Lookup'!C:C,'Icon Lookup'!B:B),"")</f>
        <v/>
      </c>
      <c r="B1452" s="21" t="s">
        <v>1965</v>
      </c>
      <c r="C1452" s="20" t="s">
        <v>17</v>
      </c>
      <c r="D1452" s="20">
        <v>53.0</v>
      </c>
      <c r="E1452" s="20" t="s">
        <v>1791</v>
      </c>
      <c r="G1452" s="22"/>
      <c r="H1452" s="23" t="s">
        <v>1966</v>
      </c>
      <c r="I1452" s="20" t="s">
        <v>89</v>
      </c>
      <c r="J1452" s="20">
        <v>0.0</v>
      </c>
      <c r="K1452" s="20">
        <v>0.0</v>
      </c>
      <c r="L1452" s="20">
        <v>0.0</v>
      </c>
      <c r="M1452" s="20">
        <v>0.0</v>
      </c>
      <c r="N1452" s="20">
        <v>0.0</v>
      </c>
      <c r="O1452" s="20">
        <v>0.0</v>
      </c>
      <c r="P1452" s="20">
        <v>0.0</v>
      </c>
      <c r="Q1452" s="20">
        <v>0.0</v>
      </c>
      <c r="R1452" s="20">
        <v>0.0</v>
      </c>
      <c r="S1452" s="20">
        <v>0.0</v>
      </c>
      <c r="T1452" s="20">
        <v>0.0</v>
      </c>
      <c r="U1452" s="20">
        <v>0.0</v>
      </c>
    </row>
    <row r="1453" ht="23.25" customHeight="1">
      <c r="A1453" s="1" t="str">
        <f>IF(COUNTIF('Icon Lookup'!C:C,B1453)&gt;0,LOOKUP(B1453,'Icon Lookup'!C:C,'Icon Lookup'!B:B),"")</f>
        <v/>
      </c>
      <c r="B1453" s="15" t="s">
        <v>1967</v>
      </c>
      <c r="C1453" s="1" t="s">
        <v>17</v>
      </c>
      <c r="D1453" s="1" t="s">
        <v>1968</v>
      </c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</row>
    <row r="1454" ht="23.25" customHeight="1">
      <c r="A1454" s="17" t="str">
        <f>IF(COUNTIF('Icon Lookup'!C:C,B1454)&gt;0,LOOKUP(B1454,'Icon Lookup'!C:C,'Icon Lookup'!B:B),"")</f>
        <v/>
      </c>
      <c r="B1454" s="18" t="s">
        <v>1969</v>
      </c>
      <c r="C1454" s="17" t="s">
        <v>17</v>
      </c>
      <c r="D1454" s="17">
        <v>51.0</v>
      </c>
      <c r="E1454" s="17" t="s">
        <v>1970</v>
      </c>
      <c r="G1454" s="19"/>
      <c r="H1454" s="20" t="s">
        <v>1971</v>
      </c>
      <c r="I1454" s="17" t="s">
        <v>156</v>
      </c>
      <c r="J1454" s="17">
        <v>0.0</v>
      </c>
      <c r="K1454" s="17">
        <v>0.0</v>
      </c>
      <c r="L1454" s="17">
        <v>0.0</v>
      </c>
      <c r="M1454" s="17">
        <v>0.0</v>
      </c>
      <c r="N1454" s="17">
        <v>0.0</v>
      </c>
      <c r="O1454" s="17">
        <v>0.0</v>
      </c>
      <c r="P1454" s="17">
        <v>0.0</v>
      </c>
      <c r="Q1454" s="17">
        <v>0.0</v>
      </c>
      <c r="R1454" s="17">
        <v>0.0</v>
      </c>
      <c r="S1454" s="17">
        <v>0.0</v>
      </c>
      <c r="T1454" s="17">
        <v>0.0</v>
      </c>
      <c r="U1454" s="17">
        <v>0.0</v>
      </c>
    </row>
    <row r="1455" ht="23.25" customHeight="1">
      <c r="A1455" s="20" t="str">
        <f>IF(COUNTIF('Icon Lookup'!C:C,B1455)&gt;0,LOOKUP(B1455,'Icon Lookup'!C:C,'Icon Lookup'!B:B),"")</f>
        <v/>
      </c>
      <c r="B1455" s="21" t="s">
        <v>1972</v>
      </c>
      <c r="C1455" s="20" t="s">
        <v>17</v>
      </c>
      <c r="D1455" s="20">
        <v>51.0</v>
      </c>
      <c r="E1455" s="20" t="s">
        <v>1970</v>
      </c>
      <c r="G1455" s="22"/>
      <c r="H1455" s="23" t="s">
        <v>1973</v>
      </c>
      <c r="I1455" s="20" t="s">
        <v>156</v>
      </c>
      <c r="J1455" s="20">
        <v>0.0</v>
      </c>
      <c r="K1455" s="20">
        <v>0.0</v>
      </c>
      <c r="L1455" s="20">
        <v>0.0</v>
      </c>
      <c r="M1455" s="20">
        <v>0.0</v>
      </c>
      <c r="N1455" s="20">
        <v>0.0</v>
      </c>
      <c r="O1455" s="20">
        <v>0.0</v>
      </c>
      <c r="P1455" s="20">
        <v>0.0</v>
      </c>
      <c r="Q1455" s="20">
        <v>0.0</v>
      </c>
      <c r="R1455" s="20">
        <v>0.0</v>
      </c>
      <c r="S1455" s="20">
        <v>0.0</v>
      </c>
      <c r="T1455" s="20">
        <v>0.0</v>
      </c>
      <c r="U1455" s="20">
        <v>0.0</v>
      </c>
    </row>
    <row r="1456" ht="23.25" customHeight="1">
      <c r="A1456" s="1" t="str">
        <f>IF(COUNTIF('Icon Lookup'!C:C,B1456)&gt;0,LOOKUP(B1456,'Icon Lookup'!C:C,'Icon Lookup'!B:B),"")</f>
        <v/>
      </c>
      <c r="B1456" s="15" t="s">
        <v>1974</v>
      </c>
      <c r="C1456" s="1" t="s">
        <v>17</v>
      </c>
      <c r="D1456" s="1" t="s">
        <v>1975</v>
      </c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</row>
    <row r="1457" ht="23.25" customHeight="1">
      <c r="A1457" s="17" t="str">
        <f>IF(COUNTIF('Icon Lookup'!C:C,B1457)&gt;0,LOOKUP(B1457,'Icon Lookup'!C:C,'Icon Lookup'!B:B),"")</f>
        <v/>
      </c>
      <c r="B1457" s="18" t="s">
        <v>1976</v>
      </c>
      <c r="C1457" s="17" t="s">
        <v>17</v>
      </c>
      <c r="D1457" s="17">
        <v>51.0</v>
      </c>
      <c r="E1457" s="17" t="s">
        <v>916</v>
      </c>
      <c r="G1457" s="19"/>
      <c r="H1457" s="20" t="s">
        <v>1977</v>
      </c>
      <c r="I1457" s="17" t="s">
        <v>94</v>
      </c>
      <c r="J1457" s="17">
        <v>0.0</v>
      </c>
      <c r="K1457" s="17">
        <v>0.0</v>
      </c>
      <c r="L1457" s="17">
        <v>0.0</v>
      </c>
      <c r="M1457" s="17">
        <v>0.0</v>
      </c>
      <c r="N1457" s="17">
        <v>0.0</v>
      </c>
      <c r="O1457" s="17">
        <v>0.0</v>
      </c>
      <c r="P1457" s="17">
        <v>0.0</v>
      </c>
      <c r="Q1457" s="17">
        <v>0.0</v>
      </c>
      <c r="R1457" s="17">
        <v>0.0</v>
      </c>
      <c r="S1457" s="17">
        <v>0.0</v>
      </c>
      <c r="T1457" s="17">
        <v>0.0</v>
      </c>
      <c r="U1457" s="17">
        <v>0.0</v>
      </c>
    </row>
    <row r="1458" ht="23.25" customHeight="1">
      <c r="A1458" s="20" t="str">
        <f>IF(COUNTIF('Icon Lookup'!C:C,B1458)&gt;0,LOOKUP(B1458,'Icon Lookup'!C:C,'Icon Lookup'!B:B),"")</f>
        <v/>
      </c>
      <c r="B1458" s="21" t="s">
        <v>1976</v>
      </c>
      <c r="C1458" s="20" t="s">
        <v>17</v>
      </c>
      <c r="D1458" s="20">
        <v>51.0</v>
      </c>
      <c r="E1458" s="20" t="s">
        <v>916</v>
      </c>
      <c r="G1458" s="22"/>
      <c r="H1458" s="23" t="s">
        <v>1977</v>
      </c>
      <c r="I1458" s="20" t="s">
        <v>94</v>
      </c>
      <c r="J1458" s="20">
        <v>0.0</v>
      </c>
      <c r="K1458" s="20">
        <v>0.0</v>
      </c>
      <c r="L1458" s="20">
        <v>0.0</v>
      </c>
      <c r="M1458" s="20">
        <v>0.0</v>
      </c>
      <c r="N1458" s="20">
        <v>0.0</v>
      </c>
      <c r="O1458" s="20">
        <v>0.0</v>
      </c>
      <c r="P1458" s="20">
        <v>0.0</v>
      </c>
      <c r="Q1458" s="20">
        <v>0.0</v>
      </c>
      <c r="R1458" s="20">
        <v>0.0</v>
      </c>
      <c r="S1458" s="20">
        <v>0.0</v>
      </c>
      <c r="T1458" s="20">
        <v>0.0</v>
      </c>
      <c r="U1458" s="20">
        <v>0.0</v>
      </c>
    </row>
    <row r="1459" ht="23.25" customHeight="1">
      <c r="A1459" s="17" t="str">
        <f>IF(COUNTIF('Icon Lookup'!C:C,B1459)&gt;0,LOOKUP(B1459,'Icon Lookup'!C:C,'Icon Lookup'!B:B),"")</f>
        <v/>
      </c>
      <c r="B1459" s="18" t="s">
        <v>1978</v>
      </c>
      <c r="C1459" s="17" t="s">
        <v>17</v>
      </c>
      <c r="D1459" s="17">
        <v>54.0</v>
      </c>
      <c r="E1459" s="17" t="s">
        <v>916</v>
      </c>
      <c r="G1459" s="19"/>
      <c r="H1459" s="20" t="s">
        <v>1979</v>
      </c>
      <c r="I1459" s="17" t="s">
        <v>94</v>
      </c>
      <c r="J1459" s="17">
        <v>0.0</v>
      </c>
      <c r="K1459" s="17">
        <v>0.0</v>
      </c>
      <c r="L1459" s="17">
        <v>0.0</v>
      </c>
      <c r="M1459" s="17">
        <v>0.0</v>
      </c>
      <c r="N1459" s="17">
        <v>0.0</v>
      </c>
      <c r="O1459" s="17">
        <v>0.0</v>
      </c>
      <c r="P1459" s="17">
        <v>0.0</v>
      </c>
      <c r="Q1459" s="17">
        <v>0.0</v>
      </c>
      <c r="R1459" s="17">
        <v>0.0</v>
      </c>
      <c r="S1459" s="17">
        <v>0.0</v>
      </c>
      <c r="T1459" s="17">
        <v>0.0</v>
      </c>
      <c r="U1459" s="17">
        <v>0.0</v>
      </c>
    </row>
    <row r="1460" ht="23.25" customHeight="1">
      <c r="A1460" s="1" t="str">
        <f>IF(COUNTIF('Icon Lookup'!C:C,B1460)&gt;0,LOOKUP(B1460,'Icon Lookup'!C:C,'Icon Lookup'!B:B),"")</f>
        <v/>
      </c>
      <c r="B1460" s="15" t="s">
        <v>1980</v>
      </c>
      <c r="C1460" s="1" t="s">
        <v>17</v>
      </c>
      <c r="D1460" s="1" t="s">
        <v>1981</v>
      </c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</row>
    <row r="1461" ht="23.25" customHeight="1">
      <c r="A1461" s="20" t="str">
        <f>IF(COUNTIF('Icon Lookup'!C:C,B1461)&gt;0,LOOKUP(B1461,'Icon Lookup'!C:C,'Icon Lookup'!B:B),"")</f>
        <v/>
      </c>
      <c r="B1461" s="21" t="s">
        <v>1982</v>
      </c>
      <c r="C1461" s="20" t="s">
        <v>17</v>
      </c>
      <c r="D1461" s="20">
        <v>50.0</v>
      </c>
      <c r="E1461" s="20" t="s">
        <v>44</v>
      </c>
      <c r="G1461" s="22"/>
      <c r="H1461" s="23" t="s">
        <v>1983</v>
      </c>
      <c r="I1461" s="20" t="s">
        <v>105</v>
      </c>
      <c r="J1461" s="20">
        <v>0.0</v>
      </c>
      <c r="K1461" s="20">
        <v>0.0</v>
      </c>
      <c r="L1461" s="20">
        <v>0.0</v>
      </c>
      <c r="M1461" s="20">
        <v>0.0</v>
      </c>
      <c r="N1461" s="20">
        <v>0.0</v>
      </c>
      <c r="O1461" s="20">
        <v>0.0</v>
      </c>
      <c r="P1461" s="20">
        <v>0.0</v>
      </c>
      <c r="Q1461" s="20">
        <v>0.0</v>
      </c>
      <c r="R1461" s="20">
        <v>0.0</v>
      </c>
      <c r="S1461" s="20">
        <v>0.0</v>
      </c>
      <c r="T1461" s="20">
        <v>0.0</v>
      </c>
      <c r="U1461" s="20">
        <v>0.0</v>
      </c>
    </row>
    <row r="1462" ht="23.25" customHeight="1">
      <c r="A1462" s="17" t="str">
        <f>IF(COUNTIF('Icon Lookup'!C:C,B1462)&gt;0,LOOKUP(B1462,'Icon Lookup'!C:C,'Icon Lookup'!B:B),"")</f>
        <v/>
      </c>
      <c r="B1462" s="18" t="s">
        <v>1984</v>
      </c>
      <c r="C1462" s="17" t="s">
        <v>17</v>
      </c>
      <c r="D1462" s="17">
        <v>54.0</v>
      </c>
      <c r="E1462" s="17" t="s">
        <v>525</v>
      </c>
      <c r="G1462" s="19"/>
      <c r="H1462" s="20" t="s">
        <v>1985</v>
      </c>
      <c r="I1462" s="17" t="s">
        <v>612</v>
      </c>
      <c r="J1462" s="17">
        <v>0.0</v>
      </c>
      <c r="K1462" s="17">
        <v>0.0</v>
      </c>
      <c r="L1462" s="17">
        <v>0.0</v>
      </c>
      <c r="M1462" s="17">
        <v>0.0</v>
      </c>
      <c r="N1462" s="17">
        <v>0.0</v>
      </c>
      <c r="O1462" s="17">
        <v>0.0</v>
      </c>
      <c r="P1462" s="17">
        <v>0.0</v>
      </c>
      <c r="Q1462" s="17">
        <v>0.0</v>
      </c>
      <c r="R1462" s="17">
        <v>0.0</v>
      </c>
      <c r="S1462" s="17">
        <v>0.0</v>
      </c>
      <c r="T1462" s="17">
        <v>0.0</v>
      </c>
      <c r="U1462" s="17">
        <v>0.0</v>
      </c>
    </row>
    <row r="1463" ht="23.25" customHeight="1">
      <c r="A1463" s="1" t="str">
        <f>IF(COUNTIF('Icon Lookup'!C:C,B1463)&gt;0,LOOKUP(B1463,'Icon Lookup'!C:C,'Icon Lookup'!B:B),"")</f>
        <v/>
      </c>
      <c r="B1463" s="15" t="s">
        <v>1986</v>
      </c>
      <c r="C1463" s="1" t="s">
        <v>17</v>
      </c>
      <c r="D1463" s="1" t="s">
        <v>1987</v>
      </c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</row>
    <row r="1464" ht="23.25" customHeight="1">
      <c r="A1464" s="20" t="str">
        <f>IF(COUNTIF('Icon Lookup'!C:C,B1464)&gt;0,LOOKUP(B1464,'Icon Lookup'!C:C,'Icon Lookup'!B:B),"")</f>
        <v/>
      </c>
      <c r="B1464" s="21" t="s">
        <v>524</v>
      </c>
      <c r="C1464" s="20" t="s">
        <v>17</v>
      </c>
      <c r="D1464" s="20">
        <v>50.0</v>
      </c>
      <c r="E1464" s="20" t="s">
        <v>525</v>
      </c>
      <c r="G1464" s="22"/>
      <c r="H1464" s="23" t="s">
        <v>1988</v>
      </c>
      <c r="I1464" s="20" t="s">
        <v>105</v>
      </c>
      <c r="J1464" s="20">
        <v>0.0</v>
      </c>
      <c r="K1464" s="20">
        <v>0.0</v>
      </c>
      <c r="L1464" s="20">
        <v>0.0</v>
      </c>
      <c r="M1464" s="20">
        <v>0.0</v>
      </c>
      <c r="N1464" s="20">
        <v>0.0</v>
      </c>
      <c r="O1464" s="20">
        <v>0.0</v>
      </c>
      <c r="P1464" s="20">
        <v>0.0</v>
      </c>
      <c r="Q1464" s="20">
        <v>0.0</v>
      </c>
      <c r="R1464" s="20">
        <v>0.0</v>
      </c>
      <c r="S1464" s="20">
        <v>0.0</v>
      </c>
      <c r="T1464" s="20">
        <v>0.0</v>
      </c>
      <c r="U1464" s="20">
        <v>0.0</v>
      </c>
    </row>
    <row r="1465" ht="23.25" customHeight="1">
      <c r="A1465" s="17" t="str">
        <f>IF(COUNTIF('Icon Lookup'!C:C,B1465)&gt;0,LOOKUP(B1465,'Icon Lookup'!C:C,'Icon Lookup'!B:B),"")</f>
        <v/>
      </c>
      <c r="B1465" s="18" t="s">
        <v>653</v>
      </c>
      <c r="C1465" s="17" t="s">
        <v>17</v>
      </c>
      <c r="D1465" s="17">
        <v>52.0</v>
      </c>
      <c r="E1465" s="17" t="s">
        <v>525</v>
      </c>
      <c r="G1465" s="19"/>
      <c r="H1465" s="20" t="s">
        <v>1989</v>
      </c>
      <c r="I1465" s="17" t="s">
        <v>105</v>
      </c>
      <c r="J1465" s="17">
        <v>0.0</v>
      </c>
      <c r="K1465" s="17">
        <v>0.0</v>
      </c>
      <c r="L1465" s="17">
        <v>0.0</v>
      </c>
      <c r="M1465" s="17">
        <v>0.0</v>
      </c>
      <c r="N1465" s="17">
        <v>0.0</v>
      </c>
      <c r="O1465" s="17">
        <v>0.0</v>
      </c>
      <c r="P1465" s="17">
        <v>0.0</v>
      </c>
      <c r="Q1465" s="17">
        <v>0.0</v>
      </c>
      <c r="R1465" s="17">
        <v>0.0</v>
      </c>
      <c r="S1465" s="17">
        <v>0.0</v>
      </c>
      <c r="T1465" s="17">
        <v>0.0</v>
      </c>
      <c r="U1465" s="17">
        <v>0.0</v>
      </c>
    </row>
    <row r="1466" ht="23.25" customHeight="1">
      <c r="A1466" s="1" t="str">
        <f>IF(COUNTIF('Icon Lookup'!C:C,B1466)&gt;0,LOOKUP(B1466,'Icon Lookup'!C:C,'Icon Lookup'!B:B),"")</f>
        <v/>
      </c>
      <c r="B1466" s="15" t="s">
        <v>1990</v>
      </c>
      <c r="C1466" s="1" t="s">
        <v>17</v>
      </c>
      <c r="D1466" s="1" t="s">
        <v>1991</v>
      </c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</row>
    <row r="1467" ht="23.25" customHeight="1">
      <c r="A1467" s="20" t="str">
        <f>IF(COUNTIF('Icon Lookup'!C:C,B1467)&gt;0,LOOKUP(B1467,'Icon Lookup'!C:C,'Icon Lookup'!B:B),"")</f>
        <v/>
      </c>
      <c r="B1467" s="21" t="s">
        <v>1959</v>
      </c>
      <c r="C1467" s="20" t="s">
        <v>17</v>
      </c>
      <c r="D1467" s="20">
        <v>50.0</v>
      </c>
      <c r="E1467" s="20" t="s">
        <v>382</v>
      </c>
      <c r="G1467" s="22"/>
      <c r="H1467" s="23" t="s">
        <v>1992</v>
      </c>
      <c r="I1467" s="20" t="s">
        <v>105</v>
      </c>
      <c r="J1467" s="20">
        <v>0.0</v>
      </c>
      <c r="K1467" s="20">
        <v>0.0</v>
      </c>
      <c r="L1467" s="20">
        <v>0.0</v>
      </c>
      <c r="M1467" s="20">
        <v>0.0</v>
      </c>
      <c r="N1467" s="20">
        <v>0.0</v>
      </c>
      <c r="O1467" s="20">
        <v>0.0</v>
      </c>
      <c r="P1467" s="20">
        <v>0.0</v>
      </c>
      <c r="Q1467" s="20">
        <v>0.0</v>
      </c>
      <c r="R1467" s="20">
        <v>0.0</v>
      </c>
      <c r="S1467" s="20">
        <v>0.0</v>
      </c>
      <c r="T1467" s="20">
        <v>0.0</v>
      </c>
      <c r="U1467" s="20">
        <v>0.0</v>
      </c>
    </row>
    <row r="1468" ht="23.25" customHeight="1">
      <c r="A1468" s="17" t="str">
        <f>IF(COUNTIF('Icon Lookup'!C:C,B1468)&gt;0,LOOKUP(B1468,'Icon Lookup'!C:C,'Icon Lookup'!B:B),"")</f>
        <v/>
      </c>
      <c r="B1468" s="18" t="s">
        <v>1993</v>
      </c>
      <c r="C1468" s="17" t="s">
        <v>17</v>
      </c>
      <c r="D1468" s="17">
        <v>54.0</v>
      </c>
      <c r="E1468" s="17" t="s">
        <v>382</v>
      </c>
      <c r="G1468" s="19"/>
      <c r="H1468" s="20" t="s">
        <v>1994</v>
      </c>
      <c r="I1468" s="17" t="s">
        <v>105</v>
      </c>
      <c r="J1468" s="17">
        <v>0.0</v>
      </c>
      <c r="K1468" s="17">
        <v>0.0</v>
      </c>
      <c r="L1468" s="17">
        <v>0.0</v>
      </c>
      <c r="M1468" s="17">
        <v>0.0</v>
      </c>
      <c r="N1468" s="17">
        <v>0.0</v>
      </c>
      <c r="O1468" s="17">
        <v>0.0</v>
      </c>
      <c r="P1468" s="17">
        <v>0.0</v>
      </c>
      <c r="Q1468" s="17">
        <v>0.0</v>
      </c>
      <c r="R1468" s="17">
        <v>0.0</v>
      </c>
      <c r="S1468" s="17">
        <v>0.0</v>
      </c>
      <c r="T1468" s="17">
        <v>0.0</v>
      </c>
      <c r="U1468" s="17">
        <v>0.0</v>
      </c>
    </row>
    <row r="1469" ht="23.25" customHeight="1">
      <c r="A1469" s="1" t="str">
        <f>IF(COUNTIF('Icon Lookup'!C:C,B1469)&gt;0,LOOKUP(B1469,'Icon Lookup'!C:C,'Icon Lookup'!B:B),"")</f>
        <v/>
      </c>
      <c r="B1469" s="15" t="s">
        <v>1995</v>
      </c>
      <c r="C1469" s="1" t="s">
        <v>17</v>
      </c>
      <c r="D1469" s="1" t="s">
        <v>1996</v>
      </c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</row>
    <row r="1470" ht="23.25" customHeight="1">
      <c r="A1470" s="20" t="str">
        <f>IF(COUNTIF('Icon Lookup'!C:C,B1470)&gt;0,LOOKUP(B1470,'Icon Lookup'!C:C,'Icon Lookup'!B:B),"")</f>
        <v/>
      </c>
      <c r="B1470" s="21" t="s">
        <v>419</v>
      </c>
      <c r="C1470" s="20" t="s">
        <v>17</v>
      </c>
      <c r="D1470" s="20">
        <v>52.0</v>
      </c>
      <c r="E1470" s="20" t="s">
        <v>1058</v>
      </c>
      <c r="G1470" s="22"/>
      <c r="H1470" s="23" t="s">
        <v>1997</v>
      </c>
      <c r="I1470" s="20" t="s">
        <v>265</v>
      </c>
      <c r="J1470" s="20">
        <v>0.0</v>
      </c>
      <c r="K1470" s="20">
        <v>0.0</v>
      </c>
      <c r="L1470" s="20">
        <v>0.0</v>
      </c>
      <c r="M1470" s="20">
        <v>0.0</v>
      </c>
      <c r="N1470" s="20">
        <v>0.0</v>
      </c>
      <c r="O1470" s="20">
        <v>0.0</v>
      </c>
      <c r="P1470" s="20">
        <v>0.0</v>
      </c>
      <c r="Q1470" s="20">
        <v>0.0</v>
      </c>
      <c r="R1470" s="20">
        <v>0.0</v>
      </c>
      <c r="S1470" s="20">
        <v>0.0</v>
      </c>
      <c r="T1470" s="20">
        <v>0.0</v>
      </c>
      <c r="U1470" s="20">
        <v>0.0</v>
      </c>
    </row>
    <row r="1471" ht="23.25" customHeight="1">
      <c r="A1471" s="17" t="str">
        <f>IF(COUNTIF('Icon Lookup'!C:C,B1471)&gt;0,LOOKUP(B1471,'Icon Lookup'!C:C,'Icon Lookup'!B:B),"")</f>
        <v/>
      </c>
      <c r="B1471" s="18" t="s">
        <v>405</v>
      </c>
      <c r="C1471" s="17" t="s">
        <v>17</v>
      </c>
      <c r="D1471" s="17">
        <v>52.0</v>
      </c>
      <c r="E1471" s="17" t="s">
        <v>382</v>
      </c>
      <c r="G1471" s="19"/>
      <c r="H1471" s="20" t="s">
        <v>1998</v>
      </c>
      <c r="I1471" s="17" t="s">
        <v>211</v>
      </c>
      <c r="J1471" s="17">
        <v>0.0</v>
      </c>
      <c r="K1471" s="17">
        <v>0.0</v>
      </c>
      <c r="L1471" s="17">
        <v>0.0</v>
      </c>
      <c r="M1471" s="17">
        <v>0.0</v>
      </c>
      <c r="N1471" s="17">
        <v>0.0</v>
      </c>
      <c r="O1471" s="17">
        <v>0.0</v>
      </c>
      <c r="P1471" s="17">
        <v>0.0</v>
      </c>
      <c r="Q1471" s="17">
        <v>0.0</v>
      </c>
      <c r="R1471" s="17">
        <v>0.0</v>
      </c>
      <c r="S1471" s="17">
        <v>0.0</v>
      </c>
      <c r="T1471" s="17">
        <v>0.0</v>
      </c>
      <c r="U1471" s="17">
        <v>0.0</v>
      </c>
    </row>
    <row r="1472" ht="23.25" customHeight="1">
      <c r="A1472" s="20" t="str">
        <f>IF(COUNTIF('Icon Lookup'!C:C,B1472)&gt;0,LOOKUP(B1472,'Icon Lookup'!C:C,'Icon Lookup'!B:B),"")</f>
        <v/>
      </c>
      <c r="B1472" s="21" t="s">
        <v>1999</v>
      </c>
      <c r="C1472" s="20" t="s">
        <v>17</v>
      </c>
      <c r="D1472" s="20">
        <v>52.0</v>
      </c>
      <c r="E1472" s="20" t="s">
        <v>382</v>
      </c>
      <c r="G1472" s="22"/>
      <c r="H1472" s="23" t="s">
        <v>2000</v>
      </c>
      <c r="I1472" s="20" t="s">
        <v>205</v>
      </c>
      <c r="J1472" s="20">
        <v>0.0</v>
      </c>
      <c r="K1472" s="20">
        <v>0.0</v>
      </c>
      <c r="L1472" s="20">
        <v>0.0</v>
      </c>
      <c r="M1472" s="20">
        <v>0.0</v>
      </c>
      <c r="N1472" s="20">
        <v>0.0</v>
      </c>
      <c r="O1472" s="20">
        <v>0.0</v>
      </c>
      <c r="P1472" s="20">
        <v>0.0</v>
      </c>
      <c r="Q1472" s="20">
        <v>0.0</v>
      </c>
      <c r="R1472" s="20">
        <v>0.0</v>
      </c>
      <c r="S1472" s="20">
        <v>0.0</v>
      </c>
      <c r="T1472" s="20">
        <v>0.0</v>
      </c>
      <c r="U1472" s="20">
        <v>0.0</v>
      </c>
    </row>
    <row r="1473" ht="23.25" customHeight="1">
      <c r="A1473" s="1" t="str">
        <f>IF(COUNTIF('Icon Lookup'!C:C,B1473)&gt;0,LOOKUP(B1473,'Icon Lookup'!C:C,'Icon Lookup'!B:B),"")</f>
        <v/>
      </c>
      <c r="B1473" s="15" t="s">
        <v>2001</v>
      </c>
      <c r="C1473" s="1" t="s">
        <v>17</v>
      </c>
      <c r="D1473" s="1" t="s">
        <v>2002</v>
      </c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</row>
    <row r="1474" ht="23.25" customHeight="1">
      <c r="A1474" s="17" t="str">
        <f>IF(COUNTIF('Icon Lookup'!C:C,B1474)&gt;0,LOOKUP(B1474,'Icon Lookup'!C:C,'Icon Lookup'!B:B),"")</f>
        <v/>
      </c>
      <c r="B1474" s="18" t="s">
        <v>1815</v>
      </c>
      <c r="C1474" s="17" t="s">
        <v>17</v>
      </c>
      <c r="D1474" s="17">
        <v>56.0</v>
      </c>
      <c r="E1474" s="17" t="s">
        <v>950</v>
      </c>
      <c r="G1474" s="19"/>
      <c r="H1474" s="20" t="s">
        <v>2003</v>
      </c>
      <c r="I1474" s="17" t="s">
        <v>94</v>
      </c>
      <c r="J1474" s="17">
        <v>0.0</v>
      </c>
      <c r="K1474" s="17">
        <v>0.0</v>
      </c>
      <c r="L1474" s="17">
        <v>0.0</v>
      </c>
      <c r="M1474" s="17">
        <v>0.0</v>
      </c>
      <c r="N1474" s="17">
        <v>0.0</v>
      </c>
      <c r="O1474" s="17">
        <v>0.0</v>
      </c>
      <c r="P1474" s="17">
        <v>0.0</v>
      </c>
      <c r="Q1474" s="17">
        <v>0.0</v>
      </c>
      <c r="R1474" s="17">
        <v>0.0</v>
      </c>
      <c r="S1474" s="17">
        <v>0.0</v>
      </c>
      <c r="T1474" s="17">
        <v>0.0</v>
      </c>
      <c r="U1474" s="17">
        <v>0.0</v>
      </c>
    </row>
    <row r="1475" ht="23.25" customHeight="1">
      <c r="A1475" s="20" t="str">
        <f>IF(COUNTIF('Icon Lookup'!C:C,B1475)&gt;0,LOOKUP(B1475,'Icon Lookup'!C:C,'Icon Lookup'!B:B),"")</f>
        <v/>
      </c>
      <c r="B1475" s="21" t="s">
        <v>1940</v>
      </c>
      <c r="C1475" s="20" t="s">
        <v>17</v>
      </c>
      <c r="D1475" s="20">
        <v>56.0</v>
      </c>
      <c r="E1475" s="20" t="s">
        <v>98</v>
      </c>
      <c r="G1475" s="22"/>
      <c r="H1475" s="23" t="s">
        <v>2004</v>
      </c>
      <c r="I1475" s="20" t="s">
        <v>89</v>
      </c>
      <c r="J1475" s="20">
        <v>0.0</v>
      </c>
      <c r="K1475" s="20">
        <v>0.0</v>
      </c>
      <c r="L1475" s="20">
        <v>0.0</v>
      </c>
      <c r="M1475" s="20">
        <v>0.0</v>
      </c>
      <c r="N1475" s="20">
        <v>0.0</v>
      </c>
      <c r="O1475" s="20">
        <v>0.0</v>
      </c>
      <c r="P1475" s="20">
        <v>0.0</v>
      </c>
      <c r="Q1475" s="20">
        <v>0.0</v>
      </c>
      <c r="R1475" s="20">
        <v>0.0</v>
      </c>
      <c r="S1475" s="20">
        <v>0.0</v>
      </c>
      <c r="T1475" s="20">
        <v>0.0</v>
      </c>
      <c r="U1475" s="20">
        <v>0.0</v>
      </c>
    </row>
    <row r="1476" ht="23.25" customHeight="1">
      <c r="A1476" s="17" t="str">
        <f>IF(COUNTIF('Icon Lookup'!C:C,B1476)&gt;0,LOOKUP(B1476,'Icon Lookup'!C:C,'Icon Lookup'!B:B),"")</f>
        <v/>
      </c>
      <c r="B1476" s="18" t="s">
        <v>1775</v>
      </c>
      <c r="C1476" s="17" t="s">
        <v>17</v>
      </c>
      <c r="D1476" s="17">
        <v>56.0</v>
      </c>
      <c r="E1476" s="17" t="s">
        <v>26</v>
      </c>
      <c r="G1476" s="19"/>
      <c r="H1476" s="20" t="s">
        <v>2005</v>
      </c>
      <c r="I1476" s="17" t="s">
        <v>94</v>
      </c>
      <c r="J1476" s="17">
        <v>0.0</v>
      </c>
      <c r="K1476" s="17">
        <v>0.0</v>
      </c>
      <c r="L1476" s="17">
        <v>0.0</v>
      </c>
      <c r="M1476" s="17">
        <v>0.0</v>
      </c>
      <c r="N1476" s="17">
        <v>0.0</v>
      </c>
      <c r="O1476" s="17">
        <v>0.0</v>
      </c>
      <c r="P1476" s="17">
        <v>0.0</v>
      </c>
      <c r="Q1476" s="17">
        <v>0.0</v>
      </c>
      <c r="R1476" s="17">
        <v>0.0</v>
      </c>
      <c r="S1476" s="17">
        <v>0.0</v>
      </c>
      <c r="T1476" s="17">
        <v>0.0</v>
      </c>
      <c r="U1476" s="17">
        <v>0.0</v>
      </c>
    </row>
    <row r="1477" ht="23.25" customHeight="1">
      <c r="A1477" s="1" t="str">
        <f>IF(COUNTIF('Icon Lookup'!C:C,B1477)&gt;0,LOOKUP(B1477,'Icon Lookup'!C:C,'Icon Lookup'!B:B),"")</f>
        <v/>
      </c>
      <c r="B1477" s="15" t="s">
        <v>2006</v>
      </c>
      <c r="C1477" s="1" t="s">
        <v>17</v>
      </c>
      <c r="D1477" s="1" t="s">
        <v>807</v>
      </c>
      <c r="G1477" s="16"/>
      <c r="H1477" s="26" t="s">
        <v>808</v>
      </c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</row>
    <row r="1478" ht="23.25" customHeight="1">
      <c r="A1478" s="20" t="str">
        <f>IF(COUNTIF('Icon Lookup'!C:C,B1478)&gt;0,LOOKUP(B1478,'Icon Lookup'!C:C,'Icon Lookup'!B:B),"")</f>
        <v/>
      </c>
      <c r="B1478" s="21" t="s">
        <v>2007</v>
      </c>
      <c r="C1478" s="20" t="s">
        <v>17</v>
      </c>
      <c r="D1478" s="20">
        <v>42.0</v>
      </c>
      <c r="E1478" s="20" t="s">
        <v>382</v>
      </c>
      <c r="G1478" s="22"/>
      <c r="H1478" s="23" t="s">
        <v>2008</v>
      </c>
      <c r="I1478" s="20" t="s">
        <v>550</v>
      </c>
      <c r="J1478" s="20">
        <v>96.0</v>
      </c>
      <c r="K1478" s="20">
        <v>96.0</v>
      </c>
      <c r="L1478" s="20">
        <v>56.0</v>
      </c>
      <c r="M1478" s="20">
        <v>0.0</v>
      </c>
      <c r="N1478" s="20">
        <v>88.0</v>
      </c>
      <c r="O1478" s="20">
        <v>0.0</v>
      </c>
      <c r="P1478" s="20">
        <v>9.0</v>
      </c>
      <c r="Q1478" s="20">
        <v>9.0</v>
      </c>
      <c r="R1478" s="20">
        <v>9.0</v>
      </c>
      <c r="S1478" s="20">
        <v>9.0</v>
      </c>
      <c r="T1478" s="20">
        <v>9.0</v>
      </c>
      <c r="U1478" s="20">
        <v>9.0</v>
      </c>
    </row>
    <row r="1479" ht="23.25" customHeight="1">
      <c r="A1479" s="17" t="str">
        <f>IF(COUNTIF('Icon Lookup'!C:C,B1479)&gt;0,LOOKUP(B1479,'Icon Lookup'!C:C,'Icon Lookup'!B:B),"")</f>
        <v/>
      </c>
      <c r="B1479" s="18" t="s">
        <v>741</v>
      </c>
      <c r="C1479" s="17" t="s">
        <v>17</v>
      </c>
      <c r="D1479" s="17">
        <v>41.0</v>
      </c>
      <c r="E1479" s="17" t="str">
        <f>IMAGE("https://www.serebii.net/itemdex/sprites/quickclaw.png")</f>
        <v/>
      </c>
      <c r="F1479" s="17" t="s">
        <v>26</v>
      </c>
      <c r="G1479" s="17" t="s">
        <v>1371</v>
      </c>
      <c r="H1479" s="20" t="s">
        <v>2009</v>
      </c>
      <c r="I1479" s="17" t="s">
        <v>22</v>
      </c>
      <c r="J1479" s="17">
        <v>56.0</v>
      </c>
      <c r="K1479" s="17">
        <v>104.0</v>
      </c>
      <c r="L1479" s="17">
        <v>32.0</v>
      </c>
      <c r="M1479" s="17">
        <v>0.0</v>
      </c>
      <c r="N1479" s="17">
        <v>32.0</v>
      </c>
      <c r="O1479" s="17">
        <v>104.0</v>
      </c>
      <c r="P1479" s="17">
        <v>5.0</v>
      </c>
      <c r="Q1479" s="17">
        <v>5.0</v>
      </c>
      <c r="R1479" s="17">
        <v>5.0</v>
      </c>
      <c r="S1479" s="17">
        <v>5.0</v>
      </c>
      <c r="T1479" s="17">
        <v>5.0</v>
      </c>
      <c r="U1479" s="17">
        <v>5.0</v>
      </c>
    </row>
    <row r="1480" ht="23.25" customHeight="1">
      <c r="A1480" s="20" t="str">
        <f>IF(COUNTIF('Icon Lookup'!C:C,B1480)&gt;0,LOOKUP(B1480,'Icon Lookup'!C:C,'Icon Lookup'!B:B),"")</f>
        <v/>
      </c>
      <c r="B1480" s="21" t="s">
        <v>271</v>
      </c>
      <c r="C1480" s="20" t="s">
        <v>17</v>
      </c>
      <c r="D1480" s="20">
        <v>42.0</v>
      </c>
      <c r="E1480" s="20" t="str">
        <f>IMAGE("https://www.serebii.net/itemdex/sprites/seaincense.png")</f>
        <v/>
      </c>
      <c r="F1480" s="20" t="s">
        <v>44</v>
      </c>
      <c r="G1480" s="20" t="s">
        <v>1494</v>
      </c>
      <c r="H1480" s="23" t="s">
        <v>1505</v>
      </c>
      <c r="I1480" s="20" t="s">
        <v>22</v>
      </c>
      <c r="J1480" s="20">
        <v>40.0</v>
      </c>
      <c r="K1480" s="20">
        <v>96.0</v>
      </c>
      <c r="L1480" s="20">
        <v>40.0</v>
      </c>
      <c r="M1480" s="20">
        <v>0.0</v>
      </c>
      <c r="N1480" s="20">
        <v>40.0</v>
      </c>
      <c r="O1480" s="20">
        <v>96.0</v>
      </c>
      <c r="P1480" s="20">
        <v>6.0</v>
      </c>
      <c r="Q1480" s="20">
        <v>6.0</v>
      </c>
      <c r="R1480" s="20">
        <v>6.0</v>
      </c>
      <c r="S1480" s="20">
        <v>6.0</v>
      </c>
      <c r="T1480" s="20">
        <v>6.0</v>
      </c>
      <c r="U1480" s="20">
        <v>6.0</v>
      </c>
    </row>
    <row r="1481" ht="23.25" customHeight="1">
      <c r="A1481" s="17" t="str">
        <f>IF(COUNTIF('Icon Lookup'!C:C,B1481)&gt;0,LOOKUP(B1481,'Icon Lookup'!C:C,'Icon Lookup'!B:B),"")</f>
        <v/>
      </c>
      <c r="B1481" s="18" t="s">
        <v>851</v>
      </c>
      <c r="C1481" s="17" t="s">
        <v>17</v>
      </c>
      <c r="D1481" s="17">
        <v>43.0</v>
      </c>
      <c r="E1481" s="17" t="s">
        <v>258</v>
      </c>
      <c r="G1481" s="19"/>
      <c r="H1481" s="20" t="s">
        <v>2010</v>
      </c>
      <c r="I1481" s="17" t="s">
        <v>22</v>
      </c>
      <c r="J1481" s="17">
        <v>40.0</v>
      </c>
      <c r="K1481" s="17">
        <v>104.0</v>
      </c>
      <c r="L1481" s="17">
        <v>40.0</v>
      </c>
      <c r="M1481" s="17">
        <v>0.0</v>
      </c>
      <c r="N1481" s="17">
        <v>40.0</v>
      </c>
      <c r="O1481" s="17">
        <v>96.0</v>
      </c>
      <c r="P1481" s="17">
        <v>9.0</v>
      </c>
      <c r="Q1481" s="17">
        <v>9.0</v>
      </c>
      <c r="R1481" s="17">
        <v>9.0</v>
      </c>
      <c r="S1481" s="17">
        <v>9.0</v>
      </c>
      <c r="T1481" s="17">
        <v>9.0</v>
      </c>
      <c r="U1481" s="17">
        <v>9.0</v>
      </c>
    </row>
    <row r="1482" ht="23.25" customHeight="1">
      <c r="A1482" s="20" t="str">
        <f>IF(COUNTIF('Icon Lookup'!C:C,B1482)&gt;0,LOOKUP(B1482,'Icon Lookup'!C:C,'Icon Lookup'!B:B),"")</f>
        <v/>
      </c>
      <c r="B1482" s="21" t="s">
        <v>78</v>
      </c>
      <c r="C1482" s="20" t="s">
        <v>17</v>
      </c>
      <c r="D1482" s="20">
        <v>42.0</v>
      </c>
      <c r="E1482" s="20" t="str">
        <f>IMAGE("https://www.serebii.net/itemdex/sprites/shellbell.png")</f>
        <v/>
      </c>
      <c r="F1482" s="20" t="s">
        <v>79</v>
      </c>
      <c r="G1482" s="20" t="s">
        <v>1495</v>
      </c>
      <c r="H1482" s="23" t="s">
        <v>1315</v>
      </c>
      <c r="I1482" s="20" t="s">
        <v>22</v>
      </c>
      <c r="J1482" s="20">
        <v>40.0</v>
      </c>
      <c r="K1482" s="20">
        <v>64.0</v>
      </c>
      <c r="L1482" s="20">
        <v>16.0</v>
      </c>
      <c r="M1482" s="20">
        <v>0.0</v>
      </c>
      <c r="N1482" s="20">
        <v>16.0</v>
      </c>
      <c r="O1482" s="20">
        <v>64.0</v>
      </c>
      <c r="P1482" s="20">
        <v>7.0</v>
      </c>
      <c r="Q1482" s="20">
        <v>7.0</v>
      </c>
      <c r="R1482" s="20">
        <v>7.0</v>
      </c>
      <c r="S1482" s="20">
        <v>7.0</v>
      </c>
      <c r="T1482" s="20">
        <v>7.0</v>
      </c>
      <c r="U1482" s="20">
        <v>7.0</v>
      </c>
    </row>
    <row r="1483" ht="23.25" customHeight="1">
      <c r="A1483" s="24" t="str">
        <f>IF(COUNTIF('Icon Lookup'!C:C,B1483)&gt;0,LOOKUP(B1483,'Icon Lookup'!C:C,'Icon Lookup'!B:B),"")</f>
        <v/>
      </c>
      <c r="B1483" s="25" t="s">
        <v>730</v>
      </c>
      <c r="C1483" s="24" t="s">
        <v>804</v>
      </c>
      <c r="D1483" s="24">
        <v>45.0</v>
      </c>
      <c r="E1483" s="24" t="str">
        <f>IMAGE("https://www.serebii.net/itemdex/sprites/leftovers.png")</f>
        <v/>
      </c>
      <c r="F1483" s="24" t="s">
        <v>267</v>
      </c>
      <c r="G1483" s="17" t="s">
        <v>859</v>
      </c>
      <c r="H1483" s="20" t="s">
        <v>1507</v>
      </c>
      <c r="I1483" s="24" t="s">
        <v>265</v>
      </c>
      <c r="J1483" s="24">
        <v>164.0</v>
      </c>
      <c r="K1483" s="24">
        <v>52.0</v>
      </c>
      <c r="L1483" s="24">
        <v>52.0</v>
      </c>
      <c r="M1483" s="24">
        <v>52.0</v>
      </c>
      <c r="N1483" s="24">
        <v>124.0</v>
      </c>
      <c r="O1483" s="24">
        <v>0.0</v>
      </c>
      <c r="P1483" s="24">
        <v>11.0</v>
      </c>
      <c r="Q1483" s="24">
        <v>11.0</v>
      </c>
      <c r="R1483" s="24">
        <v>11.0</v>
      </c>
      <c r="S1483" s="24">
        <v>11.0</v>
      </c>
      <c r="T1483" s="24">
        <v>11.0</v>
      </c>
      <c r="U1483" s="24">
        <v>11.0</v>
      </c>
    </row>
    <row r="1484" ht="23.25" customHeight="1">
      <c r="A1484" s="1" t="str">
        <f>IF(COUNTIF('Icon Lookup'!C:C,B1484)&gt;0,LOOKUP(B1484,'Icon Lookup'!C:C,'Icon Lookup'!B:B),"")</f>
        <v/>
      </c>
      <c r="B1484" s="15" t="s">
        <v>2011</v>
      </c>
      <c r="C1484" s="1" t="s">
        <v>17</v>
      </c>
      <c r="D1484" s="1" t="s">
        <v>2012</v>
      </c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</row>
    <row r="1485" ht="23.25" customHeight="1">
      <c r="A1485" s="24" t="str">
        <f>IF(COUNTIF('Icon Lookup'!C:C,B1485)&gt;0,LOOKUP(B1485,'Icon Lookup'!C:C,'Icon Lookup'!B:B),"")</f>
        <v/>
      </c>
      <c r="B1485" s="25" t="s">
        <v>1832</v>
      </c>
      <c r="C1485" s="24" t="s">
        <v>804</v>
      </c>
      <c r="D1485" s="24">
        <v>15.0</v>
      </c>
      <c r="E1485" s="24" t="s">
        <v>2013</v>
      </c>
      <c r="G1485" s="22"/>
      <c r="H1485" s="23" t="s">
        <v>2014</v>
      </c>
      <c r="I1485" s="24" t="s">
        <v>52</v>
      </c>
      <c r="J1485" s="24">
        <v>172.0</v>
      </c>
      <c r="K1485" s="24">
        <v>0.0</v>
      </c>
      <c r="L1485" s="24">
        <v>168.0</v>
      </c>
      <c r="M1485" s="24">
        <v>0.0</v>
      </c>
      <c r="N1485" s="24">
        <v>168.0</v>
      </c>
      <c r="O1485" s="24">
        <v>0.0</v>
      </c>
      <c r="P1485" s="24">
        <v>31.0</v>
      </c>
      <c r="Q1485" s="24">
        <v>0.0</v>
      </c>
      <c r="R1485" s="24">
        <v>31.0</v>
      </c>
      <c r="S1485" s="24">
        <v>0.0</v>
      </c>
      <c r="T1485" s="24">
        <v>31.0</v>
      </c>
      <c r="U1485" s="24">
        <v>0.0</v>
      </c>
    </row>
    <row r="1486" ht="23.25" customHeight="1">
      <c r="A1486" s="1" t="str">
        <f>IF(COUNTIF('Icon Lookup'!C:C,B1486)&gt;0,LOOKUP(B1486,'Icon Lookup'!C:C,'Icon Lookup'!B:B),"")</f>
        <v/>
      </c>
      <c r="B1486" s="15" t="s">
        <v>2015</v>
      </c>
      <c r="C1486" s="1" t="s">
        <v>17</v>
      </c>
      <c r="D1486" s="1" t="s">
        <v>2016</v>
      </c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</row>
    <row r="1487" ht="23.25" customHeight="1">
      <c r="A1487" s="24" t="str">
        <f>IF(COUNTIF('Icon Lookup'!C:C,B1487)&gt;0,LOOKUP(B1487,'Icon Lookup'!C:C,'Icon Lookup'!B:B),"")</f>
        <v/>
      </c>
      <c r="B1487" s="25" t="s">
        <v>910</v>
      </c>
      <c r="C1487" s="24" t="s">
        <v>804</v>
      </c>
      <c r="D1487" s="24">
        <v>34.0</v>
      </c>
      <c r="E1487" s="24" t="s">
        <v>38</v>
      </c>
      <c r="G1487" s="19"/>
      <c r="H1487" s="20" t="s">
        <v>2017</v>
      </c>
      <c r="I1487" s="24" t="s">
        <v>22</v>
      </c>
      <c r="J1487" s="24">
        <v>172.0</v>
      </c>
      <c r="K1487" s="24">
        <v>0.0</v>
      </c>
      <c r="L1487" s="24">
        <v>168.0</v>
      </c>
      <c r="M1487" s="24">
        <v>0.0</v>
      </c>
      <c r="N1487" s="24">
        <v>168.0</v>
      </c>
      <c r="O1487" s="24">
        <v>0.0</v>
      </c>
      <c r="P1487" s="24">
        <v>31.0</v>
      </c>
      <c r="Q1487" s="24">
        <v>0.0</v>
      </c>
      <c r="R1487" s="24">
        <v>31.0</v>
      </c>
      <c r="S1487" s="24">
        <v>0.0</v>
      </c>
      <c r="T1487" s="24">
        <v>31.0</v>
      </c>
      <c r="U1487" s="24">
        <v>0.0</v>
      </c>
    </row>
    <row r="1488" ht="23.25" customHeight="1">
      <c r="A1488" s="1" t="str">
        <f>IF(COUNTIF('Icon Lookup'!C:C,B1488)&gt;0,LOOKUP(B1488,'Icon Lookup'!C:C,'Icon Lookup'!B:B),"")</f>
        <v/>
      </c>
      <c r="B1488" s="15" t="s">
        <v>2018</v>
      </c>
      <c r="C1488" s="1" t="s">
        <v>17</v>
      </c>
      <c r="D1488" s="1" t="s">
        <v>2019</v>
      </c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</row>
    <row r="1489" ht="23.25" customHeight="1">
      <c r="A1489" s="24" t="str">
        <f>IF(COUNTIF('Icon Lookup'!C:C,B1489)&gt;0,LOOKUP(B1489,'Icon Lookup'!C:C,'Icon Lookup'!B:B),"")</f>
        <v/>
      </c>
      <c r="B1489" s="25" t="s">
        <v>2020</v>
      </c>
      <c r="C1489" s="24" t="s">
        <v>804</v>
      </c>
      <c r="D1489" s="24">
        <v>57.0</v>
      </c>
      <c r="E1489" s="24" t="s">
        <v>26</v>
      </c>
      <c r="G1489" s="22"/>
      <c r="H1489" s="23" t="s">
        <v>2021</v>
      </c>
      <c r="I1489" s="24" t="s">
        <v>22</v>
      </c>
      <c r="J1489" s="24">
        <v>172.0</v>
      </c>
      <c r="K1489" s="24">
        <v>0.0</v>
      </c>
      <c r="L1489" s="24">
        <v>168.0</v>
      </c>
      <c r="M1489" s="24">
        <v>0.0</v>
      </c>
      <c r="N1489" s="24">
        <v>168.0</v>
      </c>
      <c r="O1489" s="24">
        <v>0.0</v>
      </c>
      <c r="P1489" s="24">
        <v>31.0</v>
      </c>
      <c r="Q1489" s="24">
        <v>0.0</v>
      </c>
      <c r="R1489" s="24">
        <v>31.0</v>
      </c>
      <c r="S1489" s="24">
        <v>0.0</v>
      </c>
      <c r="T1489" s="24">
        <v>31.0</v>
      </c>
      <c r="U1489" s="24">
        <v>0.0</v>
      </c>
    </row>
    <row r="1490" ht="23.25" customHeight="1">
      <c r="A1490" s="1" t="str">
        <f>IF(COUNTIF('Icon Lookup'!C:C,B1490)&gt;0,LOOKUP(B1490,'Icon Lookup'!C:C,'Icon Lookup'!B:B),"")</f>
        <v/>
      </c>
      <c r="B1490" s="15" t="s">
        <v>2022</v>
      </c>
      <c r="C1490" s="1" t="s">
        <v>17</v>
      </c>
      <c r="D1490" s="1" t="s">
        <v>2023</v>
      </c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</row>
    <row r="1491" ht="23.25" customHeight="1">
      <c r="A1491" s="24" t="str">
        <f>IF(COUNTIF('Icon Lookup'!C:C,B1491)&gt;0,LOOKUP(B1491,'Icon Lookup'!C:C,'Icon Lookup'!B:B),"")</f>
        <v/>
      </c>
      <c r="B1491" s="25" t="s">
        <v>2024</v>
      </c>
      <c r="C1491" s="24" t="s">
        <v>804</v>
      </c>
      <c r="D1491" s="24">
        <v>58.0</v>
      </c>
      <c r="E1491" s="24" t="s">
        <v>161</v>
      </c>
      <c r="G1491" s="19"/>
      <c r="H1491" s="20" t="s">
        <v>2025</v>
      </c>
      <c r="I1491" s="24" t="s">
        <v>52</v>
      </c>
      <c r="J1491" s="24">
        <v>172.0</v>
      </c>
      <c r="K1491" s="24">
        <v>0.0</v>
      </c>
      <c r="L1491" s="24">
        <v>168.0</v>
      </c>
      <c r="M1491" s="24">
        <v>0.0</v>
      </c>
      <c r="N1491" s="24">
        <v>168.0</v>
      </c>
      <c r="O1491" s="24">
        <v>0.0</v>
      </c>
      <c r="P1491" s="24">
        <v>31.0</v>
      </c>
      <c r="Q1491" s="24">
        <v>0.0</v>
      </c>
      <c r="R1491" s="24">
        <v>31.0</v>
      </c>
      <c r="S1491" s="24">
        <v>0.0</v>
      </c>
      <c r="T1491" s="24">
        <v>31.0</v>
      </c>
      <c r="U1491" s="24">
        <v>0.0</v>
      </c>
    </row>
    <row r="1492" ht="23.25" customHeight="1">
      <c r="A1492" s="1" t="str">
        <f>IF(COUNTIF('Icon Lookup'!C:C,B1492)&gt;0,LOOKUP(B1492,'Icon Lookup'!C:C,'Icon Lookup'!B:B),"")</f>
        <v/>
      </c>
      <c r="B1492" s="15" t="s">
        <v>2026</v>
      </c>
      <c r="C1492" s="1" t="s">
        <v>17</v>
      </c>
      <c r="D1492" s="1" t="s">
        <v>2027</v>
      </c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</row>
    <row r="1493" ht="23.25" customHeight="1">
      <c r="A1493" s="24" t="str">
        <f>IF(COUNTIF('Icon Lookup'!C:C,B1493)&gt;0,LOOKUP(B1493,'Icon Lookup'!C:C,'Icon Lookup'!B:B),"")</f>
        <v/>
      </c>
      <c r="B1493" s="25" t="s">
        <v>386</v>
      </c>
      <c r="C1493" s="24" t="s">
        <v>804</v>
      </c>
      <c r="D1493" s="24">
        <v>18.0</v>
      </c>
      <c r="E1493" s="24" t="s">
        <v>387</v>
      </c>
      <c r="G1493" s="22"/>
      <c r="H1493" s="23" t="s">
        <v>1006</v>
      </c>
      <c r="I1493" s="24" t="s">
        <v>52</v>
      </c>
      <c r="J1493" s="24">
        <v>172.0</v>
      </c>
      <c r="K1493" s="24">
        <v>0.0</v>
      </c>
      <c r="L1493" s="24">
        <v>168.0</v>
      </c>
      <c r="M1493" s="24">
        <v>0.0</v>
      </c>
      <c r="N1493" s="24">
        <v>168.0</v>
      </c>
      <c r="O1493" s="24">
        <v>0.0</v>
      </c>
      <c r="P1493" s="24">
        <v>31.0</v>
      </c>
      <c r="Q1493" s="24">
        <v>0.0</v>
      </c>
      <c r="R1493" s="24">
        <v>31.0</v>
      </c>
      <c r="S1493" s="24">
        <v>0.0</v>
      </c>
      <c r="T1493" s="24">
        <v>31.0</v>
      </c>
      <c r="U1493" s="24">
        <v>0.0</v>
      </c>
    </row>
    <row r="1494" ht="23.25" customHeight="1">
      <c r="A1494" s="1" t="str">
        <f>IF(COUNTIF('Icon Lookup'!C:C,B1494)&gt;0,LOOKUP(B1494,'Icon Lookup'!C:C,'Icon Lookup'!B:B),"")</f>
        <v/>
      </c>
      <c r="B1494" s="15" t="s">
        <v>2028</v>
      </c>
      <c r="C1494" s="1" t="s">
        <v>17</v>
      </c>
      <c r="D1494" s="1" t="s">
        <v>2029</v>
      </c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</row>
    <row r="1495" ht="23.25" customHeight="1">
      <c r="A1495" s="17" t="str">
        <f>IF(COUNTIF('Icon Lookup'!C:C,B1495)&gt;0,LOOKUP(B1495,'Icon Lookup'!C:C,'Icon Lookup'!B:B),"")</f>
        <v/>
      </c>
      <c r="B1495" s="18" t="s">
        <v>810</v>
      </c>
      <c r="C1495" s="17" t="s">
        <v>17</v>
      </c>
      <c r="D1495" s="17">
        <v>13.0</v>
      </c>
      <c r="E1495" s="17" t="s">
        <v>267</v>
      </c>
      <c r="G1495" s="19"/>
      <c r="H1495" s="20" t="s">
        <v>2030</v>
      </c>
      <c r="I1495" s="17" t="s">
        <v>822</v>
      </c>
      <c r="J1495" s="17">
        <v>0.0</v>
      </c>
      <c r="K1495" s="17">
        <v>0.0</v>
      </c>
      <c r="L1495" s="17">
        <v>0.0</v>
      </c>
      <c r="M1495" s="17">
        <v>0.0</v>
      </c>
      <c r="N1495" s="17">
        <v>0.0</v>
      </c>
      <c r="O1495" s="17">
        <v>0.0</v>
      </c>
      <c r="P1495" s="17">
        <v>31.0</v>
      </c>
      <c r="Q1495" s="17">
        <v>0.0</v>
      </c>
      <c r="R1495" s="17">
        <v>31.0</v>
      </c>
      <c r="S1495" s="17">
        <v>0.0</v>
      </c>
      <c r="T1495" s="17">
        <v>31.0</v>
      </c>
      <c r="U1495" s="17">
        <v>0.0</v>
      </c>
    </row>
    <row r="1496" ht="23.25" customHeight="1">
      <c r="A1496" s="1" t="str">
        <f>IF(COUNTIF('Icon Lookup'!C:C,B1496)&gt;0,LOOKUP(B1496,'Icon Lookup'!C:C,'Icon Lookup'!B:B),"")</f>
        <v/>
      </c>
      <c r="B1496" s="15" t="s">
        <v>2031</v>
      </c>
      <c r="C1496" s="1" t="s">
        <v>17</v>
      </c>
      <c r="D1496" s="1" t="s">
        <v>2029</v>
      </c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</row>
    <row r="1497" ht="23.25" customHeight="1">
      <c r="A1497" s="20" t="str">
        <f>IF(COUNTIF('Icon Lookup'!C:C,B1497)&gt;0,LOOKUP(B1497,'Icon Lookup'!C:C,'Icon Lookup'!B:B),"")</f>
        <v/>
      </c>
      <c r="B1497" s="21" t="s">
        <v>144</v>
      </c>
      <c r="C1497" s="20" t="s">
        <v>17</v>
      </c>
      <c r="D1497" s="20">
        <v>13.0</v>
      </c>
      <c r="E1497" s="20" t="s">
        <v>145</v>
      </c>
      <c r="G1497" s="22"/>
      <c r="H1497" s="23" t="s">
        <v>2032</v>
      </c>
      <c r="I1497" s="20" t="s">
        <v>22</v>
      </c>
      <c r="J1497" s="20">
        <v>0.0</v>
      </c>
      <c r="K1497" s="20">
        <v>0.0</v>
      </c>
      <c r="L1497" s="20">
        <v>0.0</v>
      </c>
      <c r="M1497" s="20">
        <v>0.0</v>
      </c>
      <c r="N1497" s="20">
        <v>0.0</v>
      </c>
      <c r="O1497" s="20">
        <v>0.0</v>
      </c>
      <c r="P1497" s="20">
        <v>31.0</v>
      </c>
      <c r="Q1497" s="20">
        <v>0.0</v>
      </c>
      <c r="R1497" s="20">
        <v>31.0</v>
      </c>
      <c r="S1497" s="20">
        <v>0.0</v>
      </c>
      <c r="T1497" s="20">
        <v>31.0</v>
      </c>
      <c r="U1497" s="20">
        <v>0.0</v>
      </c>
    </row>
    <row r="1498" ht="23.25" customHeight="1">
      <c r="A1498" s="1" t="str">
        <f>IF(COUNTIF('Icon Lookup'!C:C,B1498)&gt;0,LOOKUP(B1498,'Icon Lookup'!C:C,'Icon Lookup'!B:B),"")</f>
        <v/>
      </c>
      <c r="B1498" s="15" t="s">
        <v>2033</v>
      </c>
      <c r="C1498" s="1" t="s">
        <v>17</v>
      </c>
      <c r="D1498" s="1" t="s">
        <v>2029</v>
      </c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</row>
    <row r="1499" ht="23.25" customHeight="1">
      <c r="A1499" s="17" t="str">
        <f>IF(COUNTIF('Icon Lookup'!C:C,B1499)&gt;0,LOOKUP(B1499,'Icon Lookup'!C:C,'Icon Lookup'!B:B),"")</f>
        <v/>
      </c>
      <c r="B1499" s="18" t="s">
        <v>815</v>
      </c>
      <c r="C1499" s="17" t="s">
        <v>17</v>
      </c>
      <c r="D1499" s="17">
        <v>13.0</v>
      </c>
      <c r="E1499" s="17" t="s">
        <v>374</v>
      </c>
      <c r="G1499" s="19"/>
      <c r="H1499" s="20" t="s">
        <v>2034</v>
      </c>
      <c r="I1499" s="17" t="s">
        <v>94</v>
      </c>
      <c r="J1499" s="17">
        <v>0.0</v>
      </c>
      <c r="K1499" s="17">
        <v>0.0</v>
      </c>
      <c r="L1499" s="17">
        <v>0.0</v>
      </c>
      <c r="M1499" s="17">
        <v>0.0</v>
      </c>
      <c r="N1499" s="17">
        <v>0.0</v>
      </c>
      <c r="O1499" s="17">
        <v>0.0</v>
      </c>
      <c r="P1499" s="17">
        <v>31.0</v>
      </c>
      <c r="Q1499" s="17">
        <v>0.0</v>
      </c>
      <c r="R1499" s="17">
        <v>31.0</v>
      </c>
      <c r="S1499" s="17">
        <v>0.0</v>
      </c>
      <c r="T1499" s="17">
        <v>31.0</v>
      </c>
      <c r="U1499" s="17">
        <v>0.0</v>
      </c>
    </row>
    <row r="1500" ht="23.25" customHeight="1">
      <c r="A1500" s="1" t="str">
        <f>IF(COUNTIF('Icon Lookup'!C:C,B1500)&gt;0,LOOKUP(B1500,'Icon Lookup'!C:C,'Icon Lookup'!B:B),"")</f>
        <v/>
      </c>
      <c r="B1500" s="15" t="s">
        <v>2035</v>
      </c>
      <c r="C1500" s="1" t="s">
        <v>17</v>
      </c>
      <c r="D1500" s="1" t="s">
        <v>2036</v>
      </c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</row>
    <row r="1501" ht="23.25" customHeight="1">
      <c r="A1501" s="20" t="str">
        <f>IF(COUNTIF('Icon Lookup'!C:C,B1501)&gt;0,LOOKUP(B1501,'Icon Lookup'!C:C,'Icon Lookup'!B:B),"")</f>
        <v/>
      </c>
      <c r="B1501" s="21" t="s">
        <v>810</v>
      </c>
      <c r="C1501" s="20" t="s">
        <v>17</v>
      </c>
      <c r="D1501" s="20">
        <v>13.0</v>
      </c>
      <c r="E1501" s="20" t="s">
        <v>267</v>
      </c>
      <c r="G1501" s="22"/>
      <c r="H1501" s="23" t="s">
        <v>2030</v>
      </c>
      <c r="I1501" s="20" t="s">
        <v>822</v>
      </c>
      <c r="J1501" s="20">
        <v>0.0</v>
      </c>
      <c r="K1501" s="20">
        <v>0.0</v>
      </c>
      <c r="L1501" s="20">
        <v>0.0</v>
      </c>
      <c r="M1501" s="20">
        <v>0.0</v>
      </c>
      <c r="N1501" s="20">
        <v>0.0</v>
      </c>
      <c r="O1501" s="20">
        <v>0.0</v>
      </c>
      <c r="P1501" s="20">
        <v>31.0</v>
      </c>
      <c r="Q1501" s="20">
        <v>0.0</v>
      </c>
      <c r="R1501" s="20">
        <v>31.0</v>
      </c>
      <c r="S1501" s="20">
        <v>0.0</v>
      </c>
      <c r="T1501" s="20">
        <v>31.0</v>
      </c>
      <c r="U1501" s="20">
        <v>0.0</v>
      </c>
    </row>
    <row r="1502" ht="23.25" customHeight="1">
      <c r="A1502" s="1" t="str">
        <f>IF(COUNTIF('Icon Lookup'!C:C,B1502)&gt;0,LOOKUP(B1502,'Icon Lookup'!C:C,'Icon Lookup'!B:B),"")</f>
        <v/>
      </c>
      <c r="B1502" s="15" t="s">
        <v>2037</v>
      </c>
      <c r="C1502" s="1" t="s">
        <v>17</v>
      </c>
      <c r="D1502" s="1" t="s">
        <v>2036</v>
      </c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</row>
    <row r="1503" ht="23.25" customHeight="1">
      <c r="A1503" s="17" t="str">
        <f>IF(COUNTIF('Icon Lookup'!C:C,B1503)&gt;0,LOOKUP(B1503,'Icon Lookup'!C:C,'Icon Lookup'!B:B),"")</f>
        <v/>
      </c>
      <c r="B1503" s="18" t="s">
        <v>144</v>
      </c>
      <c r="C1503" s="17" t="s">
        <v>17</v>
      </c>
      <c r="D1503" s="17">
        <v>13.0</v>
      </c>
      <c r="E1503" s="17" t="s">
        <v>145</v>
      </c>
      <c r="G1503" s="19"/>
      <c r="H1503" s="20" t="s">
        <v>2032</v>
      </c>
      <c r="I1503" s="17" t="s">
        <v>22</v>
      </c>
      <c r="J1503" s="17">
        <v>0.0</v>
      </c>
      <c r="K1503" s="17">
        <v>0.0</v>
      </c>
      <c r="L1503" s="17">
        <v>0.0</v>
      </c>
      <c r="M1503" s="17">
        <v>0.0</v>
      </c>
      <c r="N1503" s="17">
        <v>0.0</v>
      </c>
      <c r="O1503" s="17">
        <v>0.0</v>
      </c>
      <c r="P1503" s="17">
        <v>31.0</v>
      </c>
      <c r="Q1503" s="17">
        <v>0.0</v>
      </c>
      <c r="R1503" s="17">
        <v>31.0</v>
      </c>
      <c r="S1503" s="17">
        <v>0.0</v>
      </c>
      <c r="T1503" s="17">
        <v>31.0</v>
      </c>
      <c r="U1503" s="17">
        <v>0.0</v>
      </c>
    </row>
    <row r="1504" ht="23.25" customHeight="1">
      <c r="A1504" s="1" t="str">
        <f>IF(COUNTIF('Icon Lookup'!C:C,B1504)&gt;0,LOOKUP(B1504,'Icon Lookup'!C:C,'Icon Lookup'!B:B),"")</f>
        <v/>
      </c>
      <c r="B1504" s="15" t="s">
        <v>2038</v>
      </c>
      <c r="C1504" s="1" t="s">
        <v>17</v>
      </c>
      <c r="D1504" s="1" t="s">
        <v>2036</v>
      </c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</row>
    <row r="1505" ht="23.25" customHeight="1">
      <c r="A1505" s="20" t="str">
        <f>IF(COUNTIF('Icon Lookup'!C:C,B1505)&gt;0,LOOKUP(B1505,'Icon Lookup'!C:C,'Icon Lookup'!B:B),"")</f>
        <v/>
      </c>
      <c r="B1505" s="21" t="s">
        <v>815</v>
      </c>
      <c r="C1505" s="20" t="s">
        <v>17</v>
      </c>
      <c r="D1505" s="20">
        <v>13.0</v>
      </c>
      <c r="E1505" s="20" t="s">
        <v>374</v>
      </c>
      <c r="G1505" s="22"/>
      <c r="H1505" s="23" t="s">
        <v>2034</v>
      </c>
      <c r="I1505" s="20" t="s">
        <v>94</v>
      </c>
      <c r="J1505" s="20">
        <v>0.0</v>
      </c>
      <c r="K1505" s="20">
        <v>0.0</v>
      </c>
      <c r="L1505" s="20">
        <v>0.0</v>
      </c>
      <c r="M1505" s="20">
        <v>0.0</v>
      </c>
      <c r="N1505" s="20">
        <v>0.0</v>
      </c>
      <c r="O1505" s="20">
        <v>0.0</v>
      </c>
      <c r="P1505" s="20">
        <v>31.0</v>
      </c>
      <c r="Q1505" s="20">
        <v>0.0</v>
      </c>
      <c r="R1505" s="20">
        <v>31.0</v>
      </c>
      <c r="S1505" s="20">
        <v>0.0</v>
      </c>
      <c r="T1505" s="20">
        <v>31.0</v>
      </c>
      <c r="U1505" s="20">
        <v>0.0</v>
      </c>
    </row>
    <row r="1506" ht="23.25" customHeight="1">
      <c r="A1506" s="1" t="str">
        <f>IF(COUNTIF('Icon Lookup'!C:C,B1506)&gt;0,LOOKUP(B1506,'Icon Lookup'!C:C,'Icon Lookup'!B:B),"")</f>
        <v/>
      </c>
      <c r="B1506" s="15" t="s">
        <v>2039</v>
      </c>
      <c r="C1506" s="1" t="s">
        <v>17</v>
      </c>
      <c r="D1506" s="1" t="s">
        <v>807</v>
      </c>
      <c r="G1506" s="16"/>
      <c r="H1506" s="26" t="s">
        <v>808</v>
      </c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</row>
    <row r="1507" ht="23.25" customHeight="1">
      <c r="A1507" s="17" t="str">
        <f>IF(COUNTIF('Icon Lookup'!C:C,B1507)&gt;0,LOOKUP(B1507,'Icon Lookup'!C:C,'Icon Lookup'!B:B),"")</f>
        <v/>
      </c>
      <c r="B1507" s="18" t="s">
        <v>2007</v>
      </c>
      <c r="C1507" s="17" t="s">
        <v>17</v>
      </c>
      <c r="D1507" s="17">
        <v>42.0</v>
      </c>
      <c r="E1507" s="17" t="s">
        <v>382</v>
      </c>
      <c r="G1507" s="19"/>
      <c r="H1507" s="20" t="s">
        <v>2008</v>
      </c>
      <c r="I1507" s="17" t="s">
        <v>550</v>
      </c>
      <c r="J1507" s="17">
        <v>96.0</v>
      </c>
      <c r="K1507" s="17">
        <v>96.0</v>
      </c>
      <c r="L1507" s="17">
        <v>56.0</v>
      </c>
      <c r="M1507" s="17">
        <v>0.0</v>
      </c>
      <c r="N1507" s="17">
        <v>88.0</v>
      </c>
      <c r="O1507" s="17">
        <v>0.0</v>
      </c>
      <c r="P1507" s="17">
        <v>9.0</v>
      </c>
      <c r="Q1507" s="17">
        <v>9.0</v>
      </c>
      <c r="R1507" s="17">
        <v>9.0</v>
      </c>
      <c r="S1507" s="17">
        <v>9.0</v>
      </c>
      <c r="T1507" s="17">
        <v>9.0</v>
      </c>
      <c r="U1507" s="17">
        <v>9.0</v>
      </c>
    </row>
    <row r="1508" ht="23.25" customHeight="1">
      <c r="A1508" s="20" t="str">
        <f>IF(COUNTIF('Icon Lookup'!C:C,B1508)&gt;0,LOOKUP(B1508,'Icon Lookup'!C:C,'Icon Lookup'!B:B),"")</f>
        <v/>
      </c>
      <c r="B1508" s="21" t="s">
        <v>741</v>
      </c>
      <c r="C1508" s="20" t="s">
        <v>17</v>
      </c>
      <c r="D1508" s="20">
        <v>41.0</v>
      </c>
      <c r="E1508" s="20" t="str">
        <f>IMAGE("https://www.serebii.net/itemdex/sprites/quickclaw.png")</f>
        <v/>
      </c>
      <c r="F1508" s="20" t="s">
        <v>26</v>
      </c>
      <c r="G1508" s="20" t="s">
        <v>1371</v>
      </c>
      <c r="H1508" s="23" t="s">
        <v>2009</v>
      </c>
      <c r="I1508" s="20" t="s">
        <v>22</v>
      </c>
      <c r="J1508" s="20">
        <v>56.0</v>
      </c>
      <c r="K1508" s="20">
        <v>104.0</v>
      </c>
      <c r="L1508" s="20">
        <v>32.0</v>
      </c>
      <c r="M1508" s="20">
        <v>0.0</v>
      </c>
      <c r="N1508" s="20">
        <v>32.0</v>
      </c>
      <c r="O1508" s="20">
        <v>104.0</v>
      </c>
      <c r="P1508" s="20">
        <v>5.0</v>
      </c>
      <c r="Q1508" s="20">
        <v>5.0</v>
      </c>
      <c r="R1508" s="20">
        <v>5.0</v>
      </c>
      <c r="S1508" s="20">
        <v>5.0</v>
      </c>
      <c r="T1508" s="20">
        <v>5.0</v>
      </c>
      <c r="U1508" s="20">
        <v>5.0</v>
      </c>
    </row>
    <row r="1509" ht="23.25" customHeight="1">
      <c r="A1509" s="17" t="str">
        <f>IF(COUNTIF('Icon Lookup'!C:C,B1509)&gt;0,LOOKUP(B1509,'Icon Lookup'!C:C,'Icon Lookup'!B:B),"")</f>
        <v/>
      </c>
      <c r="B1509" s="18" t="s">
        <v>271</v>
      </c>
      <c r="C1509" s="17" t="s">
        <v>17</v>
      </c>
      <c r="D1509" s="17">
        <v>42.0</v>
      </c>
      <c r="E1509" s="17" t="str">
        <f>IMAGE("https://www.serebii.net/itemdex/sprites/seaincense.png")</f>
        <v/>
      </c>
      <c r="F1509" s="17" t="s">
        <v>44</v>
      </c>
      <c r="G1509" s="17" t="s">
        <v>1494</v>
      </c>
      <c r="H1509" s="20" t="s">
        <v>1505</v>
      </c>
      <c r="I1509" s="17" t="s">
        <v>22</v>
      </c>
      <c r="J1509" s="17">
        <v>40.0</v>
      </c>
      <c r="K1509" s="17">
        <v>96.0</v>
      </c>
      <c r="L1509" s="17">
        <v>40.0</v>
      </c>
      <c r="M1509" s="17">
        <v>0.0</v>
      </c>
      <c r="N1509" s="17">
        <v>40.0</v>
      </c>
      <c r="O1509" s="17">
        <v>96.0</v>
      </c>
      <c r="P1509" s="17">
        <v>6.0</v>
      </c>
      <c r="Q1509" s="17">
        <v>6.0</v>
      </c>
      <c r="R1509" s="17">
        <v>6.0</v>
      </c>
      <c r="S1509" s="17">
        <v>6.0</v>
      </c>
      <c r="T1509" s="17">
        <v>6.0</v>
      </c>
      <c r="U1509" s="17">
        <v>6.0</v>
      </c>
    </row>
    <row r="1510" ht="23.25" customHeight="1">
      <c r="A1510" s="20" t="str">
        <f>IF(COUNTIF('Icon Lookup'!C:C,B1510)&gt;0,LOOKUP(B1510,'Icon Lookup'!C:C,'Icon Lookup'!B:B),"")</f>
        <v/>
      </c>
      <c r="B1510" s="21" t="s">
        <v>851</v>
      </c>
      <c r="C1510" s="20" t="s">
        <v>17</v>
      </c>
      <c r="D1510" s="20">
        <v>43.0</v>
      </c>
      <c r="E1510" s="20" t="s">
        <v>258</v>
      </c>
      <c r="G1510" s="22"/>
      <c r="H1510" s="23" t="s">
        <v>2010</v>
      </c>
      <c r="I1510" s="20" t="s">
        <v>22</v>
      </c>
      <c r="J1510" s="20">
        <v>40.0</v>
      </c>
      <c r="K1510" s="20">
        <v>104.0</v>
      </c>
      <c r="L1510" s="20">
        <v>40.0</v>
      </c>
      <c r="M1510" s="20">
        <v>0.0</v>
      </c>
      <c r="N1510" s="20">
        <v>40.0</v>
      </c>
      <c r="O1510" s="20">
        <v>96.0</v>
      </c>
      <c r="P1510" s="20">
        <v>9.0</v>
      </c>
      <c r="Q1510" s="20">
        <v>9.0</v>
      </c>
      <c r="R1510" s="20">
        <v>9.0</v>
      </c>
      <c r="S1510" s="20">
        <v>9.0</v>
      </c>
      <c r="T1510" s="20">
        <v>9.0</v>
      </c>
      <c r="U1510" s="20">
        <v>9.0</v>
      </c>
    </row>
    <row r="1511" ht="23.25" customHeight="1">
      <c r="A1511" s="17" t="str">
        <f>IF(COUNTIF('Icon Lookup'!C:C,B1511)&gt;0,LOOKUP(B1511,'Icon Lookup'!C:C,'Icon Lookup'!B:B),"")</f>
        <v/>
      </c>
      <c r="B1511" s="18" t="s">
        <v>198</v>
      </c>
      <c r="C1511" s="17" t="s">
        <v>17</v>
      </c>
      <c r="D1511" s="17">
        <v>42.0</v>
      </c>
      <c r="E1511" s="17" t="str">
        <f>IMAGE("https://www.serebii.net/itemdex/sprites/bigroot.png")</f>
        <v/>
      </c>
      <c r="F1511" s="17" t="s">
        <v>50</v>
      </c>
      <c r="G1511" s="17" t="s">
        <v>1122</v>
      </c>
      <c r="H1511" s="20" t="s">
        <v>2040</v>
      </c>
      <c r="I1511" s="17" t="s">
        <v>52</v>
      </c>
      <c r="J1511" s="17">
        <v>40.0</v>
      </c>
      <c r="K1511" s="17">
        <v>0.0</v>
      </c>
      <c r="L1511" s="17">
        <v>16.0</v>
      </c>
      <c r="M1511" s="17">
        <v>64.0</v>
      </c>
      <c r="N1511" s="17">
        <v>16.0</v>
      </c>
      <c r="O1511" s="17">
        <v>64.0</v>
      </c>
      <c r="P1511" s="17">
        <v>7.0</v>
      </c>
      <c r="Q1511" s="17">
        <v>7.0</v>
      </c>
      <c r="R1511" s="17">
        <v>7.0</v>
      </c>
      <c r="S1511" s="17">
        <v>7.0</v>
      </c>
      <c r="T1511" s="17">
        <v>7.0</v>
      </c>
      <c r="U1511" s="17">
        <v>7.0</v>
      </c>
    </row>
    <row r="1512" ht="23.25" customHeight="1">
      <c r="A1512" s="24" t="str">
        <f>IF(COUNTIF('Icon Lookup'!C:C,B1512)&gt;0,LOOKUP(B1512,'Icon Lookup'!C:C,'Icon Lookup'!B:B),"")</f>
        <v/>
      </c>
      <c r="B1512" s="25" t="s">
        <v>879</v>
      </c>
      <c r="C1512" s="24" t="s">
        <v>804</v>
      </c>
      <c r="D1512" s="24">
        <v>45.0</v>
      </c>
      <c r="E1512" s="24" t="str">
        <f>IMAGE("https://www.serebii.net/itemdex/sprites/shellbell.png")</f>
        <v/>
      </c>
      <c r="F1512" s="24" t="s">
        <v>145</v>
      </c>
      <c r="G1512" s="20" t="s">
        <v>1495</v>
      </c>
      <c r="H1512" s="23" t="s">
        <v>1527</v>
      </c>
      <c r="I1512" s="24" t="s">
        <v>22</v>
      </c>
      <c r="J1512" s="24">
        <v>52.0</v>
      </c>
      <c r="K1512" s="24">
        <v>0.0</v>
      </c>
      <c r="L1512" s="24">
        <v>52.0</v>
      </c>
      <c r="M1512" s="24">
        <v>124.0</v>
      </c>
      <c r="N1512" s="24">
        <v>52.0</v>
      </c>
      <c r="O1512" s="24">
        <v>164.0</v>
      </c>
      <c r="P1512" s="24">
        <v>11.0</v>
      </c>
      <c r="Q1512" s="24">
        <v>11.0</v>
      </c>
      <c r="R1512" s="24">
        <v>11.0</v>
      </c>
      <c r="S1512" s="24">
        <v>11.0</v>
      </c>
      <c r="T1512" s="24">
        <v>11.0</v>
      </c>
      <c r="U1512" s="24">
        <v>11.0</v>
      </c>
    </row>
    <row r="1513" ht="23.25" customHeight="1">
      <c r="A1513" s="1" t="str">
        <f>IF(COUNTIF('Icon Lookup'!C:C,B1513)&gt;0,LOOKUP(B1513,'Icon Lookup'!C:C,'Icon Lookup'!B:B),"")</f>
        <v/>
      </c>
      <c r="B1513" s="15" t="s">
        <v>2041</v>
      </c>
      <c r="C1513" s="1" t="s">
        <v>17</v>
      </c>
      <c r="D1513" s="1" t="s">
        <v>807</v>
      </c>
      <c r="G1513" s="16"/>
      <c r="H1513" s="26" t="s">
        <v>808</v>
      </c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</row>
    <row r="1514" ht="23.25" customHeight="1">
      <c r="A1514" s="17" t="str">
        <f>IF(COUNTIF('Icon Lookup'!C:C,B1514)&gt;0,LOOKUP(B1514,'Icon Lookup'!C:C,'Icon Lookup'!B:B),"")</f>
        <v/>
      </c>
      <c r="B1514" s="18" t="s">
        <v>2007</v>
      </c>
      <c r="C1514" s="17" t="s">
        <v>17</v>
      </c>
      <c r="D1514" s="17">
        <v>42.0</v>
      </c>
      <c r="E1514" s="17" t="s">
        <v>382</v>
      </c>
      <c r="G1514" s="19"/>
      <c r="H1514" s="20" t="s">
        <v>2008</v>
      </c>
      <c r="I1514" s="17" t="s">
        <v>550</v>
      </c>
      <c r="J1514" s="17">
        <v>96.0</v>
      </c>
      <c r="K1514" s="17">
        <v>96.0</v>
      </c>
      <c r="L1514" s="17">
        <v>56.0</v>
      </c>
      <c r="M1514" s="17">
        <v>0.0</v>
      </c>
      <c r="N1514" s="17">
        <v>88.0</v>
      </c>
      <c r="O1514" s="17">
        <v>0.0</v>
      </c>
      <c r="P1514" s="17">
        <v>9.0</v>
      </c>
      <c r="Q1514" s="17">
        <v>9.0</v>
      </c>
      <c r="R1514" s="17">
        <v>9.0</v>
      </c>
      <c r="S1514" s="17">
        <v>9.0</v>
      </c>
      <c r="T1514" s="17">
        <v>9.0</v>
      </c>
      <c r="U1514" s="17">
        <v>9.0</v>
      </c>
    </row>
    <row r="1515" ht="23.25" customHeight="1">
      <c r="A1515" s="20" t="str">
        <f>IF(COUNTIF('Icon Lookup'!C:C,B1515)&gt;0,LOOKUP(B1515,'Icon Lookup'!C:C,'Icon Lookup'!B:B),"")</f>
        <v/>
      </c>
      <c r="B1515" s="21" t="s">
        <v>741</v>
      </c>
      <c r="C1515" s="20" t="s">
        <v>17</v>
      </c>
      <c r="D1515" s="20">
        <v>41.0</v>
      </c>
      <c r="E1515" s="20" t="str">
        <f>IMAGE("https://www.serebii.net/itemdex/sprites/quickclaw.png")</f>
        <v/>
      </c>
      <c r="F1515" s="20" t="s">
        <v>26</v>
      </c>
      <c r="G1515" s="20" t="s">
        <v>1371</v>
      </c>
      <c r="H1515" s="23" t="s">
        <v>2009</v>
      </c>
      <c r="I1515" s="20" t="s">
        <v>22</v>
      </c>
      <c r="J1515" s="20">
        <v>56.0</v>
      </c>
      <c r="K1515" s="20">
        <v>104.0</v>
      </c>
      <c r="L1515" s="20">
        <v>32.0</v>
      </c>
      <c r="M1515" s="20">
        <v>0.0</v>
      </c>
      <c r="N1515" s="20">
        <v>32.0</v>
      </c>
      <c r="O1515" s="20">
        <v>104.0</v>
      </c>
      <c r="P1515" s="20">
        <v>5.0</v>
      </c>
      <c r="Q1515" s="20">
        <v>5.0</v>
      </c>
      <c r="R1515" s="20">
        <v>5.0</v>
      </c>
      <c r="S1515" s="20">
        <v>5.0</v>
      </c>
      <c r="T1515" s="20">
        <v>5.0</v>
      </c>
      <c r="U1515" s="20">
        <v>5.0</v>
      </c>
    </row>
    <row r="1516" ht="23.25" customHeight="1">
      <c r="A1516" s="17" t="str">
        <f>IF(COUNTIF('Icon Lookup'!C:C,B1516)&gt;0,LOOKUP(B1516,'Icon Lookup'!C:C,'Icon Lookup'!B:B),"")</f>
        <v/>
      </c>
      <c r="B1516" s="18" t="s">
        <v>198</v>
      </c>
      <c r="C1516" s="17" t="s">
        <v>17</v>
      </c>
      <c r="D1516" s="17">
        <v>42.0</v>
      </c>
      <c r="E1516" s="17" t="str">
        <f>IMAGE("https://www.serebii.net/itemdex/sprites/bigroot.png")</f>
        <v/>
      </c>
      <c r="F1516" s="17" t="s">
        <v>959</v>
      </c>
      <c r="G1516" s="17" t="s">
        <v>1122</v>
      </c>
      <c r="H1516" s="20" t="s">
        <v>1512</v>
      </c>
      <c r="I1516" s="17" t="s">
        <v>52</v>
      </c>
      <c r="J1516" s="17">
        <v>40.0</v>
      </c>
      <c r="K1516" s="17">
        <v>0.0</v>
      </c>
      <c r="L1516" s="17">
        <v>40.0</v>
      </c>
      <c r="M1516" s="17">
        <v>96.0</v>
      </c>
      <c r="N1516" s="17">
        <v>40.0</v>
      </c>
      <c r="O1516" s="17">
        <v>96.0</v>
      </c>
      <c r="P1516" s="17">
        <v>6.0</v>
      </c>
      <c r="Q1516" s="17">
        <v>6.0</v>
      </c>
      <c r="R1516" s="17">
        <v>6.0</v>
      </c>
      <c r="S1516" s="17">
        <v>6.0</v>
      </c>
      <c r="T1516" s="17">
        <v>6.0</v>
      </c>
      <c r="U1516" s="17">
        <v>6.0</v>
      </c>
    </row>
    <row r="1517" ht="23.25" customHeight="1">
      <c r="A1517" s="20" t="str">
        <f>IF(COUNTIF('Icon Lookup'!C:C,B1517)&gt;0,LOOKUP(B1517,'Icon Lookup'!C:C,'Icon Lookup'!B:B),"")</f>
        <v/>
      </c>
      <c r="B1517" s="21" t="s">
        <v>851</v>
      </c>
      <c r="C1517" s="20" t="s">
        <v>17</v>
      </c>
      <c r="D1517" s="20">
        <v>43.0</v>
      </c>
      <c r="E1517" s="20" t="s">
        <v>258</v>
      </c>
      <c r="G1517" s="22"/>
      <c r="H1517" s="23" t="s">
        <v>2010</v>
      </c>
      <c r="I1517" s="20" t="s">
        <v>22</v>
      </c>
      <c r="J1517" s="20">
        <v>40.0</v>
      </c>
      <c r="K1517" s="20">
        <v>104.0</v>
      </c>
      <c r="L1517" s="20">
        <v>40.0</v>
      </c>
      <c r="M1517" s="20">
        <v>0.0</v>
      </c>
      <c r="N1517" s="20">
        <v>40.0</v>
      </c>
      <c r="O1517" s="20">
        <v>96.0</v>
      </c>
      <c r="P1517" s="20">
        <v>9.0</v>
      </c>
      <c r="Q1517" s="20">
        <v>9.0</v>
      </c>
      <c r="R1517" s="20">
        <v>9.0</v>
      </c>
      <c r="S1517" s="20">
        <v>9.0</v>
      </c>
      <c r="T1517" s="20">
        <v>9.0</v>
      </c>
      <c r="U1517" s="20">
        <v>9.0</v>
      </c>
    </row>
    <row r="1518" ht="23.25" customHeight="1">
      <c r="A1518" s="17" t="str">
        <f>IF(COUNTIF('Icon Lookup'!C:C,B1518)&gt;0,LOOKUP(B1518,'Icon Lookup'!C:C,'Icon Lookup'!B:B),"")</f>
        <v/>
      </c>
      <c r="B1518" s="18" t="s">
        <v>78</v>
      </c>
      <c r="C1518" s="17" t="s">
        <v>17</v>
      </c>
      <c r="D1518" s="17">
        <v>42.0</v>
      </c>
      <c r="E1518" s="17" t="str">
        <f>IMAGE("https://www.serebii.net/itemdex/sprites/shellbell.png")</f>
        <v/>
      </c>
      <c r="F1518" s="17" t="s">
        <v>79</v>
      </c>
      <c r="G1518" s="17" t="s">
        <v>1495</v>
      </c>
      <c r="H1518" s="20" t="s">
        <v>1513</v>
      </c>
      <c r="I1518" s="17" t="s">
        <v>22</v>
      </c>
      <c r="J1518" s="17">
        <v>40.0</v>
      </c>
      <c r="K1518" s="17">
        <v>64.0</v>
      </c>
      <c r="L1518" s="17">
        <v>16.0</v>
      </c>
      <c r="M1518" s="17">
        <v>0.0</v>
      </c>
      <c r="N1518" s="17">
        <v>16.0</v>
      </c>
      <c r="O1518" s="17">
        <v>64.0</v>
      </c>
      <c r="P1518" s="17">
        <v>7.0</v>
      </c>
      <c r="Q1518" s="17">
        <v>7.0</v>
      </c>
      <c r="R1518" s="17">
        <v>7.0</v>
      </c>
      <c r="S1518" s="17">
        <v>7.0</v>
      </c>
      <c r="T1518" s="17">
        <v>7.0</v>
      </c>
      <c r="U1518" s="17">
        <v>7.0</v>
      </c>
    </row>
    <row r="1519" ht="23.25" customHeight="1">
      <c r="A1519" s="24" t="str">
        <f>IF(COUNTIF('Icon Lookup'!C:C,B1519)&gt;0,LOOKUP(B1519,'Icon Lookup'!C:C,'Icon Lookup'!B:B),"")</f>
        <v/>
      </c>
      <c r="B1519" s="25" t="s">
        <v>737</v>
      </c>
      <c r="C1519" s="24" t="s">
        <v>804</v>
      </c>
      <c r="D1519" s="24">
        <v>45.0</v>
      </c>
      <c r="E1519" s="24" t="str">
        <f>IMAGE("https://www.serebii.net/itemdex/sprites/seaincense.png")</f>
        <v/>
      </c>
      <c r="F1519" s="24" t="s">
        <v>374</v>
      </c>
      <c r="G1519" s="20" t="s">
        <v>1494</v>
      </c>
      <c r="H1519" s="23" t="s">
        <v>1514</v>
      </c>
      <c r="I1519" s="24" t="s">
        <v>52</v>
      </c>
      <c r="J1519" s="24">
        <v>52.0</v>
      </c>
      <c r="K1519" s="24">
        <v>124.0</v>
      </c>
      <c r="L1519" s="24">
        <v>52.0</v>
      </c>
      <c r="M1519" s="24">
        <v>0.0</v>
      </c>
      <c r="N1519" s="24">
        <v>52.0</v>
      </c>
      <c r="O1519" s="24">
        <v>164.0</v>
      </c>
      <c r="P1519" s="24">
        <v>11.0</v>
      </c>
      <c r="Q1519" s="24">
        <v>11.0</v>
      </c>
      <c r="R1519" s="24">
        <v>11.0</v>
      </c>
      <c r="S1519" s="24">
        <v>11.0</v>
      </c>
      <c r="T1519" s="24">
        <v>11.0</v>
      </c>
      <c r="U1519" s="24">
        <v>11.0</v>
      </c>
    </row>
    <row r="1520" ht="23.25" customHeight="1">
      <c r="A1520" s="1" t="str">
        <f>IF(COUNTIF('Icon Lookup'!C:C,B1520)&gt;0,LOOKUP(B1520,'Icon Lookup'!C:C,'Icon Lookup'!B:B),"")</f>
        <v/>
      </c>
      <c r="B1520" s="15" t="s">
        <v>2042</v>
      </c>
      <c r="C1520" s="1" t="s">
        <v>17</v>
      </c>
      <c r="D1520" s="1" t="s">
        <v>2029</v>
      </c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</row>
    <row r="1521" ht="23.25" customHeight="1">
      <c r="A1521" s="17" t="str">
        <f>IF(COUNTIF('Icon Lookup'!C:C,B1521)&gt;0,LOOKUP(B1521,'Icon Lookup'!C:C,'Icon Lookup'!B:B),"")</f>
        <v/>
      </c>
      <c r="B1521" s="18" t="s">
        <v>245</v>
      </c>
      <c r="C1521" s="17" t="s">
        <v>17</v>
      </c>
      <c r="D1521" s="17">
        <v>25.0</v>
      </c>
      <c r="E1521" s="17" t="s">
        <v>218</v>
      </c>
      <c r="G1521" s="19"/>
      <c r="H1521" s="20" t="s">
        <v>2043</v>
      </c>
      <c r="I1521" s="17" t="s">
        <v>905</v>
      </c>
      <c r="J1521" s="17">
        <v>172.0</v>
      </c>
      <c r="K1521" s="17">
        <v>0.0</v>
      </c>
      <c r="L1521" s="17">
        <v>168.0</v>
      </c>
      <c r="M1521" s="17">
        <v>0.0</v>
      </c>
      <c r="N1521" s="17">
        <v>168.0</v>
      </c>
      <c r="O1521" s="17">
        <v>0.0</v>
      </c>
      <c r="P1521" s="17">
        <v>31.0</v>
      </c>
      <c r="Q1521" s="17">
        <v>0.0</v>
      </c>
      <c r="R1521" s="17">
        <v>31.0</v>
      </c>
      <c r="S1521" s="17">
        <v>0.0</v>
      </c>
      <c r="T1521" s="17">
        <v>31.0</v>
      </c>
      <c r="U1521" s="17">
        <v>0.0</v>
      </c>
    </row>
    <row r="1522" ht="23.25" customHeight="1">
      <c r="A1522" s="20" t="str">
        <f>IF(COUNTIF('Icon Lookup'!C:C,B1522)&gt;0,LOOKUP(B1522,'Icon Lookup'!C:C,'Icon Lookup'!B:B),"")</f>
        <v/>
      </c>
      <c r="B1522" s="21" t="s">
        <v>386</v>
      </c>
      <c r="C1522" s="20" t="s">
        <v>17</v>
      </c>
      <c r="D1522" s="20">
        <v>25.0</v>
      </c>
      <c r="E1522" s="20" t="s">
        <v>387</v>
      </c>
      <c r="G1522" s="22"/>
      <c r="H1522" s="23" t="s">
        <v>1006</v>
      </c>
      <c r="I1522" s="20" t="s">
        <v>612</v>
      </c>
      <c r="J1522" s="20">
        <v>172.0</v>
      </c>
      <c r="K1522" s="20">
        <v>0.0</v>
      </c>
      <c r="L1522" s="20">
        <v>168.0</v>
      </c>
      <c r="M1522" s="20">
        <v>0.0</v>
      </c>
      <c r="N1522" s="20">
        <v>168.0</v>
      </c>
      <c r="O1522" s="20">
        <v>0.0</v>
      </c>
      <c r="P1522" s="20">
        <v>31.0</v>
      </c>
      <c r="Q1522" s="20">
        <v>0.0</v>
      </c>
      <c r="R1522" s="20">
        <v>31.0</v>
      </c>
      <c r="S1522" s="20">
        <v>0.0</v>
      </c>
      <c r="T1522" s="20">
        <v>31.0</v>
      </c>
      <c r="U1522" s="20">
        <v>0.0</v>
      </c>
    </row>
    <row r="1523" ht="23.25" customHeight="1">
      <c r="A1523" s="17" t="str">
        <f>IF(COUNTIF('Icon Lookup'!C:C,B1523)&gt;0,LOOKUP(B1523,'Icon Lookup'!C:C,'Icon Lookup'!B:B),"")</f>
        <v/>
      </c>
      <c r="B1523" s="18" t="s">
        <v>373</v>
      </c>
      <c r="C1523" s="17" t="s">
        <v>17</v>
      </c>
      <c r="D1523" s="17">
        <v>28.0</v>
      </c>
      <c r="E1523" s="17" t="s">
        <v>374</v>
      </c>
      <c r="G1523" s="19"/>
      <c r="H1523" s="20" t="s">
        <v>2044</v>
      </c>
      <c r="I1523" s="17" t="s">
        <v>94</v>
      </c>
      <c r="J1523" s="17">
        <v>172.0</v>
      </c>
      <c r="K1523" s="17">
        <v>0.0</v>
      </c>
      <c r="L1523" s="17">
        <v>168.0</v>
      </c>
      <c r="M1523" s="17">
        <v>0.0</v>
      </c>
      <c r="N1523" s="17">
        <v>168.0</v>
      </c>
      <c r="O1523" s="17">
        <v>0.0</v>
      </c>
      <c r="P1523" s="17">
        <v>31.0</v>
      </c>
      <c r="Q1523" s="17">
        <v>0.0</v>
      </c>
      <c r="R1523" s="17">
        <v>31.0</v>
      </c>
      <c r="S1523" s="17">
        <v>0.0</v>
      </c>
      <c r="T1523" s="17">
        <v>31.0</v>
      </c>
      <c r="U1523" s="17">
        <v>0.0</v>
      </c>
    </row>
    <row r="1524" ht="23.25" customHeight="1">
      <c r="A1524" s="1" t="str">
        <f>IF(COUNTIF('Icon Lookup'!C:C,B1524)&gt;0,LOOKUP(B1524,'Icon Lookup'!C:C,'Icon Lookup'!B:B),"")</f>
        <v/>
      </c>
      <c r="B1524" s="15" t="s">
        <v>2045</v>
      </c>
      <c r="C1524" s="1" t="s">
        <v>17</v>
      </c>
      <c r="D1524" s="1" t="s">
        <v>2029</v>
      </c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</row>
    <row r="1525" ht="23.25" customHeight="1">
      <c r="A1525" s="20" t="str">
        <f>IF(COUNTIF('Icon Lookup'!C:C,B1525)&gt;0,LOOKUP(B1525,'Icon Lookup'!C:C,'Icon Lookup'!B:B),"")</f>
        <v/>
      </c>
      <c r="B1525" s="21" t="s">
        <v>245</v>
      </c>
      <c r="C1525" s="20" t="s">
        <v>17</v>
      </c>
      <c r="D1525" s="20">
        <v>25.0</v>
      </c>
      <c r="E1525" s="20" t="s">
        <v>218</v>
      </c>
      <c r="G1525" s="22"/>
      <c r="H1525" s="23" t="s">
        <v>2043</v>
      </c>
      <c r="I1525" s="20" t="s">
        <v>905</v>
      </c>
      <c r="J1525" s="20">
        <v>172.0</v>
      </c>
      <c r="K1525" s="20">
        <v>0.0</v>
      </c>
      <c r="L1525" s="20">
        <v>168.0</v>
      </c>
      <c r="M1525" s="20">
        <v>0.0</v>
      </c>
      <c r="N1525" s="20">
        <v>168.0</v>
      </c>
      <c r="O1525" s="20">
        <v>0.0</v>
      </c>
      <c r="P1525" s="20">
        <v>31.0</v>
      </c>
      <c r="Q1525" s="20">
        <v>0.0</v>
      </c>
      <c r="R1525" s="20">
        <v>31.0</v>
      </c>
      <c r="S1525" s="20">
        <v>0.0</v>
      </c>
      <c r="T1525" s="20">
        <v>31.0</v>
      </c>
      <c r="U1525" s="20">
        <v>0.0</v>
      </c>
    </row>
    <row r="1526" ht="23.25" customHeight="1">
      <c r="A1526" s="17" t="str">
        <f>IF(COUNTIF('Icon Lookup'!C:C,B1526)&gt;0,LOOKUP(B1526,'Icon Lookup'!C:C,'Icon Lookup'!B:B),"")</f>
        <v/>
      </c>
      <c r="B1526" s="18" t="s">
        <v>386</v>
      </c>
      <c r="C1526" s="17" t="s">
        <v>17</v>
      </c>
      <c r="D1526" s="17">
        <v>25.0</v>
      </c>
      <c r="E1526" s="17" t="s">
        <v>387</v>
      </c>
      <c r="G1526" s="19"/>
      <c r="H1526" s="20" t="s">
        <v>1006</v>
      </c>
      <c r="I1526" s="17" t="s">
        <v>612</v>
      </c>
      <c r="J1526" s="17">
        <v>172.0</v>
      </c>
      <c r="K1526" s="17">
        <v>0.0</v>
      </c>
      <c r="L1526" s="17">
        <v>168.0</v>
      </c>
      <c r="M1526" s="17">
        <v>0.0</v>
      </c>
      <c r="N1526" s="17">
        <v>168.0</v>
      </c>
      <c r="O1526" s="17">
        <v>0.0</v>
      </c>
      <c r="P1526" s="17">
        <v>31.0</v>
      </c>
      <c r="Q1526" s="17">
        <v>0.0</v>
      </c>
      <c r="R1526" s="17">
        <v>31.0</v>
      </c>
      <c r="S1526" s="17">
        <v>0.0</v>
      </c>
      <c r="T1526" s="17">
        <v>31.0</v>
      </c>
      <c r="U1526" s="17">
        <v>0.0</v>
      </c>
    </row>
    <row r="1527" ht="23.25" customHeight="1">
      <c r="A1527" s="20" t="str">
        <f>IF(COUNTIF('Icon Lookup'!C:C,B1527)&gt;0,LOOKUP(B1527,'Icon Lookup'!C:C,'Icon Lookup'!B:B),"")</f>
        <v/>
      </c>
      <c r="B1527" s="21" t="s">
        <v>266</v>
      </c>
      <c r="C1527" s="20" t="s">
        <v>17</v>
      </c>
      <c r="D1527" s="20">
        <v>28.0</v>
      </c>
      <c r="E1527" s="20" t="s">
        <v>267</v>
      </c>
      <c r="G1527" s="22"/>
      <c r="H1527" s="23" t="s">
        <v>268</v>
      </c>
      <c r="I1527" s="20" t="s">
        <v>822</v>
      </c>
      <c r="J1527" s="20">
        <v>172.0</v>
      </c>
      <c r="K1527" s="20">
        <v>0.0</v>
      </c>
      <c r="L1527" s="20">
        <v>168.0</v>
      </c>
      <c r="M1527" s="20">
        <v>0.0</v>
      </c>
      <c r="N1527" s="20">
        <v>168.0</v>
      </c>
      <c r="O1527" s="20">
        <v>0.0</v>
      </c>
      <c r="P1527" s="20">
        <v>31.0</v>
      </c>
      <c r="Q1527" s="20">
        <v>0.0</v>
      </c>
      <c r="R1527" s="20">
        <v>31.0</v>
      </c>
      <c r="S1527" s="20">
        <v>0.0</v>
      </c>
      <c r="T1527" s="20">
        <v>31.0</v>
      </c>
      <c r="U1527" s="20">
        <v>0.0</v>
      </c>
    </row>
    <row r="1528" ht="23.25" customHeight="1">
      <c r="A1528" s="1" t="str">
        <f>IF(COUNTIF('Icon Lookup'!C:C,B1528)&gt;0,LOOKUP(B1528,'Icon Lookup'!C:C,'Icon Lookup'!B:B),"")</f>
        <v/>
      </c>
      <c r="B1528" s="15" t="s">
        <v>2046</v>
      </c>
      <c r="C1528" s="1" t="s">
        <v>17</v>
      </c>
      <c r="D1528" s="1" t="s">
        <v>2029</v>
      </c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</row>
    <row r="1529" ht="23.25" customHeight="1">
      <c r="A1529" s="17" t="str">
        <f>IF(COUNTIF('Icon Lookup'!C:C,B1529)&gt;0,LOOKUP(B1529,'Icon Lookup'!C:C,'Icon Lookup'!B:B),"")</f>
        <v/>
      </c>
      <c r="B1529" s="18" t="s">
        <v>245</v>
      </c>
      <c r="C1529" s="17" t="s">
        <v>17</v>
      </c>
      <c r="D1529" s="17">
        <v>25.0</v>
      </c>
      <c r="E1529" s="17" t="s">
        <v>218</v>
      </c>
      <c r="G1529" s="19"/>
      <c r="H1529" s="20" t="s">
        <v>2043</v>
      </c>
      <c r="I1529" s="17" t="s">
        <v>905</v>
      </c>
      <c r="J1529" s="17">
        <v>172.0</v>
      </c>
      <c r="K1529" s="17">
        <v>0.0</v>
      </c>
      <c r="L1529" s="17">
        <v>168.0</v>
      </c>
      <c r="M1529" s="17">
        <v>0.0</v>
      </c>
      <c r="N1529" s="17">
        <v>168.0</v>
      </c>
      <c r="O1529" s="17">
        <v>0.0</v>
      </c>
      <c r="P1529" s="17">
        <v>31.0</v>
      </c>
      <c r="Q1529" s="17">
        <v>0.0</v>
      </c>
      <c r="R1529" s="17">
        <v>31.0</v>
      </c>
      <c r="S1529" s="17">
        <v>0.0</v>
      </c>
      <c r="T1529" s="17">
        <v>31.0</v>
      </c>
      <c r="U1529" s="17">
        <v>0.0</v>
      </c>
    </row>
    <row r="1530" ht="23.25" customHeight="1">
      <c r="A1530" s="20" t="str">
        <f>IF(COUNTIF('Icon Lookup'!C:C,B1530)&gt;0,LOOKUP(B1530,'Icon Lookup'!C:C,'Icon Lookup'!B:B),"")</f>
        <v/>
      </c>
      <c r="B1530" s="21" t="s">
        <v>386</v>
      </c>
      <c r="C1530" s="20" t="s">
        <v>17</v>
      </c>
      <c r="D1530" s="20">
        <v>25.0</v>
      </c>
      <c r="E1530" s="20" t="s">
        <v>387</v>
      </c>
      <c r="G1530" s="22"/>
      <c r="H1530" s="23" t="s">
        <v>1006</v>
      </c>
      <c r="I1530" s="20" t="s">
        <v>612</v>
      </c>
      <c r="J1530" s="20">
        <v>172.0</v>
      </c>
      <c r="K1530" s="20">
        <v>0.0</v>
      </c>
      <c r="L1530" s="20">
        <v>168.0</v>
      </c>
      <c r="M1530" s="20">
        <v>0.0</v>
      </c>
      <c r="N1530" s="20">
        <v>168.0</v>
      </c>
      <c r="O1530" s="20">
        <v>0.0</v>
      </c>
      <c r="P1530" s="20">
        <v>31.0</v>
      </c>
      <c r="Q1530" s="20">
        <v>0.0</v>
      </c>
      <c r="R1530" s="20">
        <v>31.0</v>
      </c>
      <c r="S1530" s="20">
        <v>0.0</v>
      </c>
      <c r="T1530" s="20">
        <v>31.0</v>
      </c>
      <c r="U1530" s="20">
        <v>0.0</v>
      </c>
    </row>
    <row r="1531" ht="23.25" customHeight="1">
      <c r="A1531" s="17" t="str">
        <f>IF(COUNTIF('Icon Lookup'!C:C,B1531)&gt;0,LOOKUP(B1531,'Icon Lookup'!C:C,'Icon Lookup'!B:B),"")</f>
        <v/>
      </c>
      <c r="B1531" s="18" t="s">
        <v>965</v>
      </c>
      <c r="C1531" s="17" t="s">
        <v>17</v>
      </c>
      <c r="D1531" s="17">
        <v>28.0</v>
      </c>
      <c r="E1531" s="17" t="s">
        <v>145</v>
      </c>
      <c r="G1531" s="19"/>
      <c r="H1531" s="20" t="s">
        <v>2047</v>
      </c>
      <c r="I1531" s="17" t="s">
        <v>22</v>
      </c>
      <c r="J1531" s="17">
        <v>172.0</v>
      </c>
      <c r="K1531" s="17">
        <v>0.0</v>
      </c>
      <c r="L1531" s="17">
        <v>168.0</v>
      </c>
      <c r="M1531" s="17">
        <v>0.0</v>
      </c>
      <c r="N1531" s="17">
        <v>168.0</v>
      </c>
      <c r="O1531" s="17">
        <v>0.0</v>
      </c>
      <c r="P1531" s="17">
        <v>31.0</v>
      </c>
      <c r="Q1531" s="17">
        <v>0.0</v>
      </c>
      <c r="R1531" s="17">
        <v>31.0</v>
      </c>
      <c r="S1531" s="17">
        <v>0.0</v>
      </c>
      <c r="T1531" s="17">
        <v>31.0</v>
      </c>
      <c r="U1531" s="17">
        <v>0.0</v>
      </c>
    </row>
    <row r="1532" ht="23.25" customHeight="1">
      <c r="A1532" s="1" t="str">
        <f>IF(COUNTIF('Icon Lookup'!C:C,B1532)&gt;0,LOOKUP(B1532,'Icon Lookup'!C:C,'Icon Lookup'!B:B),"")</f>
        <v/>
      </c>
      <c r="B1532" s="15" t="s">
        <v>2048</v>
      </c>
      <c r="C1532" s="1" t="s">
        <v>17</v>
      </c>
      <c r="D1532" s="1" t="s">
        <v>2036</v>
      </c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</row>
    <row r="1533" ht="23.25" customHeight="1">
      <c r="A1533" s="20" t="str">
        <f>IF(COUNTIF('Icon Lookup'!C:C,B1533)&gt;0,LOOKUP(B1533,'Icon Lookup'!C:C,'Icon Lookup'!B:B),"")</f>
        <v/>
      </c>
      <c r="B1533" s="21" t="s">
        <v>245</v>
      </c>
      <c r="C1533" s="20" t="s">
        <v>17</v>
      </c>
      <c r="D1533" s="20">
        <v>25.0</v>
      </c>
      <c r="E1533" s="20" t="s">
        <v>218</v>
      </c>
      <c r="G1533" s="22"/>
      <c r="H1533" s="23" t="s">
        <v>2043</v>
      </c>
      <c r="I1533" s="20" t="s">
        <v>905</v>
      </c>
      <c r="J1533" s="20">
        <v>172.0</v>
      </c>
      <c r="K1533" s="20">
        <v>0.0</v>
      </c>
      <c r="L1533" s="20">
        <v>168.0</v>
      </c>
      <c r="M1533" s="20">
        <v>0.0</v>
      </c>
      <c r="N1533" s="20">
        <v>168.0</v>
      </c>
      <c r="O1533" s="20">
        <v>0.0</v>
      </c>
      <c r="P1533" s="20">
        <v>31.0</v>
      </c>
      <c r="Q1533" s="20">
        <v>0.0</v>
      </c>
      <c r="R1533" s="20">
        <v>31.0</v>
      </c>
      <c r="S1533" s="20">
        <v>0.0</v>
      </c>
      <c r="T1533" s="20">
        <v>31.0</v>
      </c>
      <c r="U1533" s="20">
        <v>0.0</v>
      </c>
    </row>
    <row r="1534" ht="23.25" customHeight="1">
      <c r="A1534" s="17" t="str">
        <f>IF(COUNTIF('Icon Lookup'!C:C,B1534)&gt;0,LOOKUP(B1534,'Icon Lookup'!C:C,'Icon Lookup'!B:B),"")</f>
        <v/>
      </c>
      <c r="B1534" s="18" t="s">
        <v>386</v>
      </c>
      <c r="C1534" s="17" t="s">
        <v>17</v>
      </c>
      <c r="D1534" s="17">
        <v>25.0</v>
      </c>
      <c r="E1534" s="17" t="s">
        <v>387</v>
      </c>
      <c r="G1534" s="19"/>
      <c r="H1534" s="20" t="s">
        <v>1006</v>
      </c>
      <c r="I1534" s="17" t="s">
        <v>612</v>
      </c>
      <c r="J1534" s="17">
        <v>172.0</v>
      </c>
      <c r="K1534" s="17">
        <v>0.0</v>
      </c>
      <c r="L1534" s="17">
        <v>168.0</v>
      </c>
      <c r="M1534" s="17">
        <v>0.0</v>
      </c>
      <c r="N1534" s="17">
        <v>168.0</v>
      </c>
      <c r="O1534" s="17">
        <v>0.0</v>
      </c>
      <c r="P1534" s="17">
        <v>31.0</v>
      </c>
      <c r="Q1534" s="17">
        <v>0.0</v>
      </c>
      <c r="R1534" s="17">
        <v>31.0</v>
      </c>
      <c r="S1534" s="17">
        <v>0.0</v>
      </c>
      <c r="T1534" s="17">
        <v>31.0</v>
      </c>
      <c r="U1534" s="17">
        <v>0.0</v>
      </c>
    </row>
    <row r="1535" ht="23.25" customHeight="1">
      <c r="A1535" s="20" t="str">
        <f>IF(COUNTIF('Icon Lookup'!C:C,B1535)&gt;0,LOOKUP(B1535,'Icon Lookup'!C:C,'Icon Lookup'!B:B),"")</f>
        <v/>
      </c>
      <c r="B1535" s="21" t="s">
        <v>373</v>
      </c>
      <c r="C1535" s="20" t="s">
        <v>17</v>
      </c>
      <c r="D1535" s="20">
        <v>28.0</v>
      </c>
      <c r="E1535" s="20" t="s">
        <v>374</v>
      </c>
      <c r="G1535" s="22"/>
      <c r="H1535" s="23" t="s">
        <v>2044</v>
      </c>
      <c r="I1535" s="20" t="s">
        <v>94</v>
      </c>
      <c r="J1535" s="20">
        <v>172.0</v>
      </c>
      <c r="K1535" s="20">
        <v>0.0</v>
      </c>
      <c r="L1535" s="20">
        <v>168.0</v>
      </c>
      <c r="M1535" s="20">
        <v>0.0</v>
      </c>
      <c r="N1535" s="20">
        <v>168.0</v>
      </c>
      <c r="O1535" s="20">
        <v>0.0</v>
      </c>
      <c r="P1535" s="20">
        <v>31.0</v>
      </c>
      <c r="Q1535" s="20">
        <v>0.0</v>
      </c>
      <c r="R1535" s="20">
        <v>31.0</v>
      </c>
      <c r="S1535" s="20">
        <v>0.0</v>
      </c>
      <c r="T1535" s="20">
        <v>31.0</v>
      </c>
      <c r="U1535" s="20">
        <v>0.0</v>
      </c>
    </row>
    <row r="1536" ht="23.25" customHeight="1">
      <c r="A1536" s="1" t="str">
        <f>IF(COUNTIF('Icon Lookup'!C:C,B1536)&gt;0,LOOKUP(B1536,'Icon Lookup'!C:C,'Icon Lookup'!B:B),"")</f>
        <v/>
      </c>
      <c r="B1536" s="15" t="s">
        <v>2049</v>
      </c>
      <c r="C1536" s="1" t="s">
        <v>17</v>
      </c>
      <c r="D1536" s="1" t="s">
        <v>2036</v>
      </c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</row>
    <row r="1537" ht="23.25" customHeight="1">
      <c r="A1537" s="17" t="str">
        <f>IF(COUNTIF('Icon Lookup'!C:C,B1537)&gt;0,LOOKUP(B1537,'Icon Lookup'!C:C,'Icon Lookup'!B:B),"")</f>
        <v/>
      </c>
      <c r="B1537" s="18" t="s">
        <v>245</v>
      </c>
      <c r="C1537" s="17" t="s">
        <v>17</v>
      </c>
      <c r="D1537" s="17">
        <v>25.0</v>
      </c>
      <c r="E1537" s="17" t="s">
        <v>218</v>
      </c>
      <c r="G1537" s="19"/>
      <c r="H1537" s="20" t="s">
        <v>2043</v>
      </c>
      <c r="I1537" s="17" t="s">
        <v>905</v>
      </c>
      <c r="J1537" s="17">
        <v>172.0</v>
      </c>
      <c r="K1537" s="17">
        <v>0.0</v>
      </c>
      <c r="L1537" s="17">
        <v>168.0</v>
      </c>
      <c r="M1537" s="17">
        <v>0.0</v>
      </c>
      <c r="N1537" s="17">
        <v>168.0</v>
      </c>
      <c r="O1537" s="17">
        <v>0.0</v>
      </c>
      <c r="P1537" s="17">
        <v>31.0</v>
      </c>
      <c r="Q1537" s="17">
        <v>0.0</v>
      </c>
      <c r="R1537" s="17">
        <v>31.0</v>
      </c>
      <c r="S1537" s="17">
        <v>0.0</v>
      </c>
      <c r="T1537" s="17">
        <v>31.0</v>
      </c>
      <c r="U1537" s="17">
        <v>0.0</v>
      </c>
    </row>
    <row r="1538" ht="23.25" customHeight="1">
      <c r="A1538" s="20" t="str">
        <f>IF(COUNTIF('Icon Lookup'!C:C,B1538)&gt;0,LOOKUP(B1538,'Icon Lookup'!C:C,'Icon Lookup'!B:B),"")</f>
        <v/>
      </c>
      <c r="B1538" s="21" t="s">
        <v>386</v>
      </c>
      <c r="C1538" s="20" t="s">
        <v>17</v>
      </c>
      <c r="D1538" s="20">
        <v>25.0</v>
      </c>
      <c r="E1538" s="20" t="s">
        <v>387</v>
      </c>
      <c r="G1538" s="22"/>
      <c r="H1538" s="23" t="s">
        <v>1006</v>
      </c>
      <c r="I1538" s="20" t="s">
        <v>612</v>
      </c>
      <c r="J1538" s="20">
        <v>172.0</v>
      </c>
      <c r="K1538" s="20">
        <v>0.0</v>
      </c>
      <c r="L1538" s="20">
        <v>168.0</v>
      </c>
      <c r="M1538" s="20">
        <v>0.0</v>
      </c>
      <c r="N1538" s="20">
        <v>168.0</v>
      </c>
      <c r="O1538" s="20">
        <v>0.0</v>
      </c>
      <c r="P1538" s="20">
        <v>31.0</v>
      </c>
      <c r="Q1538" s="20">
        <v>0.0</v>
      </c>
      <c r="R1538" s="20">
        <v>31.0</v>
      </c>
      <c r="S1538" s="20">
        <v>0.0</v>
      </c>
      <c r="T1538" s="20">
        <v>31.0</v>
      </c>
      <c r="U1538" s="20">
        <v>0.0</v>
      </c>
    </row>
    <row r="1539" ht="23.25" customHeight="1">
      <c r="A1539" s="17" t="str">
        <f>IF(COUNTIF('Icon Lookup'!C:C,B1539)&gt;0,LOOKUP(B1539,'Icon Lookup'!C:C,'Icon Lookup'!B:B),"")</f>
        <v/>
      </c>
      <c r="B1539" s="18" t="s">
        <v>266</v>
      </c>
      <c r="C1539" s="17" t="s">
        <v>17</v>
      </c>
      <c r="D1539" s="17">
        <v>28.0</v>
      </c>
      <c r="E1539" s="17" t="s">
        <v>267</v>
      </c>
      <c r="G1539" s="19"/>
      <c r="H1539" s="20" t="s">
        <v>268</v>
      </c>
      <c r="I1539" s="17" t="s">
        <v>822</v>
      </c>
      <c r="J1539" s="17">
        <v>172.0</v>
      </c>
      <c r="K1539" s="17">
        <v>0.0</v>
      </c>
      <c r="L1539" s="17">
        <v>168.0</v>
      </c>
      <c r="M1539" s="17">
        <v>0.0</v>
      </c>
      <c r="N1539" s="17">
        <v>168.0</v>
      </c>
      <c r="O1539" s="17">
        <v>0.0</v>
      </c>
      <c r="P1539" s="17">
        <v>31.0</v>
      </c>
      <c r="Q1539" s="17">
        <v>0.0</v>
      </c>
      <c r="R1539" s="17">
        <v>31.0</v>
      </c>
      <c r="S1539" s="17">
        <v>0.0</v>
      </c>
      <c r="T1539" s="17">
        <v>31.0</v>
      </c>
      <c r="U1539" s="17">
        <v>0.0</v>
      </c>
    </row>
    <row r="1540" ht="23.25" customHeight="1">
      <c r="A1540" s="1" t="str">
        <f>IF(COUNTIF('Icon Lookup'!C:C,B1540)&gt;0,LOOKUP(B1540,'Icon Lookup'!C:C,'Icon Lookup'!B:B),"")</f>
        <v/>
      </c>
      <c r="B1540" s="15" t="s">
        <v>2050</v>
      </c>
      <c r="C1540" s="1" t="s">
        <v>17</v>
      </c>
      <c r="D1540" s="1" t="s">
        <v>2036</v>
      </c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</row>
    <row r="1541" ht="23.25" customHeight="1">
      <c r="A1541" s="20" t="str">
        <f>IF(COUNTIF('Icon Lookup'!C:C,B1541)&gt;0,LOOKUP(B1541,'Icon Lookup'!C:C,'Icon Lookup'!B:B),"")</f>
        <v/>
      </c>
      <c r="B1541" s="21" t="s">
        <v>245</v>
      </c>
      <c r="C1541" s="20" t="s">
        <v>17</v>
      </c>
      <c r="D1541" s="20">
        <v>25.0</v>
      </c>
      <c r="E1541" s="20" t="s">
        <v>218</v>
      </c>
      <c r="G1541" s="22"/>
      <c r="H1541" s="23" t="s">
        <v>2043</v>
      </c>
      <c r="I1541" s="20" t="s">
        <v>905</v>
      </c>
      <c r="J1541" s="20">
        <v>172.0</v>
      </c>
      <c r="K1541" s="20">
        <v>0.0</v>
      </c>
      <c r="L1541" s="20">
        <v>168.0</v>
      </c>
      <c r="M1541" s="20">
        <v>0.0</v>
      </c>
      <c r="N1541" s="20">
        <v>168.0</v>
      </c>
      <c r="O1541" s="20">
        <v>0.0</v>
      </c>
      <c r="P1541" s="20">
        <v>31.0</v>
      </c>
      <c r="Q1541" s="20">
        <v>0.0</v>
      </c>
      <c r="R1541" s="20">
        <v>31.0</v>
      </c>
      <c r="S1541" s="20">
        <v>0.0</v>
      </c>
      <c r="T1541" s="20">
        <v>31.0</v>
      </c>
      <c r="U1541" s="20">
        <v>0.0</v>
      </c>
    </row>
    <row r="1542" ht="23.25" customHeight="1">
      <c r="A1542" s="17" t="str">
        <f>IF(COUNTIF('Icon Lookup'!C:C,B1542)&gt;0,LOOKUP(B1542,'Icon Lookup'!C:C,'Icon Lookup'!B:B),"")</f>
        <v/>
      </c>
      <c r="B1542" s="18" t="s">
        <v>386</v>
      </c>
      <c r="C1542" s="17" t="s">
        <v>17</v>
      </c>
      <c r="D1542" s="17">
        <v>25.0</v>
      </c>
      <c r="E1542" s="17" t="s">
        <v>387</v>
      </c>
      <c r="G1542" s="19"/>
      <c r="H1542" s="20" t="s">
        <v>1006</v>
      </c>
      <c r="I1542" s="17" t="s">
        <v>612</v>
      </c>
      <c r="J1542" s="17">
        <v>172.0</v>
      </c>
      <c r="K1542" s="17">
        <v>0.0</v>
      </c>
      <c r="L1542" s="17">
        <v>168.0</v>
      </c>
      <c r="M1542" s="17">
        <v>0.0</v>
      </c>
      <c r="N1542" s="17">
        <v>168.0</v>
      </c>
      <c r="O1542" s="17">
        <v>0.0</v>
      </c>
      <c r="P1542" s="17">
        <v>31.0</v>
      </c>
      <c r="Q1542" s="17">
        <v>0.0</v>
      </c>
      <c r="R1542" s="17">
        <v>31.0</v>
      </c>
      <c r="S1542" s="17">
        <v>0.0</v>
      </c>
      <c r="T1542" s="17">
        <v>31.0</v>
      </c>
      <c r="U1542" s="17">
        <v>0.0</v>
      </c>
    </row>
    <row r="1543" ht="23.25" customHeight="1">
      <c r="A1543" s="20" t="str">
        <f>IF(COUNTIF('Icon Lookup'!C:C,B1543)&gt;0,LOOKUP(B1543,'Icon Lookup'!C:C,'Icon Lookup'!B:B),"")</f>
        <v/>
      </c>
      <c r="B1543" s="21" t="s">
        <v>965</v>
      </c>
      <c r="C1543" s="20" t="s">
        <v>17</v>
      </c>
      <c r="D1543" s="20">
        <v>28.0</v>
      </c>
      <c r="E1543" s="20" t="s">
        <v>145</v>
      </c>
      <c r="G1543" s="22"/>
      <c r="H1543" s="23" t="s">
        <v>2047</v>
      </c>
      <c r="I1543" s="20" t="s">
        <v>22</v>
      </c>
      <c r="J1543" s="20">
        <v>172.0</v>
      </c>
      <c r="K1543" s="20">
        <v>0.0</v>
      </c>
      <c r="L1543" s="20">
        <v>168.0</v>
      </c>
      <c r="M1543" s="20">
        <v>0.0</v>
      </c>
      <c r="N1543" s="20">
        <v>168.0</v>
      </c>
      <c r="O1543" s="20">
        <v>0.0</v>
      </c>
      <c r="P1543" s="20">
        <v>31.0</v>
      </c>
      <c r="Q1543" s="20">
        <v>0.0</v>
      </c>
      <c r="R1543" s="20">
        <v>31.0</v>
      </c>
      <c r="S1543" s="20">
        <v>0.0</v>
      </c>
      <c r="T1543" s="20">
        <v>31.0</v>
      </c>
      <c r="U1543" s="20">
        <v>0.0</v>
      </c>
    </row>
    <row r="1544" ht="23.25" customHeight="1">
      <c r="A1544" s="1" t="str">
        <f>IF(COUNTIF('Icon Lookup'!C:C,B1544)&gt;0,LOOKUP(B1544,'Icon Lookup'!C:C,'Icon Lookup'!B:B),"")</f>
        <v/>
      </c>
      <c r="B1544" s="15" t="s">
        <v>2051</v>
      </c>
      <c r="C1544" s="1" t="s">
        <v>17</v>
      </c>
      <c r="D1544" s="1" t="s">
        <v>104</v>
      </c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</row>
    <row r="1545" ht="23.25" customHeight="1">
      <c r="A1545" s="17" t="str">
        <f>IF(COUNTIF('Icon Lookup'!C:C,B1545)&gt;0,LOOKUP(B1545,'Icon Lookup'!C:C,'Icon Lookup'!B:B),"")</f>
        <v/>
      </c>
      <c r="B1545" s="18" t="s">
        <v>49</v>
      </c>
      <c r="C1545" s="17" t="s">
        <v>17</v>
      </c>
      <c r="D1545" s="17">
        <v>19.0</v>
      </c>
      <c r="E1545" s="17" t="s">
        <v>50</v>
      </c>
      <c r="G1545" s="19"/>
      <c r="H1545" s="20" t="s">
        <v>51</v>
      </c>
      <c r="I1545" s="17" t="s">
        <v>105</v>
      </c>
      <c r="J1545" s="17">
        <v>0.0</v>
      </c>
      <c r="K1545" s="17">
        <v>0.0</v>
      </c>
      <c r="L1545" s="17">
        <v>0.0</v>
      </c>
      <c r="M1545" s="17">
        <v>0.0</v>
      </c>
      <c r="N1545" s="17">
        <v>0.0</v>
      </c>
      <c r="O1545" s="17">
        <v>0.0</v>
      </c>
      <c r="P1545" s="17">
        <v>0.0</v>
      </c>
      <c r="Q1545" s="17">
        <v>0.0</v>
      </c>
      <c r="R1545" s="17">
        <v>0.0</v>
      </c>
      <c r="S1545" s="17">
        <v>0.0</v>
      </c>
      <c r="T1545" s="17">
        <v>0.0</v>
      </c>
      <c r="U1545" s="17">
        <v>0.0</v>
      </c>
    </row>
    <row r="1546" ht="23.25" customHeight="1">
      <c r="A1546" s="1" t="str">
        <f>IF(COUNTIF('Icon Lookup'!C:C,B1546)&gt;0,LOOKUP(B1546,'Icon Lookup'!C:C,'Icon Lookup'!B:B),"")</f>
        <v/>
      </c>
      <c r="B1546" s="15" t="s">
        <v>2052</v>
      </c>
      <c r="C1546" s="1" t="s">
        <v>17</v>
      </c>
      <c r="D1546" s="1" t="s">
        <v>104</v>
      </c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</row>
    <row r="1547" ht="23.25" customHeight="1">
      <c r="A1547" s="20" t="str">
        <f>IF(COUNTIF('Icon Lookup'!C:C,B1547)&gt;0,LOOKUP(B1547,'Icon Lookup'!C:C,'Icon Lookup'!B:B),"")</f>
        <v/>
      </c>
      <c r="B1547" s="21" t="s">
        <v>198</v>
      </c>
      <c r="C1547" s="20" t="s">
        <v>17</v>
      </c>
      <c r="D1547" s="20">
        <v>31.0</v>
      </c>
      <c r="E1547" s="20" t="s">
        <v>50</v>
      </c>
      <c r="G1547" s="22"/>
      <c r="H1547" s="23" t="s">
        <v>2053</v>
      </c>
      <c r="I1547" s="20" t="s">
        <v>105</v>
      </c>
      <c r="J1547" s="20">
        <v>0.0</v>
      </c>
      <c r="K1547" s="20">
        <v>0.0</v>
      </c>
      <c r="L1547" s="20">
        <v>0.0</v>
      </c>
      <c r="M1547" s="20">
        <v>0.0</v>
      </c>
      <c r="N1547" s="20">
        <v>0.0</v>
      </c>
      <c r="O1547" s="20">
        <v>0.0</v>
      </c>
      <c r="P1547" s="20">
        <v>0.0</v>
      </c>
      <c r="Q1547" s="20">
        <v>0.0</v>
      </c>
      <c r="R1547" s="20">
        <v>0.0</v>
      </c>
      <c r="S1547" s="20">
        <v>0.0</v>
      </c>
      <c r="T1547" s="20">
        <v>0.0</v>
      </c>
      <c r="U1547" s="20">
        <v>0.0</v>
      </c>
    </row>
    <row r="1548" ht="23.25" customHeight="1">
      <c r="A1548" s="1" t="str">
        <f>IF(COUNTIF('Icon Lookup'!C:C,B1548)&gt;0,LOOKUP(B1548,'Icon Lookup'!C:C,'Icon Lookup'!B:B),"")</f>
        <v/>
      </c>
      <c r="B1548" s="15" t="s">
        <v>2054</v>
      </c>
      <c r="C1548" s="1" t="s">
        <v>17</v>
      </c>
      <c r="D1548" s="1" t="s">
        <v>104</v>
      </c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</row>
    <row r="1549" ht="23.25" customHeight="1">
      <c r="A1549" s="17" t="str">
        <f>IF(COUNTIF('Icon Lookup'!C:C,B1549)&gt;0,LOOKUP(B1549,'Icon Lookup'!C:C,'Icon Lookup'!B:B),"")</f>
        <v/>
      </c>
      <c r="B1549" s="18" t="s">
        <v>198</v>
      </c>
      <c r="C1549" s="17" t="s">
        <v>17</v>
      </c>
      <c r="D1549" s="17">
        <v>55.0</v>
      </c>
      <c r="E1549" s="17" t="s">
        <v>50</v>
      </c>
      <c r="G1549" s="19"/>
      <c r="H1549" s="20" t="s">
        <v>2055</v>
      </c>
      <c r="I1549" s="17" t="s">
        <v>105</v>
      </c>
      <c r="J1549" s="17">
        <v>0.0</v>
      </c>
      <c r="K1549" s="17">
        <v>0.0</v>
      </c>
      <c r="L1549" s="17">
        <v>0.0</v>
      </c>
      <c r="M1549" s="17">
        <v>0.0</v>
      </c>
      <c r="N1549" s="17">
        <v>0.0</v>
      </c>
      <c r="O1549" s="17">
        <v>0.0</v>
      </c>
      <c r="P1549" s="17">
        <v>0.0</v>
      </c>
      <c r="Q1549" s="17">
        <v>0.0</v>
      </c>
      <c r="R1549" s="17">
        <v>0.0</v>
      </c>
      <c r="S1549" s="17">
        <v>0.0</v>
      </c>
      <c r="T1549" s="17">
        <v>0.0</v>
      </c>
      <c r="U1549" s="17">
        <v>0.0</v>
      </c>
    </row>
    <row r="1550" ht="23.25" customHeight="1">
      <c r="A1550" s="1" t="str">
        <f>IF(COUNTIF('Icon Lookup'!C:C,B1550)&gt;0,LOOKUP(B1550,'Icon Lookup'!C:C,'Icon Lookup'!B:B),"")</f>
        <v/>
      </c>
      <c r="B1550" s="15" t="s">
        <v>2056</v>
      </c>
      <c r="C1550" s="1" t="s">
        <v>17</v>
      </c>
      <c r="D1550" s="1" t="s">
        <v>2057</v>
      </c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</row>
    <row r="1551" ht="23.25" customHeight="1">
      <c r="A1551" s="20" t="str">
        <f>IF(COUNTIF('Icon Lookup'!C:C,B1551)&gt;0,LOOKUP(B1551,'Icon Lookup'!C:C,'Icon Lookup'!B:B),"")</f>
        <v/>
      </c>
      <c r="B1551" s="21" t="s">
        <v>476</v>
      </c>
      <c r="C1551" s="20" t="s">
        <v>17</v>
      </c>
      <c r="D1551" s="20">
        <v>29.0</v>
      </c>
      <c r="E1551" s="20" t="s">
        <v>203</v>
      </c>
      <c r="G1551" s="22"/>
      <c r="H1551" s="23" t="s">
        <v>2058</v>
      </c>
      <c r="I1551" s="20" t="s">
        <v>205</v>
      </c>
      <c r="J1551" s="20">
        <v>0.0</v>
      </c>
      <c r="K1551" s="20">
        <v>0.0</v>
      </c>
      <c r="L1551" s="20">
        <v>0.0</v>
      </c>
      <c r="M1551" s="20">
        <v>0.0</v>
      </c>
      <c r="N1551" s="20">
        <v>0.0</v>
      </c>
      <c r="O1551" s="20">
        <v>0.0</v>
      </c>
      <c r="P1551" s="20">
        <v>0.0</v>
      </c>
      <c r="Q1551" s="20">
        <v>0.0</v>
      </c>
      <c r="R1551" s="20">
        <v>0.0</v>
      </c>
      <c r="S1551" s="20">
        <v>0.0</v>
      </c>
      <c r="T1551" s="20">
        <v>0.0</v>
      </c>
      <c r="U1551" s="20">
        <v>0.0</v>
      </c>
    </row>
    <row r="1552" ht="23.25" customHeight="1">
      <c r="A1552" s="17" t="str">
        <f>IF(COUNTIF('Icon Lookup'!C:C,B1552)&gt;0,LOOKUP(B1552,'Icon Lookup'!C:C,'Icon Lookup'!B:B),"")</f>
        <v/>
      </c>
      <c r="B1552" s="18" t="s">
        <v>488</v>
      </c>
      <c r="C1552" s="17" t="s">
        <v>17</v>
      </c>
      <c r="D1552" s="17">
        <v>29.0</v>
      </c>
      <c r="E1552" s="17" t="s">
        <v>87</v>
      </c>
      <c r="G1552" s="19"/>
      <c r="H1552" s="20" t="s">
        <v>2059</v>
      </c>
      <c r="I1552" s="17" t="s">
        <v>22</v>
      </c>
      <c r="J1552" s="17">
        <v>0.0</v>
      </c>
      <c r="K1552" s="17">
        <v>0.0</v>
      </c>
      <c r="L1552" s="17">
        <v>0.0</v>
      </c>
      <c r="M1552" s="17">
        <v>0.0</v>
      </c>
      <c r="N1552" s="17">
        <v>0.0</v>
      </c>
      <c r="O1552" s="17">
        <v>0.0</v>
      </c>
      <c r="P1552" s="17">
        <v>0.0</v>
      </c>
      <c r="Q1552" s="17">
        <v>0.0</v>
      </c>
      <c r="R1552" s="17">
        <v>0.0</v>
      </c>
      <c r="S1552" s="17">
        <v>0.0</v>
      </c>
      <c r="T1552" s="17">
        <v>0.0</v>
      </c>
      <c r="U1552" s="17">
        <v>0.0</v>
      </c>
    </row>
    <row r="1553" ht="23.25" customHeight="1">
      <c r="A1553" s="1" t="str">
        <f>IF(COUNTIF('Icon Lookup'!C:C,B1553)&gt;0,LOOKUP(B1553,'Icon Lookup'!C:C,'Icon Lookup'!B:B),"")</f>
        <v/>
      </c>
      <c r="B1553" s="15" t="s">
        <v>2060</v>
      </c>
      <c r="C1553" s="1" t="s">
        <v>17</v>
      </c>
      <c r="D1553" s="1" t="s">
        <v>2057</v>
      </c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</row>
    <row r="1554" ht="23.25" customHeight="1">
      <c r="A1554" s="20" t="str">
        <f>IF(COUNTIF('Icon Lookup'!C:C,B1554)&gt;0,LOOKUP(B1554,'Icon Lookup'!C:C,'Icon Lookup'!B:B),"")</f>
        <v/>
      </c>
      <c r="B1554" s="21" t="s">
        <v>476</v>
      </c>
      <c r="C1554" s="20" t="s">
        <v>17</v>
      </c>
      <c r="D1554" s="20">
        <v>37.0</v>
      </c>
      <c r="E1554" s="20" t="s">
        <v>203</v>
      </c>
      <c r="G1554" s="22"/>
      <c r="H1554" s="23" t="s">
        <v>2061</v>
      </c>
      <c r="I1554" s="20" t="s">
        <v>205</v>
      </c>
      <c r="J1554" s="20">
        <v>0.0</v>
      </c>
      <c r="K1554" s="20">
        <v>0.0</v>
      </c>
      <c r="L1554" s="20">
        <v>0.0</v>
      </c>
      <c r="M1554" s="20">
        <v>0.0</v>
      </c>
      <c r="N1554" s="20">
        <v>0.0</v>
      </c>
      <c r="O1554" s="20">
        <v>0.0</v>
      </c>
      <c r="P1554" s="20">
        <v>0.0</v>
      </c>
      <c r="Q1554" s="20">
        <v>0.0</v>
      </c>
      <c r="R1554" s="20">
        <v>0.0</v>
      </c>
      <c r="S1554" s="20">
        <v>0.0</v>
      </c>
      <c r="T1554" s="20">
        <v>0.0</v>
      </c>
      <c r="U1554" s="20">
        <v>0.0</v>
      </c>
    </row>
    <row r="1555" ht="23.25" customHeight="1">
      <c r="A1555" s="17" t="str">
        <f>IF(COUNTIF('Icon Lookup'!C:C,B1555)&gt;0,LOOKUP(B1555,'Icon Lookup'!C:C,'Icon Lookup'!B:B),"")</f>
        <v/>
      </c>
      <c r="B1555" s="18" t="s">
        <v>488</v>
      </c>
      <c r="C1555" s="17" t="s">
        <v>17</v>
      </c>
      <c r="D1555" s="17">
        <v>39.0</v>
      </c>
      <c r="E1555" s="17" t="s">
        <v>87</v>
      </c>
      <c r="G1555" s="19"/>
      <c r="H1555" s="20" t="s">
        <v>2062</v>
      </c>
      <c r="I1555" s="17" t="s">
        <v>22</v>
      </c>
      <c r="J1555" s="17">
        <v>0.0</v>
      </c>
      <c r="K1555" s="17">
        <v>0.0</v>
      </c>
      <c r="L1555" s="17">
        <v>0.0</v>
      </c>
      <c r="M1555" s="17">
        <v>0.0</v>
      </c>
      <c r="N1555" s="17">
        <v>0.0</v>
      </c>
      <c r="O1555" s="17">
        <v>0.0</v>
      </c>
      <c r="P1555" s="17">
        <v>0.0</v>
      </c>
      <c r="Q1555" s="17">
        <v>0.0</v>
      </c>
      <c r="R1555" s="17">
        <v>0.0</v>
      </c>
      <c r="S1555" s="17">
        <v>0.0</v>
      </c>
      <c r="T1555" s="17">
        <v>0.0</v>
      </c>
      <c r="U1555" s="17">
        <v>0.0</v>
      </c>
    </row>
    <row r="1556" ht="23.25" customHeight="1">
      <c r="A1556" s="1" t="str">
        <f>IF(COUNTIF('Icon Lookup'!C:C,B1556)&gt;0,LOOKUP(B1556,'Icon Lookup'!C:C,'Icon Lookup'!B:B),"")</f>
        <v/>
      </c>
      <c r="B1556" s="15" t="s">
        <v>2063</v>
      </c>
      <c r="C1556" s="1" t="s">
        <v>17</v>
      </c>
      <c r="D1556" s="1" t="s">
        <v>2057</v>
      </c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</row>
    <row r="1557" ht="23.25" customHeight="1">
      <c r="A1557" s="20" t="str">
        <f>IF(COUNTIF('Icon Lookup'!C:C,B1557)&gt;0,LOOKUP(B1557,'Icon Lookup'!C:C,'Icon Lookup'!B:B),"")</f>
        <v/>
      </c>
      <c r="B1557" s="21" t="s">
        <v>476</v>
      </c>
      <c r="C1557" s="20" t="s">
        <v>17</v>
      </c>
      <c r="D1557" s="20">
        <v>57.0</v>
      </c>
      <c r="E1557" s="20" t="s">
        <v>203</v>
      </c>
      <c r="G1557" s="22"/>
      <c r="H1557" s="23" t="s">
        <v>2064</v>
      </c>
      <c r="I1557" s="20" t="s">
        <v>205</v>
      </c>
      <c r="J1557" s="20">
        <v>0.0</v>
      </c>
      <c r="K1557" s="20">
        <v>0.0</v>
      </c>
      <c r="L1557" s="20">
        <v>0.0</v>
      </c>
      <c r="M1557" s="20">
        <v>0.0</v>
      </c>
      <c r="N1557" s="20">
        <v>0.0</v>
      </c>
      <c r="O1557" s="20">
        <v>0.0</v>
      </c>
      <c r="P1557" s="20">
        <v>0.0</v>
      </c>
      <c r="Q1557" s="20">
        <v>0.0</v>
      </c>
      <c r="R1557" s="20">
        <v>0.0</v>
      </c>
      <c r="S1557" s="20">
        <v>0.0</v>
      </c>
      <c r="T1557" s="20">
        <v>0.0</v>
      </c>
      <c r="U1557" s="20">
        <v>0.0</v>
      </c>
    </row>
    <row r="1558" ht="23.25" customHeight="1">
      <c r="A1558" s="17" t="str">
        <f>IF(COUNTIF('Icon Lookup'!C:C,B1558)&gt;0,LOOKUP(B1558,'Icon Lookup'!C:C,'Icon Lookup'!B:B),"")</f>
        <v/>
      </c>
      <c r="B1558" s="18" t="s">
        <v>488</v>
      </c>
      <c r="C1558" s="17" t="s">
        <v>17</v>
      </c>
      <c r="D1558" s="17">
        <v>59.0</v>
      </c>
      <c r="E1558" s="17" t="s">
        <v>87</v>
      </c>
      <c r="G1558" s="19"/>
      <c r="H1558" s="20" t="s">
        <v>2065</v>
      </c>
      <c r="I1558" s="17" t="s">
        <v>22</v>
      </c>
      <c r="J1558" s="17">
        <v>0.0</v>
      </c>
      <c r="K1558" s="17">
        <v>0.0</v>
      </c>
      <c r="L1558" s="17">
        <v>0.0</v>
      </c>
      <c r="M1558" s="17">
        <v>0.0</v>
      </c>
      <c r="N1558" s="17">
        <v>0.0</v>
      </c>
      <c r="O1558" s="17">
        <v>0.0</v>
      </c>
      <c r="P1558" s="17">
        <v>0.0</v>
      </c>
      <c r="Q1558" s="17">
        <v>0.0</v>
      </c>
      <c r="R1558" s="17">
        <v>0.0</v>
      </c>
      <c r="S1558" s="17">
        <v>0.0</v>
      </c>
      <c r="T1558" s="17">
        <v>0.0</v>
      </c>
      <c r="U1558" s="17">
        <v>0.0</v>
      </c>
    </row>
    <row r="1559" ht="23.25" customHeight="1">
      <c r="A1559" s="1" t="str">
        <f>IF(COUNTIF('Icon Lookup'!C:C,B1559)&gt;0,LOOKUP(B1559,'Icon Lookup'!C:C,'Icon Lookup'!B:B),"")</f>
        <v/>
      </c>
      <c r="B1559" s="15" t="s">
        <v>2066</v>
      </c>
      <c r="C1559" s="1" t="s">
        <v>17</v>
      </c>
      <c r="D1559" s="1" t="s">
        <v>164</v>
      </c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</row>
    <row r="1560" ht="23.25" customHeight="1">
      <c r="A1560" s="20" t="str">
        <f>IF(COUNTIF('Icon Lookup'!C:C,B1560)&gt;0,LOOKUP(B1560,'Icon Lookup'!C:C,'Icon Lookup'!B:B),"")</f>
        <v/>
      </c>
      <c r="B1560" s="21" t="s">
        <v>165</v>
      </c>
      <c r="C1560" s="20" t="s">
        <v>17</v>
      </c>
      <c r="D1560" s="20">
        <v>31.0</v>
      </c>
      <c r="E1560" s="20" t="s">
        <v>166</v>
      </c>
      <c r="G1560" s="22"/>
      <c r="H1560" s="23" t="s">
        <v>2067</v>
      </c>
      <c r="I1560" s="20" t="s">
        <v>22</v>
      </c>
      <c r="J1560" s="20">
        <v>0.0</v>
      </c>
      <c r="K1560" s="20">
        <v>0.0</v>
      </c>
      <c r="L1560" s="20">
        <v>0.0</v>
      </c>
      <c r="M1560" s="20">
        <v>0.0</v>
      </c>
      <c r="N1560" s="20">
        <v>0.0</v>
      </c>
      <c r="O1560" s="20">
        <v>0.0</v>
      </c>
      <c r="P1560" s="20">
        <v>0.0</v>
      </c>
      <c r="Q1560" s="20">
        <v>0.0</v>
      </c>
      <c r="R1560" s="20">
        <v>0.0</v>
      </c>
      <c r="S1560" s="20">
        <v>0.0</v>
      </c>
      <c r="T1560" s="20">
        <v>0.0</v>
      </c>
      <c r="U1560" s="20">
        <v>0.0</v>
      </c>
    </row>
    <row r="1561" ht="23.25" customHeight="1">
      <c r="A1561" s="17" t="str">
        <f>IF(COUNTIF('Icon Lookup'!C:C,B1561)&gt;0,LOOKUP(B1561,'Icon Lookup'!C:C,'Icon Lookup'!B:B),"")</f>
        <v/>
      </c>
      <c r="B1561" s="18" t="s">
        <v>90</v>
      </c>
      <c r="C1561" s="17" t="s">
        <v>17</v>
      </c>
      <c r="D1561" s="17">
        <v>33.0</v>
      </c>
      <c r="E1561" s="17" t="s">
        <v>91</v>
      </c>
      <c r="G1561" s="19"/>
      <c r="H1561" s="20" t="s">
        <v>546</v>
      </c>
      <c r="I1561" s="17" t="s">
        <v>22</v>
      </c>
      <c r="J1561" s="17">
        <v>0.0</v>
      </c>
      <c r="K1561" s="17">
        <v>0.0</v>
      </c>
      <c r="L1561" s="17">
        <v>0.0</v>
      </c>
      <c r="M1561" s="17">
        <v>0.0</v>
      </c>
      <c r="N1561" s="17">
        <v>0.0</v>
      </c>
      <c r="O1561" s="17">
        <v>0.0</v>
      </c>
      <c r="P1561" s="17">
        <v>0.0</v>
      </c>
      <c r="Q1561" s="17">
        <v>0.0</v>
      </c>
      <c r="R1561" s="17">
        <v>0.0</v>
      </c>
      <c r="S1561" s="17">
        <v>0.0</v>
      </c>
      <c r="T1561" s="17">
        <v>0.0</v>
      </c>
      <c r="U1561" s="17">
        <v>0.0</v>
      </c>
    </row>
    <row r="1562" ht="23.25" customHeight="1">
      <c r="A1562" s="1" t="str">
        <f>IF(COUNTIF('Icon Lookup'!C:C,B1562)&gt;0,LOOKUP(B1562,'Icon Lookup'!C:C,'Icon Lookup'!B:B),"")</f>
        <v/>
      </c>
      <c r="B1562" s="15" t="s">
        <v>2068</v>
      </c>
      <c r="C1562" s="1" t="s">
        <v>17</v>
      </c>
      <c r="D1562" s="1" t="s">
        <v>164</v>
      </c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</row>
    <row r="1563" ht="23.25" customHeight="1">
      <c r="A1563" s="20" t="str">
        <f>IF(COUNTIF('Icon Lookup'!C:C,B1563)&gt;0,LOOKUP(B1563,'Icon Lookup'!C:C,'Icon Lookup'!B:B),"")</f>
        <v/>
      </c>
      <c r="B1563" s="21" t="s">
        <v>582</v>
      </c>
      <c r="C1563" s="20" t="s">
        <v>17</v>
      </c>
      <c r="D1563" s="20">
        <v>38.0</v>
      </c>
      <c r="E1563" s="20" t="s">
        <v>166</v>
      </c>
      <c r="G1563" s="22"/>
      <c r="H1563" s="23" t="s">
        <v>2069</v>
      </c>
      <c r="I1563" s="20" t="s">
        <v>22</v>
      </c>
      <c r="J1563" s="20">
        <v>0.0</v>
      </c>
      <c r="K1563" s="20">
        <v>0.0</v>
      </c>
      <c r="L1563" s="20">
        <v>0.0</v>
      </c>
      <c r="M1563" s="20">
        <v>0.0</v>
      </c>
      <c r="N1563" s="20">
        <v>0.0</v>
      </c>
      <c r="O1563" s="20">
        <v>0.0</v>
      </c>
      <c r="P1563" s="20">
        <v>0.0</v>
      </c>
      <c r="Q1563" s="20">
        <v>0.0</v>
      </c>
      <c r="R1563" s="20">
        <v>0.0</v>
      </c>
      <c r="S1563" s="20">
        <v>0.0</v>
      </c>
      <c r="T1563" s="20">
        <v>0.0</v>
      </c>
      <c r="U1563" s="20">
        <v>0.0</v>
      </c>
    </row>
    <row r="1564" ht="23.25" customHeight="1">
      <c r="A1564" s="17" t="str">
        <f>IF(COUNTIF('Icon Lookup'!C:C,B1564)&gt;0,LOOKUP(B1564,'Icon Lookup'!C:C,'Icon Lookup'!B:B),"")</f>
        <v/>
      </c>
      <c r="B1564" s="18" t="s">
        <v>275</v>
      </c>
      <c r="C1564" s="17" t="s">
        <v>17</v>
      </c>
      <c r="D1564" s="17">
        <v>40.0</v>
      </c>
      <c r="E1564" s="17" t="s">
        <v>91</v>
      </c>
      <c r="G1564" s="19"/>
      <c r="H1564" s="20" t="s">
        <v>546</v>
      </c>
      <c r="I1564" s="17" t="s">
        <v>22</v>
      </c>
      <c r="J1564" s="17">
        <v>0.0</v>
      </c>
      <c r="K1564" s="17">
        <v>0.0</v>
      </c>
      <c r="L1564" s="17">
        <v>0.0</v>
      </c>
      <c r="M1564" s="17">
        <v>0.0</v>
      </c>
      <c r="N1564" s="17">
        <v>0.0</v>
      </c>
      <c r="O1564" s="17">
        <v>0.0</v>
      </c>
      <c r="P1564" s="17">
        <v>0.0</v>
      </c>
      <c r="Q1564" s="17">
        <v>0.0</v>
      </c>
      <c r="R1564" s="17">
        <v>0.0</v>
      </c>
      <c r="S1564" s="17">
        <v>0.0</v>
      </c>
      <c r="T1564" s="17">
        <v>0.0</v>
      </c>
      <c r="U1564" s="17">
        <v>0.0</v>
      </c>
    </row>
    <row r="1565" ht="23.25" customHeight="1">
      <c r="A1565" s="1" t="str">
        <f>IF(COUNTIF('Icon Lookup'!C:C,B1565)&gt;0,LOOKUP(B1565,'Icon Lookup'!C:C,'Icon Lookup'!B:B),"")</f>
        <v/>
      </c>
      <c r="B1565" s="15" t="s">
        <v>2070</v>
      </c>
      <c r="C1565" s="1" t="s">
        <v>17</v>
      </c>
      <c r="D1565" s="1" t="s">
        <v>164</v>
      </c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</row>
    <row r="1566" ht="23.25" customHeight="1">
      <c r="A1566" s="20" t="str">
        <f>IF(COUNTIF('Icon Lookup'!C:C,B1566)&gt;0,LOOKUP(B1566,'Icon Lookup'!C:C,'Icon Lookup'!B:B),"")</f>
        <v/>
      </c>
      <c r="B1566" s="21" t="s">
        <v>582</v>
      </c>
      <c r="C1566" s="20" t="s">
        <v>17</v>
      </c>
      <c r="D1566" s="20">
        <v>58.0</v>
      </c>
      <c r="E1566" s="20" t="s">
        <v>166</v>
      </c>
      <c r="G1566" s="22"/>
      <c r="H1566" s="23" t="s">
        <v>2071</v>
      </c>
      <c r="I1566" s="20" t="s">
        <v>22</v>
      </c>
      <c r="J1566" s="20">
        <v>0.0</v>
      </c>
      <c r="K1566" s="20">
        <v>0.0</v>
      </c>
      <c r="L1566" s="20">
        <v>0.0</v>
      </c>
      <c r="M1566" s="20">
        <v>0.0</v>
      </c>
      <c r="N1566" s="20">
        <v>0.0</v>
      </c>
      <c r="O1566" s="20">
        <v>0.0</v>
      </c>
      <c r="P1566" s="20">
        <v>0.0</v>
      </c>
      <c r="Q1566" s="20">
        <v>0.0</v>
      </c>
      <c r="R1566" s="20">
        <v>0.0</v>
      </c>
      <c r="S1566" s="20">
        <v>0.0</v>
      </c>
      <c r="T1566" s="20">
        <v>0.0</v>
      </c>
      <c r="U1566" s="20">
        <v>0.0</v>
      </c>
    </row>
    <row r="1567" ht="23.25" customHeight="1">
      <c r="A1567" s="17" t="str">
        <f>IF(COUNTIF('Icon Lookup'!C:C,B1567)&gt;0,LOOKUP(B1567,'Icon Lookup'!C:C,'Icon Lookup'!B:B),"")</f>
        <v/>
      </c>
      <c r="B1567" s="18" t="s">
        <v>1098</v>
      </c>
      <c r="C1567" s="17" t="s">
        <v>17</v>
      </c>
      <c r="D1567" s="17">
        <v>60.0</v>
      </c>
      <c r="E1567" s="17" t="s">
        <v>91</v>
      </c>
      <c r="G1567" s="19"/>
      <c r="H1567" s="20" t="s">
        <v>2072</v>
      </c>
      <c r="I1567" s="17" t="s">
        <v>22</v>
      </c>
      <c r="J1567" s="17">
        <v>0.0</v>
      </c>
      <c r="K1567" s="17">
        <v>0.0</v>
      </c>
      <c r="L1567" s="17">
        <v>0.0</v>
      </c>
      <c r="M1567" s="17">
        <v>0.0</v>
      </c>
      <c r="N1567" s="17">
        <v>0.0</v>
      </c>
      <c r="O1567" s="17">
        <v>0.0</v>
      </c>
      <c r="P1567" s="17">
        <v>0.0</v>
      </c>
      <c r="Q1567" s="17">
        <v>0.0</v>
      </c>
      <c r="R1567" s="17">
        <v>0.0</v>
      </c>
      <c r="S1567" s="17">
        <v>0.0</v>
      </c>
      <c r="T1567" s="17">
        <v>0.0</v>
      </c>
      <c r="U1567" s="17">
        <v>0.0</v>
      </c>
    </row>
    <row r="1568" ht="23.25" customHeight="1">
      <c r="A1568" s="1" t="str">
        <f>IF(COUNTIF('Icon Lookup'!C:C,B1568)&gt;0,LOOKUP(B1568,'Icon Lookup'!C:C,'Icon Lookup'!B:B),"")</f>
        <v/>
      </c>
      <c r="B1568" s="15" t="s">
        <v>2073</v>
      </c>
      <c r="C1568" s="1" t="s">
        <v>17</v>
      </c>
      <c r="D1568" s="1" t="s">
        <v>301</v>
      </c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</row>
    <row r="1569" ht="23.25" customHeight="1">
      <c r="A1569" s="20" t="str">
        <f>IF(COUNTIF('Icon Lookup'!C:C,B1569)&gt;0,LOOKUP(B1569,'Icon Lookup'!C:C,'Icon Lookup'!B:B),"")</f>
        <v/>
      </c>
      <c r="B1569" s="21" t="s">
        <v>304</v>
      </c>
      <c r="C1569" s="20" t="s">
        <v>17</v>
      </c>
      <c r="D1569" s="20">
        <v>38.0</v>
      </c>
      <c r="E1569" s="20" t="s">
        <v>20</v>
      </c>
      <c r="G1569" s="22"/>
      <c r="H1569" s="23" t="s">
        <v>303</v>
      </c>
      <c r="I1569" s="20" t="s">
        <v>52</v>
      </c>
      <c r="J1569" s="20">
        <v>0.0</v>
      </c>
      <c r="K1569" s="20">
        <v>0.0</v>
      </c>
      <c r="L1569" s="20">
        <v>0.0</v>
      </c>
      <c r="M1569" s="20">
        <v>0.0</v>
      </c>
      <c r="N1569" s="20">
        <v>0.0</v>
      </c>
      <c r="O1569" s="20">
        <v>0.0</v>
      </c>
      <c r="P1569" s="20">
        <v>0.0</v>
      </c>
      <c r="Q1569" s="20">
        <v>0.0</v>
      </c>
      <c r="R1569" s="20">
        <v>0.0</v>
      </c>
      <c r="S1569" s="20">
        <v>0.0</v>
      </c>
      <c r="T1569" s="20">
        <v>0.0</v>
      </c>
      <c r="U1569" s="20">
        <v>0.0</v>
      </c>
    </row>
    <row r="1570" ht="23.25" customHeight="1">
      <c r="A1570" s="17" t="str">
        <f>IF(COUNTIF('Icon Lookup'!C:C,B1570)&gt;0,LOOKUP(B1570,'Icon Lookup'!C:C,'Icon Lookup'!B:B),"")</f>
        <v/>
      </c>
      <c r="B1570" s="18" t="s">
        <v>304</v>
      </c>
      <c r="C1570" s="17" t="s">
        <v>17</v>
      </c>
      <c r="D1570" s="17">
        <v>42.0</v>
      </c>
      <c r="E1570" s="17" t="s">
        <v>20</v>
      </c>
      <c r="G1570" s="19"/>
      <c r="H1570" s="20" t="s">
        <v>2074</v>
      </c>
      <c r="I1570" s="17" t="s">
        <v>22</v>
      </c>
      <c r="J1570" s="17">
        <v>0.0</v>
      </c>
      <c r="K1570" s="17">
        <v>0.0</v>
      </c>
      <c r="L1570" s="17">
        <v>0.0</v>
      </c>
      <c r="M1570" s="17">
        <v>0.0</v>
      </c>
      <c r="N1570" s="17">
        <v>0.0</v>
      </c>
      <c r="O1570" s="17">
        <v>0.0</v>
      </c>
      <c r="P1570" s="17">
        <v>0.0</v>
      </c>
      <c r="Q1570" s="17">
        <v>0.0</v>
      </c>
      <c r="R1570" s="17">
        <v>0.0</v>
      </c>
      <c r="S1570" s="17">
        <v>0.0</v>
      </c>
      <c r="T1570" s="17">
        <v>0.0</v>
      </c>
      <c r="U1570" s="17">
        <v>0.0</v>
      </c>
    </row>
    <row r="1571" ht="23.25" customHeight="1">
      <c r="A1571" s="1" t="str">
        <f>IF(COUNTIF('Icon Lookup'!C:C,B1571)&gt;0,LOOKUP(B1571,'Icon Lookup'!C:C,'Icon Lookup'!B:B),"")</f>
        <v/>
      </c>
      <c r="B1571" s="15" t="s">
        <v>2075</v>
      </c>
      <c r="C1571" s="1" t="s">
        <v>17</v>
      </c>
      <c r="D1571" s="1" t="s">
        <v>301</v>
      </c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</row>
    <row r="1572" ht="23.25" customHeight="1">
      <c r="A1572" s="20" t="str">
        <f>IF(COUNTIF('Icon Lookup'!C:C,B1572)&gt;0,LOOKUP(B1572,'Icon Lookup'!C:C,'Icon Lookup'!B:B),"")</f>
        <v/>
      </c>
      <c r="B1572" s="21" t="s">
        <v>304</v>
      </c>
      <c r="C1572" s="20" t="s">
        <v>17</v>
      </c>
      <c r="D1572" s="20">
        <v>60.0</v>
      </c>
      <c r="E1572" s="20" t="s">
        <v>20</v>
      </c>
      <c r="G1572" s="22"/>
      <c r="H1572" s="23" t="s">
        <v>2076</v>
      </c>
      <c r="I1572" s="20" t="s">
        <v>52</v>
      </c>
      <c r="J1572" s="20">
        <v>0.0</v>
      </c>
      <c r="K1572" s="20">
        <v>0.0</v>
      </c>
      <c r="L1572" s="20">
        <v>0.0</v>
      </c>
      <c r="M1572" s="20">
        <v>0.0</v>
      </c>
      <c r="N1572" s="20">
        <v>0.0</v>
      </c>
      <c r="O1572" s="20">
        <v>0.0</v>
      </c>
      <c r="P1572" s="20">
        <v>0.0</v>
      </c>
      <c r="Q1572" s="20">
        <v>0.0</v>
      </c>
      <c r="R1572" s="20">
        <v>0.0</v>
      </c>
      <c r="S1572" s="20">
        <v>0.0</v>
      </c>
      <c r="T1572" s="20">
        <v>0.0</v>
      </c>
      <c r="U1572" s="20">
        <v>0.0</v>
      </c>
    </row>
    <row r="1573" ht="23.25" customHeight="1">
      <c r="A1573" s="17" t="str">
        <f>IF(COUNTIF('Icon Lookup'!C:C,B1573)&gt;0,LOOKUP(B1573,'Icon Lookup'!C:C,'Icon Lookup'!B:B),"")</f>
        <v/>
      </c>
      <c r="B1573" s="18" t="s">
        <v>304</v>
      </c>
      <c r="C1573" s="17" t="s">
        <v>17</v>
      </c>
      <c r="D1573" s="17">
        <v>60.0</v>
      </c>
      <c r="E1573" s="17" t="s">
        <v>20</v>
      </c>
      <c r="G1573" s="19"/>
      <c r="H1573" s="20" t="s">
        <v>2074</v>
      </c>
      <c r="I1573" s="17" t="s">
        <v>22</v>
      </c>
      <c r="J1573" s="17">
        <v>0.0</v>
      </c>
      <c r="K1573" s="17">
        <v>0.0</v>
      </c>
      <c r="L1573" s="17">
        <v>0.0</v>
      </c>
      <c r="M1573" s="17">
        <v>0.0</v>
      </c>
      <c r="N1573" s="17">
        <v>0.0</v>
      </c>
      <c r="O1573" s="17">
        <v>0.0</v>
      </c>
      <c r="P1573" s="17">
        <v>0.0</v>
      </c>
      <c r="Q1573" s="17">
        <v>0.0</v>
      </c>
      <c r="R1573" s="17">
        <v>0.0</v>
      </c>
      <c r="S1573" s="17">
        <v>0.0</v>
      </c>
      <c r="T1573" s="17">
        <v>0.0</v>
      </c>
      <c r="U1573" s="17">
        <v>0.0</v>
      </c>
    </row>
    <row r="1574" ht="23.25" customHeight="1">
      <c r="A1574" s="1" t="str">
        <f>IF(COUNTIF('Icon Lookup'!C:C,B1574)&gt;0,LOOKUP(B1574,'Icon Lookup'!C:C,'Icon Lookup'!B:B),"")</f>
        <v/>
      </c>
      <c r="B1574" s="15" t="s">
        <v>2077</v>
      </c>
      <c r="C1574" s="1" t="s">
        <v>17</v>
      </c>
      <c r="D1574" s="1" t="s">
        <v>1720</v>
      </c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</row>
    <row r="1575" ht="23.25" customHeight="1">
      <c r="A1575" s="20" t="str">
        <f>IF(COUNTIF('Icon Lookup'!C:C,B1575)&gt;0,LOOKUP(B1575,'Icon Lookup'!C:C,'Icon Lookup'!B:B),"")</f>
        <v/>
      </c>
      <c r="B1575" s="21" t="s">
        <v>1721</v>
      </c>
      <c r="C1575" s="20" t="s">
        <v>17</v>
      </c>
      <c r="D1575" s="20">
        <v>59.0</v>
      </c>
      <c r="E1575" s="20" t="s">
        <v>38</v>
      </c>
      <c r="G1575" s="22"/>
      <c r="H1575" s="23" t="s">
        <v>1722</v>
      </c>
      <c r="I1575" s="20" t="s">
        <v>22</v>
      </c>
      <c r="J1575" s="20">
        <v>0.0</v>
      </c>
      <c r="K1575" s="20">
        <v>0.0</v>
      </c>
      <c r="L1575" s="20">
        <v>0.0</v>
      </c>
      <c r="M1575" s="20">
        <v>0.0</v>
      </c>
      <c r="N1575" s="20">
        <v>0.0</v>
      </c>
      <c r="O1575" s="20">
        <v>0.0</v>
      </c>
      <c r="P1575" s="20">
        <v>0.0</v>
      </c>
      <c r="Q1575" s="20">
        <v>0.0</v>
      </c>
      <c r="R1575" s="20">
        <v>0.0</v>
      </c>
      <c r="S1575" s="20">
        <v>0.0</v>
      </c>
      <c r="T1575" s="20">
        <v>0.0</v>
      </c>
      <c r="U1575" s="20">
        <v>0.0</v>
      </c>
    </row>
    <row r="1576" ht="23.25" customHeight="1">
      <c r="A1576" s="17" t="str">
        <f>IF(COUNTIF('Icon Lookup'!C:C,B1576)&gt;0,LOOKUP(B1576,'Icon Lookup'!C:C,'Icon Lookup'!B:B),"")</f>
        <v/>
      </c>
      <c r="B1576" s="18" t="s">
        <v>1723</v>
      </c>
      <c r="C1576" s="17" t="s">
        <v>17</v>
      </c>
      <c r="D1576" s="17">
        <v>59.0</v>
      </c>
      <c r="E1576" s="17" t="s">
        <v>276</v>
      </c>
      <c r="G1576" s="19"/>
      <c r="H1576" s="20" t="s">
        <v>1724</v>
      </c>
      <c r="I1576" s="17" t="s">
        <v>22</v>
      </c>
      <c r="J1576" s="17">
        <v>0.0</v>
      </c>
      <c r="K1576" s="17">
        <v>0.0</v>
      </c>
      <c r="L1576" s="17">
        <v>0.0</v>
      </c>
      <c r="M1576" s="17">
        <v>0.0</v>
      </c>
      <c r="N1576" s="17">
        <v>0.0</v>
      </c>
      <c r="O1576" s="17">
        <v>0.0</v>
      </c>
      <c r="P1576" s="17">
        <v>0.0</v>
      </c>
      <c r="Q1576" s="17">
        <v>0.0</v>
      </c>
      <c r="R1576" s="17">
        <v>0.0</v>
      </c>
      <c r="S1576" s="17">
        <v>0.0</v>
      </c>
      <c r="T1576" s="17">
        <v>0.0</v>
      </c>
      <c r="U1576" s="17">
        <v>0.0</v>
      </c>
    </row>
    <row r="1577" ht="23.25" customHeight="1">
      <c r="A1577" s="1" t="str">
        <f>IF(COUNTIF('Icon Lookup'!C:C,B1577)&gt;0,LOOKUP(B1577,'Icon Lookup'!C:C,'Icon Lookup'!B:B),"")</f>
        <v/>
      </c>
      <c r="B1577" s="15" t="s">
        <v>2078</v>
      </c>
      <c r="C1577" s="1" t="s">
        <v>17</v>
      </c>
      <c r="D1577" s="1" t="s">
        <v>209</v>
      </c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</row>
    <row r="1578" ht="23.25" customHeight="1">
      <c r="A1578" s="20" t="str">
        <f>IF(COUNTIF('Icon Lookup'!C:C,B1578)&gt;0,LOOKUP(B1578,'Icon Lookup'!C:C,'Icon Lookup'!B:B),"")</f>
        <v/>
      </c>
      <c r="B1578" s="21" t="s">
        <v>488</v>
      </c>
      <c r="C1578" s="20" t="s">
        <v>17</v>
      </c>
      <c r="D1578" s="20">
        <v>27.0</v>
      </c>
      <c r="E1578" s="20" t="s">
        <v>98</v>
      </c>
      <c r="G1578" s="22"/>
      <c r="H1578" s="23" t="s">
        <v>2079</v>
      </c>
      <c r="I1578" s="20" t="s">
        <v>211</v>
      </c>
      <c r="J1578" s="20">
        <v>0.0</v>
      </c>
      <c r="K1578" s="20">
        <v>0.0</v>
      </c>
      <c r="L1578" s="20">
        <v>0.0</v>
      </c>
      <c r="M1578" s="20">
        <v>0.0</v>
      </c>
      <c r="N1578" s="20">
        <v>0.0</v>
      </c>
      <c r="O1578" s="20">
        <v>0.0</v>
      </c>
      <c r="P1578" s="20">
        <v>0.0</v>
      </c>
      <c r="Q1578" s="20">
        <v>0.0</v>
      </c>
      <c r="R1578" s="20">
        <v>0.0</v>
      </c>
      <c r="S1578" s="20">
        <v>0.0</v>
      </c>
      <c r="T1578" s="20">
        <v>0.0</v>
      </c>
      <c r="U1578" s="20">
        <v>0.0</v>
      </c>
    </row>
    <row r="1579" ht="23.25" customHeight="1">
      <c r="A1579" s="17" t="str">
        <f>IF(COUNTIF('Icon Lookup'!C:C,B1579)&gt;0,LOOKUP(B1579,'Icon Lookup'!C:C,'Icon Lookup'!B:B),"")</f>
        <v/>
      </c>
      <c r="B1579" s="18" t="s">
        <v>198</v>
      </c>
      <c r="C1579" s="17" t="s">
        <v>17</v>
      </c>
      <c r="D1579" s="17">
        <v>29.0</v>
      </c>
      <c r="E1579" s="17" t="s">
        <v>50</v>
      </c>
      <c r="G1579" s="19"/>
      <c r="H1579" s="20" t="s">
        <v>938</v>
      </c>
      <c r="I1579" s="17" t="s">
        <v>205</v>
      </c>
      <c r="J1579" s="17">
        <v>0.0</v>
      </c>
      <c r="K1579" s="17">
        <v>0.0</v>
      </c>
      <c r="L1579" s="17">
        <v>0.0</v>
      </c>
      <c r="M1579" s="17">
        <v>0.0</v>
      </c>
      <c r="N1579" s="17">
        <v>0.0</v>
      </c>
      <c r="O1579" s="17">
        <v>0.0</v>
      </c>
      <c r="P1579" s="17">
        <v>0.0</v>
      </c>
      <c r="Q1579" s="17">
        <v>0.0</v>
      </c>
      <c r="R1579" s="17">
        <v>0.0</v>
      </c>
      <c r="S1579" s="17">
        <v>0.0</v>
      </c>
      <c r="T1579" s="17">
        <v>0.0</v>
      </c>
      <c r="U1579" s="17">
        <v>0.0</v>
      </c>
    </row>
    <row r="1580" ht="23.25" customHeight="1">
      <c r="A1580" s="20" t="str">
        <f>IF(COUNTIF('Icon Lookup'!C:C,B1580)&gt;0,LOOKUP(B1580,'Icon Lookup'!C:C,'Icon Lookup'!B:B),"")</f>
        <v/>
      </c>
      <c r="B1580" s="21" t="s">
        <v>136</v>
      </c>
      <c r="C1580" s="20" t="s">
        <v>17</v>
      </c>
      <c r="D1580" s="20">
        <v>28.0</v>
      </c>
      <c r="E1580" s="20" t="s">
        <v>137</v>
      </c>
      <c r="G1580" s="22"/>
      <c r="H1580" s="23" t="s">
        <v>2080</v>
      </c>
      <c r="I1580" s="20" t="s">
        <v>205</v>
      </c>
      <c r="J1580" s="20">
        <v>0.0</v>
      </c>
      <c r="K1580" s="20">
        <v>0.0</v>
      </c>
      <c r="L1580" s="20">
        <v>0.0</v>
      </c>
      <c r="M1580" s="20">
        <v>0.0</v>
      </c>
      <c r="N1580" s="20">
        <v>0.0</v>
      </c>
      <c r="O1580" s="20">
        <v>0.0</v>
      </c>
      <c r="P1580" s="20">
        <v>0.0</v>
      </c>
      <c r="Q1580" s="20">
        <v>0.0</v>
      </c>
      <c r="R1580" s="20">
        <v>0.0</v>
      </c>
      <c r="S1580" s="20">
        <v>0.0</v>
      </c>
      <c r="T1580" s="20">
        <v>0.0</v>
      </c>
      <c r="U1580" s="20">
        <v>0.0</v>
      </c>
    </row>
    <row r="1581" ht="23.25" customHeight="1">
      <c r="A1581" s="1" t="str">
        <f>IF(COUNTIF('Icon Lookup'!C:C,B1581)&gt;0,LOOKUP(B1581,'Icon Lookup'!C:C,'Icon Lookup'!B:B),"")</f>
        <v/>
      </c>
      <c r="B1581" s="15" t="s">
        <v>2081</v>
      </c>
      <c r="C1581" s="1" t="s">
        <v>17</v>
      </c>
      <c r="D1581" s="1" t="s">
        <v>209</v>
      </c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</row>
    <row r="1582" ht="23.25" customHeight="1">
      <c r="A1582" s="17" t="str">
        <f>IF(COUNTIF('Icon Lookup'!C:C,B1582)&gt;0,LOOKUP(B1582,'Icon Lookup'!C:C,'Icon Lookup'!B:B),"")</f>
        <v/>
      </c>
      <c r="B1582" s="18" t="s">
        <v>488</v>
      </c>
      <c r="C1582" s="17" t="s">
        <v>17</v>
      </c>
      <c r="D1582" s="17">
        <v>37.0</v>
      </c>
      <c r="E1582" s="17" t="s">
        <v>98</v>
      </c>
      <c r="G1582" s="19"/>
      <c r="H1582" s="20" t="s">
        <v>2082</v>
      </c>
      <c r="I1582" s="17" t="s">
        <v>211</v>
      </c>
      <c r="J1582" s="17">
        <v>0.0</v>
      </c>
      <c r="K1582" s="17">
        <v>0.0</v>
      </c>
      <c r="L1582" s="17">
        <v>0.0</v>
      </c>
      <c r="M1582" s="17">
        <v>0.0</v>
      </c>
      <c r="N1582" s="17">
        <v>0.0</v>
      </c>
      <c r="O1582" s="17">
        <v>0.0</v>
      </c>
      <c r="P1582" s="17">
        <v>0.0</v>
      </c>
      <c r="Q1582" s="17">
        <v>0.0</v>
      </c>
      <c r="R1582" s="17">
        <v>0.0</v>
      </c>
      <c r="S1582" s="17">
        <v>0.0</v>
      </c>
      <c r="T1582" s="17">
        <v>0.0</v>
      </c>
      <c r="U1582" s="17">
        <v>0.0</v>
      </c>
    </row>
    <row r="1583" ht="23.25" customHeight="1">
      <c r="A1583" s="20" t="str">
        <f>IF(COUNTIF('Icon Lookup'!C:C,B1583)&gt;0,LOOKUP(B1583,'Icon Lookup'!C:C,'Icon Lookup'!B:B),"")</f>
        <v/>
      </c>
      <c r="B1583" s="21" t="s">
        <v>198</v>
      </c>
      <c r="C1583" s="20" t="s">
        <v>17</v>
      </c>
      <c r="D1583" s="20">
        <v>38.0</v>
      </c>
      <c r="E1583" s="20" t="s">
        <v>50</v>
      </c>
      <c r="G1583" s="22"/>
      <c r="H1583" s="23" t="s">
        <v>2083</v>
      </c>
      <c r="I1583" s="20" t="s">
        <v>205</v>
      </c>
      <c r="J1583" s="20">
        <v>0.0</v>
      </c>
      <c r="K1583" s="20">
        <v>0.0</v>
      </c>
      <c r="L1583" s="20">
        <v>0.0</v>
      </c>
      <c r="M1583" s="20">
        <v>0.0</v>
      </c>
      <c r="N1583" s="20">
        <v>0.0</v>
      </c>
      <c r="O1583" s="20">
        <v>0.0</v>
      </c>
      <c r="P1583" s="20">
        <v>0.0</v>
      </c>
      <c r="Q1583" s="20">
        <v>0.0</v>
      </c>
      <c r="R1583" s="20">
        <v>0.0</v>
      </c>
      <c r="S1583" s="20">
        <v>0.0</v>
      </c>
      <c r="T1583" s="20">
        <v>0.0</v>
      </c>
      <c r="U1583" s="20">
        <v>0.0</v>
      </c>
    </row>
    <row r="1584" ht="23.25" customHeight="1">
      <c r="A1584" s="17" t="str">
        <f>IF(COUNTIF('Icon Lookup'!C:C,B1584)&gt;0,LOOKUP(B1584,'Icon Lookup'!C:C,'Icon Lookup'!B:B),"")</f>
        <v/>
      </c>
      <c r="B1584" s="18" t="s">
        <v>136</v>
      </c>
      <c r="C1584" s="17" t="s">
        <v>17</v>
      </c>
      <c r="D1584" s="17">
        <v>36.0</v>
      </c>
      <c r="E1584" s="17" t="s">
        <v>137</v>
      </c>
      <c r="G1584" s="19"/>
      <c r="H1584" s="20" t="s">
        <v>2084</v>
      </c>
      <c r="I1584" s="17" t="s">
        <v>205</v>
      </c>
      <c r="J1584" s="17">
        <v>0.0</v>
      </c>
      <c r="K1584" s="17">
        <v>0.0</v>
      </c>
      <c r="L1584" s="17">
        <v>0.0</v>
      </c>
      <c r="M1584" s="17">
        <v>0.0</v>
      </c>
      <c r="N1584" s="17">
        <v>0.0</v>
      </c>
      <c r="O1584" s="17">
        <v>0.0</v>
      </c>
      <c r="P1584" s="17">
        <v>0.0</v>
      </c>
      <c r="Q1584" s="17">
        <v>0.0</v>
      </c>
      <c r="R1584" s="17">
        <v>0.0</v>
      </c>
      <c r="S1584" s="17">
        <v>0.0</v>
      </c>
      <c r="T1584" s="17">
        <v>0.0</v>
      </c>
      <c r="U1584" s="17">
        <v>0.0</v>
      </c>
    </row>
    <row r="1585" ht="23.25" customHeight="1">
      <c r="A1585" s="1" t="str">
        <f>IF(COUNTIF('Icon Lookup'!C:C,B1585)&gt;0,LOOKUP(B1585,'Icon Lookup'!C:C,'Icon Lookup'!B:B),"")</f>
        <v/>
      </c>
      <c r="B1585" s="15" t="s">
        <v>2085</v>
      </c>
      <c r="C1585" s="1" t="s">
        <v>17</v>
      </c>
      <c r="D1585" s="1" t="s">
        <v>209</v>
      </c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</row>
    <row r="1586" ht="23.25" customHeight="1">
      <c r="A1586" s="20" t="str">
        <f>IF(COUNTIF('Icon Lookup'!C:C,B1586)&gt;0,LOOKUP(B1586,'Icon Lookup'!C:C,'Icon Lookup'!B:B),"")</f>
        <v/>
      </c>
      <c r="B1586" s="21" t="s">
        <v>488</v>
      </c>
      <c r="C1586" s="20" t="s">
        <v>17</v>
      </c>
      <c r="D1586" s="20">
        <v>52.0</v>
      </c>
      <c r="E1586" s="20" t="s">
        <v>98</v>
      </c>
      <c r="G1586" s="22"/>
      <c r="H1586" s="23" t="s">
        <v>2086</v>
      </c>
      <c r="I1586" s="20" t="s">
        <v>211</v>
      </c>
      <c r="J1586" s="20">
        <v>0.0</v>
      </c>
      <c r="K1586" s="20">
        <v>0.0</v>
      </c>
      <c r="L1586" s="20">
        <v>0.0</v>
      </c>
      <c r="M1586" s="20">
        <v>0.0</v>
      </c>
      <c r="N1586" s="20">
        <v>0.0</v>
      </c>
      <c r="O1586" s="20">
        <v>0.0</v>
      </c>
      <c r="P1586" s="20">
        <v>0.0</v>
      </c>
      <c r="Q1586" s="20">
        <v>0.0</v>
      </c>
      <c r="R1586" s="20">
        <v>0.0</v>
      </c>
      <c r="S1586" s="20">
        <v>0.0</v>
      </c>
      <c r="T1586" s="20">
        <v>0.0</v>
      </c>
      <c r="U1586" s="20">
        <v>0.0</v>
      </c>
    </row>
    <row r="1587" ht="23.25" customHeight="1">
      <c r="A1587" s="17" t="str">
        <f>IF(COUNTIF('Icon Lookup'!C:C,B1587)&gt;0,LOOKUP(B1587,'Icon Lookup'!C:C,'Icon Lookup'!B:B),"")</f>
        <v/>
      </c>
      <c r="B1587" s="18" t="s">
        <v>198</v>
      </c>
      <c r="C1587" s="17" t="s">
        <v>17</v>
      </c>
      <c r="D1587" s="17">
        <v>51.0</v>
      </c>
      <c r="E1587" s="17" t="s">
        <v>50</v>
      </c>
      <c r="G1587" s="19"/>
      <c r="H1587" s="20" t="s">
        <v>2087</v>
      </c>
      <c r="I1587" s="17" t="s">
        <v>205</v>
      </c>
      <c r="J1587" s="17">
        <v>0.0</v>
      </c>
      <c r="K1587" s="17">
        <v>0.0</v>
      </c>
      <c r="L1587" s="17">
        <v>0.0</v>
      </c>
      <c r="M1587" s="17">
        <v>0.0</v>
      </c>
      <c r="N1587" s="17">
        <v>0.0</v>
      </c>
      <c r="O1587" s="17">
        <v>0.0</v>
      </c>
      <c r="P1587" s="17">
        <v>0.0</v>
      </c>
      <c r="Q1587" s="17">
        <v>0.0</v>
      </c>
      <c r="R1587" s="17">
        <v>0.0</v>
      </c>
      <c r="S1587" s="17">
        <v>0.0</v>
      </c>
      <c r="T1587" s="17">
        <v>0.0</v>
      </c>
      <c r="U1587" s="17">
        <v>0.0</v>
      </c>
    </row>
    <row r="1588" ht="23.25" customHeight="1">
      <c r="A1588" s="20" t="str">
        <f>IF(COUNTIF('Icon Lookup'!C:C,B1588)&gt;0,LOOKUP(B1588,'Icon Lookup'!C:C,'Icon Lookup'!B:B),"")</f>
        <v/>
      </c>
      <c r="B1588" s="21" t="s">
        <v>311</v>
      </c>
      <c r="C1588" s="20" t="s">
        <v>17</v>
      </c>
      <c r="D1588" s="20">
        <v>53.0</v>
      </c>
      <c r="E1588" s="20" t="s">
        <v>137</v>
      </c>
      <c r="G1588" s="22"/>
      <c r="H1588" s="23" t="s">
        <v>2084</v>
      </c>
      <c r="I1588" s="20" t="s">
        <v>205</v>
      </c>
      <c r="J1588" s="20">
        <v>0.0</v>
      </c>
      <c r="K1588" s="20">
        <v>0.0</v>
      </c>
      <c r="L1588" s="20">
        <v>0.0</v>
      </c>
      <c r="M1588" s="20">
        <v>0.0</v>
      </c>
      <c r="N1588" s="20">
        <v>0.0</v>
      </c>
      <c r="O1588" s="20">
        <v>0.0</v>
      </c>
      <c r="P1588" s="20">
        <v>0.0</v>
      </c>
      <c r="Q1588" s="20">
        <v>0.0</v>
      </c>
      <c r="R1588" s="20">
        <v>0.0</v>
      </c>
      <c r="S1588" s="20">
        <v>0.0</v>
      </c>
      <c r="T1588" s="20">
        <v>0.0</v>
      </c>
      <c r="U1588" s="20">
        <v>0.0</v>
      </c>
    </row>
    <row r="1589" ht="23.25" customHeight="1">
      <c r="A1589" s="1" t="str">
        <f>IF(COUNTIF('Icon Lookup'!C:C,B1589)&gt;0,LOOKUP(B1589,'Icon Lookup'!C:C,'Icon Lookup'!B:B),"")</f>
        <v/>
      </c>
      <c r="B1589" s="15" t="s">
        <v>2088</v>
      </c>
      <c r="C1589" s="1" t="s">
        <v>17</v>
      </c>
      <c r="D1589" s="1" t="s">
        <v>215</v>
      </c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</row>
    <row r="1590" ht="23.25" customHeight="1">
      <c r="A1590" s="17" t="str">
        <f>IF(COUNTIF('Icon Lookup'!C:C,B1590)&gt;0,LOOKUP(B1590,'Icon Lookup'!C:C,'Icon Lookup'!B:B),"")</f>
        <v/>
      </c>
      <c r="B1590" s="18" t="s">
        <v>202</v>
      </c>
      <c r="C1590" s="17" t="s">
        <v>17</v>
      </c>
      <c r="D1590" s="17">
        <v>28.0</v>
      </c>
      <c r="E1590" s="17" t="s">
        <v>203</v>
      </c>
      <c r="G1590" s="19"/>
      <c r="H1590" s="20" t="s">
        <v>2089</v>
      </c>
      <c r="I1590" s="17" t="s">
        <v>52</v>
      </c>
      <c r="J1590" s="17">
        <v>0.0</v>
      </c>
      <c r="K1590" s="17">
        <v>0.0</v>
      </c>
      <c r="L1590" s="17">
        <v>0.0</v>
      </c>
      <c r="M1590" s="17">
        <v>0.0</v>
      </c>
      <c r="N1590" s="17">
        <v>0.0</v>
      </c>
      <c r="O1590" s="17">
        <v>0.0</v>
      </c>
      <c r="P1590" s="17">
        <v>0.0</v>
      </c>
      <c r="Q1590" s="17">
        <v>0.0</v>
      </c>
      <c r="R1590" s="17">
        <v>0.0</v>
      </c>
      <c r="S1590" s="17">
        <v>0.0</v>
      </c>
      <c r="T1590" s="17">
        <v>0.0</v>
      </c>
      <c r="U1590" s="17">
        <v>0.0</v>
      </c>
    </row>
    <row r="1591" ht="23.25" customHeight="1">
      <c r="A1591" s="20" t="str">
        <f>IF(COUNTIF('Icon Lookup'!C:C,B1591)&gt;0,LOOKUP(B1591,'Icon Lookup'!C:C,'Icon Lookup'!B:B),"")</f>
        <v/>
      </c>
      <c r="B1591" s="21" t="s">
        <v>198</v>
      </c>
      <c r="C1591" s="20" t="s">
        <v>17</v>
      </c>
      <c r="D1591" s="20">
        <v>27.0</v>
      </c>
      <c r="E1591" s="20" t="s">
        <v>50</v>
      </c>
      <c r="G1591" s="22"/>
      <c r="H1591" s="23" t="s">
        <v>199</v>
      </c>
      <c r="I1591" s="20" t="s">
        <v>40</v>
      </c>
      <c r="J1591" s="20">
        <v>0.0</v>
      </c>
      <c r="K1591" s="20">
        <v>0.0</v>
      </c>
      <c r="L1591" s="20">
        <v>0.0</v>
      </c>
      <c r="M1591" s="20">
        <v>0.0</v>
      </c>
      <c r="N1591" s="20">
        <v>0.0</v>
      </c>
      <c r="O1591" s="20">
        <v>0.0</v>
      </c>
      <c r="P1591" s="20">
        <v>0.0</v>
      </c>
      <c r="Q1591" s="20">
        <v>0.0</v>
      </c>
      <c r="R1591" s="20">
        <v>0.0</v>
      </c>
      <c r="S1591" s="20">
        <v>0.0</v>
      </c>
      <c r="T1591" s="20">
        <v>0.0</v>
      </c>
      <c r="U1591" s="20">
        <v>0.0</v>
      </c>
    </row>
    <row r="1592" ht="23.25" customHeight="1">
      <c r="A1592" s="17" t="str">
        <f>IF(COUNTIF('Icon Lookup'!C:C,B1592)&gt;0,LOOKUP(B1592,'Icon Lookup'!C:C,'Icon Lookup'!B:B),"")</f>
        <v/>
      </c>
      <c r="B1592" s="18" t="s">
        <v>245</v>
      </c>
      <c r="C1592" s="17" t="s">
        <v>17</v>
      </c>
      <c r="D1592" s="17">
        <v>29.0</v>
      </c>
      <c r="E1592" s="17" t="s">
        <v>218</v>
      </c>
      <c r="G1592" s="19"/>
      <c r="H1592" s="20" t="s">
        <v>2090</v>
      </c>
      <c r="I1592" s="17" t="s">
        <v>40</v>
      </c>
      <c r="J1592" s="17">
        <v>0.0</v>
      </c>
      <c r="K1592" s="17">
        <v>0.0</v>
      </c>
      <c r="L1592" s="17">
        <v>0.0</v>
      </c>
      <c r="M1592" s="17">
        <v>0.0</v>
      </c>
      <c r="N1592" s="17">
        <v>0.0</v>
      </c>
      <c r="O1592" s="17">
        <v>0.0</v>
      </c>
      <c r="P1592" s="17">
        <v>0.0</v>
      </c>
      <c r="Q1592" s="17">
        <v>0.0</v>
      </c>
      <c r="R1592" s="17">
        <v>0.0</v>
      </c>
      <c r="S1592" s="17">
        <v>0.0</v>
      </c>
      <c r="T1592" s="17">
        <v>0.0</v>
      </c>
      <c r="U1592" s="17">
        <v>0.0</v>
      </c>
    </row>
    <row r="1593" ht="23.25" customHeight="1">
      <c r="A1593" s="1" t="str">
        <f>IF(COUNTIF('Icon Lookup'!C:C,B1593)&gt;0,LOOKUP(B1593,'Icon Lookup'!C:C,'Icon Lookup'!B:B),"")</f>
        <v/>
      </c>
      <c r="B1593" s="15" t="s">
        <v>2091</v>
      </c>
      <c r="C1593" s="1" t="s">
        <v>17</v>
      </c>
      <c r="D1593" s="1" t="s">
        <v>215</v>
      </c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</row>
    <row r="1594" ht="23.25" customHeight="1">
      <c r="A1594" s="20" t="str">
        <f>IF(COUNTIF('Icon Lookup'!C:C,B1594)&gt;0,LOOKUP(B1594,'Icon Lookup'!C:C,'Icon Lookup'!B:B),"")</f>
        <v/>
      </c>
      <c r="B1594" s="21" t="s">
        <v>476</v>
      </c>
      <c r="C1594" s="20" t="s">
        <v>17</v>
      </c>
      <c r="D1594" s="20">
        <v>37.0</v>
      </c>
      <c r="E1594" s="20" t="s">
        <v>203</v>
      </c>
      <c r="G1594" s="22"/>
      <c r="H1594" s="23" t="s">
        <v>2092</v>
      </c>
      <c r="I1594" s="20" t="s">
        <v>52</v>
      </c>
      <c r="J1594" s="20">
        <v>0.0</v>
      </c>
      <c r="K1594" s="20">
        <v>0.0</v>
      </c>
      <c r="L1594" s="20">
        <v>0.0</v>
      </c>
      <c r="M1594" s="20">
        <v>0.0</v>
      </c>
      <c r="N1594" s="20">
        <v>0.0</v>
      </c>
      <c r="O1594" s="20">
        <v>0.0</v>
      </c>
      <c r="P1594" s="20">
        <v>0.0</v>
      </c>
      <c r="Q1594" s="20">
        <v>0.0</v>
      </c>
      <c r="R1594" s="20">
        <v>0.0</v>
      </c>
      <c r="S1594" s="20">
        <v>0.0</v>
      </c>
      <c r="T1594" s="20">
        <v>0.0</v>
      </c>
      <c r="U1594" s="20">
        <v>0.0</v>
      </c>
    </row>
    <row r="1595" ht="23.25" customHeight="1">
      <c r="A1595" s="17" t="str">
        <f>IF(COUNTIF('Icon Lookup'!C:C,B1595)&gt;0,LOOKUP(B1595,'Icon Lookup'!C:C,'Icon Lookup'!B:B),"")</f>
        <v/>
      </c>
      <c r="B1595" s="18" t="s">
        <v>198</v>
      </c>
      <c r="C1595" s="17" t="s">
        <v>17</v>
      </c>
      <c r="D1595" s="17">
        <v>36.0</v>
      </c>
      <c r="E1595" s="17" t="s">
        <v>50</v>
      </c>
      <c r="G1595" s="19"/>
      <c r="H1595" s="20" t="s">
        <v>2093</v>
      </c>
      <c r="I1595" s="17" t="s">
        <v>40</v>
      </c>
      <c r="J1595" s="17">
        <v>0.0</v>
      </c>
      <c r="K1595" s="17">
        <v>0.0</v>
      </c>
      <c r="L1595" s="17">
        <v>0.0</v>
      </c>
      <c r="M1595" s="17">
        <v>0.0</v>
      </c>
      <c r="N1595" s="17">
        <v>0.0</v>
      </c>
      <c r="O1595" s="17">
        <v>0.0</v>
      </c>
      <c r="P1595" s="17">
        <v>0.0</v>
      </c>
      <c r="Q1595" s="17">
        <v>0.0</v>
      </c>
      <c r="R1595" s="17">
        <v>0.0</v>
      </c>
      <c r="S1595" s="17">
        <v>0.0</v>
      </c>
      <c r="T1595" s="17">
        <v>0.0</v>
      </c>
      <c r="U1595" s="17">
        <v>0.0</v>
      </c>
    </row>
    <row r="1596" ht="23.25" customHeight="1">
      <c r="A1596" s="20" t="str">
        <f>IF(COUNTIF('Icon Lookup'!C:C,B1596)&gt;0,LOOKUP(B1596,'Icon Lookup'!C:C,'Icon Lookup'!B:B),"")</f>
        <v/>
      </c>
      <c r="B1596" s="21" t="s">
        <v>245</v>
      </c>
      <c r="C1596" s="20" t="s">
        <v>17</v>
      </c>
      <c r="D1596" s="20">
        <v>38.0</v>
      </c>
      <c r="E1596" s="20" t="s">
        <v>218</v>
      </c>
      <c r="G1596" s="22"/>
      <c r="H1596" s="23" t="s">
        <v>2094</v>
      </c>
      <c r="I1596" s="20" t="s">
        <v>40</v>
      </c>
      <c r="J1596" s="20">
        <v>0.0</v>
      </c>
      <c r="K1596" s="20">
        <v>0.0</v>
      </c>
      <c r="L1596" s="20">
        <v>0.0</v>
      </c>
      <c r="M1596" s="20">
        <v>0.0</v>
      </c>
      <c r="N1596" s="20">
        <v>0.0</v>
      </c>
      <c r="O1596" s="20">
        <v>0.0</v>
      </c>
      <c r="P1596" s="20">
        <v>0.0</v>
      </c>
      <c r="Q1596" s="20">
        <v>0.0</v>
      </c>
      <c r="R1596" s="20">
        <v>0.0</v>
      </c>
      <c r="S1596" s="20">
        <v>0.0</v>
      </c>
      <c r="T1596" s="20">
        <v>0.0</v>
      </c>
      <c r="U1596" s="20">
        <v>0.0</v>
      </c>
    </row>
    <row r="1597" ht="23.25" customHeight="1">
      <c r="A1597" s="1" t="str">
        <f>IF(COUNTIF('Icon Lookup'!C:C,B1597)&gt;0,LOOKUP(B1597,'Icon Lookup'!C:C,'Icon Lookup'!B:B),"")</f>
        <v/>
      </c>
      <c r="B1597" s="15" t="s">
        <v>2095</v>
      </c>
      <c r="C1597" s="1" t="s">
        <v>17</v>
      </c>
      <c r="D1597" s="1" t="s">
        <v>215</v>
      </c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</row>
    <row r="1598" ht="23.25" customHeight="1">
      <c r="A1598" s="17" t="str">
        <f>IF(COUNTIF('Icon Lookup'!C:C,B1598)&gt;0,LOOKUP(B1598,'Icon Lookup'!C:C,'Icon Lookup'!B:B),"")</f>
        <v/>
      </c>
      <c r="B1598" s="18" t="s">
        <v>476</v>
      </c>
      <c r="C1598" s="17" t="s">
        <v>17</v>
      </c>
      <c r="D1598" s="17">
        <v>52.0</v>
      </c>
      <c r="E1598" s="17" t="s">
        <v>203</v>
      </c>
      <c r="G1598" s="19"/>
      <c r="H1598" s="20" t="s">
        <v>2096</v>
      </c>
      <c r="I1598" s="17" t="s">
        <v>52</v>
      </c>
      <c r="J1598" s="17">
        <v>0.0</v>
      </c>
      <c r="K1598" s="17">
        <v>0.0</v>
      </c>
      <c r="L1598" s="17">
        <v>0.0</v>
      </c>
      <c r="M1598" s="17">
        <v>0.0</v>
      </c>
      <c r="N1598" s="17">
        <v>0.0</v>
      </c>
      <c r="O1598" s="17">
        <v>0.0</v>
      </c>
      <c r="P1598" s="17">
        <v>0.0</v>
      </c>
      <c r="Q1598" s="17">
        <v>0.0</v>
      </c>
      <c r="R1598" s="17">
        <v>0.0</v>
      </c>
      <c r="S1598" s="17">
        <v>0.0</v>
      </c>
      <c r="T1598" s="17">
        <v>0.0</v>
      </c>
      <c r="U1598" s="17">
        <v>0.0</v>
      </c>
    </row>
    <row r="1599" ht="23.25" customHeight="1">
      <c r="A1599" s="20" t="str">
        <f>IF(COUNTIF('Icon Lookup'!C:C,B1599)&gt;0,LOOKUP(B1599,'Icon Lookup'!C:C,'Icon Lookup'!B:B),"")</f>
        <v/>
      </c>
      <c r="B1599" s="21" t="s">
        <v>198</v>
      </c>
      <c r="C1599" s="20" t="s">
        <v>17</v>
      </c>
      <c r="D1599" s="20">
        <v>51.0</v>
      </c>
      <c r="E1599" s="20" t="s">
        <v>50</v>
      </c>
      <c r="G1599" s="22"/>
      <c r="H1599" s="23" t="s">
        <v>2055</v>
      </c>
      <c r="I1599" s="20" t="s">
        <v>40</v>
      </c>
      <c r="J1599" s="20">
        <v>0.0</v>
      </c>
      <c r="K1599" s="20">
        <v>0.0</v>
      </c>
      <c r="L1599" s="20">
        <v>0.0</v>
      </c>
      <c r="M1599" s="20">
        <v>0.0</v>
      </c>
      <c r="N1599" s="20">
        <v>0.0</v>
      </c>
      <c r="O1599" s="20">
        <v>0.0</v>
      </c>
      <c r="P1599" s="20">
        <v>0.0</v>
      </c>
      <c r="Q1599" s="20">
        <v>0.0</v>
      </c>
      <c r="R1599" s="20">
        <v>0.0</v>
      </c>
      <c r="S1599" s="20">
        <v>0.0</v>
      </c>
      <c r="T1599" s="20">
        <v>0.0</v>
      </c>
      <c r="U1599" s="20">
        <v>0.0</v>
      </c>
    </row>
    <row r="1600" ht="23.25" customHeight="1">
      <c r="A1600" s="17" t="str">
        <f>IF(COUNTIF('Icon Lookup'!C:C,B1600)&gt;0,LOOKUP(B1600,'Icon Lookup'!C:C,'Icon Lookup'!B:B),"")</f>
        <v/>
      </c>
      <c r="B1600" s="18" t="s">
        <v>728</v>
      </c>
      <c r="C1600" s="17" t="s">
        <v>17</v>
      </c>
      <c r="D1600" s="17">
        <v>53.0</v>
      </c>
      <c r="E1600" s="17" t="s">
        <v>218</v>
      </c>
      <c r="G1600" s="19"/>
      <c r="H1600" s="20" t="s">
        <v>2097</v>
      </c>
      <c r="I1600" s="17" t="s">
        <v>40</v>
      </c>
      <c r="J1600" s="17">
        <v>0.0</v>
      </c>
      <c r="K1600" s="17">
        <v>0.0</v>
      </c>
      <c r="L1600" s="17">
        <v>0.0</v>
      </c>
      <c r="M1600" s="17">
        <v>0.0</v>
      </c>
      <c r="N1600" s="17">
        <v>0.0</v>
      </c>
      <c r="O1600" s="17">
        <v>0.0</v>
      </c>
      <c r="P1600" s="17">
        <v>0.0</v>
      </c>
      <c r="Q1600" s="17">
        <v>0.0</v>
      </c>
      <c r="R1600" s="17">
        <v>0.0</v>
      </c>
      <c r="S1600" s="17">
        <v>0.0</v>
      </c>
      <c r="T1600" s="17">
        <v>0.0</v>
      </c>
      <c r="U1600" s="17">
        <v>0.0</v>
      </c>
    </row>
    <row r="1601" ht="23.25" customHeight="1">
      <c r="A1601" s="1" t="str">
        <f>IF(COUNTIF('Icon Lookup'!C:C,B1601)&gt;0,LOOKUP(B1601,'Icon Lookup'!C:C,'Icon Lookup'!B:B),"")</f>
        <v/>
      </c>
      <c r="B1601" s="15" t="s">
        <v>2098</v>
      </c>
      <c r="C1601" s="1" t="s">
        <v>17</v>
      </c>
      <c r="D1601" s="1" t="s">
        <v>1283</v>
      </c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</row>
    <row r="1602" ht="23.25" customHeight="1">
      <c r="A1602" s="20" t="str">
        <f>IF(COUNTIF('Icon Lookup'!C:C,B1602)&gt;0,LOOKUP(B1602,'Icon Lookup'!C:C,'Icon Lookup'!B:B),"")</f>
        <v/>
      </c>
      <c r="B1602" s="21" t="s">
        <v>86</v>
      </c>
      <c r="C1602" s="20" t="s">
        <v>17</v>
      </c>
      <c r="D1602" s="20">
        <v>19.0</v>
      </c>
      <c r="E1602" s="20" t="s">
        <v>87</v>
      </c>
      <c r="G1602" s="22"/>
      <c r="H1602" s="23" t="s">
        <v>2099</v>
      </c>
      <c r="I1602" s="20" t="s">
        <v>211</v>
      </c>
      <c r="J1602" s="20">
        <v>0.0</v>
      </c>
      <c r="K1602" s="20">
        <v>0.0</v>
      </c>
      <c r="L1602" s="20">
        <v>0.0</v>
      </c>
      <c r="M1602" s="20">
        <v>0.0</v>
      </c>
      <c r="N1602" s="20">
        <v>0.0</v>
      </c>
      <c r="O1602" s="20">
        <v>0.0</v>
      </c>
      <c r="P1602" s="20">
        <v>0.0</v>
      </c>
      <c r="Q1602" s="20">
        <v>0.0</v>
      </c>
      <c r="R1602" s="20">
        <v>0.0</v>
      </c>
      <c r="S1602" s="20">
        <v>0.0</v>
      </c>
      <c r="T1602" s="20">
        <v>0.0</v>
      </c>
      <c r="U1602" s="20">
        <v>0.0</v>
      </c>
    </row>
    <row r="1603" ht="23.25" customHeight="1">
      <c r="A1603" s="1" t="str">
        <f>IF(COUNTIF('Icon Lookup'!C:C,B1603)&gt;0,LOOKUP(B1603,'Icon Lookup'!C:C,'Icon Lookup'!B:B),"")</f>
        <v/>
      </c>
      <c r="B1603" s="15" t="s">
        <v>2100</v>
      </c>
      <c r="C1603" s="1" t="s">
        <v>17</v>
      </c>
      <c r="D1603" s="1" t="s">
        <v>1283</v>
      </c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</row>
    <row r="1604" ht="23.25" customHeight="1">
      <c r="A1604" s="17" t="str">
        <f>IF(COUNTIF('Icon Lookup'!C:C,B1604)&gt;0,LOOKUP(B1604,'Icon Lookup'!C:C,'Icon Lookup'!B:B),"")</f>
        <v/>
      </c>
      <c r="B1604" s="18" t="s">
        <v>176</v>
      </c>
      <c r="C1604" s="17" t="s">
        <v>17</v>
      </c>
      <c r="D1604" s="17">
        <v>31.0</v>
      </c>
      <c r="E1604" s="17" t="s">
        <v>87</v>
      </c>
      <c r="G1604" s="19"/>
      <c r="H1604" s="20" t="s">
        <v>1545</v>
      </c>
      <c r="I1604" s="17" t="s">
        <v>211</v>
      </c>
      <c r="J1604" s="17">
        <v>0.0</v>
      </c>
      <c r="K1604" s="17">
        <v>0.0</v>
      </c>
      <c r="L1604" s="17">
        <v>0.0</v>
      </c>
      <c r="M1604" s="17">
        <v>0.0</v>
      </c>
      <c r="N1604" s="17">
        <v>0.0</v>
      </c>
      <c r="O1604" s="17">
        <v>0.0</v>
      </c>
      <c r="P1604" s="17">
        <v>0.0</v>
      </c>
      <c r="Q1604" s="17">
        <v>0.0</v>
      </c>
      <c r="R1604" s="17">
        <v>0.0</v>
      </c>
      <c r="S1604" s="17">
        <v>0.0</v>
      </c>
      <c r="T1604" s="17">
        <v>0.0</v>
      </c>
      <c r="U1604" s="17">
        <v>0.0</v>
      </c>
    </row>
    <row r="1605" ht="23.25" customHeight="1">
      <c r="A1605" s="1" t="str">
        <f>IF(COUNTIF('Icon Lookup'!C:C,B1605)&gt;0,LOOKUP(B1605,'Icon Lookup'!C:C,'Icon Lookup'!B:B),"")</f>
        <v/>
      </c>
      <c r="B1605" s="15" t="s">
        <v>2101</v>
      </c>
      <c r="C1605" s="1" t="s">
        <v>17</v>
      </c>
      <c r="D1605" s="1" t="s">
        <v>1283</v>
      </c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</row>
    <row r="1606" ht="23.25" customHeight="1">
      <c r="A1606" s="20" t="str">
        <f>IF(COUNTIF('Icon Lookup'!C:C,B1606)&gt;0,LOOKUP(B1606,'Icon Lookup'!C:C,'Icon Lookup'!B:B),"")</f>
        <v/>
      </c>
      <c r="B1606" s="21" t="s">
        <v>176</v>
      </c>
      <c r="C1606" s="20" t="s">
        <v>17</v>
      </c>
      <c r="D1606" s="20">
        <v>55.0</v>
      </c>
      <c r="E1606" s="20" t="s">
        <v>87</v>
      </c>
      <c r="G1606" s="22"/>
      <c r="H1606" s="23" t="s">
        <v>2102</v>
      </c>
      <c r="I1606" s="20" t="s">
        <v>211</v>
      </c>
      <c r="J1606" s="20">
        <v>0.0</v>
      </c>
      <c r="K1606" s="20">
        <v>0.0</v>
      </c>
      <c r="L1606" s="20">
        <v>0.0</v>
      </c>
      <c r="M1606" s="20">
        <v>0.0</v>
      </c>
      <c r="N1606" s="20">
        <v>0.0</v>
      </c>
      <c r="O1606" s="20">
        <v>0.0</v>
      </c>
      <c r="P1606" s="20">
        <v>0.0</v>
      </c>
      <c r="Q1606" s="20">
        <v>0.0</v>
      </c>
      <c r="R1606" s="20">
        <v>0.0</v>
      </c>
      <c r="S1606" s="20">
        <v>0.0</v>
      </c>
      <c r="T1606" s="20">
        <v>0.0</v>
      </c>
      <c r="U1606" s="20">
        <v>0.0</v>
      </c>
    </row>
    <row r="1607" ht="23.25" customHeight="1">
      <c r="A1607" s="1" t="str">
        <f>IF(COUNTIF('Icon Lookup'!C:C,B1607)&gt;0,LOOKUP(B1607,'Icon Lookup'!C:C,'Icon Lookup'!B:B),"")</f>
        <v/>
      </c>
      <c r="B1607" s="15" t="s">
        <v>2103</v>
      </c>
      <c r="C1607" s="1" t="s">
        <v>17</v>
      </c>
      <c r="D1607" s="1" t="s">
        <v>507</v>
      </c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</row>
    <row r="1608" ht="23.25" customHeight="1">
      <c r="A1608" s="17" t="str">
        <f>IF(COUNTIF('Icon Lookup'!C:C,B1608)&gt;0,LOOKUP(B1608,'Icon Lookup'!C:C,'Icon Lookup'!B:B),"")</f>
        <v/>
      </c>
      <c r="B1608" s="18" t="s">
        <v>311</v>
      </c>
      <c r="C1608" s="17" t="s">
        <v>17</v>
      </c>
      <c r="D1608" s="17">
        <v>54.0</v>
      </c>
      <c r="E1608" s="17" t="s">
        <v>137</v>
      </c>
      <c r="G1608" s="19"/>
      <c r="H1608" s="20" t="s">
        <v>508</v>
      </c>
      <c r="I1608" s="17" t="s">
        <v>52</v>
      </c>
      <c r="J1608" s="17">
        <v>0.0</v>
      </c>
      <c r="K1608" s="17">
        <v>0.0</v>
      </c>
      <c r="L1608" s="17">
        <v>0.0</v>
      </c>
      <c r="M1608" s="17">
        <v>0.0</v>
      </c>
      <c r="N1608" s="17">
        <v>0.0</v>
      </c>
      <c r="O1608" s="17">
        <v>0.0</v>
      </c>
      <c r="P1608" s="17">
        <v>0.0</v>
      </c>
      <c r="Q1608" s="17">
        <v>0.0</v>
      </c>
      <c r="R1608" s="17">
        <v>0.0</v>
      </c>
      <c r="S1608" s="17">
        <v>0.0</v>
      </c>
      <c r="T1608" s="17">
        <v>0.0</v>
      </c>
      <c r="U1608" s="17">
        <v>0.0</v>
      </c>
    </row>
    <row r="1609" ht="23.25" customHeight="1">
      <c r="A1609" s="20" t="str">
        <f>IF(COUNTIF('Icon Lookup'!C:C,B1609)&gt;0,LOOKUP(B1609,'Icon Lookup'!C:C,'Icon Lookup'!B:B),"")</f>
        <v/>
      </c>
      <c r="B1609" s="21" t="s">
        <v>410</v>
      </c>
      <c r="C1609" s="20" t="s">
        <v>17</v>
      </c>
      <c r="D1609" s="20">
        <v>54.0</v>
      </c>
      <c r="E1609" s="20" t="s">
        <v>20</v>
      </c>
      <c r="G1609" s="22"/>
      <c r="H1609" s="23" t="s">
        <v>2104</v>
      </c>
      <c r="I1609" s="20" t="s">
        <v>52</v>
      </c>
      <c r="J1609" s="20">
        <v>0.0</v>
      </c>
      <c r="K1609" s="20">
        <v>0.0</v>
      </c>
      <c r="L1609" s="20">
        <v>0.0</v>
      </c>
      <c r="M1609" s="20">
        <v>0.0</v>
      </c>
      <c r="N1609" s="20">
        <v>0.0</v>
      </c>
      <c r="O1609" s="20">
        <v>0.0</v>
      </c>
      <c r="P1609" s="20">
        <v>0.0</v>
      </c>
      <c r="Q1609" s="20">
        <v>0.0</v>
      </c>
      <c r="R1609" s="20">
        <v>0.0</v>
      </c>
      <c r="S1609" s="20">
        <v>0.0</v>
      </c>
      <c r="T1609" s="20">
        <v>0.0</v>
      </c>
      <c r="U1609" s="20">
        <v>0.0</v>
      </c>
    </row>
    <row r="1610" ht="23.25" customHeight="1">
      <c r="A1610" s="17" t="str">
        <f>IF(COUNTIF('Icon Lookup'!C:C,B1610)&gt;0,LOOKUP(B1610,'Icon Lookup'!C:C,'Icon Lookup'!B:B),"")</f>
        <v/>
      </c>
      <c r="B1610" s="18" t="s">
        <v>510</v>
      </c>
      <c r="C1610" s="17" t="s">
        <v>17</v>
      </c>
      <c r="D1610" s="17">
        <v>54.0</v>
      </c>
      <c r="E1610" s="17" t="s">
        <v>511</v>
      </c>
      <c r="G1610" s="19"/>
      <c r="H1610" s="20" t="s">
        <v>2105</v>
      </c>
      <c r="I1610" s="17" t="s">
        <v>89</v>
      </c>
      <c r="J1610" s="17">
        <v>0.0</v>
      </c>
      <c r="K1610" s="17">
        <v>0.0</v>
      </c>
      <c r="L1610" s="17">
        <v>0.0</v>
      </c>
      <c r="M1610" s="17">
        <v>0.0</v>
      </c>
      <c r="N1610" s="17">
        <v>0.0</v>
      </c>
      <c r="O1610" s="17">
        <v>0.0</v>
      </c>
      <c r="P1610" s="17">
        <v>0.0</v>
      </c>
      <c r="Q1610" s="17">
        <v>0.0</v>
      </c>
      <c r="R1610" s="17">
        <v>0.0</v>
      </c>
      <c r="S1610" s="17">
        <v>0.0</v>
      </c>
      <c r="T1610" s="17">
        <v>0.0</v>
      </c>
      <c r="U1610" s="17">
        <v>0.0</v>
      </c>
    </row>
    <row r="1611" ht="23.25" customHeight="1">
      <c r="A1611" s="1" t="str">
        <f>IF(COUNTIF('Icon Lookup'!C:C,B1611)&gt;0,LOOKUP(B1611,'Icon Lookup'!C:C,'Icon Lookup'!B:B),"")</f>
        <v/>
      </c>
      <c r="B1611" s="15" t="s">
        <v>2106</v>
      </c>
      <c r="C1611" s="1" t="s">
        <v>17</v>
      </c>
      <c r="D1611" s="1" t="s">
        <v>514</v>
      </c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</row>
    <row r="1612" ht="23.25" customHeight="1">
      <c r="A1612" s="20" t="str">
        <f>IF(COUNTIF('Icon Lookup'!C:C,B1612)&gt;0,LOOKUP(B1612,'Icon Lookup'!C:C,'Icon Lookup'!B:B),"")</f>
        <v/>
      </c>
      <c r="B1612" s="21" t="s">
        <v>198</v>
      </c>
      <c r="C1612" s="20" t="s">
        <v>17</v>
      </c>
      <c r="D1612" s="20">
        <v>55.0</v>
      </c>
      <c r="E1612" s="20" t="s">
        <v>50</v>
      </c>
      <c r="G1612" s="22"/>
      <c r="H1612" s="23" t="s">
        <v>2107</v>
      </c>
      <c r="I1612" s="20" t="s">
        <v>105</v>
      </c>
      <c r="J1612" s="20">
        <v>0.0</v>
      </c>
      <c r="K1612" s="20">
        <v>0.0</v>
      </c>
      <c r="L1612" s="20">
        <v>0.0</v>
      </c>
      <c r="M1612" s="20">
        <v>0.0</v>
      </c>
      <c r="N1612" s="20">
        <v>0.0</v>
      </c>
      <c r="O1612" s="20">
        <v>0.0</v>
      </c>
      <c r="P1612" s="20">
        <v>0.0</v>
      </c>
      <c r="Q1612" s="20">
        <v>0.0</v>
      </c>
      <c r="R1612" s="20">
        <v>0.0</v>
      </c>
      <c r="S1612" s="20">
        <v>0.0</v>
      </c>
      <c r="T1612" s="20">
        <v>0.0</v>
      </c>
      <c r="U1612" s="20">
        <v>0.0</v>
      </c>
    </row>
    <row r="1613" ht="23.25" customHeight="1">
      <c r="A1613" s="17" t="str">
        <f>IF(COUNTIF('Icon Lookup'!C:C,B1613)&gt;0,LOOKUP(B1613,'Icon Lookup'!C:C,'Icon Lookup'!B:B),"")</f>
        <v/>
      </c>
      <c r="B1613" s="18" t="s">
        <v>515</v>
      </c>
      <c r="C1613" s="17" t="s">
        <v>17</v>
      </c>
      <c r="D1613" s="17">
        <v>55.0</v>
      </c>
      <c r="E1613" s="17" t="s">
        <v>111</v>
      </c>
      <c r="G1613" s="19"/>
      <c r="H1613" s="20" t="s">
        <v>2108</v>
      </c>
      <c r="I1613" s="17" t="s">
        <v>22</v>
      </c>
      <c r="J1613" s="17">
        <v>0.0</v>
      </c>
      <c r="K1613" s="17">
        <v>0.0</v>
      </c>
      <c r="L1613" s="17">
        <v>0.0</v>
      </c>
      <c r="M1613" s="17">
        <v>0.0</v>
      </c>
      <c r="N1613" s="17">
        <v>0.0</v>
      </c>
      <c r="O1613" s="17">
        <v>0.0</v>
      </c>
      <c r="P1613" s="17">
        <v>0.0</v>
      </c>
      <c r="Q1613" s="17">
        <v>0.0</v>
      </c>
      <c r="R1613" s="17">
        <v>0.0</v>
      </c>
      <c r="S1613" s="17">
        <v>0.0</v>
      </c>
      <c r="T1613" s="17">
        <v>0.0</v>
      </c>
      <c r="U1613" s="17">
        <v>0.0</v>
      </c>
    </row>
    <row r="1614" ht="23.25" customHeight="1">
      <c r="A1614" s="1" t="str">
        <f>IF(COUNTIF('Icon Lookup'!C:C,B1614)&gt;0,LOOKUP(B1614,'Icon Lookup'!C:C,'Icon Lookup'!B:B),"")</f>
        <v/>
      </c>
      <c r="B1614" s="15" t="s">
        <v>2109</v>
      </c>
      <c r="C1614" s="1" t="s">
        <v>17</v>
      </c>
      <c r="D1614" s="1" t="s">
        <v>945</v>
      </c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</row>
    <row r="1615" ht="23.25" customHeight="1">
      <c r="A1615" s="20" t="str">
        <f>IF(COUNTIF('Icon Lookup'!C:C,B1615)&gt;0,LOOKUP(B1615,'Icon Lookup'!C:C,'Icon Lookup'!B:B),"")</f>
        <v/>
      </c>
      <c r="B1615" s="21" t="s">
        <v>510</v>
      </c>
      <c r="C1615" s="20" t="s">
        <v>17</v>
      </c>
      <c r="D1615" s="20">
        <v>51.0</v>
      </c>
      <c r="E1615" s="20" t="s">
        <v>511</v>
      </c>
      <c r="G1615" s="22"/>
      <c r="H1615" s="23" t="s">
        <v>2110</v>
      </c>
      <c r="I1615" s="20" t="s">
        <v>211</v>
      </c>
      <c r="J1615" s="20">
        <v>0.0</v>
      </c>
      <c r="K1615" s="20">
        <v>0.0</v>
      </c>
      <c r="L1615" s="20">
        <v>0.0</v>
      </c>
      <c r="M1615" s="20">
        <v>0.0</v>
      </c>
      <c r="N1615" s="20">
        <v>0.0</v>
      </c>
      <c r="O1615" s="20">
        <v>0.0</v>
      </c>
      <c r="P1615" s="20">
        <v>0.0</v>
      </c>
      <c r="Q1615" s="20">
        <v>0.0</v>
      </c>
      <c r="R1615" s="20">
        <v>0.0</v>
      </c>
      <c r="S1615" s="20">
        <v>0.0</v>
      </c>
      <c r="T1615" s="20">
        <v>0.0</v>
      </c>
      <c r="U1615" s="20">
        <v>0.0</v>
      </c>
    </row>
    <row r="1616" ht="23.25" customHeight="1">
      <c r="A1616" s="17" t="str">
        <f>IF(COUNTIF('Icon Lookup'!C:C,B1616)&gt;0,LOOKUP(B1616,'Icon Lookup'!C:C,'Icon Lookup'!B:B),"")</f>
        <v/>
      </c>
      <c r="B1616" s="18" t="s">
        <v>510</v>
      </c>
      <c r="C1616" s="17" t="s">
        <v>17</v>
      </c>
      <c r="D1616" s="17">
        <v>53.0</v>
      </c>
      <c r="E1616" s="17" t="s">
        <v>511</v>
      </c>
      <c r="G1616" s="19"/>
      <c r="H1616" s="20" t="s">
        <v>2111</v>
      </c>
      <c r="I1616" s="17" t="s">
        <v>22</v>
      </c>
      <c r="J1616" s="17">
        <v>0.0</v>
      </c>
      <c r="K1616" s="17">
        <v>0.0</v>
      </c>
      <c r="L1616" s="17">
        <v>0.0</v>
      </c>
      <c r="M1616" s="17">
        <v>0.0</v>
      </c>
      <c r="N1616" s="17">
        <v>0.0</v>
      </c>
      <c r="O1616" s="17">
        <v>0.0</v>
      </c>
      <c r="P1616" s="17">
        <v>0.0</v>
      </c>
      <c r="Q1616" s="17">
        <v>0.0</v>
      </c>
      <c r="R1616" s="17">
        <v>0.0</v>
      </c>
      <c r="S1616" s="17">
        <v>0.0</v>
      </c>
      <c r="T1616" s="17">
        <v>0.0</v>
      </c>
      <c r="U1616" s="17">
        <v>0.0</v>
      </c>
    </row>
    <row r="1617" ht="23.25" customHeight="1">
      <c r="A1617" s="20" t="str">
        <f>IF(COUNTIF('Icon Lookup'!C:C,B1617)&gt;0,LOOKUP(B1617,'Icon Lookup'!C:C,'Icon Lookup'!B:B),"")</f>
        <v/>
      </c>
      <c r="B1617" s="21" t="s">
        <v>510</v>
      </c>
      <c r="C1617" s="20" t="s">
        <v>17</v>
      </c>
      <c r="D1617" s="20">
        <v>52.0</v>
      </c>
      <c r="E1617" s="20" t="s">
        <v>511</v>
      </c>
      <c r="G1617" s="22"/>
      <c r="H1617" s="23" t="s">
        <v>2112</v>
      </c>
      <c r="I1617" s="20" t="s">
        <v>22</v>
      </c>
      <c r="J1617" s="20">
        <v>0.0</v>
      </c>
      <c r="K1617" s="20">
        <v>0.0</v>
      </c>
      <c r="L1617" s="20">
        <v>0.0</v>
      </c>
      <c r="M1617" s="20">
        <v>0.0</v>
      </c>
      <c r="N1617" s="20">
        <v>0.0</v>
      </c>
      <c r="O1617" s="20">
        <v>0.0</v>
      </c>
      <c r="P1617" s="20">
        <v>0.0</v>
      </c>
      <c r="Q1617" s="20">
        <v>0.0</v>
      </c>
      <c r="R1617" s="20">
        <v>0.0</v>
      </c>
      <c r="S1617" s="20">
        <v>0.0</v>
      </c>
      <c r="T1617" s="20">
        <v>0.0</v>
      </c>
      <c r="U1617" s="20">
        <v>0.0</v>
      </c>
    </row>
    <row r="1618" ht="23.25" customHeight="1">
      <c r="A1618" s="1" t="str">
        <f>IF(COUNTIF('Icon Lookup'!C:C,B1618)&gt;0,LOOKUP(B1618,'Icon Lookup'!C:C,'Icon Lookup'!B:B),"")</f>
        <v/>
      </c>
      <c r="B1618" s="15" t="s">
        <v>2113</v>
      </c>
      <c r="C1618" s="1" t="s">
        <v>17</v>
      </c>
      <c r="D1618" s="1" t="s">
        <v>124</v>
      </c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</row>
    <row r="1619" ht="23.25" customHeight="1">
      <c r="A1619" s="17" t="str">
        <f>IF(COUNTIF('Icon Lookup'!C:C,B1619)&gt;0,LOOKUP(B1619,'Icon Lookup'!C:C,'Icon Lookup'!B:B),"")</f>
        <v/>
      </c>
      <c r="B1619" s="18" t="s">
        <v>117</v>
      </c>
      <c r="C1619" s="17" t="s">
        <v>17</v>
      </c>
      <c r="D1619" s="17">
        <v>28.0</v>
      </c>
      <c r="E1619" s="17" t="s">
        <v>26</v>
      </c>
      <c r="G1619" s="19"/>
      <c r="H1619" s="20" t="s">
        <v>2114</v>
      </c>
      <c r="I1619" s="17" t="s">
        <v>22</v>
      </c>
      <c r="J1619" s="17">
        <v>0.0</v>
      </c>
      <c r="K1619" s="17">
        <v>0.0</v>
      </c>
      <c r="L1619" s="17">
        <v>0.0</v>
      </c>
      <c r="M1619" s="17">
        <v>0.0</v>
      </c>
      <c r="N1619" s="17">
        <v>0.0</v>
      </c>
      <c r="O1619" s="17">
        <v>0.0</v>
      </c>
      <c r="P1619" s="17">
        <v>0.0</v>
      </c>
      <c r="Q1619" s="17">
        <v>0.0</v>
      </c>
      <c r="R1619" s="17">
        <v>0.0</v>
      </c>
      <c r="S1619" s="17">
        <v>0.0</v>
      </c>
      <c r="T1619" s="17">
        <v>0.0</v>
      </c>
      <c r="U1619" s="17">
        <v>0.0</v>
      </c>
    </row>
    <row r="1620" ht="23.25" customHeight="1">
      <c r="A1620" s="20" t="str">
        <f>IF(COUNTIF('Icon Lookup'!C:C,B1620)&gt;0,LOOKUP(B1620,'Icon Lookup'!C:C,'Icon Lookup'!B:B),"")</f>
        <v/>
      </c>
      <c r="B1620" s="21" t="s">
        <v>117</v>
      </c>
      <c r="C1620" s="20" t="s">
        <v>17</v>
      </c>
      <c r="D1620" s="20">
        <v>30.0</v>
      </c>
      <c r="E1620" s="20" t="s">
        <v>26</v>
      </c>
      <c r="G1620" s="22"/>
      <c r="H1620" s="23" t="s">
        <v>505</v>
      </c>
      <c r="I1620" s="20" t="s">
        <v>22</v>
      </c>
      <c r="J1620" s="20">
        <v>0.0</v>
      </c>
      <c r="K1620" s="20">
        <v>0.0</v>
      </c>
      <c r="L1620" s="20">
        <v>0.0</v>
      </c>
      <c r="M1620" s="20">
        <v>0.0</v>
      </c>
      <c r="N1620" s="20">
        <v>0.0</v>
      </c>
      <c r="O1620" s="20">
        <v>0.0</v>
      </c>
      <c r="P1620" s="20">
        <v>0.0</v>
      </c>
      <c r="Q1620" s="20">
        <v>0.0</v>
      </c>
      <c r="R1620" s="20">
        <v>0.0</v>
      </c>
      <c r="S1620" s="20">
        <v>0.0</v>
      </c>
      <c r="T1620" s="20">
        <v>0.0</v>
      </c>
      <c r="U1620" s="20">
        <v>0.0</v>
      </c>
    </row>
    <row r="1621" ht="23.25" customHeight="1">
      <c r="A1621" s="1" t="str">
        <f>IF(COUNTIF('Icon Lookup'!C:C,B1621)&gt;0,LOOKUP(B1621,'Icon Lookup'!C:C,'Icon Lookup'!B:B),"")</f>
        <v/>
      </c>
      <c r="B1621" s="15" t="s">
        <v>2115</v>
      </c>
      <c r="C1621" s="1" t="s">
        <v>17</v>
      </c>
      <c r="D1621" s="1" t="s">
        <v>124</v>
      </c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</row>
    <row r="1622" ht="23.25" customHeight="1">
      <c r="A1622" s="17" t="str">
        <f>IF(COUNTIF('Icon Lookup'!C:C,B1622)&gt;0,LOOKUP(B1622,'Icon Lookup'!C:C,'Icon Lookup'!B:B),"")</f>
        <v/>
      </c>
      <c r="B1622" s="18" t="s">
        <v>117</v>
      </c>
      <c r="C1622" s="17" t="s">
        <v>17</v>
      </c>
      <c r="D1622" s="17">
        <v>37.0</v>
      </c>
      <c r="E1622" s="17" t="s">
        <v>26</v>
      </c>
      <c r="G1622" s="19"/>
      <c r="H1622" s="20" t="s">
        <v>2116</v>
      </c>
      <c r="I1622" s="17" t="s">
        <v>22</v>
      </c>
      <c r="J1622" s="17">
        <v>0.0</v>
      </c>
      <c r="K1622" s="17">
        <v>0.0</v>
      </c>
      <c r="L1622" s="17">
        <v>0.0</v>
      </c>
      <c r="M1622" s="17">
        <v>0.0</v>
      </c>
      <c r="N1622" s="17">
        <v>0.0</v>
      </c>
      <c r="O1622" s="17">
        <v>0.0</v>
      </c>
      <c r="P1622" s="17">
        <v>0.0</v>
      </c>
      <c r="Q1622" s="17">
        <v>0.0</v>
      </c>
      <c r="R1622" s="17">
        <v>0.0</v>
      </c>
      <c r="S1622" s="17">
        <v>0.0</v>
      </c>
      <c r="T1622" s="17">
        <v>0.0</v>
      </c>
      <c r="U1622" s="17">
        <v>0.0</v>
      </c>
    </row>
    <row r="1623" ht="23.25" customHeight="1">
      <c r="A1623" s="20" t="str">
        <f>IF(COUNTIF('Icon Lookup'!C:C,B1623)&gt;0,LOOKUP(B1623,'Icon Lookup'!C:C,'Icon Lookup'!B:B),"")</f>
        <v/>
      </c>
      <c r="B1623" s="21" t="s">
        <v>117</v>
      </c>
      <c r="C1623" s="20" t="s">
        <v>17</v>
      </c>
      <c r="D1623" s="20">
        <v>39.0</v>
      </c>
      <c r="E1623" s="20" t="s">
        <v>26</v>
      </c>
      <c r="G1623" s="22"/>
      <c r="H1623" s="23" t="s">
        <v>2117</v>
      </c>
      <c r="I1623" s="20" t="s">
        <v>22</v>
      </c>
      <c r="J1623" s="20">
        <v>0.0</v>
      </c>
      <c r="K1623" s="20">
        <v>0.0</v>
      </c>
      <c r="L1623" s="20">
        <v>0.0</v>
      </c>
      <c r="M1623" s="20">
        <v>0.0</v>
      </c>
      <c r="N1623" s="20">
        <v>0.0</v>
      </c>
      <c r="O1623" s="20">
        <v>0.0</v>
      </c>
      <c r="P1623" s="20">
        <v>0.0</v>
      </c>
      <c r="Q1623" s="20">
        <v>0.0</v>
      </c>
      <c r="R1623" s="20">
        <v>0.0</v>
      </c>
      <c r="S1623" s="20">
        <v>0.0</v>
      </c>
      <c r="T1623" s="20">
        <v>0.0</v>
      </c>
      <c r="U1623" s="20">
        <v>0.0</v>
      </c>
    </row>
    <row r="1624" ht="23.25" customHeight="1">
      <c r="A1624" s="1" t="str">
        <f>IF(COUNTIF('Icon Lookup'!C:C,B1624)&gt;0,LOOKUP(B1624,'Icon Lookup'!C:C,'Icon Lookup'!B:B),"")</f>
        <v/>
      </c>
      <c r="B1624" s="15" t="s">
        <v>2118</v>
      </c>
      <c r="C1624" s="1" t="s">
        <v>17</v>
      </c>
      <c r="D1624" s="1" t="s">
        <v>124</v>
      </c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</row>
    <row r="1625" ht="23.25" customHeight="1">
      <c r="A1625" s="17" t="str">
        <f>IF(COUNTIF('Icon Lookup'!C:C,B1625)&gt;0,LOOKUP(B1625,'Icon Lookup'!C:C,'Icon Lookup'!B:B),"")</f>
        <v/>
      </c>
      <c r="B1625" s="18" t="s">
        <v>741</v>
      </c>
      <c r="C1625" s="17" t="s">
        <v>17</v>
      </c>
      <c r="D1625" s="17">
        <v>58.0</v>
      </c>
      <c r="E1625" s="17" t="s">
        <v>26</v>
      </c>
      <c r="G1625" s="19"/>
      <c r="H1625" s="20" t="s">
        <v>2119</v>
      </c>
      <c r="I1625" s="17" t="s">
        <v>22</v>
      </c>
      <c r="J1625" s="17">
        <v>0.0</v>
      </c>
      <c r="K1625" s="17">
        <v>0.0</v>
      </c>
      <c r="L1625" s="17">
        <v>0.0</v>
      </c>
      <c r="M1625" s="17">
        <v>0.0</v>
      </c>
      <c r="N1625" s="17">
        <v>0.0</v>
      </c>
      <c r="O1625" s="17">
        <v>0.0</v>
      </c>
      <c r="P1625" s="17">
        <v>0.0</v>
      </c>
      <c r="Q1625" s="17">
        <v>0.0</v>
      </c>
      <c r="R1625" s="17">
        <v>0.0</v>
      </c>
      <c r="S1625" s="17">
        <v>0.0</v>
      </c>
      <c r="T1625" s="17">
        <v>0.0</v>
      </c>
      <c r="U1625" s="17">
        <v>0.0</v>
      </c>
    </row>
    <row r="1626" ht="23.25" customHeight="1">
      <c r="A1626" s="20" t="str">
        <f>IF(COUNTIF('Icon Lookup'!C:C,B1626)&gt;0,LOOKUP(B1626,'Icon Lookup'!C:C,'Icon Lookup'!B:B),"")</f>
        <v/>
      </c>
      <c r="B1626" s="21" t="s">
        <v>741</v>
      </c>
      <c r="C1626" s="20" t="s">
        <v>17</v>
      </c>
      <c r="D1626" s="20">
        <v>58.0</v>
      </c>
      <c r="E1626" s="20" t="s">
        <v>26</v>
      </c>
      <c r="G1626" s="22"/>
      <c r="H1626" s="23" t="s">
        <v>2120</v>
      </c>
      <c r="I1626" s="20" t="s">
        <v>22</v>
      </c>
      <c r="J1626" s="20">
        <v>0.0</v>
      </c>
      <c r="K1626" s="20">
        <v>0.0</v>
      </c>
      <c r="L1626" s="20">
        <v>0.0</v>
      </c>
      <c r="M1626" s="20">
        <v>0.0</v>
      </c>
      <c r="N1626" s="20">
        <v>0.0</v>
      </c>
      <c r="O1626" s="20">
        <v>0.0</v>
      </c>
      <c r="P1626" s="20">
        <v>0.0</v>
      </c>
      <c r="Q1626" s="20">
        <v>0.0</v>
      </c>
      <c r="R1626" s="20">
        <v>0.0</v>
      </c>
      <c r="S1626" s="20">
        <v>0.0</v>
      </c>
      <c r="T1626" s="20">
        <v>0.0</v>
      </c>
      <c r="U1626" s="20">
        <v>0.0</v>
      </c>
    </row>
    <row r="1627" ht="23.25" customHeight="1">
      <c r="A1627" s="1" t="str">
        <f>IF(COUNTIF('Icon Lookup'!C:C,B1627)&gt;0,LOOKUP(B1627,'Icon Lookup'!C:C,'Icon Lookup'!B:B),"")</f>
        <v/>
      </c>
      <c r="B1627" s="15" t="s">
        <v>2121</v>
      </c>
      <c r="C1627" s="1" t="s">
        <v>17</v>
      </c>
      <c r="D1627" s="1" t="s">
        <v>135</v>
      </c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</row>
    <row r="1628" ht="23.25" customHeight="1">
      <c r="A1628" s="17" t="str">
        <f>IF(COUNTIF('Icon Lookup'!C:C,B1628)&gt;0,LOOKUP(B1628,'Icon Lookup'!C:C,'Icon Lookup'!B:B),"")</f>
        <v/>
      </c>
      <c r="B1628" s="18" t="s">
        <v>136</v>
      </c>
      <c r="C1628" s="17" t="s">
        <v>17</v>
      </c>
      <c r="D1628" s="17">
        <v>31.0</v>
      </c>
      <c r="E1628" s="17" t="s">
        <v>137</v>
      </c>
      <c r="G1628" s="19"/>
      <c r="H1628" s="20" t="s">
        <v>2122</v>
      </c>
      <c r="I1628" s="17" t="s">
        <v>22</v>
      </c>
      <c r="J1628" s="17">
        <v>0.0</v>
      </c>
      <c r="K1628" s="17">
        <v>0.0</v>
      </c>
      <c r="L1628" s="17">
        <v>0.0</v>
      </c>
      <c r="M1628" s="17">
        <v>0.0</v>
      </c>
      <c r="N1628" s="17">
        <v>0.0</v>
      </c>
      <c r="O1628" s="17">
        <v>0.0</v>
      </c>
      <c r="P1628" s="17">
        <v>0.0</v>
      </c>
      <c r="Q1628" s="17">
        <v>0.0</v>
      </c>
      <c r="R1628" s="17">
        <v>0.0</v>
      </c>
      <c r="S1628" s="17">
        <v>0.0</v>
      </c>
      <c r="T1628" s="17">
        <v>0.0</v>
      </c>
      <c r="U1628" s="17">
        <v>0.0</v>
      </c>
    </row>
    <row r="1629" ht="23.25" customHeight="1">
      <c r="A1629" s="1" t="str">
        <f>IF(COUNTIF('Icon Lookup'!C:C,B1629)&gt;0,LOOKUP(B1629,'Icon Lookup'!C:C,'Icon Lookup'!B:B),"")</f>
        <v/>
      </c>
      <c r="B1629" s="15" t="s">
        <v>2123</v>
      </c>
      <c r="C1629" s="1" t="s">
        <v>17</v>
      </c>
      <c r="D1629" s="1" t="s">
        <v>135</v>
      </c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</row>
    <row r="1630" ht="23.25" customHeight="1">
      <c r="A1630" s="20" t="str">
        <f>IF(COUNTIF('Icon Lookup'!C:C,B1630)&gt;0,LOOKUP(B1630,'Icon Lookup'!C:C,'Icon Lookup'!B:B),"")</f>
        <v/>
      </c>
      <c r="B1630" s="21" t="s">
        <v>136</v>
      </c>
      <c r="C1630" s="20" t="s">
        <v>17</v>
      </c>
      <c r="D1630" s="20">
        <v>40.0</v>
      </c>
      <c r="E1630" s="20" t="s">
        <v>137</v>
      </c>
      <c r="G1630" s="22"/>
      <c r="H1630" s="23" t="s">
        <v>2124</v>
      </c>
      <c r="I1630" s="20" t="s">
        <v>22</v>
      </c>
      <c r="J1630" s="20">
        <v>0.0</v>
      </c>
      <c r="K1630" s="20">
        <v>0.0</v>
      </c>
      <c r="L1630" s="20">
        <v>0.0</v>
      </c>
      <c r="M1630" s="20">
        <v>0.0</v>
      </c>
      <c r="N1630" s="20">
        <v>0.0</v>
      </c>
      <c r="O1630" s="20">
        <v>0.0</v>
      </c>
      <c r="P1630" s="20">
        <v>0.0</v>
      </c>
      <c r="Q1630" s="20">
        <v>0.0</v>
      </c>
      <c r="R1630" s="20">
        <v>0.0</v>
      </c>
      <c r="S1630" s="20">
        <v>0.0</v>
      </c>
      <c r="T1630" s="20">
        <v>0.0</v>
      </c>
      <c r="U1630" s="20">
        <v>0.0</v>
      </c>
    </row>
    <row r="1631" ht="23.25" customHeight="1">
      <c r="A1631" s="1" t="str">
        <f>IF(COUNTIF('Icon Lookup'!C:C,B1631)&gt;0,LOOKUP(B1631,'Icon Lookup'!C:C,'Icon Lookup'!B:B),"")</f>
        <v/>
      </c>
      <c r="B1631" s="15" t="s">
        <v>2125</v>
      </c>
      <c r="C1631" s="1" t="s">
        <v>17</v>
      </c>
      <c r="D1631" s="1" t="s">
        <v>135</v>
      </c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</row>
    <row r="1632" ht="23.25" customHeight="1">
      <c r="A1632" s="17" t="str">
        <f>IF(COUNTIF('Icon Lookup'!C:C,B1632)&gt;0,LOOKUP(B1632,'Icon Lookup'!C:C,'Icon Lookup'!B:B),"")</f>
        <v/>
      </c>
      <c r="B1632" s="18" t="s">
        <v>311</v>
      </c>
      <c r="C1632" s="17" t="s">
        <v>17</v>
      </c>
      <c r="D1632" s="17">
        <v>60.0</v>
      </c>
      <c r="E1632" s="17" t="s">
        <v>137</v>
      </c>
      <c r="G1632" s="19"/>
      <c r="H1632" s="20" t="s">
        <v>2126</v>
      </c>
      <c r="I1632" s="17" t="s">
        <v>22</v>
      </c>
      <c r="J1632" s="17">
        <v>0.0</v>
      </c>
      <c r="K1632" s="17">
        <v>0.0</v>
      </c>
      <c r="L1632" s="17">
        <v>0.0</v>
      </c>
      <c r="M1632" s="17">
        <v>0.0</v>
      </c>
      <c r="N1632" s="17">
        <v>0.0</v>
      </c>
      <c r="O1632" s="17">
        <v>0.0</v>
      </c>
      <c r="P1632" s="17">
        <v>0.0</v>
      </c>
      <c r="Q1632" s="17">
        <v>0.0</v>
      </c>
      <c r="R1632" s="17">
        <v>0.0</v>
      </c>
      <c r="S1632" s="17">
        <v>0.0</v>
      </c>
      <c r="T1632" s="17">
        <v>0.0</v>
      </c>
      <c r="U1632" s="17">
        <v>0.0</v>
      </c>
    </row>
    <row r="1633" ht="23.25" customHeight="1">
      <c r="A1633" s="1" t="str">
        <f>IF(COUNTIF('Icon Lookup'!C:C,B1633)&gt;0,LOOKUP(B1633,'Icon Lookup'!C:C,'Icon Lookup'!B:B),"")</f>
        <v/>
      </c>
      <c r="B1633" s="15" t="s">
        <v>2127</v>
      </c>
      <c r="C1633" s="1" t="s">
        <v>17</v>
      </c>
      <c r="D1633" s="1" t="s">
        <v>296</v>
      </c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</row>
    <row r="1634" ht="23.25" customHeight="1">
      <c r="A1634" s="20" t="str">
        <f>IF(COUNTIF('Icon Lookup'!C:C,B1634)&gt;0,LOOKUP(B1634,'Icon Lookup'!C:C,'Icon Lookup'!B:B),"")</f>
        <v/>
      </c>
      <c r="B1634" s="21" t="s">
        <v>747</v>
      </c>
      <c r="C1634" s="20" t="s">
        <v>17</v>
      </c>
      <c r="D1634" s="20">
        <v>43.0</v>
      </c>
      <c r="E1634" s="20" t="s">
        <v>298</v>
      </c>
      <c r="G1634" s="22"/>
      <c r="H1634" s="23" t="s">
        <v>299</v>
      </c>
      <c r="I1634" s="20" t="s">
        <v>22</v>
      </c>
      <c r="J1634" s="20">
        <v>0.0</v>
      </c>
      <c r="K1634" s="20">
        <v>0.0</v>
      </c>
      <c r="L1634" s="20">
        <v>0.0</v>
      </c>
      <c r="M1634" s="20">
        <v>0.0</v>
      </c>
      <c r="N1634" s="20">
        <v>0.0</v>
      </c>
      <c r="O1634" s="20">
        <v>0.0</v>
      </c>
      <c r="P1634" s="20">
        <v>0.0</v>
      </c>
      <c r="Q1634" s="20">
        <v>0.0</v>
      </c>
      <c r="R1634" s="20">
        <v>0.0</v>
      </c>
      <c r="S1634" s="20">
        <v>0.0</v>
      </c>
      <c r="T1634" s="20">
        <v>0.0</v>
      </c>
      <c r="U1634" s="20">
        <v>0.0</v>
      </c>
    </row>
    <row r="1635" ht="23.25" customHeight="1">
      <c r="A1635" s="1" t="str">
        <f>IF(COUNTIF('Icon Lookup'!C:C,B1635)&gt;0,LOOKUP(B1635,'Icon Lookup'!C:C,'Icon Lookup'!B:B),"")</f>
        <v/>
      </c>
      <c r="B1635" s="15" t="s">
        <v>2128</v>
      </c>
      <c r="C1635" s="1" t="s">
        <v>17</v>
      </c>
      <c r="D1635" s="1" t="s">
        <v>296</v>
      </c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</row>
    <row r="1636" ht="23.25" customHeight="1">
      <c r="A1636" s="17" t="str">
        <f>IF(COUNTIF('Icon Lookup'!C:C,B1636)&gt;0,LOOKUP(B1636,'Icon Lookup'!C:C,'Icon Lookup'!B:B),"")</f>
        <v/>
      </c>
      <c r="B1636" s="18" t="s">
        <v>747</v>
      </c>
      <c r="C1636" s="17" t="s">
        <v>17</v>
      </c>
      <c r="D1636" s="17">
        <v>63.0</v>
      </c>
      <c r="E1636" s="17" t="s">
        <v>298</v>
      </c>
      <c r="G1636" s="19"/>
      <c r="H1636" s="20" t="s">
        <v>2129</v>
      </c>
      <c r="I1636" s="17" t="s">
        <v>22</v>
      </c>
      <c r="J1636" s="17">
        <v>0.0</v>
      </c>
      <c r="K1636" s="17">
        <v>0.0</v>
      </c>
      <c r="L1636" s="17">
        <v>0.0</v>
      </c>
      <c r="M1636" s="17">
        <v>0.0</v>
      </c>
      <c r="N1636" s="17">
        <v>0.0</v>
      </c>
      <c r="O1636" s="17">
        <v>0.0</v>
      </c>
      <c r="P1636" s="17">
        <v>0.0</v>
      </c>
      <c r="Q1636" s="17">
        <v>0.0</v>
      </c>
      <c r="R1636" s="17">
        <v>0.0</v>
      </c>
      <c r="S1636" s="17">
        <v>0.0</v>
      </c>
      <c r="T1636" s="17">
        <v>0.0</v>
      </c>
      <c r="U1636" s="17">
        <v>0.0</v>
      </c>
    </row>
    <row r="1637" ht="23.25" customHeight="1">
      <c r="A1637" s="1" t="str">
        <f>IF(COUNTIF('Icon Lookup'!C:C,B1637)&gt;0,LOOKUP(B1637,'Icon Lookup'!C:C,'Icon Lookup'!B:B),"")</f>
        <v/>
      </c>
      <c r="B1637" s="15" t="s">
        <v>2130</v>
      </c>
      <c r="C1637" s="1" t="s">
        <v>17</v>
      </c>
      <c r="D1637" s="1" t="s">
        <v>957</v>
      </c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</row>
    <row r="1638" ht="23.25" customHeight="1">
      <c r="A1638" s="20" t="str">
        <f>IF(COUNTIF('Icon Lookup'!C:C,B1638)&gt;0,LOOKUP(B1638,'Icon Lookup'!C:C,'Icon Lookup'!B:B),"")</f>
        <v/>
      </c>
      <c r="B1638" s="21" t="s">
        <v>961</v>
      </c>
      <c r="C1638" s="20" t="s">
        <v>17</v>
      </c>
      <c r="D1638" s="20">
        <v>60.0</v>
      </c>
      <c r="E1638" s="20" t="s">
        <v>959</v>
      </c>
      <c r="G1638" s="22"/>
      <c r="H1638" s="23" t="s">
        <v>2131</v>
      </c>
      <c r="I1638" s="20" t="s">
        <v>612</v>
      </c>
      <c r="J1638" s="20">
        <v>0.0</v>
      </c>
      <c r="K1638" s="20">
        <v>0.0</v>
      </c>
      <c r="L1638" s="20">
        <v>0.0</v>
      </c>
      <c r="M1638" s="20">
        <v>0.0</v>
      </c>
      <c r="N1638" s="20">
        <v>0.0</v>
      </c>
      <c r="O1638" s="20">
        <v>0.0</v>
      </c>
      <c r="P1638" s="20">
        <v>0.0</v>
      </c>
      <c r="Q1638" s="20">
        <v>0.0</v>
      </c>
      <c r="R1638" s="20">
        <v>0.0</v>
      </c>
      <c r="S1638" s="20">
        <v>0.0</v>
      </c>
      <c r="T1638" s="20">
        <v>0.0</v>
      </c>
      <c r="U1638" s="20">
        <v>0.0</v>
      </c>
    </row>
    <row r="1639" ht="23.25" customHeight="1">
      <c r="A1639" s="17" t="str">
        <f>IF(COUNTIF('Icon Lookup'!C:C,B1639)&gt;0,LOOKUP(B1639,'Icon Lookup'!C:C,'Icon Lookup'!B:B),"")</f>
        <v/>
      </c>
      <c r="B1639" s="18" t="s">
        <v>961</v>
      </c>
      <c r="C1639" s="17" t="s">
        <v>17</v>
      </c>
      <c r="D1639" s="17">
        <v>60.0</v>
      </c>
      <c r="E1639" s="17" t="s">
        <v>959</v>
      </c>
      <c r="G1639" s="19"/>
      <c r="H1639" s="20" t="s">
        <v>962</v>
      </c>
      <c r="I1639" s="17" t="s">
        <v>550</v>
      </c>
      <c r="J1639" s="17">
        <v>0.0</v>
      </c>
      <c r="K1639" s="17">
        <v>0.0</v>
      </c>
      <c r="L1639" s="17">
        <v>0.0</v>
      </c>
      <c r="M1639" s="17">
        <v>0.0</v>
      </c>
      <c r="N1639" s="17">
        <v>0.0</v>
      </c>
      <c r="O1639" s="17">
        <v>0.0</v>
      </c>
      <c r="P1639" s="17">
        <v>0.0</v>
      </c>
      <c r="Q1639" s="17">
        <v>0.0</v>
      </c>
      <c r="R1639" s="17">
        <v>0.0</v>
      </c>
      <c r="S1639" s="17">
        <v>0.0</v>
      </c>
      <c r="T1639" s="17">
        <v>0.0</v>
      </c>
      <c r="U1639" s="17">
        <v>0.0</v>
      </c>
    </row>
    <row r="1640" ht="23.25" customHeight="1">
      <c r="A1640" s="1" t="str">
        <f>IF(COUNTIF('Icon Lookup'!C:C,B1640)&gt;0,LOOKUP(B1640,'Icon Lookup'!C:C,'Icon Lookup'!B:B),"")</f>
        <v/>
      </c>
      <c r="B1640" s="15" t="s">
        <v>2132</v>
      </c>
      <c r="C1640" s="1" t="s">
        <v>17</v>
      </c>
      <c r="D1640" s="1" t="s">
        <v>1739</v>
      </c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</row>
    <row r="1641" ht="23.25" customHeight="1">
      <c r="A1641" s="20" t="str">
        <f>IF(COUNTIF('Icon Lookup'!C:C,B1641)&gt;0,LOOKUP(B1641,'Icon Lookup'!C:C,'Icon Lookup'!B:B),"")</f>
        <v/>
      </c>
      <c r="B1641" s="21" t="s">
        <v>1742</v>
      </c>
      <c r="C1641" s="20" t="s">
        <v>17</v>
      </c>
      <c r="D1641" s="20">
        <v>61.0</v>
      </c>
      <c r="E1641" s="20" t="s">
        <v>58</v>
      </c>
      <c r="G1641" s="22"/>
      <c r="H1641" s="23" t="s">
        <v>1741</v>
      </c>
      <c r="I1641" s="20" t="s">
        <v>550</v>
      </c>
      <c r="J1641" s="20">
        <v>0.0</v>
      </c>
      <c r="K1641" s="20">
        <v>0.0</v>
      </c>
      <c r="L1641" s="20">
        <v>0.0</v>
      </c>
      <c r="M1641" s="20">
        <v>0.0</v>
      </c>
      <c r="N1641" s="20">
        <v>0.0</v>
      </c>
      <c r="O1641" s="20">
        <v>0.0</v>
      </c>
      <c r="P1641" s="20">
        <v>0.0</v>
      </c>
      <c r="Q1641" s="20">
        <v>0.0</v>
      </c>
      <c r="R1641" s="20">
        <v>0.0</v>
      </c>
      <c r="S1641" s="20">
        <v>0.0</v>
      </c>
      <c r="T1641" s="20">
        <v>0.0</v>
      </c>
      <c r="U1641" s="20">
        <v>0.0</v>
      </c>
    </row>
    <row r="1642" ht="23.25" customHeight="1">
      <c r="A1642" s="17" t="str">
        <f>IF(COUNTIF('Icon Lookup'!C:C,B1642)&gt;0,LOOKUP(B1642,'Icon Lookup'!C:C,'Icon Lookup'!B:B),"")</f>
        <v/>
      </c>
      <c r="B1642" s="18" t="s">
        <v>1742</v>
      </c>
      <c r="C1642" s="17" t="s">
        <v>17</v>
      </c>
      <c r="D1642" s="17">
        <v>61.0</v>
      </c>
      <c r="E1642" s="17" t="s">
        <v>58</v>
      </c>
      <c r="G1642" s="19"/>
      <c r="H1642" s="20" t="s">
        <v>1743</v>
      </c>
      <c r="I1642" s="17" t="s">
        <v>22</v>
      </c>
      <c r="J1642" s="17">
        <v>0.0</v>
      </c>
      <c r="K1642" s="17">
        <v>0.0</v>
      </c>
      <c r="L1642" s="17">
        <v>0.0</v>
      </c>
      <c r="M1642" s="17">
        <v>0.0</v>
      </c>
      <c r="N1642" s="17">
        <v>0.0</v>
      </c>
      <c r="O1642" s="17">
        <v>0.0</v>
      </c>
      <c r="P1642" s="17">
        <v>0.0</v>
      </c>
      <c r="Q1642" s="17">
        <v>0.0</v>
      </c>
      <c r="R1642" s="17">
        <v>0.0</v>
      </c>
      <c r="S1642" s="17">
        <v>0.0</v>
      </c>
      <c r="T1642" s="17">
        <v>0.0</v>
      </c>
      <c r="U1642" s="17">
        <v>0.0</v>
      </c>
    </row>
    <row r="1643" ht="23.25" customHeight="1">
      <c r="A1643" s="1" t="str">
        <f>IF(COUNTIF('Icon Lookup'!C:C,B1643)&gt;0,LOOKUP(B1643,'Icon Lookup'!C:C,'Icon Lookup'!B:B),"")</f>
        <v/>
      </c>
      <c r="B1643" s="15" t="s">
        <v>2133</v>
      </c>
      <c r="C1643" s="1" t="s">
        <v>17</v>
      </c>
      <c r="D1643" s="1" t="s">
        <v>595</v>
      </c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</row>
    <row r="1644" ht="23.25" customHeight="1">
      <c r="A1644" s="20" t="str">
        <f>IF(COUNTIF('Icon Lookup'!C:C,B1644)&gt;0,LOOKUP(B1644,'Icon Lookup'!C:C,'Icon Lookup'!B:B),"")</f>
        <v/>
      </c>
      <c r="B1644" s="21" t="s">
        <v>117</v>
      </c>
      <c r="C1644" s="20" t="s">
        <v>17</v>
      </c>
      <c r="D1644" s="20">
        <v>55.0</v>
      </c>
      <c r="E1644" s="20" t="s">
        <v>26</v>
      </c>
      <c r="G1644" s="22"/>
      <c r="H1644" s="23" t="s">
        <v>2134</v>
      </c>
      <c r="I1644" s="20" t="s">
        <v>211</v>
      </c>
      <c r="J1644" s="20">
        <v>0.0</v>
      </c>
      <c r="K1644" s="20">
        <v>0.0</v>
      </c>
      <c r="L1644" s="20">
        <v>0.0</v>
      </c>
      <c r="M1644" s="20">
        <v>0.0</v>
      </c>
      <c r="N1644" s="20">
        <v>0.0</v>
      </c>
      <c r="O1644" s="20">
        <v>0.0</v>
      </c>
      <c r="P1644" s="20">
        <v>0.0</v>
      </c>
      <c r="Q1644" s="20">
        <v>0.0</v>
      </c>
      <c r="R1644" s="20">
        <v>0.0</v>
      </c>
      <c r="S1644" s="20">
        <v>0.0</v>
      </c>
      <c r="T1644" s="20">
        <v>0.0</v>
      </c>
      <c r="U1644" s="20">
        <v>0.0</v>
      </c>
    </row>
    <row r="1645" ht="23.25" customHeight="1">
      <c r="A1645" s="17" t="str">
        <f>IF(COUNTIF('Icon Lookup'!C:C,B1645)&gt;0,LOOKUP(B1645,'Icon Lookup'!C:C,'Icon Lookup'!B:B),"")</f>
        <v/>
      </c>
      <c r="B1645" s="18" t="s">
        <v>273</v>
      </c>
      <c r="C1645" s="17" t="s">
        <v>17</v>
      </c>
      <c r="D1645" s="17">
        <v>55.0</v>
      </c>
      <c r="E1645" s="17" t="s">
        <v>38</v>
      </c>
      <c r="G1645" s="19"/>
      <c r="H1645" s="20" t="s">
        <v>2135</v>
      </c>
      <c r="I1645" s="17" t="s">
        <v>52</v>
      </c>
      <c r="J1645" s="17">
        <v>0.0</v>
      </c>
      <c r="K1645" s="17">
        <v>0.0</v>
      </c>
      <c r="L1645" s="17">
        <v>0.0</v>
      </c>
      <c r="M1645" s="17">
        <v>0.0</v>
      </c>
      <c r="N1645" s="17">
        <v>0.0</v>
      </c>
      <c r="O1645" s="17">
        <v>0.0</v>
      </c>
      <c r="P1645" s="17">
        <v>0.0</v>
      </c>
      <c r="Q1645" s="17">
        <v>0.0</v>
      </c>
      <c r="R1645" s="17">
        <v>0.0</v>
      </c>
      <c r="S1645" s="17">
        <v>0.0</v>
      </c>
      <c r="T1645" s="17">
        <v>0.0</v>
      </c>
      <c r="U1645" s="17">
        <v>0.0</v>
      </c>
    </row>
    <row r="1646" ht="23.25" customHeight="1">
      <c r="A1646" s="1" t="str">
        <f>IF(COUNTIF('Icon Lookup'!C:C,B1646)&gt;0,LOOKUP(B1646,'Icon Lookup'!C:C,'Icon Lookup'!B:B),"")</f>
        <v/>
      </c>
      <c r="B1646" s="15" t="s">
        <v>2136</v>
      </c>
      <c r="C1646" s="1" t="s">
        <v>17</v>
      </c>
      <c r="D1646" s="1" t="s">
        <v>964</v>
      </c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</row>
    <row r="1647" ht="23.25" customHeight="1">
      <c r="A1647" s="20" t="str">
        <f>IF(COUNTIF('Icon Lookup'!C:C,B1647)&gt;0,LOOKUP(B1647,'Icon Lookup'!C:C,'Icon Lookup'!B:B),"")</f>
        <v/>
      </c>
      <c r="B1647" s="21" t="s">
        <v>965</v>
      </c>
      <c r="C1647" s="20" t="s">
        <v>17</v>
      </c>
      <c r="D1647" s="20">
        <v>39.0</v>
      </c>
      <c r="E1647" s="20" t="s">
        <v>145</v>
      </c>
      <c r="G1647" s="22"/>
      <c r="H1647" s="23" t="s">
        <v>2137</v>
      </c>
      <c r="I1647" s="20" t="s">
        <v>22</v>
      </c>
      <c r="J1647" s="20">
        <v>0.0</v>
      </c>
      <c r="K1647" s="20">
        <v>0.0</v>
      </c>
      <c r="L1647" s="20">
        <v>0.0</v>
      </c>
      <c r="M1647" s="20">
        <v>0.0</v>
      </c>
      <c r="N1647" s="20">
        <v>0.0</v>
      </c>
      <c r="O1647" s="20">
        <v>0.0</v>
      </c>
      <c r="P1647" s="20">
        <v>0.0</v>
      </c>
      <c r="Q1647" s="20">
        <v>0.0</v>
      </c>
      <c r="R1647" s="20">
        <v>0.0</v>
      </c>
      <c r="S1647" s="20">
        <v>0.0</v>
      </c>
      <c r="T1647" s="20">
        <v>0.0</v>
      </c>
      <c r="U1647" s="20">
        <v>0.0</v>
      </c>
    </row>
    <row r="1648" ht="23.25" customHeight="1">
      <c r="A1648" s="17" t="str">
        <f>IF(COUNTIF('Icon Lookup'!C:C,B1648)&gt;0,LOOKUP(B1648,'Icon Lookup'!C:C,'Icon Lookup'!B:B),"")</f>
        <v/>
      </c>
      <c r="B1648" s="18" t="s">
        <v>225</v>
      </c>
      <c r="C1648" s="17" t="s">
        <v>17</v>
      </c>
      <c r="D1648" s="17">
        <v>39.0</v>
      </c>
      <c r="E1648" s="17" t="s">
        <v>26</v>
      </c>
      <c r="G1648" s="19"/>
      <c r="H1648" s="20" t="s">
        <v>2138</v>
      </c>
      <c r="I1648" s="17" t="s">
        <v>22</v>
      </c>
      <c r="J1648" s="17">
        <v>0.0</v>
      </c>
      <c r="K1648" s="17">
        <v>0.0</v>
      </c>
      <c r="L1648" s="17">
        <v>0.0</v>
      </c>
      <c r="M1648" s="17">
        <v>0.0</v>
      </c>
      <c r="N1648" s="17">
        <v>0.0</v>
      </c>
      <c r="O1648" s="17">
        <v>0.0</v>
      </c>
      <c r="P1648" s="17">
        <v>0.0</v>
      </c>
      <c r="Q1648" s="17">
        <v>0.0</v>
      </c>
      <c r="R1648" s="17">
        <v>0.0</v>
      </c>
      <c r="S1648" s="17">
        <v>0.0</v>
      </c>
      <c r="T1648" s="17">
        <v>0.0</v>
      </c>
      <c r="U1648" s="17">
        <v>0.0</v>
      </c>
    </row>
    <row r="1649" ht="23.25" customHeight="1">
      <c r="A1649" s="20" t="str">
        <f>IF(COUNTIF('Icon Lookup'!C:C,B1649)&gt;0,LOOKUP(B1649,'Icon Lookup'!C:C,'Icon Lookup'!B:B),"")</f>
        <v/>
      </c>
      <c r="B1649" s="21" t="s">
        <v>190</v>
      </c>
      <c r="C1649" s="20" t="s">
        <v>17</v>
      </c>
      <c r="D1649" s="20">
        <v>39.0</v>
      </c>
      <c r="E1649" s="20" t="s">
        <v>26</v>
      </c>
      <c r="G1649" s="22"/>
      <c r="H1649" s="23" t="s">
        <v>2139</v>
      </c>
      <c r="I1649" s="20" t="s">
        <v>40</v>
      </c>
      <c r="J1649" s="20">
        <v>0.0</v>
      </c>
      <c r="K1649" s="20">
        <v>0.0</v>
      </c>
      <c r="L1649" s="20">
        <v>0.0</v>
      </c>
      <c r="M1649" s="20">
        <v>0.0</v>
      </c>
      <c r="N1649" s="20">
        <v>0.0</v>
      </c>
      <c r="O1649" s="20">
        <v>0.0</v>
      </c>
      <c r="P1649" s="20">
        <v>0.0</v>
      </c>
      <c r="Q1649" s="20">
        <v>0.0</v>
      </c>
      <c r="R1649" s="20">
        <v>0.0</v>
      </c>
      <c r="S1649" s="20">
        <v>0.0</v>
      </c>
      <c r="T1649" s="20">
        <v>0.0</v>
      </c>
      <c r="U1649" s="20">
        <v>0.0</v>
      </c>
    </row>
    <row r="1650" ht="23.25" customHeight="1">
      <c r="A1650" s="1" t="str">
        <f>IF(COUNTIF('Icon Lookup'!C:C,B1650)&gt;0,LOOKUP(B1650,'Icon Lookup'!C:C,'Icon Lookup'!B:B),"")</f>
        <v/>
      </c>
      <c r="B1650" s="15" t="s">
        <v>2140</v>
      </c>
      <c r="C1650" s="1" t="s">
        <v>17</v>
      </c>
      <c r="D1650" s="1" t="s">
        <v>964</v>
      </c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</row>
    <row r="1651" ht="23.25" customHeight="1">
      <c r="A1651" s="17" t="str">
        <f>IF(COUNTIF('Icon Lookup'!C:C,B1651)&gt;0,LOOKUP(B1651,'Icon Lookup'!C:C,'Icon Lookup'!B:B),"")</f>
        <v/>
      </c>
      <c r="B1651" s="18" t="s">
        <v>965</v>
      </c>
      <c r="C1651" s="17" t="s">
        <v>17</v>
      </c>
      <c r="D1651" s="17">
        <v>59.0</v>
      </c>
      <c r="E1651" s="17" t="s">
        <v>145</v>
      </c>
      <c r="G1651" s="19"/>
      <c r="H1651" s="20" t="s">
        <v>2141</v>
      </c>
      <c r="I1651" s="17" t="s">
        <v>22</v>
      </c>
      <c r="J1651" s="17">
        <v>0.0</v>
      </c>
      <c r="K1651" s="17">
        <v>0.0</v>
      </c>
      <c r="L1651" s="17">
        <v>0.0</v>
      </c>
      <c r="M1651" s="17">
        <v>0.0</v>
      </c>
      <c r="N1651" s="17">
        <v>0.0</v>
      </c>
      <c r="O1651" s="17">
        <v>0.0</v>
      </c>
      <c r="P1651" s="17">
        <v>0.0</v>
      </c>
      <c r="Q1651" s="17">
        <v>0.0</v>
      </c>
      <c r="R1651" s="17">
        <v>0.0</v>
      </c>
      <c r="S1651" s="17">
        <v>0.0</v>
      </c>
      <c r="T1651" s="17">
        <v>0.0</v>
      </c>
      <c r="U1651" s="17">
        <v>0.0</v>
      </c>
    </row>
    <row r="1652" ht="23.25" customHeight="1">
      <c r="A1652" s="20" t="str">
        <f>IF(COUNTIF('Icon Lookup'!C:C,B1652)&gt;0,LOOKUP(B1652,'Icon Lookup'!C:C,'Icon Lookup'!B:B),"")</f>
        <v/>
      </c>
      <c r="B1652" s="21" t="s">
        <v>225</v>
      </c>
      <c r="C1652" s="20" t="s">
        <v>17</v>
      </c>
      <c r="D1652" s="20">
        <v>59.0</v>
      </c>
      <c r="E1652" s="20" t="s">
        <v>26</v>
      </c>
      <c r="G1652" s="22"/>
      <c r="H1652" s="23" t="s">
        <v>2142</v>
      </c>
      <c r="I1652" s="20" t="s">
        <v>22</v>
      </c>
      <c r="J1652" s="20">
        <v>0.0</v>
      </c>
      <c r="K1652" s="20">
        <v>0.0</v>
      </c>
      <c r="L1652" s="20">
        <v>0.0</v>
      </c>
      <c r="M1652" s="20">
        <v>0.0</v>
      </c>
      <c r="N1652" s="20">
        <v>0.0</v>
      </c>
      <c r="O1652" s="20">
        <v>0.0</v>
      </c>
      <c r="P1652" s="20">
        <v>0.0</v>
      </c>
      <c r="Q1652" s="20">
        <v>0.0</v>
      </c>
      <c r="R1652" s="20">
        <v>0.0</v>
      </c>
      <c r="S1652" s="20">
        <v>0.0</v>
      </c>
      <c r="T1652" s="20">
        <v>0.0</v>
      </c>
      <c r="U1652" s="20">
        <v>0.0</v>
      </c>
    </row>
    <row r="1653" ht="23.25" customHeight="1">
      <c r="A1653" s="17" t="str">
        <f>IF(COUNTIF('Icon Lookup'!C:C,B1653)&gt;0,LOOKUP(B1653,'Icon Lookup'!C:C,'Icon Lookup'!B:B),"")</f>
        <v/>
      </c>
      <c r="B1653" s="18" t="s">
        <v>190</v>
      </c>
      <c r="C1653" s="17" t="s">
        <v>17</v>
      </c>
      <c r="D1653" s="17">
        <v>59.0</v>
      </c>
      <c r="E1653" s="17" t="s">
        <v>26</v>
      </c>
      <c r="G1653" s="19"/>
      <c r="H1653" s="20" t="s">
        <v>2143</v>
      </c>
      <c r="I1653" s="17" t="s">
        <v>40</v>
      </c>
      <c r="J1653" s="17">
        <v>0.0</v>
      </c>
      <c r="K1653" s="17">
        <v>0.0</v>
      </c>
      <c r="L1653" s="17">
        <v>0.0</v>
      </c>
      <c r="M1653" s="17">
        <v>0.0</v>
      </c>
      <c r="N1653" s="17">
        <v>0.0</v>
      </c>
      <c r="O1653" s="17">
        <v>0.0</v>
      </c>
      <c r="P1653" s="17">
        <v>0.0</v>
      </c>
      <c r="Q1653" s="17">
        <v>0.0</v>
      </c>
      <c r="R1653" s="17">
        <v>0.0</v>
      </c>
      <c r="S1653" s="17">
        <v>0.0</v>
      </c>
      <c r="T1653" s="17">
        <v>0.0</v>
      </c>
      <c r="U1653" s="17">
        <v>0.0</v>
      </c>
    </row>
    <row r="1654" ht="23.25" customHeight="1">
      <c r="A1654" s="1" t="str">
        <f>IF(COUNTIF('Icon Lookup'!C:C,B1654)&gt;0,LOOKUP(B1654,'Icon Lookup'!C:C,'Icon Lookup'!B:B),"")</f>
        <v/>
      </c>
      <c r="B1654" s="15" t="s">
        <v>2144</v>
      </c>
      <c r="C1654" s="1" t="s">
        <v>17</v>
      </c>
      <c r="D1654" s="1" t="s">
        <v>1767</v>
      </c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</row>
    <row r="1655" ht="23.25" customHeight="1">
      <c r="A1655" s="20" t="str">
        <f>IF(COUNTIF('Icon Lookup'!C:C,B1655)&gt;0,LOOKUP(B1655,'Icon Lookup'!C:C,'Icon Lookup'!B:B),"")</f>
        <v/>
      </c>
      <c r="B1655" s="21" t="s">
        <v>1768</v>
      </c>
      <c r="C1655" s="20" t="s">
        <v>17</v>
      </c>
      <c r="D1655" s="20">
        <v>60.0</v>
      </c>
      <c r="E1655" s="20" t="s">
        <v>1413</v>
      </c>
      <c r="G1655" s="22"/>
      <c r="H1655" s="23" t="s">
        <v>2145</v>
      </c>
      <c r="I1655" s="20" t="s">
        <v>550</v>
      </c>
      <c r="J1655" s="20">
        <v>0.0</v>
      </c>
      <c r="K1655" s="20">
        <v>0.0</v>
      </c>
      <c r="L1655" s="20">
        <v>0.0</v>
      </c>
      <c r="M1655" s="20">
        <v>0.0</v>
      </c>
      <c r="N1655" s="20">
        <v>0.0</v>
      </c>
      <c r="O1655" s="20">
        <v>0.0</v>
      </c>
      <c r="P1655" s="20">
        <v>0.0</v>
      </c>
      <c r="Q1655" s="20">
        <v>0.0</v>
      </c>
      <c r="R1655" s="20">
        <v>0.0</v>
      </c>
      <c r="S1655" s="20">
        <v>0.0</v>
      </c>
      <c r="T1655" s="20">
        <v>0.0</v>
      </c>
      <c r="U1655" s="20">
        <v>0.0</v>
      </c>
    </row>
    <row r="1656" ht="23.25" customHeight="1">
      <c r="A1656" s="17" t="str">
        <f>IF(COUNTIF('Icon Lookup'!C:C,B1656)&gt;0,LOOKUP(B1656,'Icon Lookup'!C:C,'Icon Lookup'!B:B),"")</f>
        <v/>
      </c>
      <c r="B1656" s="18" t="s">
        <v>1770</v>
      </c>
      <c r="C1656" s="17" t="s">
        <v>17</v>
      </c>
      <c r="D1656" s="17">
        <v>60.0</v>
      </c>
      <c r="E1656" s="17" t="s">
        <v>1771</v>
      </c>
      <c r="G1656" s="19"/>
      <c r="H1656" s="20" t="s">
        <v>1772</v>
      </c>
      <c r="I1656" s="17" t="s">
        <v>550</v>
      </c>
      <c r="J1656" s="17">
        <v>0.0</v>
      </c>
      <c r="K1656" s="17">
        <v>0.0</v>
      </c>
      <c r="L1656" s="17">
        <v>0.0</v>
      </c>
      <c r="M1656" s="17">
        <v>0.0</v>
      </c>
      <c r="N1656" s="17">
        <v>0.0</v>
      </c>
      <c r="O1656" s="17">
        <v>0.0</v>
      </c>
      <c r="P1656" s="17">
        <v>0.0</v>
      </c>
      <c r="Q1656" s="17">
        <v>0.0</v>
      </c>
      <c r="R1656" s="17">
        <v>0.0</v>
      </c>
      <c r="S1656" s="17">
        <v>0.0</v>
      </c>
      <c r="T1656" s="17">
        <v>0.0</v>
      </c>
      <c r="U1656" s="17">
        <v>0.0</v>
      </c>
    </row>
    <row r="1657" ht="23.25" customHeight="1">
      <c r="A1657" s="1" t="str">
        <f>IF(COUNTIF('Icon Lookup'!C:C,B1657)&gt;0,LOOKUP(B1657,'Icon Lookup'!C:C,'Icon Lookup'!B:B),"")</f>
        <v/>
      </c>
      <c r="B1657" s="15" t="s">
        <v>2146</v>
      </c>
      <c r="C1657" s="1" t="s">
        <v>17</v>
      </c>
      <c r="D1657" s="1" t="s">
        <v>1774</v>
      </c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</row>
    <row r="1658" ht="23.25" customHeight="1">
      <c r="A1658" s="20" t="str">
        <f>IF(COUNTIF('Icon Lookup'!C:C,B1658)&gt;0,LOOKUP(B1658,'Icon Lookup'!C:C,'Icon Lookup'!B:B),"")</f>
        <v/>
      </c>
      <c r="B1658" s="21" t="s">
        <v>1775</v>
      </c>
      <c r="C1658" s="20" t="s">
        <v>17</v>
      </c>
      <c r="D1658" s="20">
        <v>62.0</v>
      </c>
      <c r="E1658" s="20" t="s">
        <v>26</v>
      </c>
      <c r="G1658" s="22"/>
      <c r="H1658" s="23" t="s">
        <v>1776</v>
      </c>
      <c r="I1658" s="20" t="s">
        <v>22</v>
      </c>
      <c r="J1658" s="20">
        <v>0.0</v>
      </c>
      <c r="K1658" s="20">
        <v>0.0</v>
      </c>
      <c r="L1658" s="20">
        <v>0.0</v>
      </c>
      <c r="M1658" s="20">
        <v>0.0</v>
      </c>
      <c r="N1658" s="20">
        <v>0.0</v>
      </c>
      <c r="O1658" s="20">
        <v>0.0</v>
      </c>
      <c r="P1658" s="20">
        <v>0.0</v>
      </c>
      <c r="Q1658" s="20">
        <v>0.0</v>
      </c>
      <c r="R1658" s="20">
        <v>0.0</v>
      </c>
      <c r="S1658" s="20">
        <v>0.0</v>
      </c>
      <c r="T1658" s="20">
        <v>0.0</v>
      </c>
      <c r="U1658" s="20">
        <v>0.0</v>
      </c>
    </row>
    <row r="1659" ht="23.25" customHeight="1">
      <c r="A1659" s="1" t="str">
        <f>IF(COUNTIF('Icon Lookup'!C:C,B1659)&gt;0,LOOKUP(B1659,'Icon Lookup'!C:C,'Icon Lookup'!B:B),"")</f>
        <v/>
      </c>
      <c r="B1659" s="15" t="s">
        <v>2147</v>
      </c>
      <c r="C1659" s="1" t="s">
        <v>17</v>
      </c>
      <c r="D1659" s="1" t="s">
        <v>599</v>
      </c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</row>
    <row r="1660" ht="23.25" customHeight="1">
      <c r="A1660" s="17" t="str">
        <f>IF(COUNTIF('Icon Lookup'!C:C,B1660)&gt;0,LOOKUP(B1660,'Icon Lookup'!C:C,'Icon Lookup'!B:B),"")</f>
        <v/>
      </c>
      <c r="B1660" s="18" t="s">
        <v>600</v>
      </c>
      <c r="C1660" s="17" t="s">
        <v>17</v>
      </c>
      <c r="D1660" s="17">
        <v>54.0</v>
      </c>
      <c r="E1660" s="17" t="s">
        <v>601</v>
      </c>
      <c r="G1660" s="19"/>
      <c r="H1660" s="20" t="s">
        <v>2148</v>
      </c>
      <c r="I1660" s="17" t="s">
        <v>52</v>
      </c>
      <c r="J1660" s="17">
        <v>0.0</v>
      </c>
      <c r="K1660" s="17">
        <v>0.0</v>
      </c>
      <c r="L1660" s="17">
        <v>0.0</v>
      </c>
      <c r="M1660" s="17">
        <v>0.0</v>
      </c>
      <c r="N1660" s="17">
        <v>0.0</v>
      </c>
      <c r="O1660" s="17">
        <v>0.0</v>
      </c>
      <c r="P1660" s="17">
        <v>0.0</v>
      </c>
      <c r="Q1660" s="17">
        <v>0.0</v>
      </c>
      <c r="R1660" s="17">
        <v>0.0</v>
      </c>
      <c r="S1660" s="17">
        <v>0.0</v>
      </c>
      <c r="T1660" s="17">
        <v>0.0</v>
      </c>
      <c r="U1660" s="17">
        <v>0.0</v>
      </c>
    </row>
    <row r="1661" ht="23.25" customHeight="1">
      <c r="A1661" s="20" t="str">
        <f>IF(COUNTIF('Icon Lookup'!C:C,B1661)&gt;0,LOOKUP(B1661,'Icon Lookup'!C:C,'Icon Lookup'!B:B),"")</f>
        <v/>
      </c>
      <c r="B1661" s="21" t="s">
        <v>381</v>
      </c>
      <c r="C1661" s="20" t="s">
        <v>17</v>
      </c>
      <c r="D1661" s="20">
        <v>54.0</v>
      </c>
      <c r="E1661" s="20" t="s">
        <v>603</v>
      </c>
      <c r="G1661" s="22"/>
      <c r="H1661" s="23" t="s">
        <v>2149</v>
      </c>
      <c r="I1661" s="20" t="s">
        <v>550</v>
      </c>
      <c r="J1661" s="20">
        <v>0.0</v>
      </c>
      <c r="K1661" s="20">
        <v>0.0</v>
      </c>
      <c r="L1661" s="20">
        <v>0.0</v>
      </c>
      <c r="M1661" s="20">
        <v>0.0</v>
      </c>
      <c r="N1661" s="20">
        <v>0.0</v>
      </c>
      <c r="O1661" s="20">
        <v>0.0</v>
      </c>
      <c r="P1661" s="20">
        <v>0.0</v>
      </c>
      <c r="Q1661" s="20">
        <v>0.0</v>
      </c>
      <c r="R1661" s="20">
        <v>0.0</v>
      </c>
      <c r="S1661" s="20">
        <v>0.0</v>
      </c>
      <c r="T1661" s="20">
        <v>0.0</v>
      </c>
      <c r="U1661" s="20">
        <v>0.0</v>
      </c>
    </row>
    <row r="1662" ht="23.25" customHeight="1">
      <c r="A1662" s="17" t="str">
        <f>IF(COUNTIF('Icon Lookup'!C:C,B1662)&gt;0,LOOKUP(B1662,'Icon Lookup'!C:C,'Icon Lookup'!B:B),"")</f>
        <v/>
      </c>
      <c r="B1662" s="18" t="s">
        <v>482</v>
      </c>
      <c r="C1662" s="17" t="s">
        <v>17</v>
      </c>
      <c r="D1662" s="17">
        <v>54.0</v>
      </c>
      <c r="E1662" s="17" t="s">
        <v>218</v>
      </c>
      <c r="G1662" s="19"/>
      <c r="H1662" s="20" t="s">
        <v>2150</v>
      </c>
      <c r="I1662" s="17" t="s">
        <v>22</v>
      </c>
      <c r="J1662" s="17">
        <v>0.0</v>
      </c>
      <c r="K1662" s="17">
        <v>0.0</v>
      </c>
      <c r="L1662" s="17">
        <v>0.0</v>
      </c>
      <c r="M1662" s="17">
        <v>0.0</v>
      </c>
      <c r="N1662" s="17">
        <v>0.0</v>
      </c>
      <c r="O1662" s="17">
        <v>0.0</v>
      </c>
      <c r="P1662" s="17">
        <v>0.0</v>
      </c>
      <c r="Q1662" s="17">
        <v>0.0</v>
      </c>
      <c r="R1662" s="17">
        <v>0.0</v>
      </c>
      <c r="S1662" s="17">
        <v>0.0</v>
      </c>
      <c r="T1662" s="17">
        <v>0.0</v>
      </c>
      <c r="U1662" s="17">
        <v>0.0</v>
      </c>
    </row>
    <row r="1663" ht="23.25" customHeight="1">
      <c r="A1663" s="1" t="str">
        <f>IF(COUNTIF('Icon Lookup'!C:C,B1663)&gt;0,LOOKUP(B1663,'Icon Lookup'!C:C,'Icon Lookup'!B:B),"")</f>
        <v/>
      </c>
      <c r="B1663" s="15" t="s">
        <v>2151</v>
      </c>
      <c r="C1663" s="1" t="s">
        <v>17</v>
      </c>
      <c r="D1663" s="1" t="s">
        <v>1002</v>
      </c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</row>
    <row r="1664" ht="23.25" customHeight="1">
      <c r="A1664" s="20" t="str">
        <f>IF(COUNTIF('Icon Lookup'!C:C,B1664)&gt;0,LOOKUP(B1664,'Icon Lookup'!C:C,'Icon Lookup'!B:B),"")</f>
        <v/>
      </c>
      <c r="B1664" s="21" t="s">
        <v>1003</v>
      </c>
      <c r="C1664" s="20" t="s">
        <v>17</v>
      </c>
      <c r="D1664" s="20">
        <v>40.0</v>
      </c>
      <c r="E1664" s="20" t="s">
        <v>1004</v>
      </c>
      <c r="G1664" s="22"/>
      <c r="H1664" s="23" t="s">
        <v>2152</v>
      </c>
      <c r="I1664" s="20" t="s">
        <v>22</v>
      </c>
      <c r="J1664" s="20">
        <v>0.0</v>
      </c>
      <c r="K1664" s="20">
        <v>0.0</v>
      </c>
      <c r="L1664" s="20">
        <v>0.0</v>
      </c>
      <c r="M1664" s="20">
        <v>0.0</v>
      </c>
      <c r="N1664" s="20">
        <v>0.0</v>
      </c>
      <c r="O1664" s="20">
        <v>0.0</v>
      </c>
      <c r="P1664" s="20">
        <v>0.0</v>
      </c>
      <c r="Q1664" s="20">
        <v>0.0</v>
      </c>
      <c r="R1664" s="20">
        <v>0.0</v>
      </c>
      <c r="S1664" s="20">
        <v>0.0</v>
      </c>
      <c r="T1664" s="20">
        <v>0.0</v>
      </c>
      <c r="U1664" s="20">
        <v>0.0</v>
      </c>
    </row>
    <row r="1665" ht="23.25" customHeight="1">
      <c r="A1665" s="17" t="str">
        <f>IF(COUNTIF('Icon Lookup'!C:C,B1665)&gt;0,LOOKUP(B1665,'Icon Lookup'!C:C,'Icon Lookup'!B:B),"")</f>
        <v/>
      </c>
      <c r="B1665" s="18" t="s">
        <v>386</v>
      </c>
      <c r="C1665" s="17" t="s">
        <v>17</v>
      </c>
      <c r="D1665" s="17">
        <v>40.0</v>
      </c>
      <c r="E1665" s="17" t="s">
        <v>387</v>
      </c>
      <c r="G1665" s="19"/>
      <c r="H1665" s="20" t="s">
        <v>2153</v>
      </c>
      <c r="I1665" s="17" t="s">
        <v>52</v>
      </c>
      <c r="J1665" s="17">
        <v>0.0</v>
      </c>
      <c r="K1665" s="17">
        <v>0.0</v>
      </c>
      <c r="L1665" s="17">
        <v>0.0</v>
      </c>
      <c r="M1665" s="17">
        <v>0.0</v>
      </c>
      <c r="N1665" s="17">
        <v>0.0</v>
      </c>
      <c r="O1665" s="17">
        <v>0.0</v>
      </c>
      <c r="P1665" s="17">
        <v>0.0</v>
      </c>
      <c r="Q1665" s="17">
        <v>0.0</v>
      </c>
      <c r="R1665" s="17">
        <v>0.0</v>
      </c>
      <c r="S1665" s="17">
        <v>0.0</v>
      </c>
      <c r="T1665" s="17">
        <v>0.0</v>
      </c>
      <c r="U1665" s="17">
        <v>0.0</v>
      </c>
    </row>
    <row r="1666" ht="23.25" customHeight="1">
      <c r="A1666" s="1" t="str">
        <f>IF(COUNTIF('Icon Lookup'!C:C,B1666)&gt;0,LOOKUP(B1666,'Icon Lookup'!C:C,'Icon Lookup'!B:B),"")</f>
        <v/>
      </c>
      <c r="B1666" s="15" t="s">
        <v>2154</v>
      </c>
      <c r="C1666" s="1" t="s">
        <v>17</v>
      </c>
      <c r="D1666" s="1" t="s">
        <v>1002</v>
      </c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</row>
    <row r="1667" ht="23.25" customHeight="1">
      <c r="A1667" s="20" t="str">
        <f>IF(COUNTIF('Icon Lookup'!C:C,B1667)&gt;0,LOOKUP(B1667,'Icon Lookup'!C:C,'Icon Lookup'!B:B),"")</f>
        <v/>
      </c>
      <c r="B1667" s="21" t="s">
        <v>1040</v>
      </c>
      <c r="C1667" s="20" t="s">
        <v>17</v>
      </c>
      <c r="D1667" s="20">
        <v>60.0</v>
      </c>
      <c r="E1667" s="20" t="s">
        <v>1004</v>
      </c>
      <c r="G1667" s="22"/>
      <c r="H1667" s="23" t="s">
        <v>2155</v>
      </c>
      <c r="I1667" s="20" t="s">
        <v>22</v>
      </c>
      <c r="J1667" s="20">
        <v>0.0</v>
      </c>
      <c r="K1667" s="20">
        <v>0.0</v>
      </c>
      <c r="L1667" s="20">
        <v>0.0</v>
      </c>
      <c r="M1667" s="20">
        <v>0.0</v>
      </c>
      <c r="N1667" s="20">
        <v>0.0</v>
      </c>
      <c r="O1667" s="20">
        <v>0.0</v>
      </c>
      <c r="P1667" s="20">
        <v>0.0</v>
      </c>
      <c r="Q1667" s="20">
        <v>0.0</v>
      </c>
      <c r="R1667" s="20">
        <v>0.0</v>
      </c>
      <c r="S1667" s="20">
        <v>0.0</v>
      </c>
      <c r="T1667" s="20">
        <v>0.0</v>
      </c>
      <c r="U1667" s="20">
        <v>0.0</v>
      </c>
    </row>
    <row r="1668" ht="23.25" customHeight="1">
      <c r="A1668" s="17" t="str">
        <f>IF(COUNTIF('Icon Lookup'!C:C,B1668)&gt;0,LOOKUP(B1668,'Icon Lookup'!C:C,'Icon Lookup'!B:B),"")</f>
        <v/>
      </c>
      <c r="B1668" s="18" t="s">
        <v>765</v>
      </c>
      <c r="C1668" s="17" t="s">
        <v>17</v>
      </c>
      <c r="D1668" s="17">
        <v>60.0</v>
      </c>
      <c r="E1668" s="17" t="s">
        <v>387</v>
      </c>
      <c r="G1668" s="19"/>
      <c r="H1668" s="20" t="s">
        <v>2156</v>
      </c>
      <c r="I1668" s="17" t="s">
        <v>52</v>
      </c>
      <c r="J1668" s="17">
        <v>0.0</v>
      </c>
      <c r="K1668" s="17">
        <v>0.0</v>
      </c>
      <c r="L1668" s="17">
        <v>0.0</v>
      </c>
      <c r="M1668" s="17">
        <v>0.0</v>
      </c>
      <c r="N1668" s="17">
        <v>0.0</v>
      </c>
      <c r="O1668" s="17">
        <v>0.0</v>
      </c>
      <c r="P1668" s="17">
        <v>0.0</v>
      </c>
      <c r="Q1668" s="17">
        <v>0.0</v>
      </c>
      <c r="R1668" s="17">
        <v>0.0</v>
      </c>
      <c r="S1668" s="17">
        <v>0.0</v>
      </c>
      <c r="T1668" s="17">
        <v>0.0</v>
      </c>
      <c r="U1668" s="17">
        <v>0.0</v>
      </c>
    </row>
    <row r="1669" ht="23.25" customHeight="1">
      <c r="A1669" s="1" t="str">
        <f>IF(COUNTIF('Icon Lookup'!C:C,B1669)&gt;0,LOOKUP(B1669,'Icon Lookup'!C:C,'Icon Lookup'!B:B),"")</f>
        <v/>
      </c>
      <c r="B1669" s="15" t="s">
        <v>2157</v>
      </c>
      <c r="C1669" s="1" t="s">
        <v>17</v>
      </c>
      <c r="D1669" s="1" t="s">
        <v>1823</v>
      </c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</row>
    <row r="1670" ht="23.25" customHeight="1">
      <c r="A1670" s="20" t="str">
        <f>IF(COUNTIF('Icon Lookup'!C:C,B1670)&gt;0,LOOKUP(B1670,'Icon Lookup'!C:C,'Icon Lookup'!B:B),"")</f>
        <v/>
      </c>
      <c r="B1670" s="21" t="s">
        <v>2158</v>
      </c>
      <c r="C1670" s="20" t="s">
        <v>17</v>
      </c>
      <c r="D1670" s="20">
        <v>60.0</v>
      </c>
      <c r="E1670" s="20" t="s">
        <v>137</v>
      </c>
      <c r="G1670" s="22"/>
      <c r="H1670" s="23" t="s">
        <v>2159</v>
      </c>
      <c r="I1670" s="20" t="s">
        <v>612</v>
      </c>
      <c r="J1670" s="20">
        <v>0.0</v>
      </c>
      <c r="K1670" s="20">
        <v>0.0</v>
      </c>
      <c r="L1670" s="20">
        <v>0.0</v>
      </c>
      <c r="M1670" s="20">
        <v>0.0</v>
      </c>
      <c r="N1670" s="20">
        <v>0.0</v>
      </c>
      <c r="O1670" s="20">
        <v>0.0</v>
      </c>
      <c r="P1670" s="20">
        <v>0.0</v>
      </c>
      <c r="Q1670" s="20">
        <v>0.0</v>
      </c>
      <c r="R1670" s="20">
        <v>0.0</v>
      </c>
      <c r="S1670" s="20">
        <v>0.0</v>
      </c>
      <c r="T1670" s="20">
        <v>0.0</v>
      </c>
      <c r="U1670" s="20">
        <v>0.0</v>
      </c>
    </row>
    <row r="1671" ht="23.25" customHeight="1">
      <c r="A1671" s="17" t="str">
        <f>IF(COUNTIF('Icon Lookup'!C:C,B1671)&gt;0,LOOKUP(B1671,'Icon Lookup'!C:C,'Icon Lookup'!B:B),"")</f>
        <v/>
      </c>
      <c r="B1671" s="18" t="s">
        <v>1826</v>
      </c>
      <c r="C1671" s="17" t="s">
        <v>17</v>
      </c>
      <c r="D1671" s="17">
        <v>60.0</v>
      </c>
      <c r="E1671" s="17" t="s">
        <v>66</v>
      </c>
      <c r="G1671" s="19"/>
      <c r="H1671" s="20" t="s">
        <v>2160</v>
      </c>
      <c r="I1671" s="17" t="s">
        <v>52</v>
      </c>
      <c r="J1671" s="17">
        <v>0.0</v>
      </c>
      <c r="K1671" s="17">
        <v>0.0</v>
      </c>
      <c r="L1671" s="17">
        <v>0.0</v>
      </c>
      <c r="M1671" s="17">
        <v>0.0</v>
      </c>
      <c r="N1671" s="17">
        <v>0.0</v>
      </c>
      <c r="O1671" s="17">
        <v>0.0</v>
      </c>
      <c r="P1671" s="17">
        <v>0.0</v>
      </c>
      <c r="Q1671" s="17">
        <v>0.0</v>
      </c>
      <c r="R1671" s="17">
        <v>0.0</v>
      </c>
      <c r="S1671" s="17">
        <v>0.0</v>
      </c>
      <c r="T1671" s="17">
        <v>0.0</v>
      </c>
      <c r="U1671" s="17">
        <v>0.0</v>
      </c>
    </row>
    <row r="1672" ht="23.25" customHeight="1">
      <c r="A1672" s="1" t="str">
        <f>IF(COUNTIF('Icon Lookup'!C:C,B1672)&gt;0,LOOKUP(B1672,'Icon Lookup'!C:C,'Icon Lookup'!B:B),"")</f>
        <v/>
      </c>
      <c r="B1672" s="15" t="s">
        <v>2161</v>
      </c>
      <c r="C1672" s="1" t="s">
        <v>17</v>
      </c>
      <c r="D1672" s="1" t="s">
        <v>1829</v>
      </c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</row>
    <row r="1673" ht="23.25" customHeight="1">
      <c r="A1673" s="20" t="str">
        <f>IF(COUNTIF('Icon Lookup'!C:C,B1673)&gt;0,LOOKUP(B1673,'Icon Lookup'!C:C,'Icon Lookup'!B:B),"")</f>
        <v/>
      </c>
      <c r="B1673" s="21" t="s">
        <v>471</v>
      </c>
      <c r="C1673" s="20" t="s">
        <v>17</v>
      </c>
      <c r="D1673" s="20">
        <v>59.0</v>
      </c>
      <c r="E1673" s="20" t="s">
        <v>1109</v>
      </c>
      <c r="G1673" s="22"/>
      <c r="H1673" s="23" t="s">
        <v>1830</v>
      </c>
      <c r="I1673" s="20" t="s">
        <v>22</v>
      </c>
      <c r="J1673" s="20">
        <v>0.0</v>
      </c>
      <c r="K1673" s="20">
        <v>0.0</v>
      </c>
      <c r="L1673" s="20">
        <v>0.0</v>
      </c>
      <c r="M1673" s="20">
        <v>0.0</v>
      </c>
      <c r="N1673" s="20">
        <v>0.0</v>
      </c>
      <c r="O1673" s="20">
        <v>0.0</v>
      </c>
      <c r="P1673" s="20">
        <v>0.0</v>
      </c>
      <c r="Q1673" s="20">
        <v>0.0</v>
      </c>
      <c r="R1673" s="20">
        <v>0.0</v>
      </c>
      <c r="S1673" s="20">
        <v>0.0</v>
      </c>
      <c r="T1673" s="20">
        <v>0.0</v>
      </c>
      <c r="U1673" s="20">
        <v>0.0</v>
      </c>
    </row>
    <row r="1674" ht="23.25" customHeight="1">
      <c r="A1674" s="17" t="str">
        <f>IF(COUNTIF('Icon Lookup'!C:C,B1674)&gt;0,LOOKUP(B1674,'Icon Lookup'!C:C,'Icon Lookup'!B:B),"")</f>
        <v/>
      </c>
      <c r="B1674" s="18" t="s">
        <v>710</v>
      </c>
      <c r="C1674" s="17" t="s">
        <v>17</v>
      </c>
      <c r="D1674" s="17">
        <v>59.0</v>
      </c>
      <c r="E1674" s="17" t="s">
        <v>79</v>
      </c>
      <c r="G1674" s="19"/>
      <c r="H1674" s="20" t="s">
        <v>1831</v>
      </c>
      <c r="I1674" s="17" t="s">
        <v>550</v>
      </c>
      <c r="J1674" s="17">
        <v>0.0</v>
      </c>
      <c r="K1674" s="17">
        <v>0.0</v>
      </c>
      <c r="L1674" s="17">
        <v>0.0</v>
      </c>
      <c r="M1674" s="17">
        <v>0.0</v>
      </c>
      <c r="N1674" s="17">
        <v>0.0</v>
      </c>
      <c r="O1674" s="17">
        <v>0.0</v>
      </c>
      <c r="P1674" s="17">
        <v>0.0</v>
      </c>
      <c r="Q1674" s="17">
        <v>0.0</v>
      </c>
      <c r="R1674" s="17">
        <v>0.0</v>
      </c>
      <c r="S1674" s="17">
        <v>0.0</v>
      </c>
      <c r="T1674" s="17">
        <v>0.0</v>
      </c>
      <c r="U1674" s="17">
        <v>0.0</v>
      </c>
    </row>
    <row r="1675" ht="23.25" customHeight="1">
      <c r="A1675" s="20" t="str">
        <f>IF(COUNTIF('Icon Lookup'!C:C,B1675)&gt;0,LOOKUP(B1675,'Icon Lookup'!C:C,'Icon Lookup'!B:B),"")</f>
        <v/>
      </c>
      <c r="B1675" s="21" t="s">
        <v>1832</v>
      </c>
      <c r="C1675" s="20" t="s">
        <v>17</v>
      </c>
      <c r="D1675" s="20">
        <v>59.0</v>
      </c>
      <c r="E1675" s="20" t="s">
        <v>959</v>
      </c>
      <c r="G1675" s="22"/>
      <c r="H1675" s="23" t="s">
        <v>1833</v>
      </c>
      <c r="I1675" s="20" t="s">
        <v>205</v>
      </c>
      <c r="J1675" s="20">
        <v>0.0</v>
      </c>
      <c r="K1675" s="20">
        <v>0.0</v>
      </c>
      <c r="L1675" s="20">
        <v>0.0</v>
      </c>
      <c r="M1675" s="20">
        <v>0.0</v>
      </c>
      <c r="N1675" s="20">
        <v>0.0</v>
      </c>
      <c r="O1675" s="20">
        <v>0.0</v>
      </c>
      <c r="P1675" s="20">
        <v>0.0</v>
      </c>
      <c r="Q1675" s="20">
        <v>0.0</v>
      </c>
      <c r="R1675" s="20">
        <v>0.0</v>
      </c>
      <c r="S1675" s="20">
        <v>0.0</v>
      </c>
      <c r="T1675" s="20">
        <v>0.0</v>
      </c>
      <c r="U1675" s="20">
        <v>0.0</v>
      </c>
    </row>
    <row r="1676" ht="23.25" customHeight="1">
      <c r="A1676" s="1" t="str">
        <f>IF(COUNTIF('Icon Lookup'!C:C,B1676)&gt;0,LOOKUP(B1676,'Icon Lookup'!C:C,'Icon Lookup'!B:B),"")</f>
        <v/>
      </c>
      <c r="B1676" s="15" t="s">
        <v>2162</v>
      </c>
      <c r="C1676" s="1" t="s">
        <v>17</v>
      </c>
      <c r="D1676" s="1" t="s">
        <v>441</v>
      </c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</row>
    <row r="1677" ht="23.25" customHeight="1">
      <c r="A1677" s="17" t="str">
        <f>IF(COUNTIF('Icon Lookup'!C:C,B1677)&gt;0,LOOKUP(B1677,'Icon Lookup'!C:C,'Icon Lookup'!B:B),"")</f>
        <v/>
      </c>
      <c r="B1677" s="18" t="s">
        <v>442</v>
      </c>
      <c r="C1677" s="17" t="s">
        <v>17</v>
      </c>
      <c r="D1677" s="17">
        <v>38.0</v>
      </c>
      <c r="E1677" s="17" t="s">
        <v>161</v>
      </c>
      <c r="G1677" s="19"/>
      <c r="H1677" s="20" t="s">
        <v>2163</v>
      </c>
      <c r="I1677" s="17" t="s">
        <v>52</v>
      </c>
      <c r="J1677" s="17">
        <v>0.0</v>
      </c>
      <c r="K1677" s="17">
        <v>0.0</v>
      </c>
      <c r="L1677" s="17">
        <v>0.0</v>
      </c>
      <c r="M1677" s="17">
        <v>0.0</v>
      </c>
      <c r="N1677" s="17">
        <v>0.0</v>
      </c>
      <c r="O1677" s="17">
        <v>0.0</v>
      </c>
      <c r="P1677" s="17">
        <v>0.0</v>
      </c>
      <c r="Q1677" s="17">
        <v>0.0</v>
      </c>
      <c r="R1677" s="17">
        <v>0.0</v>
      </c>
      <c r="S1677" s="17">
        <v>0.0</v>
      </c>
      <c r="T1677" s="17">
        <v>0.0</v>
      </c>
      <c r="U1677" s="17">
        <v>0.0</v>
      </c>
    </row>
    <row r="1678" ht="23.25" customHeight="1">
      <c r="A1678" s="20" t="str">
        <f>IF(COUNTIF('Icon Lookup'!C:C,B1678)&gt;0,LOOKUP(B1678,'Icon Lookup'!C:C,'Icon Lookup'!B:B),"")</f>
        <v/>
      </c>
      <c r="B1678" s="21" t="s">
        <v>386</v>
      </c>
      <c r="C1678" s="20" t="s">
        <v>17</v>
      </c>
      <c r="D1678" s="20">
        <v>42.0</v>
      </c>
      <c r="E1678" s="20" t="s">
        <v>387</v>
      </c>
      <c r="G1678" s="22"/>
      <c r="H1678" s="23" t="s">
        <v>2164</v>
      </c>
      <c r="I1678" s="20" t="s">
        <v>52</v>
      </c>
      <c r="J1678" s="20">
        <v>0.0</v>
      </c>
      <c r="K1678" s="20">
        <v>0.0</v>
      </c>
      <c r="L1678" s="20">
        <v>0.0</v>
      </c>
      <c r="M1678" s="20">
        <v>0.0</v>
      </c>
      <c r="N1678" s="20">
        <v>0.0</v>
      </c>
      <c r="O1678" s="20">
        <v>0.0</v>
      </c>
      <c r="P1678" s="20">
        <v>0.0</v>
      </c>
      <c r="Q1678" s="20">
        <v>0.0</v>
      </c>
      <c r="R1678" s="20">
        <v>0.0</v>
      </c>
      <c r="S1678" s="20">
        <v>0.0</v>
      </c>
      <c r="T1678" s="20">
        <v>0.0</v>
      </c>
      <c r="U1678" s="20">
        <v>0.0</v>
      </c>
    </row>
    <row r="1679" ht="23.25" customHeight="1">
      <c r="A1679" s="1" t="str">
        <f>IF(COUNTIF('Icon Lookup'!C:C,B1679)&gt;0,LOOKUP(B1679,'Icon Lookup'!C:C,'Icon Lookup'!B:B),"")</f>
        <v/>
      </c>
      <c r="B1679" s="15" t="s">
        <v>2165</v>
      </c>
      <c r="C1679" s="1" t="s">
        <v>17</v>
      </c>
      <c r="D1679" s="1" t="s">
        <v>441</v>
      </c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</row>
    <row r="1680" ht="23.25" customHeight="1">
      <c r="A1680" s="17" t="str">
        <f>IF(COUNTIF('Icon Lookup'!C:C,B1680)&gt;0,LOOKUP(B1680,'Icon Lookup'!C:C,'Icon Lookup'!B:B),"")</f>
        <v/>
      </c>
      <c r="B1680" s="18" t="s">
        <v>767</v>
      </c>
      <c r="C1680" s="17" t="s">
        <v>17</v>
      </c>
      <c r="D1680" s="17">
        <v>58.0</v>
      </c>
      <c r="E1680" s="17" t="s">
        <v>768</v>
      </c>
      <c r="G1680" s="19"/>
      <c r="H1680" s="20" t="s">
        <v>2166</v>
      </c>
      <c r="I1680" s="17" t="s">
        <v>52</v>
      </c>
      <c r="J1680" s="17">
        <v>0.0</v>
      </c>
      <c r="K1680" s="17">
        <v>0.0</v>
      </c>
      <c r="L1680" s="17">
        <v>0.0</v>
      </c>
      <c r="M1680" s="17">
        <v>0.0</v>
      </c>
      <c r="N1680" s="17">
        <v>0.0</v>
      </c>
      <c r="O1680" s="17">
        <v>0.0</v>
      </c>
      <c r="P1680" s="17">
        <v>0.0</v>
      </c>
      <c r="Q1680" s="17">
        <v>0.0</v>
      </c>
      <c r="R1680" s="17">
        <v>0.0</v>
      </c>
      <c r="S1680" s="17">
        <v>0.0</v>
      </c>
      <c r="T1680" s="17">
        <v>0.0</v>
      </c>
      <c r="U1680" s="17">
        <v>0.0</v>
      </c>
    </row>
    <row r="1681" ht="23.25" customHeight="1">
      <c r="A1681" s="20" t="str">
        <f>IF(COUNTIF('Icon Lookup'!C:C,B1681)&gt;0,LOOKUP(B1681,'Icon Lookup'!C:C,'Icon Lookup'!B:B),"")</f>
        <v/>
      </c>
      <c r="B1681" s="21" t="s">
        <v>765</v>
      </c>
      <c r="C1681" s="20" t="s">
        <v>17</v>
      </c>
      <c r="D1681" s="20">
        <v>58.0</v>
      </c>
      <c r="E1681" s="20" t="s">
        <v>387</v>
      </c>
      <c r="G1681" s="22"/>
      <c r="H1681" s="23" t="s">
        <v>2167</v>
      </c>
      <c r="I1681" s="20" t="s">
        <v>52</v>
      </c>
      <c r="J1681" s="20">
        <v>0.0</v>
      </c>
      <c r="K1681" s="20">
        <v>0.0</v>
      </c>
      <c r="L1681" s="20">
        <v>0.0</v>
      </c>
      <c r="M1681" s="20">
        <v>0.0</v>
      </c>
      <c r="N1681" s="20">
        <v>0.0</v>
      </c>
      <c r="O1681" s="20">
        <v>0.0</v>
      </c>
      <c r="P1681" s="20">
        <v>0.0</v>
      </c>
      <c r="Q1681" s="20">
        <v>0.0</v>
      </c>
      <c r="R1681" s="20">
        <v>0.0</v>
      </c>
      <c r="S1681" s="20">
        <v>0.0</v>
      </c>
      <c r="T1681" s="20">
        <v>0.0</v>
      </c>
      <c r="U1681" s="20">
        <v>0.0</v>
      </c>
    </row>
    <row r="1682" ht="23.25" customHeight="1">
      <c r="A1682" s="1" t="str">
        <f>IF(COUNTIF('Icon Lookup'!C:C,B1682)&gt;0,LOOKUP(B1682,'Icon Lookup'!C:C,'Icon Lookup'!B:B),"")</f>
        <v/>
      </c>
      <c r="B1682" s="15" t="s">
        <v>2168</v>
      </c>
      <c r="C1682" s="1" t="s">
        <v>17</v>
      </c>
      <c r="D1682" s="1" t="s">
        <v>1008</v>
      </c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</row>
    <row r="1683" ht="23.25" customHeight="1">
      <c r="A1683" s="17" t="str">
        <f>IF(COUNTIF('Icon Lookup'!C:C,B1683)&gt;0,LOOKUP(B1683,'Icon Lookup'!C:C,'Icon Lookup'!B:B),"")</f>
        <v/>
      </c>
      <c r="B1683" s="18" t="s">
        <v>449</v>
      </c>
      <c r="C1683" s="17" t="s">
        <v>17</v>
      </c>
      <c r="D1683" s="17">
        <v>56.0</v>
      </c>
      <c r="E1683" s="17" t="s">
        <v>161</v>
      </c>
      <c r="G1683" s="19"/>
      <c r="H1683" s="20" t="s">
        <v>1009</v>
      </c>
      <c r="I1683" s="17" t="s">
        <v>105</v>
      </c>
      <c r="J1683" s="17">
        <v>0.0</v>
      </c>
      <c r="K1683" s="17">
        <v>0.0</v>
      </c>
      <c r="L1683" s="17">
        <v>0.0</v>
      </c>
      <c r="M1683" s="17">
        <v>0.0</v>
      </c>
      <c r="N1683" s="17">
        <v>0.0</v>
      </c>
      <c r="O1683" s="17">
        <v>0.0</v>
      </c>
      <c r="P1683" s="17">
        <v>0.0</v>
      </c>
      <c r="Q1683" s="17">
        <v>0.0</v>
      </c>
      <c r="R1683" s="17">
        <v>0.0</v>
      </c>
      <c r="S1683" s="17">
        <v>0.0</v>
      </c>
      <c r="T1683" s="17">
        <v>0.0</v>
      </c>
      <c r="U1683" s="17">
        <v>0.0</v>
      </c>
    </row>
    <row r="1684" ht="23.25" customHeight="1">
      <c r="A1684" s="20" t="str">
        <f>IF(COUNTIF('Icon Lookup'!C:C,B1684)&gt;0,LOOKUP(B1684,'Icon Lookup'!C:C,'Icon Lookup'!B:B),"")</f>
        <v/>
      </c>
      <c r="B1684" s="21" t="s">
        <v>767</v>
      </c>
      <c r="C1684" s="20" t="s">
        <v>17</v>
      </c>
      <c r="D1684" s="20">
        <v>58.0</v>
      </c>
      <c r="E1684" s="20" t="s">
        <v>768</v>
      </c>
      <c r="G1684" s="22"/>
      <c r="H1684" s="23" t="s">
        <v>1010</v>
      </c>
      <c r="I1684" s="20" t="s">
        <v>52</v>
      </c>
      <c r="J1684" s="20">
        <v>0.0</v>
      </c>
      <c r="K1684" s="20">
        <v>0.0</v>
      </c>
      <c r="L1684" s="20">
        <v>0.0</v>
      </c>
      <c r="M1684" s="20">
        <v>0.0</v>
      </c>
      <c r="N1684" s="20">
        <v>0.0</v>
      </c>
      <c r="O1684" s="20">
        <v>0.0</v>
      </c>
      <c r="P1684" s="20">
        <v>0.0</v>
      </c>
      <c r="Q1684" s="20">
        <v>0.0</v>
      </c>
      <c r="R1684" s="20">
        <v>0.0</v>
      </c>
      <c r="S1684" s="20">
        <v>0.0</v>
      </c>
      <c r="T1684" s="20">
        <v>0.0</v>
      </c>
      <c r="U1684" s="20">
        <v>0.0</v>
      </c>
    </row>
    <row r="1685" ht="23.25" customHeight="1">
      <c r="A1685" s="1" t="str">
        <f>IF(COUNTIF('Icon Lookup'!C:C,B1685)&gt;0,LOOKUP(B1685,'Icon Lookup'!C:C,'Icon Lookup'!B:B),"")</f>
        <v/>
      </c>
      <c r="B1685" s="15" t="s">
        <v>2169</v>
      </c>
      <c r="C1685" s="1" t="s">
        <v>17</v>
      </c>
      <c r="D1685" s="1" t="s">
        <v>1882</v>
      </c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</row>
    <row r="1686" ht="23.25" customHeight="1">
      <c r="A1686" s="17" t="str">
        <f>IF(COUNTIF('Icon Lookup'!C:C,B1686)&gt;0,LOOKUP(B1686,'Icon Lookup'!C:C,'Icon Lookup'!B:B),"")</f>
        <v/>
      </c>
      <c r="B1686" s="18" t="s">
        <v>2170</v>
      </c>
      <c r="C1686" s="17" t="s">
        <v>17</v>
      </c>
      <c r="D1686" s="17">
        <v>58.0</v>
      </c>
      <c r="E1686" s="17" t="s">
        <v>719</v>
      </c>
      <c r="G1686" s="19"/>
      <c r="H1686" s="20" t="s">
        <v>2171</v>
      </c>
      <c r="I1686" s="17" t="s">
        <v>550</v>
      </c>
      <c r="J1686" s="17">
        <v>0.0</v>
      </c>
      <c r="K1686" s="17">
        <v>0.0</v>
      </c>
      <c r="L1686" s="17">
        <v>0.0</v>
      </c>
      <c r="M1686" s="17">
        <v>0.0</v>
      </c>
      <c r="N1686" s="17">
        <v>0.0</v>
      </c>
      <c r="O1686" s="17">
        <v>0.0</v>
      </c>
      <c r="P1686" s="17">
        <v>0.0</v>
      </c>
      <c r="Q1686" s="17">
        <v>0.0</v>
      </c>
      <c r="R1686" s="17">
        <v>0.0</v>
      </c>
      <c r="S1686" s="17">
        <v>0.0</v>
      </c>
      <c r="T1686" s="17">
        <v>0.0</v>
      </c>
      <c r="U1686" s="17">
        <v>0.0</v>
      </c>
    </row>
    <row r="1687" ht="23.25" customHeight="1">
      <c r="A1687" s="20" t="str">
        <f>IF(COUNTIF('Icon Lookup'!C:C,B1687)&gt;0,LOOKUP(B1687,'Icon Lookup'!C:C,'Icon Lookup'!B:B),"")</f>
        <v/>
      </c>
      <c r="B1687" s="21" t="s">
        <v>1784</v>
      </c>
      <c r="C1687" s="20" t="s">
        <v>17</v>
      </c>
      <c r="D1687" s="20">
        <v>60.0</v>
      </c>
      <c r="E1687" s="20" t="s">
        <v>903</v>
      </c>
      <c r="G1687" s="22"/>
      <c r="H1687" s="23" t="s">
        <v>1886</v>
      </c>
      <c r="I1687" s="20" t="s">
        <v>211</v>
      </c>
      <c r="J1687" s="20">
        <v>0.0</v>
      </c>
      <c r="K1687" s="20">
        <v>0.0</v>
      </c>
      <c r="L1687" s="20">
        <v>0.0</v>
      </c>
      <c r="M1687" s="20">
        <v>0.0</v>
      </c>
      <c r="N1687" s="20">
        <v>0.0</v>
      </c>
      <c r="O1687" s="20">
        <v>0.0</v>
      </c>
      <c r="P1687" s="20">
        <v>0.0</v>
      </c>
      <c r="Q1687" s="20">
        <v>0.0</v>
      </c>
      <c r="R1687" s="20">
        <v>0.0</v>
      </c>
      <c r="S1687" s="20">
        <v>0.0</v>
      </c>
      <c r="T1687" s="20">
        <v>0.0</v>
      </c>
      <c r="U1687" s="20">
        <v>0.0</v>
      </c>
    </row>
    <row r="1688" ht="23.25" customHeight="1">
      <c r="A1688" s="1" t="str">
        <f>IF(COUNTIF('Icon Lookup'!C:C,B1688)&gt;0,LOOKUP(B1688,'Icon Lookup'!C:C,'Icon Lookup'!B:B),"")</f>
        <v/>
      </c>
      <c r="B1688" s="15" t="s">
        <v>2172</v>
      </c>
      <c r="C1688" s="1" t="s">
        <v>17</v>
      </c>
      <c r="D1688" s="1" t="s">
        <v>446</v>
      </c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</row>
    <row r="1689" ht="23.25" customHeight="1">
      <c r="A1689" s="17" t="str">
        <f>IF(COUNTIF('Icon Lookup'!C:C,B1689)&gt;0,LOOKUP(B1689,'Icon Lookup'!C:C,'Icon Lookup'!B:B),"")</f>
        <v/>
      </c>
      <c r="B1689" s="18" t="s">
        <v>442</v>
      </c>
      <c r="C1689" s="17" t="s">
        <v>17</v>
      </c>
      <c r="D1689" s="17">
        <v>37.0</v>
      </c>
      <c r="E1689" s="17" t="s">
        <v>161</v>
      </c>
      <c r="G1689" s="19"/>
      <c r="H1689" s="20" t="s">
        <v>2173</v>
      </c>
      <c r="I1689" s="17" t="s">
        <v>52</v>
      </c>
      <c r="J1689" s="17">
        <v>0.0</v>
      </c>
      <c r="K1689" s="17">
        <v>0.0</v>
      </c>
      <c r="L1689" s="17">
        <v>0.0</v>
      </c>
      <c r="M1689" s="17">
        <v>0.0</v>
      </c>
      <c r="N1689" s="17">
        <v>0.0</v>
      </c>
      <c r="O1689" s="17">
        <v>0.0</v>
      </c>
      <c r="P1689" s="17">
        <v>0.0</v>
      </c>
      <c r="Q1689" s="17">
        <v>0.0</v>
      </c>
      <c r="R1689" s="17">
        <v>0.0</v>
      </c>
      <c r="S1689" s="17">
        <v>0.0</v>
      </c>
      <c r="T1689" s="17">
        <v>0.0</v>
      </c>
      <c r="U1689" s="17">
        <v>0.0</v>
      </c>
    </row>
    <row r="1690" ht="23.25" customHeight="1">
      <c r="A1690" s="20" t="str">
        <f>IF(COUNTIF('Icon Lookup'!C:C,B1690)&gt;0,LOOKUP(B1690,'Icon Lookup'!C:C,'Icon Lookup'!B:B),"")</f>
        <v/>
      </c>
      <c r="B1690" s="21" t="s">
        <v>449</v>
      </c>
      <c r="C1690" s="20" t="s">
        <v>17</v>
      </c>
      <c r="D1690" s="20">
        <v>39.0</v>
      </c>
      <c r="E1690" s="20" t="s">
        <v>161</v>
      </c>
      <c r="G1690" s="22"/>
      <c r="H1690" s="23" t="s">
        <v>2174</v>
      </c>
      <c r="I1690" s="20" t="s">
        <v>52</v>
      </c>
      <c r="J1690" s="20">
        <v>0.0</v>
      </c>
      <c r="K1690" s="20">
        <v>0.0</v>
      </c>
      <c r="L1690" s="20">
        <v>0.0</v>
      </c>
      <c r="M1690" s="20">
        <v>0.0</v>
      </c>
      <c r="N1690" s="20">
        <v>0.0</v>
      </c>
      <c r="O1690" s="20">
        <v>0.0</v>
      </c>
      <c r="P1690" s="20">
        <v>0.0</v>
      </c>
      <c r="Q1690" s="20">
        <v>0.0</v>
      </c>
      <c r="R1690" s="20">
        <v>0.0</v>
      </c>
      <c r="S1690" s="20">
        <v>0.0</v>
      </c>
      <c r="T1690" s="20">
        <v>0.0</v>
      </c>
      <c r="U1690" s="20">
        <v>0.0</v>
      </c>
    </row>
    <row r="1691" ht="23.25" customHeight="1">
      <c r="A1691" s="17" t="str">
        <f>IF(COUNTIF('Icon Lookup'!C:C,B1691)&gt;0,LOOKUP(B1691,'Icon Lookup'!C:C,'Icon Lookup'!B:B),"")</f>
        <v/>
      </c>
      <c r="B1691" s="18" t="s">
        <v>386</v>
      </c>
      <c r="C1691" s="17" t="s">
        <v>17</v>
      </c>
      <c r="D1691" s="17">
        <v>38.0</v>
      </c>
      <c r="E1691" s="17" t="s">
        <v>387</v>
      </c>
      <c r="G1691" s="19"/>
      <c r="H1691" s="20" t="s">
        <v>2175</v>
      </c>
      <c r="I1691" s="17" t="s">
        <v>52</v>
      </c>
      <c r="J1691" s="17">
        <v>0.0</v>
      </c>
      <c r="K1691" s="17">
        <v>0.0</v>
      </c>
      <c r="L1691" s="17">
        <v>0.0</v>
      </c>
      <c r="M1691" s="17">
        <v>0.0</v>
      </c>
      <c r="N1691" s="17">
        <v>0.0</v>
      </c>
      <c r="O1691" s="17">
        <v>0.0</v>
      </c>
      <c r="P1691" s="17">
        <v>0.0</v>
      </c>
      <c r="Q1691" s="17">
        <v>0.0</v>
      </c>
      <c r="R1691" s="17">
        <v>0.0</v>
      </c>
      <c r="S1691" s="17">
        <v>0.0</v>
      </c>
      <c r="T1691" s="17">
        <v>0.0</v>
      </c>
      <c r="U1691" s="17">
        <v>0.0</v>
      </c>
    </row>
    <row r="1692" ht="23.25" customHeight="1">
      <c r="A1692" s="1" t="str">
        <f>IF(COUNTIF('Icon Lookup'!C:C,B1692)&gt;0,LOOKUP(B1692,'Icon Lookup'!C:C,'Icon Lookup'!B:B),"")</f>
        <v/>
      </c>
      <c r="B1692" s="15" t="s">
        <v>2176</v>
      </c>
      <c r="C1692" s="1" t="s">
        <v>17</v>
      </c>
      <c r="D1692" s="1" t="s">
        <v>446</v>
      </c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</row>
    <row r="1693" ht="23.25" customHeight="1">
      <c r="A1693" s="20" t="str">
        <f>IF(COUNTIF('Icon Lookup'!C:C,B1693)&gt;0,LOOKUP(B1693,'Icon Lookup'!C:C,'Icon Lookup'!B:B),"")</f>
        <v/>
      </c>
      <c r="B1693" s="21" t="s">
        <v>767</v>
      </c>
      <c r="C1693" s="20" t="s">
        <v>17</v>
      </c>
      <c r="D1693" s="20">
        <v>58.0</v>
      </c>
      <c r="E1693" s="20" t="s">
        <v>768</v>
      </c>
      <c r="G1693" s="22"/>
      <c r="H1693" s="23" t="s">
        <v>2177</v>
      </c>
      <c r="I1693" s="20" t="s">
        <v>52</v>
      </c>
      <c r="J1693" s="20">
        <v>0.0</v>
      </c>
      <c r="K1693" s="20">
        <v>0.0</v>
      </c>
      <c r="L1693" s="20">
        <v>0.0</v>
      </c>
      <c r="M1693" s="20">
        <v>0.0</v>
      </c>
      <c r="N1693" s="20">
        <v>0.0</v>
      </c>
      <c r="O1693" s="20">
        <v>0.0</v>
      </c>
      <c r="P1693" s="20">
        <v>0.0</v>
      </c>
      <c r="Q1693" s="20">
        <v>0.0</v>
      </c>
      <c r="R1693" s="20">
        <v>0.0</v>
      </c>
      <c r="S1693" s="20">
        <v>0.0</v>
      </c>
      <c r="T1693" s="20">
        <v>0.0</v>
      </c>
      <c r="U1693" s="20">
        <v>0.0</v>
      </c>
    </row>
    <row r="1694" ht="23.25" customHeight="1">
      <c r="A1694" s="17" t="str">
        <f>IF(COUNTIF('Icon Lookup'!C:C,B1694)&gt;0,LOOKUP(B1694,'Icon Lookup'!C:C,'Icon Lookup'!B:B),"")</f>
        <v/>
      </c>
      <c r="B1694" s="18" t="s">
        <v>449</v>
      </c>
      <c r="C1694" s="17" t="s">
        <v>17</v>
      </c>
      <c r="D1694" s="17">
        <v>57.0</v>
      </c>
      <c r="E1694" s="17" t="s">
        <v>161</v>
      </c>
      <c r="G1694" s="19"/>
      <c r="H1694" s="20" t="s">
        <v>2178</v>
      </c>
      <c r="I1694" s="17" t="s">
        <v>52</v>
      </c>
      <c r="J1694" s="17">
        <v>0.0</v>
      </c>
      <c r="K1694" s="17">
        <v>0.0</v>
      </c>
      <c r="L1694" s="17">
        <v>0.0</v>
      </c>
      <c r="M1694" s="17">
        <v>0.0</v>
      </c>
      <c r="N1694" s="17">
        <v>0.0</v>
      </c>
      <c r="O1694" s="17">
        <v>0.0</v>
      </c>
      <c r="P1694" s="17">
        <v>0.0</v>
      </c>
      <c r="Q1694" s="17">
        <v>0.0</v>
      </c>
      <c r="R1694" s="17">
        <v>0.0</v>
      </c>
      <c r="S1694" s="17">
        <v>0.0</v>
      </c>
      <c r="T1694" s="17">
        <v>0.0</v>
      </c>
      <c r="U1694" s="17">
        <v>0.0</v>
      </c>
    </row>
    <row r="1695" ht="23.25" customHeight="1">
      <c r="A1695" s="20" t="str">
        <f>IF(COUNTIF('Icon Lookup'!C:C,B1695)&gt;0,LOOKUP(B1695,'Icon Lookup'!C:C,'Icon Lookup'!B:B),"")</f>
        <v/>
      </c>
      <c r="B1695" s="21" t="s">
        <v>765</v>
      </c>
      <c r="C1695" s="20" t="s">
        <v>17</v>
      </c>
      <c r="D1695" s="20">
        <v>59.0</v>
      </c>
      <c r="E1695" s="20" t="s">
        <v>387</v>
      </c>
      <c r="G1695" s="22"/>
      <c r="H1695" s="23" t="s">
        <v>2179</v>
      </c>
      <c r="I1695" s="20" t="s">
        <v>52</v>
      </c>
      <c r="J1695" s="20">
        <v>0.0</v>
      </c>
      <c r="K1695" s="20">
        <v>0.0</v>
      </c>
      <c r="L1695" s="20">
        <v>0.0</v>
      </c>
      <c r="M1695" s="20">
        <v>0.0</v>
      </c>
      <c r="N1695" s="20">
        <v>0.0</v>
      </c>
      <c r="O1695" s="20">
        <v>0.0</v>
      </c>
      <c r="P1695" s="20">
        <v>0.0</v>
      </c>
      <c r="Q1695" s="20">
        <v>0.0</v>
      </c>
      <c r="R1695" s="20">
        <v>0.0</v>
      </c>
      <c r="S1695" s="20">
        <v>0.0</v>
      </c>
      <c r="T1695" s="20">
        <v>0.0</v>
      </c>
      <c r="U1695" s="20">
        <v>0.0</v>
      </c>
    </row>
    <row r="1696" ht="23.25" customHeight="1">
      <c r="A1696" s="1" t="str">
        <f>IF(COUNTIF('Icon Lookup'!C:C,B1696)&gt;0,LOOKUP(B1696,'Icon Lookup'!C:C,'Icon Lookup'!B:B),"")</f>
        <v/>
      </c>
      <c r="B1696" s="15" t="s">
        <v>2180</v>
      </c>
      <c r="C1696" s="1" t="s">
        <v>17</v>
      </c>
      <c r="D1696" s="1" t="s">
        <v>1012</v>
      </c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</row>
    <row r="1697" ht="23.25" customHeight="1">
      <c r="A1697" s="17" t="str">
        <f>IF(COUNTIF('Icon Lookup'!C:C,B1697)&gt;0,LOOKUP(B1697,'Icon Lookup'!C:C,'Icon Lookup'!B:B),"")</f>
        <v/>
      </c>
      <c r="B1697" s="18" t="s">
        <v>582</v>
      </c>
      <c r="C1697" s="17" t="s">
        <v>17</v>
      </c>
      <c r="D1697" s="17">
        <v>58.0</v>
      </c>
      <c r="E1697" s="17" t="s">
        <v>166</v>
      </c>
      <c r="G1697" s="19"/>
      <c r="H1697" s="20" t="s">
        <v>2181</v>
      </c>
      <c r="I1697" s="17" t="s">
        <v>22</v>
      </c>
      <c r="J1697" s="17">
        <v>0.0</v>
      </c>
      <c r="K1697" s="17">
        <v>0.0</v>
      </c>
      <c r="L1697" s="17">
        <v>0.0</v>
      </c>
      <c r="M1697" s="17">
        <v>0.0</v>
      </c>
      <c r="N1697" s="17">
        <v>0.0</v>
      </c>
      <c r="O1697" s="17">
        <v>0.0</v>
      </c>
      <c r="P1697" s="17">
        <v>0.0</v>
      </c>
      <c r="Q1697" s="17">
        <v>0.0</v>
      </c>
      <c r="R1697" s="17">
        <v>0.0</v>
      </c>
      <c r="S1697" s="17">
        <v>0.0</v>
      </c>
      <c r="T1697" s="17">
        <v>0.0</v>
      </c>
      <c r="U1697" s="17">
        <v>0.0</v>
      </c>
    </row>
    <row r="1698" ht="23.25" customHeight="1">
      <c r="A1698" s="20" t="str">
        <f>IF(COUNTIF('Icon Lookup'!C:C,B1698)&gt;0,LOOKUP(B1698,'Icon Lookup'!C:C,'Icon Lookup'!B:B),"")</f>
        <v/>
      </c>
      <c r="B1698" s="21" t="s">
        <v>765</v>
      </c>
      <c r="C1698" s="20" t="s">
        <v>17</v>
      </c>
      <c r="D1698" s="20">
        <v>58.0</v>
      </c>
      <c r="E1698" s="20" t="s">
        <v>38</v>
      </c>
      <c r="G1698" s="22"/>
      <c r="H1698" s="23" t="s">
        <v>1014</v>
      </c>
      <c r="I1698" s="20" t="s">
        <v>52</v>
      </c>
      <c r="J1698" s="20">
        <v>0.0</v>
      </c>
      <c r="K1698" s="20">
        <v>0.0</v>
      </c>
      <c r="L1698" s="20">
        <v>0.0</v>
      </c>
      <c r="M1698" s="20">
        <v>0.0</v>
      </c>
      <c r="N1698" s="20">
        <v>0.0</v>
      </c>
      <c r="O1698" s="20">
        <v>0.0</v>
      </c>
      <c r="P1698" s="20">
        <v>0.0</v>
      </c>
      <c r="Q1698" s="20">
        <v>0.0</v>
      </c>
      <c r="R1698" s="20">
        <v>0.0</v>
      </c>
      <c r="S1698" s="20">
        <v>0.0</v>
      </c>
      <c r="T1698" s="20">
        <v>0.0</v>
      </c>
      <c r="U1698" s="20">
        <v>0.0</v>
      </c>
    </row>
    <row r="1699" ht="23.25" customHeight="1">
      <c r="A1699" s="1" t="str">
        <f>IF(COUNTIF('Icon Lookup'!C:C,B1699)&gt;0,LOOKUP(B1699,'Icon Lookup'!C:C,'Icon Lookup'!B:B),"")</f>
        <v/>
      </c>
      <c r="B1699" s="15" t="s">
        <v>2182</v>
      </c>
      <c r="C1699" s="1" t="s">
        <v>17</v>
      </c>
      <c r="D1699" s="1" t="s">
        <v>1894</v>
      </c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</row>
    <row r="1700" ht="23.25" customHeight="1">
      <c r="A1700" s="17" t="str">
        <f>IF(COUNTIF('Icon Lookup'!C:C,B1700)&gt;0,LOOKUP(B1700,'Icon Lookup'!C:C,'Icon Lookup'!B:B),"")</f>
        <v/>
      </c>
      <c r="B1700" s="18" t="s">
        <v>1897</v>
      </c>
      <c r="C1700" s="17" t="s">
        <v>17</v>
      </c>
      <c r="D1700" s="17">
        <v>58.0</v>
      </c>
      <c r="E1700" s="17" t="s">
        <v>1004</v>
      </c>
      <c r="G1700" s="19"/>
      <c r="H1700" s="20" t="s">
        <v>1896</v>
      </c>
      <c r="I1700" s="17" t="s">
        <v>205</v>
      </c>
      <c r="J1700" s="17">
        <v>0.0</v>
      </c>
      <c r="K1700" s="17">
        <v>0.0</v>
      </c>
      <c r="L1700" s="17">
        <v>0.0</v>
      </c>
      <c r="M1700" s="17">
        <v>0.0</v>
      </c>
      <c r="N1700" s="17">
        <v>0.0</v>
      </c>
      <c r="O1700" s="17">
        <v>0.0</v>
      </c>
      <c r="P1700" s="17">
        <v>0.0</v>
      </c>
      <c r="Q1700" s="17">
        <v>0.0</v>
      </c>
      <c r="R1700" s="17">
        <v>0.0</v>
      </c>
      <c r="S1700" s="17">
        <v>0.0</v>
      </c>
      <c r="T1700" s="17">
        <v>0.0</v>
      </c>
      <c r="U1700" s="17">
        <v>0.0</v>
      </c>
    </row>
    <row r="1701" ht="23.25" customHeight="1">
      <c r="A1701" s="20" t="str">
        <f>IF(COUNTIF('Icon Lookup'!C:C,B1701)&gt;0,LOOKUP(B1701,'Icon Lookup'!C:C,'Icon Lookup'!B:B),"")</f>
        <v/>
      </c>
      <c r="B1701" s="21" t="s">
        <v>1897</v>
      </c>
      <c r="C1701" s="20" t="s">
        <v>17</v>
      </c>
      <c r="D1701" s="20">
        <v>60.0</v>
      </c>
      <c r="E1701" s="20" t="s">
        <v>188</v>
      </c>
      <c r="G1701" s="22"/>
      <c r="H1701" s="23" t="s">
        <v>1898</v>
      </c>
      <c r="I1701" s="20" t="s">
        <v>612</v>
      </c>
      <c r="J1701" s="20">
        <v>0.0</v>
      </c>
      <c r="K1701" s="20">
        <v>0.0</v>
      </c>
      <c r="L1701" s="20">
        <v>0.0</v>
      </c>
      <c r="M1701" s="20">
        <v>0.0</v>
      </c>
      <c r="N1701" s="20">
        <v>0.0</v>
      </c>
      <c r="O1701" s="20">
        <v>0.0</v>
      </c>
      <c r="P1701" s="20">
        <v>0.0</v>
      </c>
      <c r="Q1701" s="20">
        <v>0.0</v>
      </c>
      <c r="R1701" s="20">
        <v>0.0</v>
      </c>
      <c r="S1701" s="20">
        <v>0.0</v>
      </c>
      <c r="T1701" s="20">
        <v>0.0</v>
      </c>
      <c r="U1701" s="20">
        <v>0.0</v>
      </c>
    </row>
    <row r="1702" ht="23.25" customHeight="1">
      <c r="A1702" s="1" t="str">
        <f>IF(COUNTIF('Icon Lookup'!C:C,B1702)&gt;0,LOOKUP(B1702,'Icon Lookup'!C:C,'Icon Lookup'!B:B),"")</f>
        <v/>
      </c>
      <c r="B1702" s="15" t="s">
        <v>2183</v>
      </c>
      <c r="C1702" s="1" t="s">
        <v>17</v>
      </c>
      <c r="D1702" s="1" t="s">
        <v>1024</v>
      </c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</row>
    <row r="1703" ht="23.25" customHeight="1">
      <c r="A1703" s="17" t="str">
        <f>IF(COUNTIF('Icon Lookup'!C:C,B1703)&gt;0,LOOKUP(B1703,'Icon Lookup'!C:C,'Icon Lookup'!B:B),"")</f>
        <v/>
      </c>
      <c r="B1703" s="18" t="s">
        <v>471</v>
      </c>
      <c r="C1703" s="17" t="s">
        <v>17</v>
      </c>
      <c r="D1703" s="17">
        <v>36.0</v>
      </c>
      <c r="E1703" s="17" t="s">
        <v>71</v>
      </c>
      <c r="G1703" s="19"/>
      <c r="H1703" s="20" t="s">
        <v>2184</v>
      </c>
      <c r="I1703" s="17" t="s">
        <v>22</v>
      </c>
      <c r="J1703" s="17">
        <v>0.0</v>
      </c>
      <c r="K1703" s="17">
        <v>0.0</v>
      </c>
      <c r="L1703" s="17">
        <v>0.0</v>
      </c>
      <c r="M1703" s="17">
        <v>0.0</v>
      </c>
      <c r="N1703" s="17">
        <v>0.0</v>
      </c>
      <c r="O1703" s="17">
        <v>0.0</v>
      </c>
      <c r="P1703" s="17">
        <v>0.0</v>
      </c>
      <c r="Q1703" s="17">
        <v>0.0</v>
      </c>
      <c r="R1703" s="17">
        <v>0.0</v>
      </c>
      <c r="S1703" s="17">
        <v>0.0</v>
      </c>
      <c r="T1703" s="17">
        <v>0.0</v>
      </c>
      <c r="U1703" s="17">
        <v>0.0</v>
      </c>
    </row>
    <row r="1704" ht="23.25" customHeight="1">
      <c r="A1704" s="20" t="str">
        <f>IF(COUNTIF('Icon Lookup'!C:C,B1704)&gt;0,LOOKUP(B1704,'Icon Lookup'!C:C,'Icon Lookup'!B:B),"")</f>
        <v/>
      </c>
      <c r="B1704" s="21" t="s">
        <v>398</v>
      </c>
      <c r="C1704" s="20" t="s">
        <v>17</v>
      </c>
      <c r="D1704" s="20">
        <v>37.0</v>
      </c>
      <c r="E1704" s="20" t="s">
        <v>677</v>
      </c>
      <c r="G1704" s="22"/>
      <c r="H1704" s="23" t="s">
        <v>2185</v>
      </c>
      <c r="I1704" s="20" t="s">
        <v>40</v>
      </c>
      <c r="J1704" s="20">
        <v>0.0</v>
      </c>
      <c r="K1704" s="20">
        <v>0.0</v>
      </c>
      <c r="L1704" s="20">
        <v>0.0</v>
      </c>
      <c r="M1704" s="20">
        <v>0.0</v>
      </c>
      <c r="N1704" s="20">
        <v>0.0</v>
      </c>
      <c r="O1704" s="20">
        <v>0.0</v>
      </c>
      <c r="P1704" s="20">
        <v>0.0</v>
      </c>
      <c r="Q1704" s="20">
        <v>0.0</v>
      </c>
      <c r="R1704" s="20">
        <v>0.0</v>
      </c>
      <c r="S1704" s="20">
        <v>0.0</v>
      </c>
      <c r="T1704" s="20">
        <v>0.0</v>
      </c>
      <c r="U1704" s="20">
        <v>0.0</v>
      </c>
    </row>
    <row r="1705" ht="23.25" customHeight="1">
      <c r="A1705" s="17" t="str">
        <f>IF(COUNTIF('Icon Lookup'!C:C,B1705)&gt;0,LOOKUP(B1705,'Icon Lookup'!C:C,'Icon Lookup'!B:B),"")</f>
        <v/>
      </c>
      <c r="B1705" s="18" t="s">
        <v>273</v>
      </c>
      <c r="C1705" s="17" t="s">
        <v>17</v>
      </c>
      <c r="D1705" s="17">
        <v>38.0</v>
      </c>
      <c r="E1705" s="17" t="s">
        <v>38</v>
      </c>
      <c r="G1705" s="19"/>
      <c r="H1705" s="20" t="s">
        <v>2186</v>
      </c>
      <c r="I1705" s="17" t="s">
        <v>46</v>
      </c>
      <c r="J1705" s="17">
        <v>0.0</v>
      </c>
      <c r="K1705" s="17">
        <v>0.0</v>
      </c>
      <c r="L1705" s="17">
        <v>0.0</v>
      </c>
      <c r="M1705" s="17">
        <v>0.0</v>
      </c>
      <c r="N1705" s="17">
        <v>0.0</v>
      </c>
      <c r="O1705" s="17">
        <v>0.0</v>
      </c>
      <c r="P1705" s="17">
        <v>0.0</v>
      </c>
      <c r="Q1705" s="17">
        <v>0.0</v>
      </c>
      <c r="R1705" s="17">
        <v>0.0</v>
      </c>
      <c r="S1705" s="17">
        <v>0.0</v>
      </c>
      <c r="T1705" s="17">
        <v>0.0</v>
      </c>
      <c r="U1705" s="17">
        <v>0.0</v>
      </c>
    </row>
    <row r="1706" ht="23.25" customHeight="1">
      <c r="A1706" s="1" t="str">
        <f>IF(COUNTIF('Icon Lookup'!C:C,B1706)&gt;0,LOOKUP(B1706,'Icon Lookup'!C:C,'Icon Lookup'!B:B),"")</f>
        <v/>
      </c>
      <c r="B1706" s="15" t="s">
        <v>2187</v>
      </c>
      <c r="C1706" s="1" t="s">
        <v>17</v>
      </c>
      <c r="D1706" s="1" t="s">
        <v>1024</v>
      </c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</row>
    <row r="1707" ht="23.25" customHeight="1">
      <c r="A1707" s="20" t="str">
        <f>IF(COUNTIF('Icon Lookup'!C:C,B1707)&gt;0,LOOKUP(B1707,'Icon Lookup'!C:C,'Icon Lookup'!B:B),"")</f>
        <v/>
      </c>
      <c r="B1707" s="21" t="s">
        <v>471</v>
      </c>
      <c r="C1707" s="20" t="s">
        <v>17</v>
      </c>
      <c r="D1707" s="20">
        <v>57.0</v>
      </c>
      <c r="E1707" s="20" t="s">
        <v>71</v>
      </c>
      <c r="G1707" s="22"/>
      <c r="H1707" s="23" t="s">
        <v>2184</v>
      </c>
      <c r="I1707" s="20" t="s">
        <v>22</v>
      </c>
      <c r="J1707" s="20">
        <v>0.0</v>
      </c>
      <c r="K1707" s="20">
        <v>0.0</v>
      </c>
      <c r="L1707" s="20">
        <v>0.0</v>
      </c>
      <c r="M1707" s="20">
        <v>0.0</v>
      </c>
      <c r="N1707" s="20">
        <v>0.0</v>
      </c>
      <c r="O1707" s="20">
        <v>0.0</v>
      </c>
      <c r="P1707" s="20">
        <v>0.0</v>
      </c>
      <c r="Q1707" s="20">
        <v>0.0</v>
      </c>
      <c r="R1707" s="20">
        <v>0.0</v>
      </c>
      <c r="S1707" s="20">
        <v>0.0</v>
      </c>
      <c r="T1707" s="20">
        <v>0.0</v>
      </c>
      <c r="U1707" s="20">
        <v>0.0</v>
      </c>
    </row>
    <row r="1708" ht="23.25" customHeight="1">
      <c r="A1708" s="17" t="str">
        <f>IF(COUNTIF('Icon Lookup'!C:C,B1708)&gt;0,LOOKUP(B1708,'Icon Lookup'!C:C,'Icon Lookup'!B:B),"")</f>
        <v/>
      </c>
      <c r="B1708" s="18" t="s">
        <v>398</v>
      </c>
      <c r="C1708" s="17" t="s">
        <v>17</v>
      </c>
      <c r="D1708" s="17">
        <v>58.0</v>
      </c>
      <c r="E1708" s="17" t="s">
        <v>677</v>
      </c>
      <c r="G1708" s="19"/>
      <c r="H1708" s="20" t="s">
        <v>2185</v>
      </c>
      <c r="I1708" s="17" t="s">
        <v>40</v>
      </c>
      <c r="J1708" s="17">
        <v>0.0</v>
      </c>
      <c r="K1708" s="17">
        <v>0.0</v>
      </c>
      <c r="L1708" s="17">
        <v>0.0</v>
      </c>
      <c r="M1708" s="17">
        <v>0.0</v>
      </c>
      <c r="N1708" s="17">
        <v>0.0</v>
      </c>
      <c r="O1708" s="17">
        <v>0.0</v>
      </c>
      <c r="P1708" s="17">
        <v>0.0</v>
      </c>
      <c r="Q1708" s="17">
        <v>0.0</v>
      </c>
      <c r="R1708" s="17">
        <v>0.0</v>
      </c>
      <c r="S1708" s="17">
        <v>0.0</v>
      </c>
      <c r="T1708" s="17">
        <v>0.0</v>
      </c>
      <c r="U1708" s="17">
        <v>0.0</v>
      </c>
    </row>
    <row r="1709" ht="23.25" customHeight="1">
      <c r="A1709" s="20" t="str">
        <f>IF(COUNTIF('Icon Lookup'!C:C,B1709)&gt;0,LOOKUP(B1709,'Icon Lookup'!C:C,'Icon Lookup'!B:B),"")</f>
        <v/>
      </c>
      <c r="B1709" s="21" t="s">
        <v>273</v>
      </c>
      <c r="C1709" s="20" t="s">
        <v>17</v>
      </c>
      <c r="D1709" s="20">
        <v>56.0</v>
      </c>
      <c r="E1709" s="20" t="s">
        <v>38</v>
      </c>
      <c r="G1709" s="22"/>
      <c r="H1709" s="23" t="s">
        <v>2188</v>
      </c>
      <c r="I1709" s="20" t="s">
        <v>46</v>
      </c>
      <c r="J1709" s="20">
        <v>0.0</v>
      </c>
      <c r="K1709" s="20">
        <v>0.0</v>
      </c>
      <c r="L1709" s="20">
        <v>0.0</v>
      </c>
      <c r="M1709" s="20">
        <v>0.0</v>
      </c>
      <c r="N1709" s="20">
        <v>0.0</v>
      </c>
      <c r="O1709" s="20">
        <v>0.0</v>
      </c>
      <c r="P1709" s="20">
        <v>0.0</v>
      </c>
      <c r="Q1709" s="20">
        <v>0.0</v>
      </c>
      <c r="R1709" s="20">
        <v>0.0</v>
      </c>
      <c r="S1709" s="20">
        <v>0.0</v>
      </c>
      <c r="T1709" s="20">
        <v>0.0</v>
      </c>
      <c r="U1709" s="20">
        <v>0.0</v>
      </c>
    </row>
    <row r="1710" ht="23.25" customHeight="1">
      <c r="A1710" s="1" t="str">
        <f>IF(COUNTIF('Icon Lookup'!C:C,B1710)&gt;0,LOOKUP(B1710,'Icon Lookup'!C:C,'Icon Lookup'!B:B),"")</f>
        <v/>
      </c>
      <c r="B1710" s="15" t="s">
        <v>2189</v>
      </c>
      <c r="C1710" s="1" t="s">
        <v>17</v>
      </c>
      <c r="D1710" s="1" t="s">
        <v>109</v>
      </c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</row>
    <row r="1711" ht="23.25" customHeight="1">
      <c r="A1711" s="17" t="str">
        <f>IF(COUNTIF('Icon Lookup'!C:C,B1711)&gt;0,LOOKUP(B1711,'Icon Lookup'!C:C,'Icon Lookup'!B:B),"")</f>
        <v/>
      </c>
      <c r="B1711" s="18" t="s">
        <v>515</v>
      </c>
      <c r="C1711" s="17" t="s">
        <v>17</v>
      </c>
      <c r="D1711" s="17">
        <v>31.0</v>
      </c>
      <c r="E1711" s="17" t="s">
        <v>111</v>
      </c>
      <c r="G1711" s="19"/>
      <c r="H1711" s="20" t="s">
        <v>361</v>
      </c>
      <c r="I1711" s="17" t="s">
        <v>22</v>
      </c>
      <c r="J1711" s="17">
        <v>0.0</v>
      </c>
      <c r="K1711" s="17">
        <v>0.0</v>
      </c>
      <c r="L1711" s="17">
        <v>0.0</v>
      </c>
      <c r="M1711" s="17">
        <v>0.0</v>
      </c>
      <c r="N1711" s="17">
        <v>0.0</v>
      </c>
      <c r="O1711" s="17">
        <v>0.0</v>
      </c>
      <c r="P1711" s="17">
        <v>0.0</v>
      </c>
      <c r="Q1711" s="17">
        <v>0.0</v>
      </c>
      <c r="R1711" s="17">
        <v>0.0</v>
      </c>
      <c r="S1711" s="17">
        <v>0.0</v>
      </c>
      <c r="T1711" s="17">
        <v>0.0</v>
      </c>
      <c r="U1711" s="17">
        <v>0.0</v>
      </c>
    </row>
    <row r="1712" ht="23.25" customHeight="1">
      <c r="A1712" s="1" t="str">
        <f>IF(COUNTIF('Icon Lookup'!C:C,B1712)&gt;0,LOOKUP(B1712,'Icon Lookup'!C:C,'Icon Lookup'!B:B),"")</f>
        <v/>
      </c>
      <c r="B1712" s="15" t="s">
        <v>2190</v>
      </c>
      <c r="C1712" s="1" t="s">
        <v>17</v>
      </c>
      <c r="D1712" s="1" t="s">
        <v>109</v>
      </c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</row>
    <row r="1713" ht="23.25" customHeight="1">
      <c r="A1713" s="20" t="str">
        <f>IF(COUNTIF('Icon Lookup'!C:C,B1713)&gt;0,LOOKUP(B1713,'Icon Lookup'!C:C,'Icon Lookup'!B:B),"")</f>
        <v/>
      </c>
      <c r="B1713" s="21" t="s">
        <v>515</v>
      </c>
      <c r="C1713" s="20" t="s">
        <v>17</v>
      </c>
      <c r="D1713" s="20">
        <v>55.0</v>
      </c>
      <c r="E1713" s="20" t="s">
        <v>111</v>
      </c>
      <c r="G1713" s="22"/>
      <c r="H1713" s="23" t="s">
        <v>2191</v>
      </c>
      <c r="I1713" s="20" t="s">
        <v>22</v>
      </c>
      <c r="J1713" s="20">
        <v>0.0</v>
      </c>
      <c r="K1713" s="20">
        <v>0.0</v>
      </c>
      <c r="L1713" s="20">
        <v>0.0</v>
      </c>
      <c r="M1713" s="20">
        <v>0.0</v>
      </c>
      <c r="N1713" s="20">
        <v>0.0</v>
      </c>
      <c r="O1713" s="20">
        <v>0.0</v>
      </c>
      <c r="P1713" s="20">
        <v>0.0</v>
      </c>
      <c r="Q1713" s="20">
        <v>0.0</v>
      </c>
      <c r="R1713" s="20">
        <v>0.0</v>
      </c>
      <c r="S1713" s="20">
        <v>0.0</v>
      </c>
      <c r="T1713" s="20">
        <v>0.0</v>
      </c>
      <c r="U1713" s="20">
        <v>0.0</v>
      </c>
    </row>
    <row r="1714" ht="23.25" customHeight="1">
      <c r="A1714" s="1" t="str">
        <f>IF(COUNTIF('Icon Lookup'!C:C,B1714)&gt;0,LOOKUP(B1714,'Icon Lookup'!C:C,'Icon Lookup'!B:B),"")</f>
        <v/>
      </c>
      <c r="B1714" s="15" t="s">
        <v>2192</v>
      </c>
      <c r="C1714" s="1" t="s">
        <v>17</v>
      </c>
      <c r="D1714" s="1" t="s">
        <v>548</v>
      </c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</row>
    <row r="1715" ht="23.25" customHeight="1">
      <c r="A1715" s="17" t="str">
        <f>IF(COUNTIF('Icon Lookup'!C:C,B1715)&gt;0,LOOKUP(B1715,'Icon Lookup'!C:C,'Icon Lookup'!B:B),"")</f>
        <v/>
      </c>
      <c r="B1715" s="18" t="s">
        <v>190</v>
      </c>
      <c r="C1715" s="17" t="s">
        <v>17</v>
      </c>
      <c r="D1715" s="17">
        <v>53.0</v>
      </c>
      <c r="E1715" s="17" t="s">
        <v>26</v>
      </c>
      <c r="G1715" s="19"/>
      <c r="H1715" s="20" t="s">
        <v>2193</v>
      </c>
      <c r="I1715" s="17" t="s">
        <v>52</v>
      </c>
      <c r="J1715" s="17">
        <v>0.0</v>
      </c>
      <c r="K1715" s="17">
        <v>0.0</v>
      </c>
      <c r="L1715" s="17">
        <v>0.0</v>
      </c>
      <c r="M1715" s="17">
        <v>0.0</v>
      </c>
      <c r="N1715" s="17">
        <v>0.0</v>
      </c>
      <c r="O1715" s="17">
        <v>0.0</v>
      </c>
      <c r="P1715" s="17">
        <v>0.0</v>
      </c>
      <c r="Q1715" s="17">
        <v>0.0</v>
      </c>
      <c r="R1715" s="17">
        <v>0.0</v>
      </c>
      <c r="S1715" s="17">
        <v>0.0</v>
      </c>
      <c r="T1715" s="17">
        <v>0.0</v>
      </c>
      <c r="U1715" s="17">
        <v>0.0</v>
      </c>
    </row>
    <row r="1716" ht="23.25" customHeight="1">
      <c r="A1716" s="20" t="str">
        <f>IF(COUNTIF('Icon Lookup'!C:C,B1716)&gt;0,LOOKUP(B1716,'Icon Lookup'!C:C,'Icon Lookup'!B:B),"")</f>
        <v/>
      </c>
      <c r="B1716" s="21" t="s">
        <v>190</v>
      </c>
      <c r="C1716" s="20" t="s">
        <v>17</v>
      </c>
      <c r="D1716" s="20">
        <v>53.0</v>
      </c>
      <c r="E1716" s="20" t="s">
        <v>26</v>
      </c>
      <c r="G1716" s="22"/>
      <c r="H1716" s="23" t="s">
        <v>613</v>
      </c>
      <c r="I1716" s="20" t="s">
        <v>550</v>
      </c>
      <c r="J1716" s="20">
        <v>0.0</v>
      </c>
      <c r="K1716" s="20">
        <v>0.0</v>
      </c>
      <c r="L1716" s="20">
        <v>0.0</v>
      </c>
      <c r="M1716" s="20">
        <v>0.0</v>
      </c>
      <c r="N1716" s="20">
        <v>0.0</v>
      </c>
      <c r="O1716" s="20">
        <v>0.0</v>
      </c>
      <c r="P1716" s="20">
        <v>0.0</v>
      </c>
      <c r="Q1716" s="20">
        <v>0.0</v>
      </c>
      <c r="R1716" s="20">
        <v>0.0</v>
      </c>
      <c r="S1716" s="20">
        <v>0.0</v>
      </c>
      <c r="T1716" s="20">
        <v>0.0</v>
      </c>
      <c r="U1716" s="20">
        <v>0.0</v>
      </c>
    </row>
    <row r="1717" ht="23.25" customHeight="1">
      <c r="A1717" s="1" t="str">
        <f>IF(COUNTIF('Icon Lookup'!C:C,B1717)&gt;0,LOOKUP(B1717,'Icon Lookup'!C:C,'Icon Lookup'!B:B),"")</f>
        <v/>
      </c>
      <c r="B1717" s="15" t="s">
        <v>2194</v>
      </c>
      <c r="C1717" s="1" t="s">
        <v>17</v>
      </c>
      <c r="D1717" s="1" t="s">
        <v>611</v>
      </c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</row>
    <row r="1718" ht="23.25" customHeight="1">
      <c r="A1718" s="17" t="str">
        <f>IF(COUNTIF('Icon Lookup'!C:C,B1718)&gt;0,LOOKUP(B1718,'Icon Lookup'!C:C,'Icon Lookup'!B:B),"")</f>
        <v/>
      </c>
      <c r="B1718" s="18" t="s">
        <v>190</v>
      </c>
      <c r="C1718" s="17" t="s">
        <v>17</v>
      </c>
      <c r="D1718" s="17">
        <v>53.0</v>
      </c>
      <c r="E1718" s="17" t="s">
        <v>26</v>
      </c>
      <c r="G1718" s="19"/>
      <c r="H1718" s="20" t="s">
        <v>2195</v>
      </c>
      <c r="I1718" s="17" t="s">
        <v>612</v>
      </c>
      <c r="J1718" s="17">
        <v>0.0</v>
      </c>
      <c r="K1718" s="17">
        <v>0.0</v>
      </c>
      <c r="L1718" s="17">
        <v>0.0</v>
      </c>
      <c r="M1718" s="17">
        <v>0.0</v>
      </c>
      <c r="N1718" s="17">
        <v>0.0</v>
      </c>
      <c r="O1718" s="17">
        <v>0.0</v>
      </c>
      <c r="P1718" s="17">
        <v>0.0</v>
      </c>
      <c r="Q1718" s="17">
        <v>0.0</v>
      </c>
      <c r="R1718" s="17">
        <v>0.0</v>
      </c>
      <c r="S1718" s="17">
        <v>0.0</v>
      </c>
      <c r="T1718" s="17">
        <v>0.0</v>
      </c>
      <c r="U1718" s="17">
        <v>0.0</v>
      </c>
    </row>
    <row r="1719" ht="23.25" customHeight="1">
      <c r="A1719" s="20" t="str">
        <f>IF(COUNTIF('Icon Lookup'!C:C,B1719)&gt;0,LOOKUP(B1719,'Icon Lookup'!C:C,'Icon Lookup'!B:B),"")</f>
        <v/>
      </c>
      <c r="B1719" s="21" t="s">
        <v>190</v>
      </c>
      <c r="C1719" s="20" t="s">
        <v>17</v>
      </c>
      <c r="D1719" s="20">
        <v>53.0</v>
      </c>
      <c r="E1719" s="20" t="s">
        <v>26</v>
      </c>
      <c r="G1719" s="22"/>
      <c r="H1719" s="23" t="s">
        <v>613</v>
      </c>
      <c r="I1719" s="20" t="s">
        <v>550</v>
      </c>
      <c r="J1719" s="20">
        <v>0.0</v>
      </c>
      <c r="K1719" s="20">
        <v>0.0</v>
      </c>
      <c r="L1719" s="20">
        <v>0.0</v>
      </c>
      <c r="M1719" s="20">
        <v>0.0</v>
      </c>
      <c r="N1719" s="20">
        <v>0.0</v>
      </c>
      <c r="O1719" s="20">
        <v>0.0</v>
      </c>
      <c r="P1719" s="20">
        <v>0.0</v>
      </c>
      <c r="Q1719" s="20">
        <v>0.0</v>
      </c>
      <c r="R1719" s="20">
        <v>0.0</v>
      </c>
      <c r="S1719" s="20">
        <v>0.0</v>
      </c>
      <c r="T1719" s="20">
        <v>0.0</v>
      </c>
      <c r="U1719" s="20">
        <v>0.0</v>
      </c>
    </row>
    <row r="1720" ht="23.25" customHeight="1">
      <c r="A1720" s="1" t="str">
        <f>IF(COUNTIF('Icon Lookup'!C:C,B1720)&gt;0,LOOKUP(B1720,'Icon Lookup'!C:C,'Icon Lookup'!B:B),"")</f>
        <v/>
      </c>
      <c r="B1720" s="15" t="s">
        <v>2196</v>
      </c>
      <c r="C1720" s="1" t="s">
        <v>17</v>
      </c>
      <c r="D1720" s="1" t="s">
        <v>249</v>
      </c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</row>
    <row r="1721" ht="23.25" customHeight="1">
      <c r="A1721" s="17" t="str">
        <f>IF(COUNTIF('Icon Lookup'!C:C,B1721)&gt;0,LOOKUP(B1721,'Icon Lookup'!C:C,'Icon Lookup'!B:B),"")</f>
        <v/>
      </c>
      <c r="B1721" s="18" t="s">
        <v>136</v>
      </c>
      <c r="C1721" s="17" t="s">
        <v>17</v>
      </c>
      <c r="D1721" s="17">
        <v>40.0</v>
      </c>
      <c r="E1721" s="17" t="s">
        <v>137</v>
      </c>
      <c r="G1721" s="19"/>
      <c r="H1721" s="20" t="s">
        <v>2197</v>
      </c>
      <c r="I1721" s="17" t="s">
        <v>52</v>
      </c>
      <c r="J1721" s="17">
        <v>0.0</v>
      </c>
      <c r="K1721" s="17">
        <v>0.0</v>
      </c>
      <c r="L1721" s="17">
        <v>0.0</v>
      </c>
      <c r="M1721" s="17">
        <v>0.0</v>
      </c>
      <c r="N1721" s="17">
        <v>0.0</v>
      </c>
      <c r="O1721" s="17">
        <v>0.0</v>
      </c>
      <c r="P1721" s="17">
        <v>0.0</v>
      </c>
      <c r="Q1721" s="17">
        <v>0.0</v>
      </c>
      <c r="R1721" s="17">
        <v>0.0</v>
      </c>
      <c r="S1721" s="17">
        <v>0.0</v>
      </c>
      <c r="T1721" s="17">
        <v>0.0</v>
      </c>
      <c r="U1721" s="17">
        <v>0.0</v>
      </c>
    </row>
    <row r="1722" ht="23.25" customHeight="1">
      <c r="A1722" s="1" t="str">
        <f>IF(COUNTIF('Icon Lookup'!C:C,B1722)&gt;0,LOOKUP(B1722,'Icon Lookup'!C:C,'Icon Lookup'!B:B),"")</f>
        <v/>
      </c>
      <c r="B1722" s="15" t="s">
        <v>2198</v>
      </c>
      <c r="C1722" s="1" t="s">
        <v>17</v>
      </c>
      <c r="D1722" s="1" t="s">
        <v>252</v>
      </c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</row>
    <row r="1723" ht="23.25" customHeight="1">
      <c r="A1723" s="20" t="str">
        <f>IF(COUNTIF('Icon Lookup'!C:C,B1723)&gt;0,LOOKUP(B1723,'Icon Lookup'!C:C,'Icon Lookup'!B:B),"")</f>
        <v/>
      </c>
      <c r="B1723" s="21" t="s">
        <v>245</v>
      </c>
      <c r="C1723" s="20" t="s">
        <v>17</v>
      </c>
      <c r="D1723" s="20">
        <v>40.0</v>
      </c>
      <c r="E1723" s="20" t="s">
        <v>253</v>
      </c>
      <c r="G1723" s="22"/>
      <c r="H1723" s="23" t="s">
        <v>2199</v>
      </c>
      <c r="I1723" s="20" t="s">
        <v>52</v>
      </c>
      <c r="J1723" s="20">
        <v>0.0</v>
      </c>
      <c r="K1723" s="20">
        <v>0.0</v>
      </c>
      <c r="L1723" s="20">
        <v>0.0</v>
      </c>
      <c r="M1723" s="20">
        <v>0.0</v>
      </c>
      <c r="N1723" s="20">
        <v>0.0</v>
      </c>
      <c r="O1723" s="20">
        <v>0.0</v>
      </c>
      <c r="P1723" s="20">
        <v>0.0</v>
      </c>
      <c r="Q1723" s="20">
        <v>0.0</v>
      </c>
      <c r="R1723" s="20">
        <v>0.0</v>
      </c>
      <c r="S1723" s="20">
        <v>0.0</v>
      </c>
      <c r="T1723" s="20">
        <v>0.0</v>
      </c>
      <c r="U1723" s="20">
        <v>0.0</v>
      </c>
    </row>
    <row r="1724" ht="23.25" customHeight="1">
      <c r="A1724" s="1" t="str">
        <f>IF(COUNTIF('Icon Lookup'!C:C,B1724)&gt;0,LOOKUP(B1724,'Icon Lookup'!C:C,'Icon Lookup'!B:B),"")</f>
        <v/>
      </c>
      <c r="B1724" s="15" t="s">
        <v>2200</v>
      </c>
      <c r="C1724" s="1" t="s">
        <v>17</v>
      </c>
      <c r="D1724" s="1" t="s">
        <v>249</v>
      </c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</row>
    <row r="1725" ht="23.25" customHeight="1">
      <c r="A1725" s="17" t="str">
        <f>IF(COUNTIF('Icon Lookup'!C:C,B1725)&gt;0,LOOKUP(B1725,'Icon Lookup'!C:C,'Icon Lookup'!B:B),"")</f>
        <v/>
      </c>
      <c r="B1725" s="18" t="s">
        <v>311</v>
      </c>
      <c r="C1725" s="17" t="s">
        <v>17</v>
      </c>
      <c r="D1725" s="17">
        <v>60.0</v>
      </c>
      <c r="E1725" s="17" t="s">
        <v>137</v>
      </c>
      <c r="G1725" s="19"/>
      <c r="H1725" s="20" t="s">
        <v>2201</v>
      </c>
      <c r="I1725" s="17" t="s">
        <v>52</v>
      </c>
      <c r="J1725" s="17">
        <v>0.0</v>
      </c>
      <c r="K1725" s="17">
        <v>0.0</v>
      </c>
      <c r="L1725" s="17">
        <v>0.0</v>
      </c>
      <c r="M1725" s="17">
        <v>0.0</v>
      </c>
      <c r="N1725" s="17">
        <v>0.0</v>
      </c>
      <c r="O1725" s="17">
        <v>0.0</v>
      </c>
      <c r="P1725" s="17">
        <v>0.0</v>
      </c>
      <c r="Q1725" s="17">
        <v>0.0</v>
      </c>
      <c r="R1725" s="17">
        <v>0.0</v>
      </c>
      <c r="S1725" s="17">
        <v>0.0</v>
      </c>
      <c r="T1725" s="17">
        <v>0.0</v>
      </c>
      <c r="U1725" s="17">
        <v>0.0</v>
      </c>
    </row>
    <row r="1726" ht="23.25" customHeight="1">
      <c r="A1726" s="1" t="str">
        <f>IF(COUNTIF('Icon Lookup'!C:C,B1726)&gt;0,LOOKUP(B1726,'Icon Lookup'!C:C,'Icon Lookup'!B:B),"")</f>
        <v/>
      </c>
      <c r="B1726" s="15" t="s">
        <v>2202</v>
      </c>
      <c r="C1726" s="1" t="s">
        <v>17</v>
      </c>
      <c r="D1726" s="1" t="s">
        <v>252</v>
      </c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</row>
    <row r="1727" ht="23.25" customHeight="1">
      <c r="A1727" s="20" t="str">
        <f>IF(COUNTIF('Icon Lookup'!C:C,B1727)&gt;0,LOOKUP(B1727,'Icon Lookup'!C:C,'Icon Lookup'!B:B),"")</f>
        <v/>
      </c>
      <c r="B1727" s="21" t="s">
        <v>728</v>
      </c>
      <c r="C1727" s="20" t="s">
        <v>17</v>
      </c>
      <c r="D1727" s="20">
        <v>60.0</v>
      </c>
      <c r="E1727" s="20" t="s">
        <v>253</v>
      </c>
      <c r="G1727" s="22"/>
      <c r="H1727" s="23" t="s">
        <v>2203</v>
      </c>
      <c r="I1727" s="20" t="s">
        <v>52</v>
      </c>
      <c r="J1727" s="20">
        <v>0.0</v>
      </c>
      <c r="K1727" s="20">
        <v>0.0</v>
      </c>
      <c r="L1727" s="20">
        <v>0.0</v>
      </c>
      <c r="M1727" s="20">
        <v>0.0</v>
      </c>
      <c r="N1727" s="20">
        <v>0.0</v>
      </c>
      <c r="O1727" s="20">
        <v>0.0</v>
      </c>
      <c r="P1727" s="20">
        <v>0.0</v>
      </c>
      <c r="Q1727" s="20">
        <v>0.0</v>
      </c>
      <c r="R1727" s="20">
        <v>0.0</v>
      </c>
      <c r="S1727" s="20">
        <v>0.0</v>
      </c>
      <c r="T1727" s="20">
        <v>0.0</v>
      </c>
      <c r="U1727" s="20">
        <v>0.0</v>
      </c>
    </row>
    <row r="1728" ht="23.25" customHeight="1">
      <c r="A1728" s="1" t="str">
        <f>IF(COUNTIF('Icon Lookup'!C:C,B1728)&gt;0,LOOKUP(B1728,'Icon Lookup'!C:C,'Icon Lookup'!B:B),"")</f>
        <v/>
      </c>
      <c r="B1728" s="15" t="s">
        <v>2204</v>
      </c>
      <c r="C1728" s="1" t="s">
        <v>17</v>
      </c>
      <c r="D1728" s="1" t="s">
        <v>452</v>
      </c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</row>
    <row r="1729" ht="23.25" customHeight="1">
      <c r="A1729" s="17" t="str">
        <f>IF(COUNTIF('Icon Lookup'!C:C,B1729)&gt;0,LOOKUP(B1729,'Icon Lookup'!C:C,'Icon Lookup'!B:B),"")</f>
        <v/>
      </c>
      <c r="B1729" s="18" t="s">
        <v>110</v>
      </c>
      <c r="C1729" s="17" t="s">
        <v>17</v>
      </c>
      <c r="D1729" s="17">
        <v>36.0</v>
      </c>
      <c r="E1729" s="17" t="s">
        <v>111</v>
      </c>
      <c r="G1729" s="19"/>
      <c r="H1729" s="20" t="s">
        <v>112</v>
      </c>
      <c r="I1729" s="17" t="s">
        <v>52</v>
      </c>
      <c r="J1729" s="17">
        <v>0.0</v>
      </c>
      <c r="K1729" s="17">
        <v>0.0</v>
      </c>
      <c r="L1729" s="17">
        <v>0.0</v>
      </c>
      <c r="M1729" s="17">
        <v>0.0</v>
      </c>
      <c r="N1729" s="17">
        <v>0.0</v>
      </c>
      <c r="O1729" s="17">
        <v>0.0</v>
      </c>
      <c r="P1729" s="17">
        <v>0.0</v>
      </c>
      <c r="Q1729" s="17">
        <v>0.0</v>
      </c>
      <c r="R1729" s="17">
        <v>0.0</v>
      </c>
      <c r="S1729" s="17">
        <v>0.0</v>
      </c>
      <c r="T1729" s="17">
        <v>0.0</v>
      </c>
      <c r="U1729" s="17">
        <v>0.0</v>
      </c>
    </row>
    <row r="1730" ht="23.25" customHeight="1">
      <c r="A1730" s="20" t="str">
        <f>IF(COUNTIF('Icon Lookup'!C:C,B1730)&gt;0,LOOKUP(B1730,'Icon Lookup'!C:C,'Icon Lookup'!B:B),"")</f>
        <v/>
      </c>
      <c r="B1730" s="21" t="s">
        <v>515</v>
      </c>
      <c r="C1730" s="20" t="s">
        <v>17</v>
      </c>
      <c r="D1730" s="20">
        <v>37.0</v>
      </c>
      <c r="E1730" s="20" t="s">
        <v>111</v>
      </c>
      <c r="G1730" s="22"/>
      <c r="H1730" s="23" t="s">
        <v>2205</v>
      </c>
      <c r="I1730" s="20" t="s">
        <v>22</v>
      </c>
      <c r="J1730" s="20">
        <v>0.0</v>
      </c>
      <c r="K1730" s="20">
        <v>0.0</v>
      </c>
      <c r="L1730" s="20">
        <v>0.0</v>
      </c>
      <c r="M1730" s="20">
        <v>0.0</v>
      </c>
      <c r="N1730" s="20">
        <v>0.0</v>
      </c>
      <c r="O1730" s="20">
        <v>0.0</v>
      </c>
      <c r="P1730" s="20">
        <v>0.0</v>
      </c>
      <c r="Q1730" s="20">
        <v>0.0</v>
      </c>
      <c r="R1730" s="20">
        <v>0.0</v>
      </c>
      <c r="S1730" s="20">
        <v>0.0</v>
      </c>
      <c r="T1730" s="20">
        <v>0.0</v>
      </c>
      <c r="U1730" s="20">
        <v>0.0</v>
      </c>
    </row>
    <row r="1731" ht="23.25" customHeight="1">
      <c r="A1731" s="17" t="str">
        <f>IF(COUNTIF('Icon Lookup'!C:C,B1731)&gt;0,LOOKUP(B1731,'Icon Lookup'!C:C,'Icon Lookup'!B:B),"")</f>
        <v/>
      </c>
      <c r="B1731" s="18" t="s">
        <v>515</v>
      </c>
      <c r="C1731" s="17" t="s">
        <v>17</v>
      </c>
      <c r="D1731" s="17">
        <v>38.0</v>
      </c>
      <c r="E1731" s="17" t="s">
        <v>111</v>
      </c>
      <c r="G1731" s="19"/>
      <c r="H1731" s="20" t="s">
        <v>2206</v>
      </c>
      <c r="I1731" s="17" t="s">
        <v>22</v>
      </c>
      <c r="J1731" s="17">
        <v>0.0</v>
      </c>
      <c r="K1731" s="17">
        <v>0.0</v>
      </c>
      <c r="L1731" s="17">
        <v>0.0</v>
      </c>
      <c r="M1731" s="17">
        <v>0.0</v>
      </c>
      <c r="N1731" s="17">
        <v>0.0</v>
      </c>
      <c r="O1731" s="17">
        <v>0.0</v>
      </c>
      <c r="P1731" s="17">
        <v>0.0</v>
      </c>
      <c r="Q1731" s="17">
        <v>0.0</v>
      </c>
      <c r="R1731" s="17">
        <v>0.0</v>
      </c>
      <c r="S1731" s="17">
        <v>0.0</v>
      </c>
      <c r="T1731" s="17">
        <v>0.0</v>
      </c>
      <c r="U1731" s="17">
        <v>0.0</v>
      </c>
    </row>
    <row r="1732" ht="23.25" customHeight="1">
      <c r="A1732" s="1" t="str">
        <f>IF(COUNTIF('Icon Lookup'!C:C,B1732)&gt;0,LOOKUP(B1732,'Icon Lookup'!C:C,'Icon Lookup'!B:B),"")</f>
        <v/>
      </c>
      <c r="B1732" s="15" t="s">
        <v>2207</v>
      </c>
      <c r="C1732" s="1" t="s">
        <v>17</v>
      </c>
      <c r="D1732" s="1" t="s">
        <v>452</v>
      </c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</row>
    <row r="1733" ht="23.25" customHeight="1">
      <c r="A1733" s="20" t="str">
        <f>IF(COUNTIF('Icon Lookup'!C:C,B1733)&gt;0,LOOKUP(B1733,'Icon Lookup'!C:C,'Icon Lookup'!B:B),"")</f>
        <v/>
      </c>
      <c r="B1733" s="21" t="s">
        <v>515</v>
      </c>
      <c r="C1733" s="20" t="s">
        <v>17</v>
      </c>
      <c r="D1733" s="20">
        <v>56.0</v>
      </c>
      <c r="E1733" s="20" t="s">
        <v>111</v>
      </c>
      <c r="G1733" s="22"/>
      <c r="H1733" s="23" t="s">
        <v>2208</v>
      </c>
      <c r="I1733" s="20" t="s">
        <v>52</v>
      </c>
      <c r="J1733" s="20">
        <v>0.0</v>
      </c>
      <c r="K1733" s="20">
        <v>0.0</v>
      </c>
      <c r="L1733" s="20">
        <v>0.0</v>
      </c>
      <c r="M1733" s="20">
        <v>0.0</v>
      </c>
      <c r="N1733" s="20">
        <v>0.0</v>
      </c>
      <c r="O1733" s="20">
        <v>0.0</v>
      </c>
      <c r="P1733" s="20">
        <v>0.0</v>
      </c>
      <c r="Q1733" s="20">
        <v>0.0</v>
      </c>
      <c r="R1733" s="20">
        <v>0.0</v>
      </c>
      <c r="S1733" s="20">
        <v>0.0</v>
      </c>
      <c r="T1733" s="20">
        <v>0.0</v>
      </c>
      <c r="U1733" s="20">
        <v>0.0</v>
      </c>
    </row>
    <row r="1734" ht="23.25" customHeight="1">
      <c r="A1734" s="17" t="str">
        <f>IF(COUNTIF('Icon Lookup'!C:C,B1734)&gt;0,LOOKUP(B1734,'Icon Lookup'!C:C,'Icon Lookup'!B:B),"")</f>
        <v/>
      </c>
      <c r="B1734" s="18" t="s">
        <v>515</v>
      </c>
      <c r="C1734" s="17" t="s">
        <v>17</v>
      </c>
      <c r="D1734" s="17">
        <v>57.0</v>
      </c>
      <c r="E1734" s="17" t="s">
        <v>111</v>
      </c>
      <c r="G1734" s="19"/>
      <c r="H1734" s="20" t="s">
        <v>2209</v>
      </c>
      <c r="I1734" s="17" t="s">
        <v>22</v>
      </c>
      <c r="J1734" s="17">
        <v>0.0</v>
      </c>
      <c r="K1734" s="17">
        <v>0.0</v>
      </c>
      <c r="L1734" s="17">
        <v>0.0</v>
      </c>
      <c r="M1734" s="17">
        <v>0.0</v>
      </c>
      <c r="N1734" s="17">
        <v>0.0</v>
      </c>
      <c r="O1734" s="17">
        <v>0.0</v>
      </c>
      <c r="P1734" s="17">
        <v>0.0</v>
      </c>
      <c r="Q1734" s="17">
        <v>0.0</v>
      </c>
      <c r="R1734" s="17">
        <v>0.0</v>
      </c>
      <c r="S1734" s="17">
        <v>0.0</v>
      </c>
      <c r="T1734" s="17">
        <v>0.0</v>
      </c>
      <c r="U1734" s="17">
        <v>0.0</v>
      </c>
    </row>
    <row r="1735" ht="23.25" customHeight="1">
      <c r="A1735" s="20" t="str">
        <f>IF(COUNTIF('Icon Lookup'!C:C,B1735)&gt;0,LOOKUP(B1735,'Icon Lookup'!C:C,'Icon Lookup'!B:B),"")</f>
        <v/>
      </c>
      <c r="B1735" s="21" t="s">
        <v>515</v>
      </c>
      <c r="C1735" s="20" t="s">
        <v>17</v>
      </c>
      <c r="D1735" s="20">
        <v>58.0</v>
      </c>
      <c r="E1735" s="20" t="s">
        <v>111</v>
      </c>
      <c r="G1735" s="22"/>
      <c r="H1735" s="23" t="s">
        <v>2210</v>
      </c>
      <c r="I1735" s="20" t="s">
        <v>22</v>
      </c>
      <c r="J1735" s="20">
        <v>0.0</v>
      </c>
      <c r="K1735" s="20">
        <v>0.0</v>
      </c>
      <c r="L1735" s="20">
        <v>0.0</v>
      </c>
      <c r="M1735" s="20">
        <v>0.0</v>
      </c>
      <c r="N1735" s="20">
        <v>0.0</v>
      </c>
      <c r="O1735" s="20">
        <v>0.0</v>
      </c>
      <c r="P1735" s="20">
        <v>0.0</v>
      </c>
      <c r="Q1735" s="20">
        <v>0.0</v>
      </c>
      <c r="R1735" s="20">
        <v>0.0</v>
      </c>
      <c r="S1735" s="20">
        <v>0.0</v>
      </c>
      <c r="T1735" s="20">
        <v>0.0</v>
      </c>
      <c r="U1735" s="20">
        <v>0.0</v>
      </c>
    </row>
    <row r="1736" ht="23.25" customHeight="1">
      <c r="A1736" s="1" t="str">
        <f>IF(COUNTIF('Icon Lookup'!C:C,B1736)&gt;0,LOOKUP(B1736,'Icon Lookup'!C:C,'Icon Lookup'!B:B),"")</f>
        <v/>
      </c>
      <c r="B1736" s="15" t="s">
        <v>2211</v>
      </c>
      <c r="C1736" s="1" t="s">
        <v>17</v>
      </c>
      <c r="D1736" s="1" t="s">
        <v>340</v>
      </c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</row>
    <row r="1737" ht="23.25" customHeight="1">
      <c r="A1737" s="17" t="str">
        <f>IF(COUNTIF('Icon Lookup'!C:C,B1737)&gt;0,LOOKUP(B1737,'Icon Lookup'!C:C,'Icon Lookup'!B:B),"")</f>
        <v/>
      </c>
      <c r="B1737" s="18" t="s">
        <v>341</v>
      </c>
      <c r="C1737" s="17" t="s">
        <v>17</v>
      </c>
      <c r="D1737" s="17">
        <v>31.0</v>
      </c>
      <c r="E1737" s="17" t="s">
        <v>342</v>
      </c>
      <c r="G1737" s="19"/>
      <c r="H1737" s="20" t="s">
        <v>2212</v>
      </c>
      <c r="I1737" s="17" t="s">
        <v>52</v>
      </c>
      <c r="J1737" s="17">
        <v>0.0</v>
      </c>
      <c r="K1737" s="17">
        <v>0.0</v>
      </c>
      <c r="L1737" s="17">
        <v>0.0</v>
      </c>
      <c r="M1737" s="17">
        <v>0.0</v>
      </c>
      <c r="N1737" s="17">
        <v>0.0</v>
      </c>
      <c r="O1737" s="17">
        <v>0.0</v>
      </c>
      <c r="P1737" s="17">
        <v>0.0</v>
      </c>
      <c r="Q1737" s="17">
        <v>0.0</v>
      </c>
      <c r="R1737" s="17">
        <v>0.0</v>
      </c>
      <c r="S1737" s="17">
        <v>0.0</v>
      </c>
      <c r="T1737" s="17">
        <v>0.0</v>
      </c>
      <c r="U1737" s="17">
        <v>0.0</v>
      </c>
    </row>
    <row r="1738" ht="23.25" customHeight="1">
      <c r="A1738" s="1" t="str">
        <f>IF(COUNTIF('Icon Lookup'!C:C,B1738)&gt;0,LOOKUP(B1738,'Icon Lookup'!C:C,'Icon Lookup'!B:B),"")</f>
        <v/>
      </c>
      <c r="B1738" s="15" t="s">
        <v>2213</v>
      </c>
      <c r="C1738" s="1" t="s">
        <v>17</v>
      </c>
      <c r="D1738" s="1" t="s">
        <v>340</v>
      </c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</row>
    <row r="1739" ht="23.25" customHeight="1">
      <c r="A1739" s="20" t="str">
        <f>IF(COUNTIF('Icon Lookup'!C:C,B1739)&gt;0,LOOKUP(B1739,'Icon Lookup'!C:C,'Icon Lookup'!B:B),"")</f>
        <v/>
      </c>
      <c r="B1739" s="21" t="s">
        <v>341</v>
      </c>
      <c r="C1739" s="20" t="s">
        <v>17</v>
      </c>
      <c r="D1739" s="20">
        <v>40.0</v>
      </c>
      <c r="E1739" s="20" t="s">
        <v>342</v>
      </c>
      <c r="G1739" s="22"/>
      <c r="H1739" s="23" t="s">
        <v>2214</v>
      </c>
      <c r="I1739" s="20" t="s">
        <v>52</v>
      </c>
      <c r="J1739" s="20">
        <v>0.0</v>
      </c>
      <c r="K1739" s="20">
        <v>0.0</v>
      </c>
      <c r="L1739" s="20">
        <v>0.0</v>
      </c>
      <c r="M1739" s="20">
        <v>0.0</v>
      </c>
      <c r="N1739" s="20">
        <v>0.0</v>
      </c>
      <c r="O1739" s="20">
        <v>0.0</v>
      </c>
      <c r="P1739" s="20">
        <v>0.0</v>
      </c>
      <c r="Q1739" s="20">
        <v>0.0</v>
      </c>
      <c r="R1739" s="20">
        <v>0.0</v>
      </c>
      <c r="S1739" s="20">
        <v>0.0</v>
      </c>
      <c r="T1739" s="20">
        <v>0.0</v>
      </c>
      <c r="U1739" s="20">
        <v>0.0</v>
      </c>
    </row>
    <row r="1740" ht="23.25" customHeight="1">
      <c r="A1740" s="1" t="str">
        <f>IF(COUNTIF('Icon Lookup'!C:C,B1740)&gt;0,LOOKUP(B1740,'Icon Lookup'!C:C,'Icon Lookup'!B:B),"")</f>
        <v/>
      </c>
      <c r="B1740" s="15" t="s">
        <v>2215</v>
      </c>
      <c r="C1740" s="1" t="s">
        <v>17</v>
      </c>
      <c r="D1740" s="1" t="s">
        <v>340</v>
      </c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</row>
    <row r="1741" ht="23.25" customHeight="1">
      <c r="A1741" s="17" t="str">
        <f>IF(COUNTIF('Icon Lookup'!C:C,B1741)&gt;0,LOOKUP(B1741,'Icon Lookup'!C:C,'Icon Lookup'!B:B),"")</f>
        <v/>
      </c>
      <c r="B1741" s="18" t="s">
        <v>341</v>
      </c>
      <c r="C1741" s="17" t="s">
        <v>17</v>
      </c>
      <c r="D1741" s="17">
        <v>60.0</v>
      </c>
      <c r="E1741" s="17" t="s">
        <v>342</v>
      </c>
      <c r="G1741" s="19"/>
      <c r="H1741" s="20" t="s">
        <v>2216</v>
      </c>
      <c r="I1741" s="17" t="s">
        <v>52</v>
      </c>
      <c r="J1741" s="17">
        <v>0.0</v>
      </c>
      <c r="K1741" s="17">
        <v>0.0</v>
      </c>
      <c r="L1741" s="17">
        <v>0.0</v>
      </c>
      <c r="M1741" s="17">
        <v>0.0</v>
      </c>
      <c r="N1741" s="17">
        <v>0.0</v>
      </c>
      <c r="O1741" s="17">
        <v>0.0</v>
      </c>
      <c r="P1741" s="17">
        <v>0.0</v>
      </c>
      <c r="Q1741" s="17">
        <v>0.0</v>
      </c>
      <c r="R1741" s="17">
        <v>0.0</v>
      </c>
      <c r="S1741" s="17">
        <v>0.0</v>
      </c>
      <c r="T1741" s="17">
        <v>0.0</v>
      </c>
      <c r="U1741" s="17">
        <v>0.0</v>
      </c>
    </row>
    <row r="1742" ht="23.25" customHeight="1">
      <c r="A1742" s="1" t="str">
        <f>IF(COUNTIF('Icon Lookup'!C:C,B1742)&gt;0,LOOKUP(B1742,'Icon Lookup'!C:C,'Icon Lookup'!B:B),"")</f>
        <v/>
      </c>
      <c r="B1742" s="15" t="s">
        <v>2217</v>
      </c>
      <c r="C1742" s="1" t="s">
        <v>17</v>
      </c>
      <c r="D1742" s="1" t="s">
        <v>1051</v>
      </c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</row>
    <row r="1743" ht="23.25" customHeight="1">
      <c r="A1743" s="20" t="str">
        <f>IF(COUNTIF('Icon Lookup'!C:C,B1743)&gt;0,LOOKUP(B1743,'Icon Lookup'!C:C,'Icon Lookup'!B:B),"")</f>
        <v/>
      </c>
      <c r="B1743" s="21" t="s">
        <v>225</v>
      </c>
      <c r="C1743" s="20" t="s">
        <v>17</v>
      </c>
      <c r="D1743" s="20">
        <v>55.0</v>
      </c>
      <c r="E1743" s="20" t="s">
        <v>26</v>
      </c>
      <c r="G1743" s="22"/>
      <c r="H1743" s="23" t="s">
        <v>2142</v>
      </c>
      <c r="I1743" s="20" t="s">
        <v>22</v>
      </c>
      <c r="J1743" s="20">
        <v>0.0</v>
      </c>
      <c r="K1743" s="20">
        <v>0.0</v>
      </c>
      <c r="L1743" s="20">
        <v>0.0</v>
      </c>
      <c r="M1743" s="20">
        <v>0.0</v>
      </c>
      <c r="N1743" s="20">
        <v>0.0</v>
      </c>
      <c r="O1743" s="20">
        <v>0.0</v>
      </c>
      <c r="P1743" s="20">
        <v>0.0</v>
      </c>
      <c r="Q1743" s="20">
        <v>0.0</v>
      </c>
      <c r="R1743" s="20">
        <v>0.0</v>
      </c>
      <c r="S1743" s="20">
        <v>0.0</v>
      </c>
      <c r="T1743" s="20">
        <v>0.0</v>
      </c>
      <c r="U1743" s="20">
        <v>0.0</v>
      </c>
    </row>
    <row r="1744" ht="23.25" customHeight="1">
      <c r="A1744" s="1" t="str">
        <f>IF(COUNTIF('Icon Lookup'!C:C,B1744)&gt;0,LOOKUP(B1744,'Icon Lookup'!C:C,'Icon Lookup'!B:B),"")</f>
        <v/>
      </c>
      <c r="B1744" s="15" t="s">
        <v>2218</v>
      </c>
      <c r="C1744" s="1" t="s">
        <v>17</v>
      </c>
      <c r="D1744" s="1" t="s">
        <v>1433</v>
      </c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</row>
    <row r="1745" ht="23.25" customHeight="1">
      <c r="A1745" s="17" t="str">
        <f>IF(COUNTIF('Icon Lookup'!C:C,B1745)&gt;0,LOOKUP(B1745,'Icon Lookup'!C:C,'Icon Lookup'!B:B),"")</f>
        <v/>
      </c>
      <c r="B1745" s="18" t="s">
        <v>160</v>
      </c>
      <c r="C1745" s="17" t="s">
        <v>17</v>
      </c>
      <c r="D1745" s="17">
        <v>41.0</v>
      </c>
      <c r="E1745" s="17" t="s">
        <v>1434</v>
      </c>
      <c r="G1745" s="19"/>
      <c r="H1745" s="20" t="s">
        <v>1379</v>
      </c>
      <c r="I1745" s="17" t="s">
        <v>89</v>
      </c>
      <c r="J1745" s="17">
        <v>0.0</v>
      </c>
      <c r="K1745" s="17">
        <v>0.0</v>
      </c>
      <c r="L1745" s="17">
        <v>0.0</v>
      </c>
      <c r="M1745" s="17">
        <v>0.0</v>
      </c>
      <c r="N1745" s="17">
        <v>0.0</v>
      </c>
      <c r="O1745" s="17">
        <v>0.0</v>
      </c>
      <c r="P1745" s="17">
        <v>0.0</v>
      </c>
      <c r="Q1745" s="17">
        <v>0.0</v>
      </c>
      <c r="R1745" s="17">
        <v>0.0</v>
      </c>
      <c r="S1745" s="17">
        <v>0.0</v>
      </c>
      <c r="T1745" s="17">
        <v>0.0</v>
      </c>
      <c r="U1745" s="17">
        <v>0.0</v>
      </c>
    </row>
    <row r="1746" ht="23.25" customHeight="1">
      <c r="A1746" s="1" t="str">
        <f>IF(COUNTIF('Icon Lookup'!C:C,B1746)&gt;0,LOOKUP(B1746,'Icon Lookup'!C:C,'Icon Lookup'!B:B),"")</f>
        <v/>
      </c>
      <c r="B1746" s="15" t="s">
        <v>2219</v>
      </c>
      <c r="C1746" s="1" t="s">
        <v>17</v>
      </c>
      <c r="D1746" s="1" t="s">
        <v>1433</v>
      </c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</row>
    <row r="1747" ht="23.25" customHeight="1">
      <c r="A1747" s="20" t="str">
        <f>IF(COUNTIF('Icon Lookup'!C:C,B1747)&gt;0,LOOKUP(B1747,'Icon Lookup'!C:C,'Icon Lookup'!B:B),"")</f>
        <v/>
      </c>
      <c r="B1747" s="21" t="s">
        <v>160</v>
      </c>
      <c r="C1747" s="20" t="s">
        <v>17</v>
      </c>
      <c r="D1747" s="20">
        <v>56.0</v>
      </c>
      <c r="E1747" s="20" t="s">
        <v>1434</v>
      </c>
      <c r="G1747" s="22"/>
      <c r="H1747" s="23" t="s">
        <v>1379</v>
      </c>
      <c r="I1747" s="20" t="s">
        <v>89</v>
      </c>
      <c r="J1747" s="20">
        <v>0.0</v>
      </c>
      <c r="K1747" s="20">
        <v>0.0</v>
      </c>
      <c r="L1747" s="20">
        <v>0.0</v>
      </c>
      <c r="M1747" s="20">
        <v>0.0</v>
      </c>
      <c r="N1747" s="20">
        <v>0.0</v>
      </c>
      <c r="O1747" s="20">
        <v>0.0</v>
      </c>
      <c r="P1747" s="20">
        <v>0.0</v>
      </c>
      <c r="Q1747" s="20">
        <v>0.0</v>
      </c>
      <c r="R1747" s="20">
        <v>0.0</v>
      </c>
      <c r="S1747" s="20">
        <v>0.0</v>
      </c>
      <c r="T1747" s="20">
        <v>0.0</v>
      </c>
      <c r="U1747" s="20">
        <v>0.0</v>
      </c>
    </row>
    <row r="1748" ht="23.25" customHeight="1">
      <c r="A1748" s="1" t="str">
        <f>IF(COUNTIF('Icon Lookup'!C:C,B1748)&gt;0,LOOKUP(B1748,'Icon Lookup'!C:C,'Icon Lookup'!B:B),"")</f>
        <v/>
      </c>
      <c r="B1748" s="15" t="s">
        <v>2220</v>
      </c>
      <c r="C1748" s="1" t="s">
        <v>17</v>
      </c>
      <c r="D1748" s="1" t="s">
        <v>1073</v>
      </c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</row>
    <row r="1749" ht="23.25" customHeight="1">
      <c r="A1749" s="17" t="str">
        <f>IF(COUNTIF('Icon Lookup'!C:C,B1749)&gt;0,LOOKUP(B1749,'Icon Lookup'!C:C,'Icon Lookup'!B:B),"")</f>
        <v/>
      </c>
      <c r="B1749" s="18" t="s">
        <v>225</v>
      </c>
      <c r="C1749" s="17" t="s">
        <v>17</v>
      </c>
      <c r="D1749" s="17">
        <v>36.0</v>
      </c>
      <c r="E1749" s="17" t="s">
        <v>26</v>
      </c>
      <c r="G1749" s="19"/>
      <c r="H1749" s="20" t="s">
        <v>226</v>
      </c>
      <c r="I1749" s="17" t="s">
        <v>22</v>
      </c>
      <c r="J1749" s="17">
        <v>0.0</v>
      </c>
      <c r="K1749" s="17">
        <v>0.0</v>
      </c>
      <c r="L1749" s="17">
        <v>0.0</v>
      </c>
      <c r="M1749" s="17">
        <v>0.0</v>
      </c>
      <c r="N1749" s="17">
        <v>0.0</v>
      </c>
      <c r="O1749" s="17">
        <v>0.0</v>
      </c>
      <c r="P1749" s="17">
        <v>0.0</v>
      </c>
      <c r="Q1749" s="17">
        <v>0.0</v>
      </c>
      <c r="R1749" s="17">
        <v>0.0</v>
      </c>
      <c r="S1749" s="17">
        <v>0.0</v>
      </c>
      <c r="T1749" s="17">
        <v>0.0</v>
      </c>
      <c r="U1749" s="17">
        <v>0.0</v>
      </c>
    </row>
    <row r="1750" ht="23.25" customHeight="1">
      <c r="A1750" s="20" t="str">
        <f>IF(COUNTIF('Icon Lookup'!C:C,B1750)&gt;0,LOOKUP(B1750,'Icon Lookup'!C:C,'Icon Lookup'!B:B),"")</f>
        <v/>
      </c>
      <c r="B1750" s="21" t="s">
        <v>117</v>
      </c>
      <c r="C1750" s="20" t="s">
        <v>17</v>
      </c>
      <c r="D1750" s="20">
        <v>36.0</v>
      </c>
      <c r="E1750" s="20" t="s">
        <v>26</v>
      </c>
      <c r="G1750" s="22"/>
      <c r="H1750" s="23" t="s">
        <v>2117</v>
      </c>
      <c r="I1750" s="20" t="s">
        <v>22</v>
      </c>
      <c r="J1750" s="20">
        <v>0.0</v>
      </c>
      <c r="K1750" s="20">
        <v>0.0</v>
      </c>
      <c r="L1750" s="20">
        <v>0.0</v>
      </c>
      <c r="M1750" s="20">
        <v>0.0</v>
      </c>
      <c r="N1750" s="20">
        <v>0.0</v>
      </c>
      <c r="O1750" s="20">
        <v>0.0</v>
      </c>
      <c r="P1750" s="20">
        <v>0.0</v>
      </c>
      <c r="Q1750" s="20">
        <v>0.0</v>
      </c>
      <c r="R1750" s="20">
        <v>0.0</v>
      </c>
      <c r="S1750" s="20">
        <v>0.0</v>
      </c>
      <c r="T1750" s="20">
        <v>0.0</v>
      </c>
      <c r="U1750" s="20">
        <v>0.0</v>
      </c>
    </row>
    <row r="1751" ht="23.25" customHeight="1">
      <c r="A1751" s="17" t="str">
        <f>IF(COUNTIF('Icon Lookup'!C:C,B1751)&gt;0,LOOKUP(B1751,'Icon Lookup'!C:C,'Icon Lookup'!B:B),"")</f>
        <v/>
      </c>
      <c r="B1751" s="18" t="s">
        <v>710</v>
      </c>
      <c r="C1751" s="17" t="s">
        <v>17</v>
      </c>
      <c r="D1751" s="17">
        <v>39.0</v>
      </c>
      <c r="E1751" s="17" t="s">
        <v>79</v>
      </c>
      <c r="G1751" s="19"/>
      <c r="H1751" s="20" t="s">
        <v>2221</v>
      </c>
      <c r="I1751" s="17" t="s">
        <v>22</v>
      </c>
      <c r="J1751" s="17">
        <v>0.0</v>
      </c>
      <c r="K1751" s="17">
        <v>0.0</v>
      </c>
      <c r="L1751" s="17">
        <v>0.0</v>
      </c>
      <c r="M1751" s="17">
        <v>0.0</v>
      </c>
      <c r="N1751" s="17">
        <v>0.0</v>
      </c>
      <c r="O1751" s="17">
        <v>0.0</v>
      </c>
      <c r="P1751" s="17">
        <v>0.0</v>
      </c>
      <c r="Q1751" s="17">
        <v>0.0</v>
      </c>
      <c r="R1751" s="17">
        <v>0.0</v>
      </c>
      <c r="S1751" s="17">
        <v>0.0</v>
      </c>
      <c r="T1751" s="17">
        <v>0.0</v>
      </c>
      <c r="U1751" s="17">
        <v>0.0</v>
      </c>
    </row>
    <row r="1752" ht="23.25" customHeight="1">
      <c r="A1752" s="1" t="str">
        <f>IF(COUNTIF('Icon Lookup'!C:C,B1752)&gt;0,LOOKUP(B1752,'Icon Lookup'!C:C,'Icon Lookup'!B:B),"")</f>
        <v/>
      </c>
      <c r="B1752" s="15" t="s">
        <v>2222</v>
      </c>
      <c r="C1752" s="1" t="s">
        <v>17</v>
      </c>
      <c r="D1752" s="1" t="s">
        <v>1073</v>
      </c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</row>
    <row r="1753" ht="23.25" customHeight="1">
      <c r="A1753" s="20" t="str">
        <f>IF(COUNTIF('Icon Lookup'!C:C,B1753)&gt;0,LOOKUP(B1753,'Icon Lookup'!C:C,'Icon Lookup'!B:B),"")</f>
        <v/>
      </c>
      <c r="B1753" s="21" t="s">
        <v>225</v>
      </c>
      <c r="C1753" s="20" t="s">
        <v>17</v>
      </c>
      <c r="D1753" s="20">
        <v>56.0</v>
      </c>
      <c r="E1753" s="20" t="s">
        <v>26</v>
      </c>
      <c r="G1753" s="22"/>
      <c r="H1753" s="23" t="s">
        <v>2223</v>
      </c>
      <c r="I1753" s="20" t="s">
        <v>22</v>
      </c>
      <c r="J1753" s="20">
        <v>0.0</v>
      </c>
      <c r="K1753" s="20">
        <v>0.0</v>
      </c>
      <c r="L1753" s="20">
        <v>0.0</v>
      </c>
      <c r="M1753" s="20">
        <v>0.0</v>
      </c>
      <c r="N1753" s="20">
        <v>0.0</v>
      </c>
      <c r="O1753" s="20">
        <v>0.0</v>
      </c>
      <c r="P1753" s="20">
        <v>0.0</v>
      </c>
      <c r="Q1753" s="20">
        <v>0.0</v>
      </c>
      <c r="R1753" s="20">
        <v>0.0</v>
      </c>
      <c r="S1753" s="20">
        <v>0.0</v>
      </c>
      <c r="T1753" s="20">
        <v>0.0</v>
      </c>
      <c r="U1753" s="20">
        <v>0.0</v>
      </c>
    </row>
    <row r="1754" ht="23.25" customHeight="1">
      <c r="A1754" s="17" t="str">
        <f>IF(COUNTIF('Icon Lookup'!C:C,B1754)&gt;0,LOOKUP(B1754,'Icon Lookup'!C:C,'Icon Lookup'!B:B),"")</f>
        <v/>
      </c>
      <c r="B1754" s="18" t="s">
        <v>741</v>
      </c>
      <c r="C1754" s="17" t="s">
        <v>17</v>
      </c>
      <c r="D1754" s="17">
        <v>57.0</v>
      </c>
      <c r="E1754" s="17" t="s">
        <v>26</v>
      </c>
      <c r="G1754" s="19"/>
      <c r="H1754" s="20" t="s">
        <v>2224</v>
      </c>
      <c r="I1754" s="17" t="s">
        <v>22</v>
      </c>
      <c r="J1754" s="17">
        <v>0.0</v>
      </c>
      <c r="K1754" s="17">
        <v>0.0</v>
      </c>
      <c r="L1754" s="17">
        <v>0.0</v>
      </c>
      <c r="M1754" s="17">
        <v>0.0</v>
      </c>
      <c r="N1754" s="17">
        <v>0.0</v>
      </c>
      <c r="O1754" s="17">
        <v>0.0</v>
      </c>
      <c r="P1754" s="17">
        <v>0.0</v>
      </c>
      <c r="Q1754" s="17">
        <v>0.0</v>
      </c>
      <c r="R1754" s="17">
        <v>0.0</v>
      </c>
      <c r="S1754" s="17">
        <v>0.0</v>
      </c>
      <c r="T1754" s="17">
        <v>0.0</v>
      </c>
      <c r="U1754" s="17">
        <v>0.0</v>
      </c>
    </row>
    <row r="1755" ht="23.25" customHeight="1">
      <c r="A1755" s="20" t="str">
        <f>IF(COUNTIF('Icon Lookup'!C:C,B1755)&gt;0,LOOKUP(B1755,'Icon Lookup'!C:C,'Icon Lookup'!B:B),"")</f>
        <v/>
      </c>
      <c r="B1755" s="21" t="s">
        <v>710</v>
      </c>
      <c r="C1755" s="20" t="s">
        <v>17</v>
      </c>
      <c r="D1755" s="20">
        <v>58.0</v>
      </c>
      <c r="E1755" s="20" t="s">
        <v>79</v>
      </c>
      <c r="G1755" s="22"/>
      <c r="H1755" s="23" t="s">
        <v>2221</v>
      </c>
      <c r="I1755" s="20" t="s">
        <v>22</v>
      </c>
      <c r="J1755" s="20">
        <v>0.0</v>
      </c>
      <c r="K1755" s="20">
        <v>0.0</v>
      </c>
      <c r="L1755" s="20">
        <v>0.0</v>
      </c>
      <c r="M1755" s="20">
        <v>0.0</v>
      </c>
      <c r="N1755" s="20">
        <v>0.0</v>
      </c>
      <c r="O1755" s="20">
        <v>0.0</v>
      </c>
      <c r="P1755" s="20">
        <v>0.0</v>
      </c>
      <c r="Q1755" s="20">
        <v>0.0</v>
      </c>
      <c r="R1755" s="20">
        <v>0.0</v>
      </c>
      <c r="S1755" s="20">
        <v>0.0</v>
      </c>
      <c r="T1755" s="20">
        <v>0.0</v>
      </c>
      <c r="U1755" s="20">
        <v>0.0</v>
      </c>
    </row>
    <row r="1756" ht="23.25" customHeight="1">
      <c r="A1756" s="1" t="str">
        <f>IF(COUNTIF('Icon Lookup'!C:C,B1756)&gt;0,LOOKUP(B1756,'Icon Lookup'!C:C,'Icon Lookup'!B:B),"")</f>
        <v/>
      </c>
      <c r="B1756" s="15" t="s">
        <v>2225</v>
      </c>
      <c r="C1756" s="1" t="s">
        <v>17</v>
      </c>
      <c r="D1756" s="1" t="s">
        <v>834</v>
      </c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</row>
    <row r="1757" ht="23.25" customHeight="1">
      <c r="A1757" s="17" t="str">
        <f>IF(COUNTIF('Icon Lookup'!C:C,B1757)&gt;0,LOOKUP(B1757,'Icon Lookup'!C:C,'Icon Lookup'!B:B),"")</f>
        <v/>
      </c>
      <c r="B1757" s="18" t="s">
        <v>1098</v>
      </c>
      <c r="C1757" s="17" t="s">
        <v>17</v>
      </c>
      <c r="D1757" s="17">
        <v>57.0</v>
      </c>
      <c r="E1757" s="17" t="s">
        <v>91</v>
      </c>
      <c r="G1757" s="19"/>
      <c r="H1757" s="20" t="s">
        <v>1447</v>
      </c>
      <c r="I1757" s="17" t="s">
        <v>22</v>
      </c>
      <c r="J1757" s="17">
        <v>0.0</v>
      </c>
      <c r="K1757" s="17">
        <v>0.0</v>
      </c>
      <c r="L1757" s="17">
        <v>0.0</v>
      </c>
      <c r="M1757" s="17">
        <v>0.0</v>
      </c>
      <c r="N1757" s="17">
        <v>0.0</v>
      </c>
      <c r="O1757" s="17">
        <v>0.0</v>
      </c>
      <c r="P1757" s="17">
        <v>0.0</v>
      </c>
      <c r="Q1757" s="17">
        <v>0.0</v>
      </c>
      <c r="R1757" s="17">
        <v>0.0</v>
      </c>
      <c r="S1757" s="17">
        <v>0.0</v>
      </c>
      <c r="T1757" s="17">
        <v>0.0</v>
      </c>
      <c r="U1757" s="17">
        <v>0.0</v>
      </c>
    </row>
    <row r="1758" ht="23.25" customHeight="1">
      <c r="A1758" s="1" t="str">
        <f>IF(COUNTIF('Icon Lookup'!C:C,B1758)&gt;0,LOOKUP(B1758,'Icon Lookup'!C:C,'Icon Lookup'!B:B),"")</f>
        <v/>
      </c>
      <c r="B1758" s="15" t="s">
        <v>2226</v>
      </c>
      <c r="C1758" s="1" t="s">
        <v>17</v>
      </c>
      <c r="D1758" s="1" t="s">
        <v>1904</v>
      </c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</row>
    <row r="1759" ht="23.25" customHeight="1">
      <c r="A1759" s="20" t="str">
        <f>IF(COUNTIF('Icon Lookup'!C:C,B1759)&gt;0,LOOKUP(B1759,'Icon Lookup'!C:C,'Icon Lookup'!B:B),"")</f>
        <v/>
      </c>
      <c r="B1759" s="21" t="s">
        <v>1801</v>
      </c>
      <c r="C1759" s="20" t="s">
        <v>17</v>
      </c>
      <c r="D1759" s="20">
        <v>58.0</v>
      </c>
      <c r="E1759" s="20" t="s">
        <v>1802</v>
      </c>
      <c r="G1759" s="22"/>
      <c r="H1759" s="23" t="s">
        <v>1906</v>
      </c>
      <c r="I1759" s="20" t="s">
        <v>550</v>
      </c>
      <c r="J1759" s="20">
        <v>0.0</v>
      </c>
      <c r="K1759" s="20">
        <v>0.0</v>
      </c>
      <c r="L1759" s="20">
        <v>0.0</v>
      </c>
      <c r="M1759" s="20">
        <v>0.0</v>
      </c>
      <c r="N1759" s="20">
        <v>0.0</v>
      </c>
      <c r="O1759" s="20">
        <v>0.0</v>
      </c>
      <c r="P1759" s="20">
        <v>0.0</v>
      </c>
      <c r="Q1759" s="20">
        <v>0.0</v>
      </c>
      <c r="R1759" s="20">
        <v>0.0</v>
      </c>
      <c r="S1759" s="20">
        <v>0.0</v>
      </c>
      <c r="T1759" s="20">
        <v>0.0</v>
      </c>
      <c r="U1759" s="20">
        <v>0.0</v>
      </c>
    </row>
    <row r="1760" ht="23.25" customHeight="1">
      <c r="A1760" s="17" t="str">
        <f>IF(COUNTIF('Icon Lookup'!C:C,B1760)&gt;0,LOOKUP(B1760,'Icon Lookup'!C:C,'Icon Lookup'!B:B),"")</f>
        <v/>
      </c>
      <c r="B1760" s="18" t="s">
        <v>1909</v>
      </c>
      <c r="C1760" s="17" t="s">
        <v>17</v>
      </c>
      <c r="D1760" s="17">
        <v>59.0</v>
      </c>
      <c r="E1760" s="17" t="s">
        <v>382</v>
      </c>
      <c r="G1760" s="19"/>
      <c r="H1760" s="20" t="s">
        <v>1908</v>
      </c>
      <c r="I1760" s="17" t="s">
        <v>550</v>
      </c>
      <c r="J1760" s="17">
        <v>0.0</v>
      </c>
      <c r="K1760" s="17">
        <v>0.0</v>
      </c>
      <c r="L1760" s="17">
        <v>0.0</v>
      </c>
      <c r="M1760" s="17">
        <v>0.0</v>
      </c>
      <c r="N1760" s="17">
        <v>0.0</v>
      </c>
      <c r="O1760" s="17">
        <v>0.0</v>
      </c>
      <c r="P1760" s="17">
        <v>0.0</v>
      </c>
      <c r="Q1760" s="17">
        <v>0.0</v>
      </c>
      <c r="R1760" s="17">
        <v>0.0</v>
      </c>
      <c r="S1760" s="17">
        <v>0.0</v>
      </c>
      <c r="T1760" s="17">
        <v>0.0</v>
      </c>
      <c r="U1760" s="17">
        <v>0.0</v>
      </c>
    </row>
    <row r="1761" ht="23.25" customHeight="1">
      <c r="A1761" s="20" t="str">
        <f>IF(COUNTIF('Icon Lookup'!C:C,B1761)&gt;0,LOOKUP(B1761,'Icon Lookup'!C:C,'Icon Lookup'!B:B),"")</f>
        <v/>
      </c>
      <c r="B1761" s="21" t="s">
        <v>1909</v>
      </c>
      <c r="C1761" s="20" t="s">
        <v>17</v>
      </c>
      <c r="D1761" s="20">
        <v>60.0</v>
      </c>
      <c r="E1761" s="20" t="s">
        <v>276</v>
      </c>
      <c r="G1761" s="22"/>
      <c r="H1761" s="23" t="s">
        <v>1908</v>
      </c>
      <c r="I1761" s="20" t="s">
        <v>550</v>
      </c>
      <c r="J1761" s="20">
        <v>0.0</v>
      </c>
      <c r="K1761" s="20">
        <v>0.0</v>
      </c>
      <c r="L1761" s="20">
        <v>0.0</v>
      </c>
      <c r="M1761" s="20">
        <v>0.0</v>
      </c>
      <c r="N1761" s="20">
        <v>0.0</v>
      </c>
      <c r="O1761" s="20">
        <v>0.0</v>
      </c>
      <c r="P1761" s="20">
        <v>0.0</v>
      </c>
      <c r="Q1761" s="20">
        <v>0.0</v>
      </c>
      <c r="R1761" s="20">
        <v>0.0</v>
      </c>
      <c r="S1761" s="20">
        <v>0.0</v>
      </c>
      <c r="T1761" s="20">
        <v>0.0</v>
      </c>
      <c r="U1761" s="20">
        <v>0.0</v>
      </c>
    </row>
    <row r="1762" ht="23.25" customHeight="1">
      <c r="A1762" s="1" t="str">
        <f>IF(COUNTIF('Icon Lookup'!C:C,B1762)&gt;0,LOOKUP(B1762,'Icon Lookup'!C:C,'Icon Lookup'!B:B),"")</f>
        <v/>
      </c>
      <c r="B1762" s="15" t="s">
        <v>2227</v>
      </c>
      <c r="C1762" s="1" t="s">
        <v>17</v>
      </c>
      <c r="D1762" s="1" t="s">
        <v>345</v>
      </c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</row>
    <row r="1763" ht="23.25" customHeight="1">
      <c r="A1763" s="17" t="str">
        <f>IF(COUNTIF('Icon Lookup'!C:C,B1763)&gt;0,LOOKUP(B1763,'Icon Lookup'!C:C,'Icon Lookup'!B:B),"")</f>
        <v/>
      </c>
      <c r="B1763" s="18" t="s">
        <v>198</v>
      </c>
      <c r="C1763" s="17" t="s">
        <v>17</v>
      </c>
      <c r="D1763" s="17">
        <v>40.0</v>
      </c>
      <c r="E1763" s="17" t="s">
        <v>50</v>
      </c>
      <c r="G1763" s="19"/>
      <c r="H1763" s="20" t="s">
        <v>2087</v>
      </c>
      <c r="I1763" s="17" t="s">
        <v>52</v>
      </c>
      <c r="J1763" s="17">
        <v>0.0</v>
      </c>
      <c r="K1763" s="17">
        <v>0.0</v>
      </c>
      <c r="L1763" s="17">
        <v>0.0</v>
      </c>
      <c r="M1763" s="17">
        <v>0.0</v>
      </c>
      <c r="N1763" s="17">
        <v>0.0</v>
      </c>
      <c r="O1763" s="17">
        <v>0.0</v>
      </c>
      <c r="P1763" s="17">
        <v>0.0</v>
      </c>
      <c r="Q1763" s="17">
        <v>0.0</v>
      </c>
      <c r="R1763" s="17">
        <v>0.0</v>
      </c>
      <c r="S1763" s="17">
        <v>0.0</v>
      </c>
      <c r="T1763" s="17">
        <v>0.0</v>
      </c>
      <c r="U1763" s="17">
        <v>0.0</v>
      </c>
    </row>
    <row r="1764" ht="23.25" customHeight="1">
      <c r="A1764" s="1" t="str">
        <f>IF(COUNTIF('Icon Lookup'!C:C,B1764)&gt;0,LOOKUP(B1764,'Icon Lookup'!C:C,'Icon Lookup'!B:B),"")</f>
        <v/>
      </c>
      <c r="B1764" s="15" t="s">
        <v>2228</v>
      </c>
      <c r="C1764" s="1" t="s">
        <v>17</v>
      </c>
      <c r="D1764" s="1" t="s">
        <v>345</v>
      </c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</row>
    <row r="1765" ht="23.25" customHeight="1">
      <c r="A1765" s="20" t="str">
        <f>IF(COUNTIF('Icon Lookup'!C:C,B1765)&gt;0,LOOKUP(B1765,'Icon Lookup'!C:C,'Icon Lookup'!B:B),"")</f>
        <v/>
      </c>
      <c r="B1765" s="21" t="s">
        <v>198</v>
      </c>
      <c r="C1765" s="20" t="s">
        <v>17</v>
      </c>
      <c r="D1765" s="20">
        <v>60.0</v>
      </c>
      <c r="E1765" s="20" t="s">
        <v>50</v>
      </c>
      <c r="G1765" s="22"/>
      <c r="H1765" s="23" t="s">
        <v>2229</v>
      </c>
      <c r="I1765" s="20" t="s">
        <v>52</v>
      </c>
      <c r="J1765" s="20">
        <v>0.0</v>
      </c>
      <c r="K1765" s="20">
        <v>0.0</v>
      </c>
      <c r="L1765" s="20">
        <v>0.0</v>
      </c>
      <c r="M1765" s="20">
        <v>0.0</v>
      </c>
      <c r="N1765" s="20">
        <v>0.0</v>
      </c>
      <c r="O1765" s="20">
        <v>0.0</v>
      </c>
      <c r="P1765" s="20">
        <v>0.0</v>
      </c>
      <c r="Q1765" s="20">
        <v>0.0</v>
      </c>
      <c r="R1765" s="20">
        <v>0.0</v>
      </c>
      <c r="S1765" s="20">
        <v>0.0</v>
      </c>
      <c r="T1765" s="20">
        <v>0.0</v>
      </c>
      <c r="U1765" s="20">
        <v>0.0</v>
      </c>
    </row>
    <row r="1766" ht="23.25" customHeight="1">
      <c r="A1766" s="1" t="str">
        <f>IF(COUNTIF('Icon Lookup'!C:C,B1766)&gt;0,LOOKUP(B1766,'Icon Lookup'!C:C,'Icon Lookup'!B:B),"")</f>
        <v/>
      </c>
      <c r="B1766" s="15" t="s">
        <v>2230</v>
      </c>
      <c r="C1766" s="1" t="s">
        <v>17</v>
      </c>
      <c r="D1766" s="1" t="s">
        <v>48</v>
      </c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</row>
    <row r="1767" ht="23.25" customHeight="1">
      <c r="A1767" s="17" t="str">
        <f>IF(COUNTIF('Icon Lookup'!C:C,B1767)&gt;0,LOOKUP(B1767,'Icon Lookup'!C:C,'Icon Lookup'!B:B),"")</f>
        <v/>
      </c>
      <c r="B1767" s="18" t="s">
        <v>49</v>
      </c>
      <c r="C1767" s="17" t="s">
        <v>17</v>
      </c>
      <c r="D1767" s="17">
        <v>19.0</v>
      </c>
      <c r="E1767" s="17" t="s">
        <v>50</v>
      </c>
      <c r="G1767" s="19"/>
      <c r="H1767" s="20" t="s">
        <v>51</v>
      </c>
      <c r="I1767" s="17" t="s">
        <v>52</v>
      </c>
      <c r="J1767" s="17">
        <v>0.0</v>
      </c>
      <c r="K1767" s="17">
        <v>0.0</v>
      </c>
      <c r="L1767" s="17">
        <v>0.0</v>
      </c>
      <c r="M1767" s="17">
        <v>0.0</v>
      </c>
      <c r="N1767" s="17">
        <v>0.0</v>
      </c>
      <c r="O1767" s="17">
        <v>0.0</v>
      </c>
      <c r="P1767" s="17">
        <v>0.0</v>
      </c>
      <c r="Q1767" s="17">
        <v>0.0</v>
      </c>
      <c r="R1767" s="17">
        <v>0.0</v>
      </c>
      <c r="S1767" s="17">
        <v>0.0</v>
      </c>
      <c r="T1767" s="17">
        <v>0.0</v>
      </c>
      <c r="U1767" s="17">
        <v>0.0</v>
      </c>
    </row>
    <row r="1768" ht="23.25" customHeight="1">
      <c r="A1768" s="1" t="str">
        <f>IF(COUNTIF('Icon Lookup'!C:C,B1768)&gt;0,LOOKUP(B1768,'Icon Lookup'!C:C,'Icon Lookup'!B:B),"")</f>
        <v/>
      </c>
      <c r="B1768" s="15" t="s">
        <v>2231</v>
      </c>
      <c r="C1768" s="1" t="s">
        <v>17</v>
      </c>
      <c r="D1768" s="1" t="s">
        <v>48</v>
      </c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</row>
    <row r="1769" ht="23.25" customHeight="1">
      <c r="A1769" s="20" t="str">
        <f>IF(COUNTIF('Icon Lookup'!C:C,B1769)&gt;0,LOOKUP(B1769,'Icon Lookup'!C:C,'Icon Lookup'!B:B),"")</f>
        <v/>
      </c>
      <c r="B1769" s="21" t="s">
        <v>198</v>
      </c>
      <c r="C1769" s="20" t="s">
        <v>17</v>
      </c>
      <c r="D1769" s="20">
        <v>31.0</v>
      </c>
      <c r="E1769" s="20" t="s">
        <v>50</v>
      </c>
      <c r="G1769" s="22"/>
      <c r="H1769" s="23" t="s">
        <v>2232</v>
      </c>
      <c r="I1769" s="20" t="s">
        <v>52</v>
      </c>
      <c r="J1769" s="20">
        <v>0.0</v>
      </c>
      <c r="K1769" s="20">
        <v>0.0</v>
      </c>
      <c r="L1769" s="20">
        <v>0.0</v>
      </c>
      <c r="M1769" s="20">
        <v>0.0</v>
      </c>
      <c r="N1769" s="20">
        <v>0.0</v>
      </c>
      <c r="O1769" s="20">
        <v>0.0</v>
      </c>
      <c r="P1769" s="20">
        <v>0.0</v>
      </c>
      <c r="Q1769" s="20">
        <v>0.0</v>
      </c>
      <c r="R1769" s="20">
        <v>0.0</v>
      </c>
      <c r="S1769" s="20">
        <v>0.0</v>
      </c>
      <c r="T1769" s="20">
        <v>0.0</v>
      </c>
      <c r="U1769" s="20">
        <v>0.0</v>
      </c>
    </row>
    <row r="1770" ht="23.25" customHeight="1">
      <c r="A1770" s="1" t="str">
        <f>IF(COUNTIF('Icon Lookup'!C:C,B1770)&gt;0,LOOKUP(B1770,'Icon Lookup'!C:C,'Icon Lookup'!B:B),"")</f>
        <v/>
      </c>
      <c r="B1770" s="15" t="s">
        <v>2233</v>
      </c>
      <c r="C1770" s="1" t="s">
        <v>17</v>
      </c>
      <c r="D1770" s="1" t="s">
        <v>48</v>
      </c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</row>
    <row r="1771" ht="23.25" customHeight="1">
      <c r="A1771" s="17" t="str">
        <f>IF(COUNTIF('Icon Lookup'!C:C,B1771)&gt;0,LOOKUP(B1771,'Icon Lookup'!C:C,'Icon Lookup'!B:B),"")</f>
        <v/>
      </c>
      <c r="B1771" s="18" t="s">
        <v>198</v>
      </c>
      <c r="C1771" s="17" t="s">
        <v>17</v>
      </c>
      <c r="D1771" s="17">
        <v>55.0</v>
      </c>
      <c r="E1771" s="17" t="s">
        <v>50</v>
      </c>
      <c r="G1771" s="19"/>
      <c r="H1771" s="20" t="s">
        <v>2234</v>
      </c>
      <c r="I1771" s="17" t="s">
        <v>52</v>
      </c>
      <c r="J1771" s="17">
        <v>0.0</v>
      </c>
      <c r="K1771" s="17">
        <v>0.0</v>
      </c>
      <c r="L1771" s="17">
        <v>0.0</v>
      </c>
      <c r="M1771" s="17">
        <v>0.0</v>
      </c>
      <c r="N1771" s="17">
        <v>0.0</v>
      </c>
      <c r="O1771" s="17">
        <v>0.0</v>
      </c>
      <c r="P1771" s="17">
        <v>0.0</v>
      </c>
      <c r="Q1771" s="17">
        <v>0.0</v>
      </c>
      <c r="R1771" s="17">
        <v>0.0</v>
      </c>
      <c r="S1771" s="17">
        <v>0.0</v>
      </c>
      <c r="T1771" s="17">
        <v>0.0</v>
      </c>
      <c r="U1771" s="17">
        <v>0.0</v>
      </c>
    </row>
    <row r="1772" ht="23.25" customHeight="1">
      <c r="A1772" s="1" t="str">
        <f>IF(COUNTIF('Icon Lookup'!C:C,B1772)&gt;0,LOOKUP(B1772,'Icon Lookup'!C:C,'Icon Lookup'!B:B),"")</f>
        <v/>
      </c>
      <c r="B1772" s="15" t="s">
        <v>2235</v>
      </c>
      <c r="C1772" s="1" t="s">
        <v>17</v>
      </c>
      <c r="D1772" s="1" t="s">
        <v>1153</v>
      </c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</row>
    <row r="1773" ht="23.25" customHeight="1">
      <c r="A1773" s="20" t="str">
        <f>IF(COUNTIF('Icon Lookup'!C:C,B1773)&gt;0,LOOKUP(B1773,'Icon Lookup'!C:C,'Icon Lookup'!B:B),"")</f>
        <v/>
      </c>
      <c r="B1773" s="21" t="s">
        <v>19</v>
      </c>
      <c r="C1773" s="20" t="s">
        <v>17</v>
      </c>
      <c r="D1773" s="20">
        <v>17.0</v>
      </c>
      <c r="E1773" s="20" t="s">
        <v>20</v>
      </c>
      <c r="G1773" s="22"/>
      <c r="H1773" s="23" t="s">
        <v>2236</v>
      </c>
      <c r="I1773" s="20" t="s">
        <v>22</v>
      </c>
      <c r="J1773" s="20">
        <v>0.0</v>
      </c>
      <c r="K1773" s="20">
        <v>0.0</v>
      </c>
      <c r="L1773" s="20">
        <v>0.0</v>
      </c>
      <c r="M1773" s="20">
        <v>0.0</v>
      </c>
      <c r="N1773" s="20">
        <v>0.0</v>
      </c>
      <c r="O1773" s="20">
        <v>0.0</v>
      </c>
      <c r="P1773" s="20">
        <v>0.0</v>
      </c>
      <c r="Q1773" s="20">
        <v>0.0</v>
      </c>
      <c r="R1773" s="20">
        <v>0.0</v>
      </c>
      <c r="S1773" s="20">
        <v>0.0</v>
      </c>
      <c r="T1773" s="20">
        <v>0.0</v>
      </c>
      <c r="U1773" s="20">
        <v>0.0</v>
      </c>
    </row>
    <row r="1774" ht="23.25" customHeight="1">
      <c r="A1774" s="17" t="str">
        <f>IF(COUNTIF('Icon Lookup'!C:C,B1774)&gt;0,LOOKUP(B1774,'Icon Lookup'!C:C,'Icon Lookup'!B:B),"")</f>
        <v/>
      </c>
      <c r="B1774" s="18" t="s">
        <v>30</v>
      </c>
      <c r="C1774" s="17" t="s">
        <v>17</v>
      </c>
      <c r="D1774" s="17">
        <v>17.0</v>
      </c>
      <c r="E1774" s="17" t="s">
        <v>31</v>
      </c>
      <c r="G1774" s="19"/>
      <c r="H1774" s="20" t="s">
        <v>2237</v>
      </c>
      <c r="I1774" s="17" t="s">
        <v>22</v>
      </c>
      <c r="J1774" s="17">
        <v>0.0</v>
      </c>
      <c r="K1774" s="17">
        <v>0.0</v>
      </c>
      <c r="L1774" s="17">
        <v>0.0</v>
      </c>
      <c r="M1774" s="17">
        <v>0.0</v>
      </c>
      <c r="N1774" s="17">
        <v>0.0</v>
      </c>
      <c r="O1774" s="17">
        <v>0.0</v>
      </c>
      <c r="P1774" s="17">
        <v>0.0</v>
      </c>
      <c r="Q1774" s="17">
        <v>0.0</v>
      </c>
      <c r="R1774" s="17">
        <v>0.0</v>
      </c>
      <c r="S1774" s="17">
        <v>0.0</v>
      </c>
      <c r="T1774" s="17">
        <v>0.0</v>
      </c>
      <c r="U1774" s="17">
        <v>0.0</v>
      </c>
    </row>
    <row r="1775" ht="23.25" customHeight="1">
      <c r="A1775" s="1" t="str">
        <f>IF(COUNTIF('Icon Lookup'!C:C,B1775)&gt;0,LOOKUP(B1775,'Icon Lookup'!C:C,'Icon Lookup'!B:B),"")</f>
        <v/>
      </c>
      <c r="B1775" s="15" t="s">
        <v>2238</v>
      </c>
      <c r="C1775" s="1" t="s">
        <v>17</v>
      </c>
      <c r="D1775" s="1" t="s">
        <v>1153</v>
      </c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</row>
    <row r="1776" ht="23.25" customHeight="1">
      <c r="A1776" s="20" t="str">
        <f>IF(COUNTIF('Icon Lookup'!C:C,B1776)&gt;0,LOOKUP(B1776,'Icon Lookup'!C:C,'Icon Lookup'!B:B),"")</f>
        <v/>
      </c>
      <c r="B1776" s="21" t="s">
        <v>117</v>
      </c>
      <c r="C1776" s="20" t="s">
        <v>17</v>
      </c>
      <c r="D1776" s="20">
        <v>29.0</v>
      </c>
      <c r="E1776" s="20" t="s">
        <v>26</v>
      </c>
      <c r="G1776" s="22"/>
      <c r="H1776" s="23" t="s">
        <v>2239</v>
      </c>
      <c r="I1776" s="20" t="s">
        <v>22</v>
      </c>
      <c r="J1776" s="20">
        <v>0.0</v>
      </c>
      <c r="K1776" s="20">
        <v>0.0</v>
      </c>
      <c r="L1776" s="20">
        <v>0.0</v>
      </c>
      <c r="M1776" s="20">
        <v>0.0</v>
      </c>
      <c r="N1776" s="20">
        <v>0.0</v>
      </c>
      <c r="O1776" s="20">
        <v>0.0</v>
      </c>
      <c r="P1776" s="20">
        <v>0.0</v>
      </c>
      <c r="Q1776" s="20">
        <v>0.0</v>
      </c>
      <c r="R1776" s="20">
        <v>0.0</v>
      </c>
      <c r="S1776" s="20">
        <v>0.0</v>
      </c>
      <c r="T1776" s="20">
        <v>0.0</v>
      </c>
      <c r="U1776" s="20">
        <v>0.0</v>
      </c>
    </row>
    <row r="1777" ht="23.25" customHeight="1">
      <c r="A1777" s="17" t="str">
        <f>IF(COUNTIF('Icon Lookup'!C:C,B1777)&gt;0,LOOKUP(B1777,'Icon Lookup'!C:C,'Icon Lookup'!B:B),"")</f>
        <v/>
      </c>
      <c r="B1777" s="18" t="s">
        <v>419</v>
      </c>
      <c r="C1777" s="17" t="s">
        <v>17</v>
      </c>
      <c r="D1777" s="17">
        <v>29.0</v>
      </c>
      <c r="E1777" s="17" t="s">
        <v>31</v>
      </c>
      <c r="G1777" s="19"/>
      <c r="H1777" s="20" t="s">
        <v>2240</v>
      </c>
      <c r="I1777" s="17" t="s">
        <v>22</v>
      </c>
      <c r="J1777" s="17">
        <v>0.0</v>
      </c>
      <c r="K1777" s="17">
        <v>0.0</v>
      </c>
      <c r="L1777" s="17">
        <v>0.0</v>
      </c>
      <c r="M1777" s="17">
        <v>0.0</v>
      </c>
      <c r="N1777" s="17">
        <v>0.0</v>
      </c>
      <c r="O1777" s="17">
        <v>0.0</v>
      </c>
      <c r="P1777" s="17">
        <v>0.0</v>
      </c>
      <c r="Q1777" s="17">
        <v>0.0</v>
      </c>
      <c r="R1777" s="17">
        <v>0.0</v>
      </c>
      <c r="S1777" s="17">
        <v>0.0</v>
      </c>
      <c r="T1777" s="17">
        <v>0.0</v>
      </c>
      <c r="U1777" s="17">
        <v>0.0</v>
      </c>
    </row>
    <row r="1778" ht="23.25" customHeight="1">
      <c r="A1778" s="1" t="str">
        <f>IF(COUNTIF('Icon Lookup'!C:C,B1778)&gt;0,LOOKUP(B1778,'Icon Lookup'!C:C,'Icon Lookup'!B:B),"")</f>
        <v/>
      </c>
      <c r="B1778" s="15" t="s">
        <v>2241</v>
      </c>
      <c r="C1778" s="1" t="s">
        <v>17</v>
      </c>
      <c r="D1778" s="1" t="s">
        <v>1153</v>
      </c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</row>
    <row r="1779" ht="23.25" customHeight="1">
      <c r="A1779" s="20" t="str">
        <f>IF(COUNTIF('Icon Lookup'!C:C,B1779)&gt;0,LOOKUP(B1779,'Icon Lookup'!C:C,'Icon Lookup'!B:B),"")</f>
        <v/>
      </c>
      <c r="B1779" s="21" t="s">
        <v>741</v>
      </c>
      <c r="C1779" s="20" t="s">
        <v>17</v>
      </c>
      <c r="D1779" s="20">
        <v>38.0</v>
      </c>
      <c r="E1779" s="20" t="s">
        <v>26</v>
      </c>
      <c r="G1779" s="22"/>
      <c r="H1779" s="23" t="s">
        <v>2242</v>
      </c>
      <c r="I1779" s="20" t="s">
        <v>22</v>
      </c>
      <c r="J1779" s="20">
        <v>0.0</v>
      </c>
      <c r="K1779" s="20">
        <v>0.0</v>
      </c>
      <c r="L1779" s="20">
        <v>0.0</v>
      </c>
      <c r="M1779" s="20">
        <v>0.0</v>
      </c>
      <c r="N1779" s="20">
        <v>0.0</v>
      </c>
      <c r="O1779" s="20">
        <v>0.0</v>
      </c>
      <c r="P1779" s="20">
        <v>0.0</v>
      </c>
      <c r="Q1779" s="20">
        <v>0.0</v>
      </c>
      <c r="R1779" s="20">
        <v>0.0</v>
      </c>
      <c r="S1779" s="20">
        <v>0.0</v>
      </c>
      <c r="T1779" s="20">
        <v>0.0</v>
      </c>
      <c r="U1779" s="20">
        <v>0.0</v>
      </c>
    </row>
    <row r="1780" ht="23.25" customHeight="1">
      <c r="A1780" s="17" t="str">
        <f>IF(COUNTIF('Icon Lookup'!C:C,B1780)&gt;0,LOOKUP(B1780,'Icon Lookup'!C:C,'Icon Lookup'!B:B),"")</f>
        <v/>
      </c>
      <c r="B1780" s="18" t="s">
        <v>419</v>
      </c>
      <c r="C1780" s="17" t="s">
        <v>17</v>
      </c>
      <c r="D1780" s="17">
        <v>38.0</v>
      </c>
      <c r="E1780" s="17" t="s">
        <v>31</v>
      </c>
      <c r="G1780" s="19"/>
      <c r="H1780" s="20" t="s">
        <v>2243</v>
      </c>
      <c r="I1780" s="17" t="s">
        <v>22</v>
      </c>
      <c r="J1780" s="17">
        <v>0.0</v>
      </c>
      <c r="K1780" s="17">
        <v>0.0</v>
      </c>
      <c r="L1780" s="17">
        <v>0.0</v>
      </c>
      <c r="M1780" s="17">
        <v>0.0</v>
      </c>
      <c r="N1780" s="17">
        <v>0.0</v>
      </c>
      <c r="O1780" s="17">
        <v>0.0</v>
      </c>
      <c r="P1780" s="17">
        <v>0.0</v>
      </c>
      <c r="Q1780" s="17">
        <v>0.0</v>
      </c>
      <c r="R1780" s="17">
        <v>0.0</v>
      </c>
      <c r="S1780" s="17">
        <v>0.0</v>
      </c>
      <c r="T1780" s="17">
        <v>0.0</v>
      </c>
      <c r="U1780" s="17">
        <v>0.0</v>
      </c>
    </row>
    <row r="1781" ht="23.25" customHeight="1">
      <c r="A1781" s="1" t="str">
        <f>IF(COUNTIF('Icon Lookup'!C:C,B1781)&gt;0,LOOKUP(B1781,'Icon Lookup'!C:C,'Icon Lookup'!B:B),"")</f>
        <v/>
      </c>
      <c r="B1781" s="15" t="s">
        <v>2244</v>
      </c>
      <c r="C1781" s="1" t="s">
        <v>17</v>
      </c>
      <c r="D1781" s="1" t="s">
        <v>1454</v>
      </c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</row>
    <row r="1782" ht="23.25" customHeight="1">
      <c r="A1782" s="20" t="str">
        <f>IF(COUNTIF('Icon Lookup'!C:C,B1782)&gt;0,LOOKUP(B1782,'Icon Lookup'!C:C,'Icon Lookup'!B:B),"")</f>
        <v/>
      </c>
      <c r="B1782" s="21" t="s">
        <v>97</v>
      </c>
      <c r="C1782" s="20" t="s">
        <v>17</v>
      </c>
      <c r="D1782" s="20">
        <v>29.0</v>
      </c>
      <c r="E1782" s="20" t="s">
        <v>98</v>
      </c>
      <c r="G1782" s="22"/>
      <c r="H1782" s="23" t="s">
        <v>2245</v>
      </c>
      <c r="I1782" s="20" t="s">
        <v>211</v>
      </c>
      <c r="J1782" s="20">
        <v>0.0</v>
      </c>
      <c r="K1782" s="20">
        <v>0.0</v>
      </c>
      <c r="L1782" s="20">
        <v>0.0</v>
      </c>
      <c r="M1782" s="20">
        <v>0.0</v>
      </c>
      <c r="N1782" s="20">
        <v>0.0</v>
      </c>
      <c r="O1782" s="20">
        <v>0.0</v>
      </c>
      <c r="P1782" s="20">
        <v>0.0</v>
      </c>
      <c r="Q1782" s="20">
        <v>0.0</v>
      </c>
      <c r="R1782" s="20">
        <v>0.0</v>
      </c>
      <c r="S1782" s="20">
        <v>0.0</v>
      </c>
      <c r="T1782" s="20">
        <v>0.0</v>
      </c>
      <c r="U1782" s="20">
        <v>0.0</v>
      </c>
    </row>
    <row r="1783" ht="23.25" customHeight="1">
      <c r="A1783" s="17" t="str">
        <f>IF(COUNTIF('Icon Lookup'!C:C,B1783)&gt;0,LOOKUP(B1783,'Icon Lookup'!C:C,'Icon Lookup'!B:B),"")</f>
        <v/>
      </c>
      <c r="B1783" s="18" t="s">
        <v>97</v>
      </c>
      <c r="C1783" s="17" t="s">
        <v>17</v>
      </c>
      <c r="D1783" s="17">
        <v>29.0</v>
      </c>
      <c r="E1783" s="17" t="s">
        <v>87</v>
      </c>
      <c r="G1783" s="19"/>
      <c r="H1783" s="20" t="s">
        <v>2245</v>
      </c>
      <c r="I1783" s="17" t="s">
        <v>22</v>
      </c>
      <c r="J1783" s="17">
        <v>0.0</v>
      </c>
      <c r="K1783" s="17">
        <v>0.0</v>
      </c>
      <c r="L1783" s="17">
        <v>0.0</v>
      </c>
      <c r="M1783" s="17">
        <v>0.0</v>
      </c>
      <c r="N1783" s="17">
        <v>0.0</v>
      </c>
      <c r="O1783" s="17">
        <v>0.0</v>
      </c>
      <c r="P1783" s="17">
        <v>0.0</v>
      </c>
      <c r="Q1783" s="17">
        <v>0.0</v>
      </c>
      <c r="R1783" s="17">
        <v>0.0</v>
      </c>
      <c r="S1783" s="17">
        <v>0.0</v>
      </c>
      <c r="T1783" s="17">
        <v>0.0</v>
      </c>
      <c r="U1783" s="17">
        <v>0.0</v>
      </c>
    </row>
    <row r="1784" ht="23.25" customHeight="1">
      <c r="A1784" s="1" t="str">
        <f>IF(COUNTIF('Icon Lookup'!C:C,B1784)&gt;0,LOOKUP(B1784,'Icon Lookup'!C:C,'Icon Lookup'!B:B),"")</f>
        <v/>
      </c>
      <c r="B1784" s="15" t="s">
        <v>2246</v>
      </c>
      <c r="C1784" s="1" t="s">
        <v>17</v>
      </c>
      <c r="D1784" s="1" t="s">
        <v>1454</v>
      </c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</row>
    <row r="1785" ht="23.25" customHeight="1">
      <c r="A1785" s="20" t="str">
        <f>IF(COUNTIF('Icon Lookup'!C:C,B1785)&gt;0,LOOKUP(B1785,'Icon Lookup'!C:C,'Icon Lookup'!B:B),"")</f>
        <v/>
      </c>
      <c r="B1785" s="21" t="s">
        <v>97</v>
      </c>
      <c r="C1785" s="20" t="s">
        <v>17</v>
      </c>
      <c r="D1785" s="20">
        <v>37.0</v>
      </c>
      <c r="E1785" s="20" t="s">
        <v>98</v>
      </c>
      <c r="G1785" s="22"/>
      <c r="H1785" s="23" t="s">
        <v>2247</v>
      </c>
      <c r="I1785" s="20" t="s">
        <v>211</v>
      </c>
      <c r="J1785" s="20">
        <v>0.0</v>
      </c>
      <c r="K1785" s="20">
        <v>0.0</v>
      </c>
      <c r="L1785" s="20">
        <v>0.0</v>
      </c>
      <c r="M1785" s="20">
        <v>0.0</v>
      </c>
      <c r="N1785" s="20">
        <v>0.0</v>
      </c>
      <c r="O1785" s="20">
        <v>0.0</v>
      </c>
      <c r="P1785" s="20">
        <v>0.0</v>
      </c>
      <c r="Q1785" s="20">
        <v>0.0</v>
      </c>
      <c r="R1785" s="20">
        <v>0.0</v>
      </c>
      <c r="S1785" s="20">
        <v>0.0</v>
      </c>
      <c r="T1785" s="20">
        <v>0.0</v>
      </c>
      <c r="U1785" s="20">
        <v>0.0</v>
      </c>
    </row>
    <row r="1786" ht="23.25" customHeight="1">
      <c r="A1786" s="17" t="str">
        <f>IF(COUNTIF('Icon Lookup'!C:C,B1786)&gt;0,LOOKUP(B1786,'Icon Lookup'!C:C,'Icon Lookup'!B:B),"")</f>
        <v/>
      </c>
      <c r="B1786" s="18" t="s">
        <v>756</v>
      </c>
      <c r="C1786" s="17" t="s">
        <v>17</v>
      </c>
      <c r="D1786" s="17">
        <v>39.0</v>
      </c>
      <c r="E1786" s="17" t="s">
        <v>87</v>
      </c>
      <c r="G1786" s="19"/>
      <c r="H1786" s="20" t="s">
        <v>2248</v>
      </c>
      <c r="I1786" s="17" t="s">
        <v>22</v>
      </c>
      <c r="J1786" s="17">
        <v>0.0</v>
      </c>
      <c r="K1786" s="17">
        <v>0.0</v>
      </c>
      <c r="L1786" s="17">
        <v>0.0</v>
      </c>
      <c r="M1786" s="17">
        <v>0.0</v>
      </c>
      <c r="N1786" s="17">
        <v>0.0</v>
      </c>
      <c r="O1786" s="17">
        <v>0.0</v>
      </c>
      <c r="P1786" s="17">
        <v>0.0</v>
      </c>
      <c r="Q1786" s="17">
        <v>0.0</v>
      </c>
      <c r="R1786" s="17">
        <v>0.0</v>
      </c>
      <c r="S1786" s="17">
        <v>0.0</v>
      </c>
      <c r="T1786" s="17">
        <v>0.0</v>
      </c>
      <c r="U1786" s="17">
        <v>0.0</v>
      </c>
    </row>
    <row r="1787" ht="23.25" customHeight="1">
      <c r="A1787" s="1" t="str">
        <f>IF(COUNTIF('Icon Lookup'!C:C,B1787)&gt;0,LOOKUP(B1787,'Icon Lookup'!C:C,'Icon Lookup'!B:B),"")</f>
        <v/>
      </c>
      <c r="B1787" s="15" t="s">
        <v>2249</v>
      </c>
      <c r="C1787" s="1" t="s">
        <v>17</v>
      </c>
      <c r="D1787" s="1" t="s">
        <v>1454</v>
      </c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</row>
    <row r="1788" ht="23.25" customHeight="1">
      <c r="A1788" s="20" t="str">
        <f>IF(COUNTIF('Icon Lookup'!C:C,B1788)&gt;0,LOOKUP(B1788,'Icon Lookup'!C:C,'Icon Lookup'!B:B),"")</f>
        <v/>
      </c>
      <c r="B1788" s="21" t="s">
        <v>756</v>
      </c>
      <c r="C1788" s="20" t="s">
        <v>17</v>
      </c>
      <c r="D1788" s="20">
        <v>57.0</v>
      </c>
      <c r="E1788" s="20" t="s">
        <v>98</v>
      </c>
      <c r="G1788" s="22"/>
      <c r="H1788" s="23" t="s">
        <v>2250</v>
      </c>
      <c r="I1788" s="20" t="s">
        <v>211</v>
      </c>
      <c r="J1788" s="20">
        <v>0.0</v>
      </c>
      <c r="K1788" s="20">
        <v>0.0</v>
      </c>
      <c r="L1788" s="20">
        <v>0.0</v>
      </c>
      <c r="M1788" s="20">
        <v>0.0</v>
      </c>
      <c r="N1788" s="20">
        <v>0.0</v>
      </c>
      <c r="O1788" s="20">
        <v>0.0</v>
      </c>
      <c r="P1788" s="20">
        <v>0.0</v>
      </c>
      <c r="Q1788" s="20">
        <v>0.0</v>
      </c>
      <c r="R1788" s="20">
        <v>0.0</v>
      </c>
      <c r="S1788" s="20">
        <v>0.0</v>
      </c>
      <c r="T1788" s="20">
        <v>0.0</v>
      </c>
      <c r="U1788" s="20">
        <v>0.0</v>
      </c>
    </row>
    <row r="1789" ht="23.25" customHeight="1">
      <c r="A1789" s="17" t="str">
        <f>IF(COUNTIF('Icon Lookup'!C:C,B1789)&gt;0,LOOKUP(B1789,'Icon Lookup'!C:C,'Icon Lookup'!B:B),"")</f>
        <v/>
      </c>
      <c r="B1789" s="18" t="s">
        <v>756</v>
      </c>
      <c r="C1789" s="17" t="s">
        <v>17</v>
      </c>
      <c r="D1789" s="17">
        <v>59.0</v>
      </c>
      <c r="E1789" s="17" t="s">
        <v>87</v>
      </c>
      <c r="G1789" s="19"/>
      <c r="H1789" s="20" t="s">
        <v>2251</v>
      </c>
      <c r="I1789" s="17" t="s">
        <v>22</v>
      </c>
      <c r="J1789" s="17">
        <v>0.0</v>
      </c>
      <c r="K1789" s="17">
        <v>0.0</v>
      </c>
      <c r="L1789" s="17">
        <v>0.0</v>
      </c>
      <c r="M1789" s="17">
        <v>0.0</v>
      </c>
      <c r="N1789" s="17">
        <v>0.0</v>
      </c>
      <c r="O1789" s="17">
        <v>0.0</v>
      </c>
      <c r="P1789" s="17">
        <v>0.0</v>
      </c>
      <c r="Q1789" s="17">
        <v>0.0</v>
      </c>
      <c r="R1789" s="17">
        <v>0.0</v>
      </c>
      <c r="S1789" s="17">
        <v>0.0</v>
      </c>
      <c r="T1789" s="17">
        <v>0.0</v>
      </c>
      <c r="U1789" s="17">
        <v>0.0</v>
      </c>
    </row>
    <row r="1790" ht="23.25" customHeight="1">
      <c r="A1790" s="1" t="str">
        <f>IF(COUNTIF('Icon Lookup'!C:C,B1790)&gt;0,LOOKUP(B1790,'Icon Lookup'!C:C,'Icon Lookup'!B:B),"")</f>
        <v/>
      </c>
      <c r="B1790" s="15" t="s">
        <v>2252</v>
      </c>
      <c r="C1790" s="1" t="s">
        <v>17</v>
      </c>
      <c r="D1790" s="1" t="s">
        <v>56</v>
      </c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</row>
    <row r="1791" ht="23.25" customHeight="1">
      <c r="A1791" s="20" t="str">
        <f>IF(COUNTIF('Icon Lookup'!C:C,B1791)&gt;0,LOOKUP(B1791,'Icon Lookup'!C:C,'Icon Lookup'!B:B),"")</f>
        <v/>
      </c>
      <c r="B1791" s="21" t="s">
        <v>57</v>
      </c>
      <c r="C1791" s="20" t="s">
        <v>17</v>
      </c>
      <c r="D1791" s="20">
        <v>17.0</v>
      </c>
      <c r="E1791" s="20" t="s">
        <v>58</v>
      </c>
      <c r="G1791" s="22"/>
      <c r="H1791" s="23" t="s">
        <v>2253</v>
      </c>
      <c r="I1791" s="20" t="s">
        <v>52</v>
      </c>
      <c r="J1791" s="20">
        <v>0.0</v>
      </c>
      <c r="K1791" s="20">
        <v>0.0</v>
      </c>
      <c r="L1791" s="20">
        <v>0.0</v>
      </c>
      <c r="M1791" s="20">
        <v>0.0</v>
      </c>
      <c r="N1791" s="20">
        <v>0.0</v>
      </c>
      <c r="O1791" s="20">
        <v>0.0</v>
      </c>
      <c r="P1791" s="20">
        <v>0.0</v>
      </c>
      <c r="Q1791" s="20">
        <v>0.0</v>
      </c>
      <c r="R1791" s="20">
        <v>0.0</v>
      </c>
      <c r="S1791" s="20">
        <v>0.0</v>
      </c>
      <c r="T1791" s="20">
        <v>0.0</v>
      </c>
      <c r="U1791" s="20">
        <v>0.0</v>
      </c>
    </row>
    <row r="1792" ht="23.25" customHeight="1">
      <c r="A1792" s="17" t="str">
        <f>IF(COUNTIF('Icon Lookup'!C:C,B1792)&gt;0,LOOKUP(B1792,'Icon Lookup'!C:C,'Icon Lookup'!B:B),"")</f>
        <v/>
      </c>
      <c r="B1792" s="18" t="s">
        <v>685</v>
      </c>
      <c r="C1792" s="17" t="s">
        <v>17</v>
      </c>
      <c r="D1792" s="17">
        <v>17.0</v>
      </c>
      <c r="E1792" s="17" t="s">
        <v>58</v>
      </c>
      <c r="G1792" s="19"/>
      <c r="H1792" s="20" t="s">
        <v>686</v>
      </c>
      <c r="I1792" s="17" t="s">
        <v>52</v>
      </c>
      <c r="J1792" s="17">
        <v>0.0</v>
      </c>
      <c r="K1792" s="17">
        <v>0.0</v>
      </c>
      <c r="L1792" s="17">
        <v>0.0</v>
      </c>
      <c r="M1792" s="17">
        <v>0.0</v>
      </c>
      <c r="N1792" s="17">
        <v>0.0</v>
      </c>
      <c r="O1792" s="17">
        <v>0.0</v>
      </c>
      <c r="P1792" s="17">
        <v>0.0</v>
      </c>
      <c r="Q1792" s="17">
        <v>0.0</v>
      </c>
      <c r="R1792" s="17">
        <v>0.0</v>
      </c>
      <c r="S1792" s="17">
        <v>0.0</v>
      </c>
      <c r="T1792" s="17">
        <v>0.0</v>
      </c>
      <c r="U1792" s="17">
        <v>0.0</v>
      </c>
    </row>
    <row r="1793" ht="23.25" customHeight="1">
      <c r="A1793" s="1" t="str">
        <f>IF(COUNTIF('Icon Lookup'!C:C,B1793)&gt;0,LOOKUP(B1793,'Icon Lookup'!C:C,'Icon Lookup'!B:B),"")</f>
        <v/>
      </c>
      <c r="B1793" s="15" t="s">
        <v>2254</v>
      </c>
      <c r="C1793" s="1" t="s">
        <v>17</v>
      </c>
      <c r="D1793" s="1" t="s">
        <v>56</v>
      </c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</row>
    <row r="1794" ht="23.25" customHeight="1">
      <c r="A1794" s="20" t="str">
        <f>IF(COUNTIF('Icon Lookup'!C:C,B1794)&gt;0,LOOKUP(B1794,'Icon Lookup'!C:C,'Icon Lookup'!B:B),"")</f>
        <v/>
      </c>
      <c r="B1794" s="21" t="s">
        <v>697</v>
      </c>
      <c r="C1794" s="20" t="s">
        <v>17</v>
      </c>
      <c r="D1794" s="20">
        <v>29.0</v>
      </c>
      <c r="E1794" s="20" t="s">
        <v>258</v>
      </c>
      <c r="G1794" s="22"/>
      <c r="H1794" s="23" t="s">
        <v>2255</v>
      </c>
      <c r="I1794" s="20" t="s">
        <v>52</v>
      </c>
      <c r="J1794" s="20">
        <v>0.0</v>
      </c>
      <c r="K1794" s="20">
        <v>0.0</v>
      </c>
      <c r="L1794" s="20">
        <v>0.0</v>
      </c>
      <c r="M1794" s="20">
        <v>0.0</v>
      </c>
      <c r="N1794" s="20">
        <v>0.0</v>
      </c>
      <c r="O1794" s="20">
        <v>0.0</v>
      </c>
      <c r="P1794" s="20">
        <v>0.0</v>
      </c>
      <c r="Q1794" s="20">
        <v>0.0</v>
      </c>
      <c r="R1794" s="20">
        <v>0.0</v>
      </c>
      <c r="S1794" s="20">
        <v>0.0</v>
      </c>
      <c r="T1794" s="20">
        <v>0.0</v>
      </c>
      <c r="U1794" s="20">
        <v>0.0</v>
      </c>
    </row>
    <row r="1795" ht="23.25" customHeight="1">
      <c r="A1795" s="17" t="str">
        <f>IF(COUNTIF('Icon Lookup'!C:C,B1795)&gt;0,LOOKUP(B1795,'Icon Lookup'!C:C,'Icon Lookup'!B:B),"")</f>
        <v/>
      </c>
      <c r="B1795" s="18" t="s">
        <v>685</v>
      </c>
      <c r="C1795" s="17" t="s">
        <v>17</v>
      </c>
      <c r="D1795" s="17">
        <v>29.0</v>
      </c>
      <c r="E1795" s="17" t="s">
        <v>58</v>
      </c>
      <c r="G1795" s="19"/>
      <c r="H1795" s="20" t="s">
        <v>686</v>
      </c>
      <c r="I1795" s="17" t="s">
        <v>52</v>
      </c>
      <c r="J1795" s="17">
        <v>0.0</v>
      </c>
      <c r="K1795" s="17">
        <v>0.0</v>
      </c>
      <c r="L1795" s="17">
        <v>0.0</v>
      </c>
      <c r="M1795" s="17">
        <v>0.0</v>
      </c>
      <c r="N1795" s="17">
        <v>0.0</v>
      </c>
      <c r="O1795" s="17">
        <v>0.0</v>
      </c>
      <c r="P1795" s="17">
        <v>0.0</v>
      </c>
      <c r="Q1795" s="17">
        <v>0.0</v>
      </c>
      <c r="R1795" s="17">
        <v>0.0</v>
      </c>
      <c r="S1795" s="17">
        <v>0.0</v>
      </c>
      <c r="T1795" s="17">
        <v>0.0</v>
      </c>
      <c r="U1795" s="17">
        <v>0.0</v>
      </c>
    </row>
    <row r="1796" ht="23.25" customHeight="1">
      <c r="A1796" s="1" t="str">
        <f>IF(COUNTIF('Icon Lookup'!C:C,B1796)&gt;0,LOOKUP(B1796,'Icon Lookup'!C:C,'Icon Lookup'!B:B),"")</f>
        <v/>
      </c>
      <c r="B1796" s="15" t="s">
        <v>2256</v>
      </c>
      <c r="C1796" s="1" t="s">
        <v>17</v>
      </c>
      <c r="D1796" s="1" t="s">
        <v>56</v>
      </c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</row>
    <row r="1797" ht="23.25" customHeight="1">
      <c r="A1797" s="20" t="str">
        <f>IF(COUNTIF('Icon Lookup'!C:C,B1797)&gt;0,LOOKUP(B1797,'Icon Lookup'!C:C,'Icon Lookup'!B:B),"")</f>
        <v/>
      </c>
      <c r="B1797" s="21" t="s">
        <v>697</v>
      </c>
      <c r="C1797" s="20" t="s">
        <v>17</v>
      </c>
      <c r="D1797" s="20">
        <v>53.0</v>
      </c>
      <c r="E1797" s="20" t="s">
        <v>258</v>
      </c>
      <c r="G1797" s="22"/>
      <c r="H1797" s="23" t="s">
        <v>2257</v>
      </c>
      <c r="I1797" s="20" t="s">
        <v>52</v>
      </c>
      <c r="J1797" s="20">
        <v>0.0</v>
      </c>
      <c r="K1797" s="20">
        <v>0.0</v>
      </c>
      <c r="L1797" s="20">
        <v>0.0</v>
      </c>
      <c r="M1797" s="20">
        <v>0.0</v>
      </c>
      <c r="N1797" s="20">
        <v>0.0</v>
      </c>
      <c r="O1797" s="20">
        <v>0.0</v>
      </c>
      <c r="P1797" s="20">
        <v>0.0</v>
      </c>
      <c r="Q1797" s="20">
        <v>0.0</v>
      </c>
      <c r="R1797" s="20">
        <v>0.0</v>
      </c>
      <c r="S1797" s="20">
        <v>0.0</v>
      </c>
      <c r="T1797" s="20">
        <v>0.0</v>
      </c>
      <c r="U1797" s="20">
        <v>0.0</v>
      </c>
    </row>
    <row r="1798" ht="23.25" customHeight="1">
      <c r="A1798" s="17" t="str">
        <f>IF(COUNTIF('Icon Lookup'!C:C,B1798)&gt;0,LOOKUP(B1798,'Icon Lookup'!C:C,'Icon Lookup'!B:B),"")</f>
        <v/>
      </c>
      <c r="B1798" s="18" t="s">
        <v>687</v>
      </c>
      <c r="C1798" s="17" t="s">
        <v>17</v>
      </c>
      <c r="D1798" s="17">
        <v>53.0</v>
      </c>
      <c r="E1798" s="17" t="s">
        <v>258</v>
      </c>
      <c r="G1798" s="19"/>
      <c r="H1798" s="20" t="s">
        <v>2258</v>
      </c>
      <c r="I1798" s="17" t="s">
        <v>52</v>
      </c>
      <c r="J1798" s="17">
        <v>0.0</v>
      </c>
      <c r="K1798" s="17">
        <v>0.0</v>
      </c>
      <c r="L1798" s="17">
        <v>0.0</v>
      </c>
      <c r="M1798" s="17">
        <v>0.0</v>
      </c>
      <c r="N1798" s="17">
        <v>0.0</v>
      </c>
      <c r="O1798" s="17">
        <v>0.0</v>
      </c>
      <c r="P1798" s="17">
        <v>0.0</v>
      </c>
      <c r="Q1798" s="17">
        <v>0.0</v>
      </c>
      <c r="R1798" s="17">
        <v>0.0</v>
      </c>
      <c r="S1798" s="17">
        <v>0.0</v>
      </c>
      <c r="T1798" s="17">
        <v>0.0</v>
      </c>
      <c r="U1798" s="17">
        <v>0.0</v>
      </c>
    </row>
    <row r="1799" ht="23.25" customHeight="1">
      <c r="A1799" s="1" t="str">
        <f>IF(COUNTIF('Icon Lookup'!C:C,B1799)&gt;0,LOOKUP(B1799,'Icon Lookup'!C:C,'Icon Lookup'!B:B),"")</f>
        <v/>
      </c>
      <c r="B1799" s="15" t="s">
        <v>2259</v>
      </c>
      <c r="C1799" s="1" t="s">
        <v>17</v>
      </c>
      <c r="D1799" s="1" t="s">
        <v>1168</v>
      </c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</row>
    <row r="1800" ht="23.25" customHeight="1">
      <c r="A1800" s="20" t="str">
        <f>IF(COUNTIF('Icon Lookup'!C:C,B1800)&gt;0,LOOKUP(B1800,'Icon Lookup'!C:C,'Icon Lookup'!B:B),"")</f>
        <v/>
      </c>
      <c r="B1800" s="21" t="s">
        <v>110</v>
      </c>
      <c r="C1800" s="20" t="s">
        <v>17</v>
      </c>
      <c r="D1800" s="20">
        <v>28.0</v>
      </c>
      <c r="E1800" s="20" t="s">
        <v>111</v>
      </c>
      <c r="G1800" s="22"/>
      <c r="H1800" s="23" t="s">
        <v>453</v>
      </c>
      <c r="I1800" s="20" t="s">
        <v>22</v>
      </c>
      <c r="J1800" s="20">
        <v>0.0</v>
      </c>
      <c r="K1800" s="20">
        <v>0.0</v>
      </c>
      <c r="L1800" s="20">
        <v>0.0</v>
      </c>
      <c r="M1800" s="20">
        <v>0.0</v>
      </c>
      <c r="N1800" s="20">
        <v>0.0</v>
      </c>
      <c r="O1800" s="20">
        <v>0.0</v>
      </c>
      <c r="P1800" s="20">
        <v>0.0</v>
      </c>
      <c r="Q1800" s="20">
        <v>0.0</v>
      </c>
      <c r="R1800" s="20">
        <v>0.0</v>
      </c>
      <c r="S1800" s="20">
        <v>0.0</v>
      </c>
      <c r="T1800" s="20">
        <v>0.0</v>
      </c>
      <c r="U1800" s="20">
        <v>0.0</v>
      </c>
    </row>
    <row r="1801" ht="23.25" customHeight="1">
      <c r="A1801" s="17" t="str">
        <f>IF(COUNTIF('Icon Lookup'!C:C,B1801)&gt;0,LOOKUP(B1801,'Icon Lookup'!C:C,'Icon Lookup'!B:B),"")</f>
        <v/>
      </c>
      <c r="B1801" s="18" t="s">
        <v>271</v>
      </c>
      <c r="C1801" s="17" t="s">
        <v>17</v>
      </c>
      <c r="D1801" s="17">
        <v>30.0</v>
      </c>
      <c r="E1801" s="17" t="s">
        <v>44</v>
      </c>
      <c r="G1801" s="19"/>
      <c r="H1801" s="20" t="s">
        <v>581</v>
      </c>
      <c r="I1801" s="17" t="s">
        <v>22</v>
      </c>
      <c r="J1801" s="17">
        <v>0.0</v>
      </c>
      <c r="K1801" s="17">
        <v>0.0</v>
      </c>
      <c r="L1801" s="17">
        <v>0.0</v>
      </c>
      <c r="M1801" s="17">
        <v>0.0</v>
      </c>
      <c r="N1801" s="17">
        <v>0.0</v>
      </c>
      <c r="O1801" s="17">
        <v>0.0</v>
      </c>
      <c r="P1801" s="17">
        <v>0.0</v>
      </c>
      <c r="Q1801" s="17">
        <v>0.0</v>
      </c>
      <c r="R1801" s="17">
        <v>0.0</v>
      </c>
      <c r="S1801" s="17">
        <v>0.0</v>
      </c>
      <c r="T1801" s="17">
        <v>0.0</v>
      </c>
      <c r="U1801" s="17">
        <v>0.0</v>
      </c>
    </row>
    <row r="1802" ht="23.25" customHeight="1">
      <c r="A1802" s="1" t="str">
        <f>IF(COUNTIF('Icon Lookup'!C:C,B1802)&gt;0,LOOKUP(B1802,'Icon Lookup'!C:C,'Icon Lookup'!B:B),"")</f>
        <v/>
      </c>
      <c r="B1802" s="15" t="s">
        <v>2260</v>
      </c>
      <c r="C1802" s="1" t="s">
        <v>17</v>
      </c>
      <c r="D1802" s="1" t="s">
        <v>1168</v>
      </c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</row>
    <row r="1803" ht="23.25" customHeight="1">
      <c r="A1803" s="20" t="str">
        <f>IF(COUNTIF('Icon Lookup'!C:C,B1803)&gt;0,LOOKUP(B1803,'Icon Lookup'!C:C,'Icon Lookup'!B:B),"")</f>
        <v/>
      </c>
      <c r="B1803" s="21" t="s">
        <v>515</v>
      </c>
      <c r="C1803" s="20" t="s">
        <v>17</v>
      </c>
      <c r="D1803" s="20">
        <v>38.0</v>
      </c>
      <c r="E1803" s="20" t="s">
        <v>111</v>
      </c>
      <c r="G1803" s="22"/>
      <c r="H1803" s="23" t="s">
        <v>2261</v>
      </c>
      <c r="I1803" s="20" t="s">
        <v>22</v>
      </c>
      <c r="J1803" s="20">
        <v>0.0</v>
      </c>
      <c r="K1803" s="20">
        <v>0.0</v>
      </c>
      <c r="L1803" s="20">
        <v>0.0</v>
      </c>
      <c r="M1803" s="20">
        <v>0.0</v>
      </c>
      <c r="N1803" s="20">
        <v>0.0</v>
      </c>
      <c r="O1803" s="20">
        <v>0.0</v>
      </c>
      <c r="P1803" s="20">
        <v>0.0</v>
      </c>
      <c r="Q1803" s="20">
        <v>0.0</v>
      </c>
      <c r="R1803" s="20">
        <v>0.0</v>
      </c>
      <c r="S1803" s="20">
        <v>0.0</v>
      </c>
      <c r="T1803" s="20">
        <v>0.0</v>
      </c>
      <c r="U1803" s="20">
        <v>0.0</v>
      </c>
    </row>
    <row r="1804" ht="23.25" customHeight="1">
      <c r="A1804" s="17" t="str">
        <f>IF(COUNTIF('Icon Lookup'!C:C,B1804)&gt;0,LOOKUP(B1804,'Icon Lookup'!C:C,'Icon Lookup'!B:B),"")</f>
        <v/>
      </c>
      <c r="B1804" s="18" t="s">
        <v>271</v>
      </c>
      <c r="C1804" s="17" t="s">
        <v>17</v>
      </c>
      <c r="D1804" s="17">
        <v>38.0</v>
      </c>
      <c r="E1804" s="17" t="s">
        <v>44</v>
      </c>
      <c r="G1804" s="19"/>
      <c r="H1804" s="20" t="s">
        <v>2262</v>
      </c>
      <c r="I1804" s="17" t="s">
        <v>22</v>
      </c>
      <c r="J1804" s="17">
        <v>0.0</v>
      </c>
      <c r="K1804" s="17">
        <v>0.0</v>
      </c>
      <c r="L1804" s="17">
        <v>0.0</v>
      </c>
      <c r="M1804" s="17">
        <v>0.0</v>
      </c>
      <c r="N1804" s="17">
        <v>0.0</v>
      </c>
      <c r="O1804" s="17">
        <v>0.0</v>
      </c>
      <c r="P1804" s="17">
        <v>0.0</v>
      </c>
      <c r="Q1804" s="17">
        <v>0.0</v>
      </c>
      <c r="R1804" s="17">
        <v>0.0</v>
      </c>
      <c r="S1804" s="17">
        <v>0.0</v>
      </c>
      <c r="T1804" s="17">
        <v>0.0</v>
      </c>
      <c r="U1804" s="17">
        <v>0.0</v>
      </c>
    </row>
    <row r="1805" ht="23.25" customHeight="1">
      <c r="A1805" s="1" t="str">
        <f>IF(COUNTIF('Icon Lookup'!C:C,B1805)&gt;0,LOOKUP(B1805,'Icon Lookup'!C:C,'Icon Lookup'!B:B),"")</f>
        <v/>
      </c>
      <c r="B1805" s="15" t="s">
        <v>2263</v>
      </c>
      <c r="C1805" s="1" t="s">
        <v>17</v>
      </c>
      <c r="D1805" s="1" t="s">
        <v>1168</v>
      </c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</row>
    <row r="1806" ht="23.25" customHeight="1">
      <c r="A1806" s="20" t="str">
        <f>IF(COUNTIF('Icon Lookup'!C:C,B1806)&gt;0,LOOKUP(B1806,'Icon Lookup'!C:C,'Icon Lookup'!B:B),"")</f>
        <v/>
      </c>
      <c r="B1806" s="21" t="s">
        <v>515</v>
      </c>
      <c r="C1806" s="20" t="s">
        <v>17</v>
      </c>
      <c r="D1806" s="20">
        <v>53.0</v>
      </c>
      <c r="E1806" s="20" t="s">
        <v>111</v>
      </c>
      <c r="G1806" s="22"/>
      <c r="H1806" s="23" t="s">
        <v>2261</v>
      </c>
      <c r="I1806" s="20" t="s">
        <v>22</v>
      </c>
      <c r="J1806" s="20">
        <v>0.0</v>
      </c>
      <c r="K1806" s="20">
        <v>0.0</v>
      </c>
      <c r="L1806" s="20">
        <v>0.0</v>
      </c>
      <c r="M1806" s="20">
        <v>0.0</v>
      </c>
      <c r="N1806" s="20">
        <v>0.0</v>
      </c>
      <c r="O1806" s="20">
        <v>0.0</v>
      </c>
      <c r="P1806" s="20">
        <v>0.0</v>
      </c>
      <c r="Q1806" s="20">
        <v>0.0</v>
      </c>
      <c r="R1806" s="20">
        <v>0.0</v>
      </c>
      <c r="S1806" s="20">
        <v>0.0</v>
      </c>
      <c r="T1806" s="20">
        <v>0.0</v>
      </c>
      <c r="U1806" s="20">
        <v>0.0</v>
      </c>
    </row>
    <row r="1807" ht="23.25" customHeight="1">
      <c r="A1807" s="17" t="str">
        <f>IF(COUNTIF('Icon Lookup'!C:C,B1807)&gt;0,LOOKUP(B1807,'Icon Lookup'!C:C,'Icon Lookup'!B:B),"")</f>
        <v/>
      </c>
      <c r="B1807" s="18" t="s">
        <v>921</v>
      </c>
      <c r="C1807" s="17" t="s">
        <v>17</v>
      </c>
      <c r="D1807" s="17">
        <v>53.0</v>
      </c>
      <c r="E1807" s="17" t="s">
        <v>44</v>
      </c>
      <c r="G1807" s="19"/>
      <c r="H1807" s="20" t="s">
        <v>2264</v>
      </c>
      <c r="I1807" s="17" t="s">
        <v>22</v>
      </c>
      <c r="J1807" s="17">
        <v>0.0</v>
      </c>
      <c r="K1807" s="17">
        <v>0.0</v>
      </c>
      <c r="L1807" s="17">
        <v>0.0</v>
      </c>
      <c r="M1807" s="17">
        <v>0.0</v>
      </c>
      <c r="N1807" s="17">
        <v>0.0</v>
      </c>
      <c r="O1807" s="17">
        <v>0.0</v>
      </c>
      <c r="P1807" s="17">
        <v>0.0</v>
      </c>
      <c r="Q1807" s="17">
        <v>0.0</v>
      </c>
      <c r="R1807" s="17">
        <v>0.0</v>
      </c>
      <c r="S1807" s="17">
        <v>0.0</v>
      </c>
      <c r="T1807" s="17">
        <v>0.0</v>
      </c>
      <c r="U1807" s="17">
        <v>0.0</v>
      </c>
    </row>
    <row r="1808" ht="23.25" customHeight="1">
      <c r="A1808" s="1" t="str">
        <f>IF(COUNTIF('Icon Lookup'!C:C,B1808)&gt;0,LOOKUP(B1808,'Icon Lookup'!C:C,'Icon Lookup'!B:B),"")</f>
        <v/>
      </c>
      <c r="B1808" s="15" t="s">
        <v>2265</v>
      </c>
      <c r="C1808" s="1" t="s">
        <v>17</v>
      </c>
      <c r="D1808" s="1" t="s">
        <v>1468</v>
      </c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</row>
    <row r="1809" ht="23.25" customHeight="1">
      <c r="A1809" s="20" t="str">
        <f>IF(COUNTIF('Icon Lookup'!C:C,B1809)&gt;0,LOOKUP(B1809,'Icon Lookup'!C:C,'Icon Lookup'!B:B),"")</f>
        <v/>
      </c>
      <c r="B1809" s="21" t="s">
        <v>815</v>
      </c>
      <c r="C1809" s="20" t="s">
        <v>17</v>
      </c>
      <c r="D1809" s="20">
        <v>19.0</v>
      </c>
      <c r="E1809" s="20" t="s">
        <v>374</v>
      </c>
      <c r="G1809" s="22"/>
      <c r="H1809" s="23" t="s">
        <v>2266</v>
      </c>
      <c r="I1809" s="20" t="s">
        <v>40</v>
      </c>
      <c r="J1809" s="20">
        <v>0.0</v>
      </c>
      <c r="K1809" s="20">
        <v>0.0</v>
      </c>
      <c r="L1809" s="20">
        <v>0.0</v>
      </c>
      <c r="M1809" s="20">
        <v>0.0</v>
      </c>
      <c r="N1809" s="20">
        <v>0.0</v>
      </c>
      <c r="O1809" s="20">
        <v>0.0</v>
      </c>
      <c r="P1809" s="20">
        <v>0.0</v>
      </c>
      <c r="Q1809" s="20">
        <v>0.0</v>
      </c>
      <c r="R1809" s="20">
        <v>0.0</v>
      </c>
      <c r="S1809" s="20">
        <v>0.0</v>
      </c>
      <c r="T1809" s="20">
        <v>0.0</v>
      </c>
      <c r="U1809" s="20">
        <v>0.0</v>
      </c>
    </row>
    <row r="1810" ht="23.25" customHeight="1">
      <c r="A1810" s="1" t="str">
        <f>IF(COUNTIF('Icon Lookup'!C:C,B1810)&gt;0,LOOKUP(B1810,'Icon Lookup'!C:C,'Icon Lookup'!B:B),"")</f>
        <v/>
      </c>
      <c r="B1810" s="15" t="s">
        <v>2267</v>
      </c>
      <c r="C1810" s="1" t="s">
        <v>17</v>
      </c>
      <c r="D1810" s="1" t="s">
        <v>1468</v>
      </c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</row>
    <row r="1811" ht="23.25" customHeight="1">
      <c r="A1811" s="17" t="str">
        <f>IF(COUNTIF('Icon Lookup'!C:C,B1811)&gt;0,LOOKUP(B1811,'Icon Lookup'!C:C,'Icon Lookup'!B:B),"")</f>
        <v/>
      </c>
      <c r="B1811" s="18" t="s">
        <v>373</v>
      </c>
      <c r="C1811" s="17" t="s">
        <v>17</v>
      </c>
      <c r="D1811" s="17">
        <v>31.0</v>
      </c>
      <c r="E1811" s="17" t="s">
        <v>374</v>
      </c>
      <c r="G1811" s="19"/>
      <c r="H1811" s="20" t="s">
        <v>2268</v>
      </c>
      <c r="I1811" s="17" t="s">
        <v>40</v>
      </c>
      <c r="J1811" s="17">
        <v>0.0</v>
      </c>
      <c r="K1811" s="17">
        <v>0.0</v>
      </c>
      <c r="L1811" s="17">
        <v>0.0</v>
      </c>
      <c r="M1811" s="17">
        <v>0.0</v>
      </c>
      <c r="N1811" s="17">
        <v>0.0</v>
      </c>
      <c r="O1811" s="17">
        <v>0.0</v>
      </c>
      <c r="P1811" s="17">
        <v>0.0</v>
      </c>
      <c r="Q1811" s="17">
        <v>0.0</v>
      </c>
      <c r="R1811" s="17">
        <v>0.0</v>
      </c>
      <c r="S1811" s="17">
        <v>0.0</v>
      </c>
      <c r="T1811" s="17">
        <v>0.0</v>
      </c>
      <c r="U1811" s="17">
        <v>0.0</v>
      </c>
    </row>
    <row r="1812" ht="23.25" customHeight="1">
      <c r="A1812" s="1" t="str">
        <f>IF(COUNTIF('Icon Lookup'!C:C,B1812)&gt;0,LOOKUP(B1812,'Icon Lookup'!C:C,'Icon Lookup'!B:B),"")</f>
        <v/>
      </c>
      <c r="B1812" s="15" t="s">
        <v>2269</v>
      </c>
      <c r="C1812" s="1" t="s">
        <v>17</v>
      </c>
      <c r="D1812" s="1" t="s">
        <v>1468</v>
      </c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</row>
    <row r="1813" ht="23.25" customHeight="1">
      <c r="A1813" s="20" t="str">
        <f>IF(COUNTIF('Icon Lookup'!C:C,B1813)&gt;0,LOOKUP(B1813,'Icon Lookup'!C:C,'Icon Lookup'!B:B),"")</f>
        <v/>
      </c>
      <c r="B1813" s="21" t="s">
        <v>737</v>
      </c>
      <c r="C1813" s="20" t="s">
        <v>17</v>
      </c>
      <c r="D1813" s="20">
        <v>55.0</v>
      </c>
      <c r="E1813" s="20" t="s">
        <v>374</v>
      </c>
      <c r="G1813" s="22"/>
      <c r="H1813" s="23" t="s">
        <v>2270</v>
      </c>
      <c r="I1813" s="20" t="s">
        <v>40</v>
      </c>
      <c r="J1813" s="20">
        <v>0.0</v>
      </c>
      <c r="K1813" s="20">
        <v>0.0</v>
      </c>
      <c r="L1813" s="20">
        <v>0.0</v>
      </c>
      <c r="M1813" s="20">
        <v>0.0</v>
      </c>
      <c r="N1813" s="20">
        <v>0.0</v>
      </c>
      <c r="O1813" s="20">
        <v>0.0</v>
      </c>
      <c r="P1813" s="20">
        <v>0.0</v>
      </c>
      <c r="Q1813" s="20">
        <v>0.0</v>
      </c>
      <c r="R1813" s="20">
        <v>0.0</v>
      </c>
      <c r="S1813" s="20">
        <v>0.0</v>
      </c>
      <c r="T1813" s="20">
        <v>0.0</v>
      </c>
      <c r="U1813" s="20">
        <v>0.0</v>
      </c>
    </row>
    <row r="1814" ht="23.25" customHeight="1">
      <c r="A1814" s="1" t="str">
        <f>IF(COUNTIF('Icon Lookup'!C:C,B1814)&gt;0,LOOKUP(B1814,'Icon Lookup'!C:C,'Icon Lookup'!B:B),"")</f>
        <v/>
      </c>
      <c r="B1814" s="15" t="s">
        <v>2271</v>
      </c>
      <c r="C1814" s="1" t="s">
        <v>17</v>
      </c>
      <c r="D1814" s="1" t="s">
        <v>228</v>
      </c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</row>
    <row r="1815" ht="23.25" customHeight="1">
      <c r="A1815" s="17" t="str">
        <f>IF(COUNTIF('Icon Lookup'!C:C,B1815)&gt;0,LOOKUP(B1815,'Icon Lookup'!C:C,'Icon Lookup'!B:B),"")</f>
        <v/>
      </c>
      <c r="B1815" s="18" t="s">
        <v>136</v>
      </c>
      <c r="C1815" s="17" t="s">
        <v>17</v>
      </c>
      <c r="D1815" s="17">
        <v>31.0</v>
      </c>
      <c r="E1815" s="17" t="s">
        <v>137</v>
      </c>
      <c r="G1815" s="19"/>
      <c r="H1815" s="20" t="s">
        <v>2272</v>
      </c>
      <c r="I1815" s="17" t="s">
        <v>40</v>
      </c>
      <c r="J1815" s="17">
        <v>0.0</v>
      </c>
      <c r="K1815" s="17">
        <v>0.0</v>
      </c>
      <c r="L1815" s="17">
        <v>0.0</v>
      </c>
      <c r="M1815" s="17">
        <v>0.0</v>
      </c>
      <c r="N1815" s="17">
        <v>0.0</v>
      </c>
      <c r="O1815" s="17">
        <v>0.0</v>
      </c>
      <c r="P1815" s="17">
        <v>0.0</v>
      </c>
      <c r="Q1815" s="17">
        <v>0.0</v>
      </c>
      <c r="R1815" s="17">
        <v>0.0</v>
      </c>
      <c r="S1815" s="17">
        <v>0.0</v>
      </c>
      <c r="T1815" s="17">
        <v>0.0</v>
      </c>
      <c r="U1815" s="17">
        <v>0.0</v>
      </c>
    </row>
    <row r="1816" ht="23.25" customHeight="1">
      <c r="A1816" s="1" t="str">
        <f>IF(COUNTIF('Icon Lookup'!C:C,B1816)&gt;0,LOOKUP(B1816,'Icon Lookup'!C:C,'Icon Lookup'!B:B),"")</f>
        <v/>
      </c>
      <c r="B1816" s="15" t="s">
        <v>2273</v>
      </c>
      <c r="C1816" s="1" t="s">
        <v>17</v>
      </c>
      <c r="D1816" s="1" t="s">
        <v>228</v>
      </c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</row>
    <row r="1817" ht="23.25" customHeight="1">
      <c r="A1817" s="20" t="str">
        <f>IF(COUNTIF('Icon Lookup'!C:C,B1817)&gt;0,LOOKUP(B1817,'Icon Lookup'!C:C,'Icon Lookup'!B:B),"")</f>
        <v/>
      </c>
      <c r="B1817" s="21" t="s">
        <v>136</v>
      </c>
      <c r="C1817" s="20" t="s">
        <v>17</v>
      </c>
      <c r="D1817" s="20">
        <v>40.0</v>
      </c>
      <c r="E1817" s="20" t="s">
        <v>137</v>
      </c>
      <c r="G1817" s="22"/>
      <c r="H1817" s="23" t="s">
        <v>2274</v>
      </c>
      <c r="I1817" s="20" t="s">
        <v>40</v>
      </c>
      <c r="J1817" s="20">
        <v>0.0</v>
      </c>
      <c r="K1817" s="20">
        <v>0.0</v>
      </c>
      <c r="L1817" s="20">
        <v>0.0</v>
      </c>
      <c r="M1817" s="20">
        <v>0.0</v>
      </c>
      <c r="N1817" s="20">
        <v>0.0</v>
      </c>
      <c r="O1817" s="20">
        <v>0.0</v>
      </c>
      <c r="P1817" s="20">
        <v>0.0</v>
      </c>
      <c r="Q1817" s="20">
        <v>0.0</v>
      </c>
      <c r="R1817" s="20">
        <v>0.0</v>
      </c>
      <c r="S1817" s="20">
        <v>0.0</v>
      </c>
      <c r="T1817" s="20">
        <v>0.0</v>
      </c>
      <c r="U1817" s="20">
        <v>0.0</v>
      </c>
    </row>
    <row r="1818" ht="23.25" customHeight="1">
      <c r="A1818" s="1" t="str">
        <f>IF(COUNTIF('Icon Lookup'!C:C,B1818)&gt;0,LOOKUP(B1818,'Icon Lookup'!C:C,'Icon Lookup'!B:B),"")</f>
        <v/>
      </c>
      <c r="B1818" s="15" t="s">
        <v>2275</v>
      </c>
      <c r="C1818" s="1" t="s">
        <v>17</v>
      </c>
      <c r="D1818" s="1" t="s">
        <v>228</v>
      </c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</row>
    <row r="1819" ht="23.25" customHeight="1">
      <c r="A1819" s="17" t="str">
        <f>IF(COUNTIF('Icon Lookup'!C:C,B1819)&gt;0,LOOKUP(B1819,'Icon Lookup'!C:C,'Icon Lookup'!B:B),"")</f>
        <v/>
      </c>
      <c r="B1819" s="18" t="s">
        <v>136</v>
      </c>
      <c r="C1819" s="17" t="s">
        <v>17</v>
      </c>
      <c r="D1819" s="17">
        <v>55.0</v>
      </c>
      <c r="E1819" s="17" t="s">
        <v>137</v>
      </c>
      <c r="G1819" s="19"/>
      <c r="H1819" s="20" t="s">
        <v>2276</v>
      </c>
      <c r="I1819" s="17" t="s">
        <v>40</v>
      </c>
      <c r="J1819" s="17">
        <v>0.0</v>
      </c>
      <c r="K1819" s="17">
        <v>0.0</v>
      </c>
      <c r="L1819" s="17">
        <v>0.0</v>
      </c>
      <c r="M1819" s="17">
        <v>0.0</v>
      </c>
      <c r="N1819" s="17">
        <v>0.0</v>
      </c>
      <c r="O1819" s="17">
        <v>0.0</v>
      </c>
      <c r="P1819" s="17">
        <v>0.0</v>
      </c>
      <c r="Q1819" s="17">
        <v>0.0</v>
      </c>
      <c r="R1819" s="17">
        <v>0.0</v>
      </c>
      <c r="S1819" s="17">
        <v>0.0</v>
      </c>
      <c r="T1819" s="17">
        <v>0.0</v>
      </c>
      <c r="U1819" s="17">
        <v>0.0</v>
      </c>
    </row>
    <row r="1820" ht="23.25" customHeight="1">
      <c r="A1820" s="1" t="str">
        <f>IF(COUNTIF('Icon Lookup'!C:C,B1820)&gt;0,LOOKUP(B1820,'Icon Lookup'!C:C,'Icon Lookup'!B:B),"")</f>
        <v/>
      </c>
      <c r="B1820" s="15" t="s">
        <v>2277</v>
      </c>
      <c r="C1820" s="1" t="s">
        <v>17</v>
      </c>
      <c r="D1820" s="1" t="s">
        <v>1188</v>
      </c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</row>
    <row r="1821" ht="23.25" customHeight="1">
      <c r="A1821" s="20" t="str">
        <f>IF(COUNTIF('Icon Lookup'!C:C,B1821)&gt;0,LOOKUP(B1821,'Icon Lookup'!C:C,'Icon Lookup'!B:B),"")</f>
        <v/>
      </c>
      <c r="B1821" s="21" t="s">
        <v>302</v>
      </c>
      <c r="C1821" s="20" t="s">
        <v>17</v>
      </c>
      <c r="D1821" s="20">
        <v>28.0</v>
      </c>
      <c r="E1821" s="20" t="s">
        <v>20</v>
      </c>
      <c r="G1821" s="22"/>
      <c r="H1821" s="23" t="s">
        <v>2278</v>
      </c>
      <c r="I1821" s="20" t="s">
        <v>52</v>
      </c>
      <c r="J1821" s="20">
        <v>0.0</v>
      </c>
      <c r="K1821" s="20">
        <v>0.0</v>
      </c>
      <c r="L1821" s="20">
        <v>0.0</v>
      </c>
      <c r="M1821" s="20">
        <v>0.0</v>
      </c>
      <c r="N1821" s="20">
        <v>0.0</v>
      </c>
      <c r="O1821" s="20">
        <v>0.0</v>
      </c>
      <c r="P1821" s="20">
        <v>0.0</v>
      </c>
      <c r="Q1821" s="20">
        <v>0.0</v>
      </c>
      <c r="R1821" s="20">
        <v>0.0</v>
      </c>
      <c r="S1821" s="20">
        <v>0.0</v>
      </c>
      <c r="T1821" s="20">
        <v>0.0</v>
      </c>
      <c r="U1821" s="20">
        <v>0.0</v>
      </c>
    </row>
    <row r="1822" ht="23.25" customHeight="1">
      <c r="A1822" s="17" t="str">
        <f>IF(COUNTIF('Icon Lookup'!C:C,B1822)&gt;0,LOOKUP(B1822,'Icon Lookup'!C:C,'Icon Lookup'!B:B),"")</f>
        <v/>
      </c>
      <c r="B1822" s="18" t="s">
        <v>275</v>
      </c>
      <c r="C1822" s="17" t="s">
        <v>17</v>
      </c>
      <c r="D1822" s="17">
        <v>30.0</v>
      </c>
      <c r="E1822" s="17" t="s">
        <v>91</v>
      </c>
      <c r="G1822" s="19"/>
      <c r="H1822" s="20" t="s">
        <v>168</v>
      </c>
      <c r="I1822" s="17" t="s">
        <v>22</v>
      </c>
      <c r="J1822" s="17">
        <v>0.0</v>
      </c>
      <c r="K1822" s="17">
        <v>0.0</v>
      </c>
      <c r="L1822" s="17">
        <v>0.0</v>
      </c>
      <c r="M1822" s="17">
        <v>0.0</v>
      </c>
      <c r="N1822" s="17">
        <v>0.0</v>
      </c>
      <c r="O1822" s="17">
        <v>0.0</v>
      </c>
      <c r="P1822" s="17">
        <v>0.0</v>
      </c>
      <c r="Q1822" s="17">
        <v>0.0</v>
      </c>
      <c r="R1822" s="17">
        <v>0.0</v>
      </c>
      <c r="S1822" s="17">
        <v>0.0</v>
      </c>
      <c r="T1822" s="17">
        <v>0.0</v>
      </c>
      <c r="U1822" s="17">
        <v>0.0</v>
      </c>
    </row>
    <row r="1823" ht="23.25" customHeight="1">
      <c r="A1823" s="1" t="str">
        <f>IF(COUNTIF('Icon Lookup'!C:C,B1823)&gt;0,LOOKUP(B1823,'Icon Lookup'!C:C,'Icon Lookup'!B:B),"")</f>
        <v/>
      </c>
      <c r="B1823" s="15" t="s">
        <v>2279</v>
      </c>
      <c r="C1823" s="1" t="s">
        <v>17</v>
      </c>
      <c r="D1823" s="1" t="s">
        <v>1188</v>
      </c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</row>
    <row r="1824" ht="23.25" customHeight="1">
      <c r="A1824" s="20" t="str">
        <f>IF(COUNTIF('Icon Lookup'!C:C,B1824)&gt;0,LOOKUP(B1824,'Icon Lookup'!C:C,'Icon Lookup'!B:B),"")</f>
        <v/>
      </c>
      <c r="B1824" s="21" t="s">
        <v>304</v>
      </c>
      <c r="C1824" s="20" t="s">
        <v>17</v>
      </c>
      <c r="D1824" s="20">
        <v>38.0</v>
      </c>
      <c r="E1824" s="20" t="s">
        <v>20</v>
      </c>
      <c r="G1824" s="22"/>
      <c r="H1824" s="23" t="s">
        <v>2280</v>
      </c>
      <c r="I1824" s="20" t="s">
        <v>52</v>
      </c>
      <c r="J1824" s="20">
        <v>0.0</v>
      </c>
      <c r="K1824" s="20">
        <v>0.0</v>
      </c>
      <c r="L1824" s="20">
        <v>0.0</v>
      </c>
      <c r="M1824" s="20">
        <v>0.0</v>
      </c>
      <c r="N1824" s="20">
        <v>0.0</v>
      </c>
      <c r="O1824" s="20">
        <v>0.0</v>
      </c>
      <c r="P1824" s="20">
        <v>0.0</v>
      </c>
      <c r="Q1824" s="20">
        <v>0.0</v>
      </c>
      <c r="R1824" s="20">
        <v>0.0</v>
      </c>
      <c r="S1824" s="20">
        <v>0.0</v>
      </c>
      <c r="T1824" s="20">
        <v>0.0</v>
      </c>
      <c r="U1824" s="20">
        <v>0.0</v>
      </c>
    </row>
    <row r="1825" ht="23.25" customHeight="1">
      <c r="A1825" s="17" t="str">
        <f>IF(COUNTIF('Icon Lookup'!C:C,B1825)&gt;0,LOOKUP(B1825,'Icon Lookup'!C:C,'Icon Lookup'!B:B),"")</f>
        <v/>
      </c>
      <c r="B1825" s="18" t="s">
        <v>275</v>
      </c>
      <c r="C1825" s="17" t="s">
        <v>17</v>
      </c>
      <c r="D1825" s="17">
        <v>40.0</v>
      </c>
      <c r="E1825" s="17" t="s">
        <v>91</v>
      </c>
      <c r="G1825" s="19"/>
      <c r="H1825" s="20" t="s">
        <v>623</v>
      </c>
      <c r="I1825" s="17" t="s">
        <v>22</v>
      </c>
      <c r="J1825" s="17">
        <v>0.0</v>
      </c>
      <c r="K1825" s="17">
        <v>0.0</v>
      </c>
      <c r="L1825" s="17">
        <v>0.0</v>
      </c>
      <c r="M1825" s="17">
        <v>0.0</v>
      </c>
      <c r="N1825" s="17">
        <v>0.0</v>
      </c>
      <c r="O1825" s="17">
        <v>0.0</v>
      </c>
      <c r="P1825" s="17">
        <v>0.0</v>
      </c>
      <c r="Q1825" s="17">
        <v>0.0</v>
      </c>
      <c r="R1825" s="17">
        <v>0.0</v>
      </c>
      <c r="S1825" s="17">
        <v>0.0</v>
      </c>
      <c r="T1825" s="17">
        <v>0.0</v>
      </c>
      <c r="U1825" s="17">
        <v>0.0</v>
      </c>
    </row>
    <row r="1826" ht="23.25" customHeight="1">
      <c r="A1826" s="1" t="str">
        <f>IF(COUNTIF('Icon Lookup'!C:C,B1826)&gt;0,LOOKUP(B1826,'Icon Lookup'!C:C,'Icon Lookup'!B:B),"")</f>
        <v/>
      </c>
      <c r="B1826" s="15" t="s">
        <v>2281</v>
      </c>
      <c r="C1826" s="1" t="s">
        <v>17</v>
      </c>
      <c r="D1826" s="1" t="s">
        <v>1188</v>
      </c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</row>
    <row r="1827" ht="23.25" customHeight="1">
      <c r="A1827" s="20" t="str">
        <f>IF(COUNTIF('Icon Lookup'!C:C,B1827)&gt;0,LOOKUP(B1827,'Icon Lookup'!C:C,'Icon Lookup'!B:B),"")</f>
        <v/>
      </c>
      <c r="B1827" s="21" t="s">
        <v>304</v>
      </c>
      <c r="C1827" s="20" t="s">
        <v>17</v>
      </c>
      <c r="D1827" s="20">
        <v>53.0</v>
      </c>
      <c r="E1827" s="20" t="s">
        <v>20</v>
      </c>
      <c r="G1827" s="22"/>
      <c r="H1827" s="23" t="s">
        <v>2282</v>
      </c>
      <c r="I1827" s="20" t="s">
        <v>52</v>
      </c>
      <c r="J1827" s="20">
        <v>0.0</v>
      </c>
      <c r="K1827" s="20">
        <v>0.0</v>
      </c>
      <c r="L1827" s="20">
        <v>0.0</v>
      </c>
      <c r="M1827" s="20">
        <v>0.0</v>
      </c>
      <c r="N1827" s="20">
        <v>0.0</v>
      </c>
      <c r="O1827" s="20">
        <v>0.0</v>
      </c>
      <c r="P1827" s="20">
        <v>0.0</v>
      </c>
      <c r="Q1827" s="20">
        <v>0.0</v>
      </c>
      <c r="R1827" s="20">
        <v>0.0</v>
      </c>
      <c r="S1827" s="20">
        <v>0.0</v>
      </c>
      <c r="T1827" s="20">
        <v>0.0</v>
      </c>
      <c r="U1827" s="20">
        <v>0.0</v>
      </c>
    </row>
    <row r="1828" ht="23.25" customHeight="1">
      <c r="A1828" s="17" t="str">
        <f>IF(COUNTIF('Icon Lookup'!C:C,B1828)&gt;0,LOOKUP(B1828,'Icon Lookup'!C:C,'Icon Lookup'!B:B),"")</f>
        <v/>
      </c>
      <c r="B1828" s="18" t="s">
        <v>1098</v>
      </c>
      <c r="C1828" s="17" t="s">
        <v>17</v>
      </c>
      <c r="D1828" s="17">
        <v>55.0</v>
      </c>
      <c r="E1828" s="17" t="s">
        <v>91</v>
      </c>
      <c r="G1828" s="19"/>
      <c r="H1828" s="20" t="s">
        <v>2283</v>
      </c>
      <c r="I1828" s="17" t="s">
        <v>22</v>
      </c>
      <c r="J1828" s="17">
        <v>0.0</v>
      </c>
      <c r="K1828" s="17">
        <v>0.0</v>
      </c>
      <c r="L1828" s="17">
        <v>0.0</v>
      </c>
      <c r="M1828" s="17">
        <v>0.0</v>
      </c>
      <c r="N1828" s="17">
        <v>0.0</v>
      </c>
      <c r="O1828" s="17">
        <v>0.0</v>
      </c>
      <c r="P1828" s="17">
        <v>0.0</v>
      </c>
      <c r="Q1828" s="17">
        <v>0.0</v>
      </c>
      <c r="R1828" s="17">
        <v>0.0</v>
      </c>
      <c r="S1828" s="17">
        <v>0.0</v>
      </c>
      <c r="T1828" s="17">
        <v>0.0</v>
      </c>
      <c r="U1828" s="17">
        <v>0.0</v>
      </c>
    </row>
    <row r="1829" ht="23.25" customHeight="1">
      <c r="A1829" s="1" t="str">
        <f>IF(COUNTIF('Icon Lookup'!C:C,B1829)&gt;0,LOOKUP(B1829,'Icon Lookup'!C:C,'Icon Lookup'!B:B),"")</f>
        <v/>
      </c>
      <c r="B1829" s="15" t="s">
        <v>2284</v>
      </c>
      <c r="C1829" s="1" t="s">
        <v>17</v>
      </c>
      <c r="D1829" s="1" t="s">
        <v>1195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</row>
    <row r="1830" ht="23.25" customHeight="1">
      <c r="A1830" s="20" t="str">
        <f>IF(COUNTIF('Icon Lookup'!C:C,B1830)&gt;0,LOOKUP(B1830,'Icon Lookup'!C:C,'Icon Lookup'!B:B),"")</f>
        <v/>
      </c>
      <c r="B1830" s="21" t="s">
        <v>225</v>
      </c>
      <c r="C1830" s="20" t="s">
        <v>17</v>
      </c>
      <c r="D1830" s="20">
        <v>55.0</v>
      </c>
      <c r="E1830" s="20" t="s">
        <v>26</v>
      </c>
      <c r="G1830" s="22"/>
      <c r="H1830" s="23" t="s">
        <v>2142</v>
      </c>
      <c r="I1830" s="20" t="s">
        <v>22</v>
      </c>
      <c r="J1830" s="20">
        <v>0.0</v>
      </c>
      <c r="K1830" s="20">
        <v>0.0</v>
      </c>
      <c r="L1830" s="20">
        <v>0.0</v>
      </c>
      <c r="M1830" s="20">
        <v>0.0</v>
      </c>
      <c r="N1830" s="20">
        <v>0.0</v>
      </c>
      <c r="O1830" s="20">
        <v>0.0</v>
      </c>
      <c r="P1830" s="20">
        <v>0.0</v>
      </c>
      <c r="Q1830" s="20">
        <v>0.0</v>
      </c>
      <c r="R1830" s="20">
        <v>0.0</v>
      </c>
      <c r="S1830" s="20">
        <v>0.0</v>
      </c>
      <c r="T1830" s="20">
        <v>0.0</v>
      </c>
      <c r="U1830" s="20">
        <v>0.0</v>
      </c>
    </row>
    <row r="1831" ht="23.25" customHeight="1">
      <c r="A1831" s="1" t="str">
        <f>IF(COUNTIF('Icon Lookup'!C:C,B1831)&gt;0,LOOKUP(B1831,'Icon Lookup'!C:C,'Icon Lookup'!B:B),"")</f>
        <v/>
      </c>
      <c r="B1831" s="15" t="s">
        <v>2285</v>
      </c>
      <c r="C1831" s="1" t="s">
        <v>17</v>
      </c>
      <c r="D1831" s="1" t="s">
        <v>1195</v>
      </c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</row>
    <row r="1832" ht="23.25" customHeight="1">
      <c r="A1832" s="17" t="str">
        <f>IF(COUNTIF('Icon Lookup'!C:C,B1832)&gt;0,LOOKUP(B1832,'Icon Lookup'!C:C,'Icon Lookup'!B:B),"")</f>
        <v/>
      </c>
      <c r="B1832" s="18" t="s">
        <v>225</v>
      </c>
      <c r="C1832" s="17" t="s">
        <v>17</v>
      </c>
      <c r="D1832" s="17">
        <v>60.0</v>
      </c>
      <c r="E1832" s="17" t="s">
        <v>26</v>
      </c>
      <c r="G1832" s="19"/>
      <c r="H1832" s="20" t="s">
        <v>2142</v>
      </c>
      <c r="I1832" s="17" t="s">
        <v>22</v>
      </c>
      <c r="J1832" s="17">
        <v>0.0</v>
      </c>
      <c r="K1832" s="17">
        <v>0.0</v>
      </c>
      <c r="L1832" s="17">
        <v>0.0</v>
      </c>
      <c r="M1832" s="17">
        <v>0.0</v>
      </c>
      <c r="N1832" s="17">
        <v>0.0</v>
      </c>
      <c r="O1832" s="17">
        <v>0.0</v>
      </c>
      <c r="P1832" s="17">
        <v>0.0</v>
      </c>
      <c r="Q1832" s="17">
        <v>0.0</v>
      </c>
      <c r="R1832" s="17">
        <v>0.0</v>
      </c>
      <c r="S1832" s="17">
        <v>0.0</v>
      </c>
      <c r="T1832" s="17">
        <v>0.0</v>
      </c>
      <c r="U1832" s="17">
        <v>0.0</v>
      </c>
    </row>
    <row r="1833" ht="23.25" customHeight="1">
      <c r="A1833" s="1" t="str">
        <f>IF(COUNTIF('Icon Lookup'!C:C,B1833)&gt;0,LOOKUP(B1833,'Icon Lookup'!C:C,'Icon Lookup'!B:B),"")</f>
        <v/>
      </c>
      <c r="B1833" s="15" t="s">
        <v>2286</v>
      </c>
      <c r="C1833" s="1" t="s">
        <v>17</v>
      </c>
      <c r="D1833" s="1" t="s">
        <v>335</v>
      </c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</row>
    <row r="1834" ht="23.25" customHeight="1">
      <c r="A1834" s="20" t="str">
        <f>IF(COUNTIF('Icon Lookup'!C:C,B1834)&gt;0,LOOKUP(B1834,'Icon Lookup'!C:C,'Icon Lookup'!B:B),"")</f>
        <v/>
      </c>
      <c r="B1834" s="21" t="s">
        <v>336</v>
      </c>
      <c r="C1834" s="20" t="s">
        <v>17</v>
      </c>
      <c r="D1834" s="20">
        <v>31.0</v>
      </c>
      <c r="E1834" s="20" t="s">
        <v>337</v>
      </c>
      <c r="G1834" s="22"/>
      <c r="H1834" s="23" t="s">
        <v>2287</v>
      </c>
      <c r="I1834" s="20" t="s">
        <v>22</v>
      </c>
      <c r="J1834" s="20">
        <v>0.0</v>
      </c>
      <c r="K1834" s="20">
        <v>0.0</v>
      </c>
      <c r="L1834" s="20">
        <v>0.0</v>
      </c>
      <c r="M1834" s="20">
        <v>0.0</v>
      </c>
      <c r="N1834" s="20">
        <v>0.0</v>
      </c>
      <c r="O1834" s="20">
        <v>0.0</v>
      </c>
      <c r="P1834" s="20">
        <v>0.0</v>
      </c>
      <c r="Q1834" s="20">
        <v>0.0</v>
      </c>
      <c r="R1834" s="20">
        <v>0.0</v>
      </c>
      <c r="S1834" s="20">
        <v>0.0</v>
      </c>
      <c r="T1834" s="20">
        <v>0.0</v>
      </c>
      <c r="U1834" s="20">
        <v>0.0</v>
      </c>
    </row>
    <row r="1835" ht="23.25" customHeight="1">
      <c r="A1835" s="1" t="str">
        <f>IF(COUNTIF('Icon Lookup'!C:C,B1835)&gt;0,LOOKUP(B1835,'Icon Lookup'!C:C,'Icon Lookup'!B:B),"")</f>
        <v/>
      </c>
      <c r="B1835" s="15" t="s">
        <v>2288</v>
      </c>
      <c r="C1835" s="1" t="s">
        <v>17</v>
      </c>
      <c r="D1835" s="1" t="s">
        <v>335</v>
      </c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</row>
    <row r="1836" ht="23.25" customHeight="1">
      <c r="A1836" s="17" t="str">
        <f>IF(COUNTIF('Icon Lookup'!C:C,B1836)&gt;0,LOOKUP(B1836,'Icon Lookup'!C:C,'Icon Lookup'!B:B),"")</f>
        <v/>
      </c>
      <c r="B1836" s="18" t="s">
        <v>482</v>
      </c>
      <c r="C1836" s="17" t="s">
        <v>17</v>
      </c>
      <c r="D1836" s="17">
        <v>40.0</v>
      </c>
      <c r="E1836" s="17" t="s">
        <v>337</v>
      </c>
      <c r="G1836" s="19"/>
      <c r="H1836" s="20" t="s">
        <v>2289</v>
      </c>
      <c r="I1836" s="17" t="s">
        <v>22</v>
      </c>
      <c r="J1836" s="17">
        <v>0.0</v>
      </c>
      <c r="K1836" s="17">
        <v>0.0</v>
      </c>
      <c r="L1836" s="17">
        <v>0.0</v>
      </c>
      <c r="M1836" s="17">
        <v>0.0</v>
      </c>
      <c r="N1836" s="17">
        <v>0.0</v>
      </c>
      <c r="O1836" s="17">
        <v>0.0</v>
      </c>
      <c r="P1836" s="17">
        <v>0.0</v>
      </c>
      <c r="Q1836" s="17">
        <v>0.0</v>
      </c>
      <c r="R1836" s="17">
        <v>0.0</v>
      </c>
      <c r="S1836" s="17">
        <v>0.0</v>
      </c>
      <c r="T1836" s="17">
        <v>0.0</v>
      </c>
      <c r="U1836" s="17">
        <v>0.0</v>
      </c>
    </row>
    <row r="1837" ht="23.25" customHeight="1">
      <c r="A1837" s="1" t="str">
        <f>IF(COUNTIF('Icon Lookup'!C:C,B1837)&gt;0,LOOKUP(B1837,'Icon Lookup'!C:C,'Icon Lookup'!B:B),"")</f>
        <v/>
      </c>
      <c r="B1837" s="15" t="s">
        <v>2290</v>
      </c>
      <c r="C1837" s="1" t="s">
        <v>17</v>
      </c>
      <c r="D1837" s="1" t="s">
        <v>335</v>
      </c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</row>
    <row r="1838" ht="23.25" customHeight="1">
      <c r="A1838" s="20" t="str">
        <f>IF(COUNTIF('Icon Lookup'!C:C,B1838)&gt;0,LOOKUP(B1838,'Icon Lookup'!C:C,'Icon Lookup'!B:B),"")</f>
        <v/>
      </c>
      <c r="B1838" s="21" t="s">
        <v>482</v>
      </c>
      <c r="C1838" s="20" t="s">
        <v>17</v>
      </c>
      <c r="D1838" s="20">
        <v>60.0</v>
      </c>
      <c r="E1838" s="20" t="s">
        <v>337</v>
      </c>
      <c r="G1838" s="22"/>
      <c r="H1838" s="23" t="s">
        <v>2291</v>
      </c>
      <c r="I1838" s="20" t="s">
        <v>22</v>
      </c>
      <c r="J1838" s="20">
        <v>0.0</v>
      </c>
      <c r="K1838" s="20">
        <v>0.0</v>
      </c>
      <c r="L1838" s="20">
        <v>0.0</v>
      </c>
      <c r="M1838" s="20">
        <v>0.0</v>
      </c>
      <c r="N1838" s="20">
        <v>0.0</v>
      </c>
      <c r="O1838" s="20">
        <v>0.0</v>
      </c>
      <c r="P1838" s="20">
        <v>0.0</v>
      </c>
      <c r="Q1838" s="20">
        <v>0.0</v>
      </c>
      <c r="R1838" s="20">
        <v>0.0</v>
      </c>
      <c r="S1838" s="20">
        <v>0.0</v>
      </c>
      <c r="T1838" s="20">
        <v>0.0</v>
      </c>
      <c r="U1838" s="20">
        <v>0.0</v>
      </c>
    </row>
    <row r="1839" ht="23.25" customHeight="1">
      <c r="A1839" s="1" t="str">
        <f>IF(COUNTIF('Icon Lookup'!C:C,B1839)&gt;0,LOOKUP(B1839,'Icon Lookup'!C:C,'Icon Lookup'!B:B),"")</f>
        <v/>
      </c>
      <c r="B1839" s="15" t="s">
        <v>2292</v>
      </c>
      <c r="C1839" s="1" t="s">
        <v>17</v>
      </c>
      <c r="D1839" s="1" t="s">
        <v>369</v>
      </c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</row>
    <row r="1840" ht="23.25" customHeight="1">
      <c r="A1840" s="17" t="str">
        <f>IF(COUNTIF('Icon Lookup'!C:C,B1840)&gt;0,LOOKUP(B1840,'Icon Lookup'!C:C,'Icon Lookup'!B:B),"")</f>
        <v/>
      </c>
      <c r="B1840" s="18" t="s">
        <v>225</v>
      </c>
      <c r="C1840" s="17" t="s">
        <v>17</v>
      </c>
      <c r="D1840" s="17">
        <v>31.0</v>
      </c>
      <c r="E1840" s="17" t="s">
        <v>26</v>
      </c>
      <c r="G1840" s="19"/>
      <c r="H1840" s="20" t="s">
        <v>2293</v>
      </c>
      <c r="I1840" s="17" t="s">
        <v>22</v>
      </c>
      <c r="J1840" s="17">
        <v>0.0</v>
      </c>
      <c r="K1840" s="17">
        <v>0.0</v>
      </c>
      <c r="L1840" s="17">
        <v>0.0</v>
      </c>
      <c r="M1840" s="17">
        <v>0.0</v>
      </c>
      <c r="N1840" s="17">
        <v>0.0</v>
      </c>
      <c r="O1840" s="17">
        <v>0.0</v>
      </c>
      <c r="P1840" s="17">
        <v>0.0</v>
      </c>
      <c r="Q1840" s="17">
        <v>0.0</v>
      </c>
      <c r="R1840" s="17">
        <v>0.0</v>
      </c>
      <c r="S1840" s="17">
        <v>0.0</v>
      </c>
      <c r="T1840" s="17">
        <v>0.0</v>
      </c>
      <c r="U1840" s="17">
        <v>0.0</v>
      </c>
    </row>
    <row r="1841" ht="23.25" customHeight="1">
      <c r="A1841" s="20" t="str">
        <f>IF(COUNTIF('Icon Lookup'!C:C,B1841)&gt;0,LOOKUP(B1841,'Icon Lookup'!C:C,'Icon Lookup'!B:B),"")</f>
        <v/>
      </c>
      <c r="B1841" s="21" t="s">
        <v>271</v>
      </c>
      <c r="C1841" s="20" t="s">
        <v>17</v>
      </c>
      <c r="D1841" s="20">
        <v>31.0</v>
      </c>
      <c r="E1841" s="20" t="s">
        <v>44</v>
      </c>
      <c r="G1841" s="22"/>
      <c r="H1841" s="23" t="s">
        <v>2294</v>
      </c>
      <c r="I1841" s="20" t="s">
        <v>22</v>
      </c>
      <c r="J1841" s="20">
        <v>0.0</v>
      </c>
      <c r="K1841" s="20">
        <v>0.0</v>
      </c>
      <c r="L1841" s="20">
        <v>0.0</v>
      </c>
      <c r="M1841" s="20">
        <v>0.0</v>
      </c>
      <c r="N1841" s="20">
        <v>0.0</v>
      </c>
      <c r="O1841" s="20">
        <v>0.0</v>
      </c>
      <c r="P1841" s="20">
        <v>0.0</v>
      </c>
      <c r="Q1841" s="20">
        <v>0.0</v>
      </c>
      <c r="R1841" s="20">
        <v>0.0</v>
      </c>
      <c r="S1841" s="20">
        <v>0.0</v>
      </c>
      <c r="T1841" s="20">
        <v>0.0</v>
      </c>
      <c r="U1841" s="20">
        <v>0.0</v>
      </c>
    </row>
    <row r="1842" ht="23.25" customHeight="1">
      <c r="A1842" s="1" t="str">
        <f>IF(COUNTIF('Icon Lookup'!C:C,B1842)&gt;0,LOOKUP(B1842,'Icon Lookup'!C:C,'Icon Lookup'!B:B),"")</f>
        <v/>
      </c>
      <c r="B1842" s="15" t="s">
        <v>2295</v>
      </c>
      <c r="C1842" s="1" t="s">
        <v>17</v>
      </c>
      <c r="D1842" s="1" t="s">
        <v>369</v>
      </c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</row>
    <row r="1843" ht="23.25" customHeight="1">
      <c r="A1843" s="17" t="str">
        <f>IF(COUNTIF('Icon Lookup'!C:C,B1843)&gt;0,LOOKUP(B1843,'Icon Lookup'!C:C,'Icon Lookup'!B:B),"")</f>
        <v/>
      </c>
      <c r="B1843" s="18" t="s">
        <v>225</v>
      </c>
      <c r="C1843" s="17" t="s">
        <v>17</v>
      </c>
      <c r="D1843" s="17">
        <v>40.0</v>
      </c>
      <c r="E1843" s="17" t="s">
        <v>26</v>
      </c>
      <c r="G1843" s="19"/>
      <c r="H1843" s="20" t="s">
        <v>2293</v>
      </c>
      <c r="I1843" s="17" t="s">
        <v>22</v>
      </c>
      <c r="J1843" s="17">
        <v>0.0</v>
      </c>
      <c r="K1843" s="17">
        <v>0.0</v>
      </c>
      <c r="L1843" s="17">
        <v>0.0</v>
      </c>
      <c r="M1843" s="17">
        <v>0.0</v>
      </c>
      <c r="N1843" s="17">
        <v>0.0</v>
      </c>
      <c r="O1843" s="17">
        <v>0.0</v>
      </c>
      <c r="P1843" s="17">
        <v>0.0</v>
      </c>
      <c r="Q1843" s="17">
        <v>0.0</v>
      </c>
      <c r="R1843" s="17">
        <v>0.0</v>
      </c>
      <c r="S1843" s="17">
        <v>0.0</v>
      </c>
      <c r="T1843" s="17">
        <v>0.0</v>
      </c>
      <c r="U1843" s="17">
        <v>0.0</v>
      </c>
    </row>
    <row r="1844" ht="23.25" customHeight="1">
      <c r="A1844" s="20" t="str">
        <f>IF(COUNTIF('Icon Lookup'!C:C,B1844)&gt;0,LOOKUP(B1844,'Icon Lookup'!C:C,'Icon Lookup'!B:B),"")</f>
        <v/>
      </c>
      <c r="B1844" s="21" t="s">
        <v>921</v>
      </c>
      <c r="C1844" s="20" t="s">
        <v>17</v>
      </c>
      <c r="D1844" s="20">
        <v>40.0</v>
      </c>
      <c r="E1844" s="20" t="s">
        <v>44</v>
      </c>
      <c r="G1844" s="22"/>
      <c r="H1844" s="23" t="s">
        <v>2296</v>
      </c>
      <c r="I1844" s="20" t="s">
        <v>22</v>
      </c>
      <c r="J1844" s="20">
        <v>0.0</v>
      </c>
      <c r="K1844" s="20">
        <v>0.0</v>
      </c>
      <c r="L1844" s="20">
        <v>0.0</v>
      </c>
      <c r="M1844" s="20">
        <v>0.0</v>
      </c>
      <c r="N1844" s="20">
        <v>0.0</v>
      </c>
      <c r="O1844" s="20">
        <v>0.0</v>
      </c>
      <c r="P1844" s="20">
        <v>0.0</v>
      </c>
      <c r="Q1844" s="20">
        <v>0.0</v>
      </c>
      <c r="R1844" s="20">
        <v>0.0</v>
      </c>
      <c r="S1844" s="20">
        <v>0.0</v>
      </c>
      <c r="T1844" s="20">
        <v>0.0</v>
      </c>
      <c r="U1844" s="20">
        <v>0.0</v>
      </c>
    </row>
    <row r="1845" ht="23.25" customHeight="1">
      <c r="A1845" s="1" t="str">
        <f>IF(COUNTIF('Icon Lookup'!C:C,B1845)&gt;0,LOOKUP(B1845,'Icon Lookup'!C:C,'Icon Lookup'!B:B),"")</f>
        <v/>
      </c>
      <c r="B1845" s="15" t="s">
        <v>2297</v>
      </c>
      <c r="C1845" s="1" t="s">
        <v>17</v>
      </c>
      <c r="D1845" s="1" t="s">
        <v>369</v>
      </c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</row>
    <row r="1846" ht="23.25" customHeight="1">
      <c r="A1846" s="17" t="str">
        <f>IF(COUNTIF('Icon Lookup'!C:C,B1846)&gt;0,LOOKUP(B1846,'Icon Lookup'!C:C,'Icon Lookup'!B:B),"")</f>
        <v/>
      </c>
      <c r="B1846" s="18" t="s">
        <v>225</v>
      </c>
      <c r="C1846" s="17" t="s">
        <v>17</v>
      </c>
      <c r="D1846" s="17">
        <v>60.0</v>
      </c>
      <c r="E1846" s="17" t="s">
        <v>26</v>
      </c>
      <c r="G1846" s="19"/>
      <c r="H1846" s="20" t="s">
        <v>2298</v>
      </c>
      <c r="I1846" s="17" t="s">
        <v>22</v>
      </c>
      <c r="J1846" s="17">
        <v>0.0</v>
      </c>
      <c r="K1846" s="17">
        <v>0.0</v>
      </c>
      <c r="L1846" s="17">
        <v>0.0</v>
      </c>
      <c r="M1846" s="17">
        <v>0.0</v>
      </c>
      <c r="N1846" s="17">
        <v>0.0</v>
      </c>
      <c r="O1846" s="17">
        <v>0.0</v>
      </c>
      <c r="P1846" s="17">
        <v>0.0</v>
      </c>
      <c r="Q1846" s="17">
        <v>0.0</v>
      </c>
      <c r="R1846" s="17">
        <v>0.0</v>
      </c>
      <c r="S1846" s="17">
        <v>0.0</v>
      </c>
      <c r="T1846" s="17">
        <v>0.0</v>
      </c>
      <c r="U1846" s="17">
        <v>0.0</v>
      </c>
    </row>
    <row r="1847" ht="23.25" customHeight="1">
      <c r="A1847" s="20" t="str">
        <f>IF(COUNTIF('Icon Lookup'!C:C,B1847)&gt;0,LOOKUP(B1847,'Icon Lookup'!C:C,'Icon Lookup'!B:B),"")</f>
        <v/>
      </c>
      <c r="B1847" s="21" t="s">
        <v>921</v>
      </c>
      <c r="C1847" s="20" t="s">
        <v>17</v>
      </c>
      <c r="D1847" s="20">
        <v>60.0</v>
      </c>
      <c r="E1847" s="20" t="s">
        <v>44</v>
      </c>
      <c r="G1847" s="22"/>
      <c r="H1847" s="23" t="s">
        <v>2299</v>
      </c>
      <c r="I1847" s="20" t="s">
        <v>22</v>
      </c>
      <c r="J1847" s="20">
        <v>0.0</v>
      </c>
      <c r="K1847" s="20">
        <v>0.0</v>
      </c>
      <c r="L1847" s="20">
        <v>0.0</v>
      </c>
      <c r="M1847" s="20">
        <v>0.0</v>
      </c>
      <c r="N1847" s="20">
        <v>0.0</v>
      </c>
      <c r="O1847" s="20">
        <v>0.0</v>
      </c>
      <c r="P1847" s="20">
        <v>0.0</v>
      </c>
      <c r="Q1847" s="20">
        <v>0.0</v>
      </c>
      <c r="R1847" s="20">
        <v>0.0</v>
      </c>
      <c r="S1847" s="20">
        <v>0.0</v>
      </c>
      <c r="T1847" s="20">
        <v>0.0</v>
      </c>
      <c r="U1847" s="20">
        <v>0.0</v>
      </c>
    </row>
    <row r="1848" ht="23.25" customHeight="1">
      <c r="A1848" s="1" t="str">
        <f>IF(COUNTIF('Icon Lookup'!C:C,B1848)&gt;0,LOOKUP(B1848,'Icon Lookup'!C:C,'Icon Lookup'!B:B),"")</f>
        <v/>
      </c>
      <c r="B1848" s="15" t="s">
        <v>2300</v>
      </c>
      <c r="C1848" s="1" t="s">
        <v>17</v>
      </c>
      <c r="D1848" s="1" t="s">
        <v>1927</v>
      </c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</row>
    <row r="1849" ht="23.25" customHeight="1">
      <c r="A1849" s="17" t="str">
        <f>IF(COUNTIF('Icon Lookup'!C:C,B1849)&gt;0,LOOKUP(B1849,'Icon Lookup'!C:C,'Icon Lookup'!B:B),"")</f>
        <v/>
      </c>
      <c r="B1849" s="18" t="s">
        <v>2301</v>
      </c>
      <c r="C1849" s="17" t="s">
        <v>17</v>
      </c>
      <c r="D1849" s="17">
        <v>60.0</v>
      </c>
      <c r="E1849" s="17" t="s">
        <v>66</v>
      </c>
      <c r="G1849" s="19"/>
      <c r="H1849" s="20" t="s">
        <v>2302</v>
      </c>
      <c r="I1849" s="17" t="s">
        <v>612</v>
      </c>
      <c r="J1849" s="17">
        <v>0.0</v>
      </c>
      <c r="K1849" s="17">
        <v>0.0</v>
      </c>
      <c r="L1849" s="17">
        <v>0.0</v>
      </c>
      <c r="M1849" s="17">
        <v>0.0</v>
      </c>
      <c r="N1849" s="17">
        <v>0.0</v>
      </c>
      <c r="O1849" s="17">
        <v>0.0</v>
      </c>
      <c r="P1849" s="17">
        <v>0.0</v>
      </c>
      <c r="Q1849" s="17">
        <v>0.0</v>
      </c>
      <c r="R1849" s="17">
        <v>0.0</v>
      </c>
      <c r="S1849" s="17">
        <v>0.0</v>
      </c>
      <c r="T1849" s="17">
        <v>0.0</v>
      </c>
      <c r="U1849" s="17">
        <v>0.0</v>
      </c>
    </row>
    <row r="1850" ht="23.25" customHeight="1">
      <c r="A1850" s="20" t="str">
        <f>IF(COUNTIF('Icon Lookup'!C:C,B1850)&gt;0,LOOKUP(B1850,'Icon Lookup'!C:C,'Icon Lookup'!B:B),"")</f>
        <v/>
      </c>
      <c r="B1850" s="21" t="s">
        <v>1878</v>
      </c>
      <c r="C1850" s="20" t="s">
        <v>17</v>
      </c>
      <c r="D1850" s="20">
        <v>60.0</v>
      </c>
      <c r="E1850" s="20" t="s">
        <v>276</v>
      </c>
      <c r="G1850" s="22"/>
      <c r="H1850" s="23" t="s">
        <v>1930</v>
      </c>
      <c r="I1850" s="20" t="s">
        <v>550</v>
      </c>
      <c r="J1850" s="20">
        <v>0.0</v>
      </c>
      <c r="K1850" s="20">
        <v>0.0</v>
      </c>
      <c r="L1850" s="20">
        <v>0.0</v>
      </c>
      <c r="M1850" s="20">
        <v>0.0</v>
      </c>
      <c r="N1850" s="20">
        <v>0.0</v>
      </c>
      <c r="O1850" s="20">
        <v>0.0</v>
      </c>
      <c r="P1850" s="20">
        <v>0.0</v>
      </c>
      <c r="Q1850" s="20">
        <v>0.0</v>
      </c>
      <c r="R1850" s="20">
        <v>0.0</v>
      </c>
      <c r="S1850" s="20">
        <v>0.0</v>
      </c>
      <c r="T1850" s="20">
        <v>0.0</v>
      </c>
      <c r="U1850" s="20">
        <v>0.0</v>
      </c>
    </row>
    <row r="1851" ht="23.25" customHeight="1">
      <c r="A1851" s="1" t="str">
        <f>IF(COUNTIF('Icon Lookup'!C:C,B1851)&gt;0,LOOKUP(B1851,'Icon Lookup'!C:C,'Icon Lookup'!B:B),"")</f>
        <v/>
      </c>
      <c r="B1851" s="15" t="s">
        <v>2303</v>
      </c>
      <c r="C1851" s="1" t="s">
        <v>17</v>
      </c>
      <c r="D1851" s="1" t="s">
        <v>378</v>
      </c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</row>
    <row r="1852" ht="23.25" customHeight="1">
      <c r="A1852" s="17" t="str">
        <f>IF(COUNTIF('Icon Lookup'!C:C,B1852)&gt;0,LOOKUP(B1852,'Icon Lookup'!C:C,'Icon Lookup'!B:B),"")</f>
        <v/>
      </c>
      <c r="B1852" s="18" t="s">
        <v>379</v>
      </c>
      <c r="C1852" s="17" t="s">
        <v>17</v>
      </c>
      <c r="D1852" s="17">
        <v>30.0</v>
      </c>
      <c r="E1852" s="17" t="s">
        <v>71</v>
      </c>
      <c r="G1852" s="19"/>
      <c r="H1852" s="20" t="s">
        <v>2304</v>
      </c>
      <c r="I1852" s="17" t="s">
        <v>22</v>
      </c>
      <c r="J1852" s="17">
        <v>0.0</v>
      </c>
      <c r="K1852" s="17">
        <v>0.0</v>
      </c>
      <c r="L1852" s="17">
        <v>0.0</v>
      </c>
      <c r="M1852" s="17">
        <v>0.0</v>
      </c>
      <c r="N1852" s="17">
        <v>0.0</v>
      </c>
      <c r="O1852" s="17">
        <v>0.0</v>
      </c>
      <c r="P1852" s="17">
        <v>0.0</v>
      </c>
      <c r="Q1852" s="17">
        <v>0.0</v>
      </c>
      <c r="R1852" s="17">
        <v>0.0</v>
      </c>
      <c r="S1852" s="17">
        <v>0.0</v>
      </c>
      <c r="T1852" s="17">
        <v>0.0</v>
      </c>
      <c r="U1852" s="17">
        <v>0.0</v>
      </c>
    </row>
    <row r="1853" ht="23.25" customHeight="1">
      <c r="A1853" s="20" t="str">
        <f>IF(COUNTIF('Icon Lookup'!C:C,B1853)&gt;0,LOOKUP(B1853,'Icon Lookup'!C:C,'Icon Lookup'!B:B),"")</f>
        <v/>
      </c>
      <c r="B1853" s="21" t="s">
        <v>381</v>
      </c>
      <c r="C1853" s="20" t="s">
        <v>17</v>
      </c>
      <c r="D1853" s="20">
        <v>32.0</v>
      </c>
      <c r="E1853" s="20" t="s">
        <v>382</v>
      </c>
      <c r="G1853" s="22"/>
      <c r="H1853" s="23" t="s">
        <v>383</v>
      </c>
      <c r="I1853" s="20" t="s">
        <v>22</v>
      </c>
      <c r="J1853" s="20">
        <v>0.0</v>
      </c>
      <c r="K1853" s="20">
        <v>0.0</v>
      </c>
      <c r="L1853" s="20">
        <v>0.0</v>
      </c>
      <c r="M1853" s="20">
        <v>0.0</v>
      </c>
      <c r="N1853" s="20">
        <v>0.0</v>
      </c>
      <c r="O1853" s="20">
        <v>0.0</v>
      </c>
      <c r="P1853" s="20">
        <v>0.0</v>
      </c>
      <c r="Q1853" s="20">
        <v>0.0</v>
      </c>
      <c r="R1853" s="20">
        <v>0.0</v>
      </c>
      <c r="S1853" s="20">
        <v>0.0</v>
      </c>
      <c r="T1853" s="20">
        <v>0.0</v>
      </c>
      <c r="U1853" s="20">
        <v>0.0</v>
      </c>
    </row>
    <row r="1854" ht="23.25" customHeight="1">
      <c r="A1854" s="1" t="str">
        <f>IF(COUNTIF('Icon Lookup'!C:C,B1854)&gt;0,LOOKUP(B1854,'Icon Lookup'!C:C,'Icon Lookup'!B:B),"")</f>
        <v/>
      </c>
      <c r="B1854" s="15" t="s">
        <v>2305</v>
      </c>
      <c r="C1854" s="1" t="s">
        <v>17</v>
      </c>
      <c r="D1854" s="1" t="s">
        <v>378</v>
      </c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</row>
    <row r="1855" ht="23.25" customHeight="1">
      <c r="A1855" s="17" t="str">
        <f>IF(COUNTIF('Icon Lookup'!C:C,B1855)&gt;0,LOOKUP(B1855,'Icon Lookup'!C:C,'Icon Lookup'!B:B),"")</f>
        <v/>
      </c>
      <c r="B1855" s="18" t="s">
        <v>379</v>
      </c>
      <c r="C1855" s="17" t="s">
        <v>17</v>
      </c>
      <c r="D1855" s="17">
        <v>41.0</v>
      </c>
      <c r="E1855" s="17" t="s">
        <v>71</v>
      </c>
      <c r="G1855" s="19"/>
      <c r="H1855" s="20" t="s">
        <v>2306</v>
      </c>
      <c r="I1855" s="17" t="s">
        <v>22</v>
      </c>
      <c r="J1855" s="17">
        <v>0.0</v>
      </c>
      <c r="K1855" s="17">
        <v>0.0</v>
      </c>
      <c r="L1855" s="17">
        <v>0.0</v>
      </c>
      <c r="M1855" s="17">
        <v>0.0</v>
      </c>
      <c r="N1855" s="17">
        <v>0.0</v>
      </c>
      <c r="O1855" s="17">
        <v>0.0</v>
      </c>
      <c r="P1855" s="17">
        <v>0.0</v>
      </c>
      <c r="Q1855" s="17">
        <v>0.0</v>
      </c>
      <c r="R1855" s="17">
        <v>0.0</v>
      </c>
      <c r="S1855" s="17">
        <v>0.0</v>
      </c>
      <c r="T1855" s="17">
        <v>0.0</v>
      </c>
      <c r="U1855" s="17">
        <v>0.0</v>
      </c>
    </row>
    <row r="1856" ht="23.25" customHeight="1">
      <c r="A1856" s="20" t="str">
        <f>IF(COUNTIF('Icon Lookup'!C:C,B1856)&gt;0,LOOKUP(B1856,'Icon Lookup'!C:C,'Icon Lookup'!B:B),"")</f>
        <v/>
      </c>
      <c r="B1856" s="21" t="s">
        <v>405</v>
      </c>
      <c r="C1856" s="20" t="s">
        <v>17</v>
      </c>
      <c r="D1856" s="20">
        <v>39.0</v>
      </c>
      <c r="E1856" s="20" t="s">
        <v>382</v>
      </c>
      <c r="G1856" s="22"/>
      <c r="H1856" s="23" t="s">
        <v>383</v>
      </c>
      <c r="I1856" s="20" t="s">
        <v>22</v>
      </c>
      <c r="J1856" s="20">
        <v>0.0</v>
      </c>
      <c r="K1856" s="20">
        <v>0.0</v>
      </c>
      <c r="L1856" s="20">
        <v>0.0</v>
      </c>
      <c r="M1856" s="20">
        <v>0.0</v>
      </c>
      <c r="N1856" s="20">
        <v>0.0</v>
      </c>
      <c r="O1856" s="20">
        <v>0.0</v>
      </c>
      <c r="P1856" s="20">
        <v>0.0</v>
      </c>
      <c r="Q1856" s="20">
        <v>0.0</v>
      </c>
      <c r="R1856" s="20">
        <v>0.0</v>
      </c>
      <c r="S1856" s="20">
        <v>0.0</v>
      </c>
      <c r="T1856" s="20">
        <v>0.0</v>
      </c>
      <c r="U1856" s="20">
        <v>0.0</v>
      </c>
    </row>
    <row r="1857" ht="23.25" customHeight="1">
      <c r="A1857" s="1" t="str">
        <f>IF(COUNTIF('Icon Lookup'!C:C,B1857)&gt;0,LOOKUP(B1857,'Icon Lookup'!C:C,'Icon Lookup'!B:B),"")</f>
        <v/>
      </c>
      <c r="B1857" s="15" t="s">
        <v>2307</v>
      </c>
      <c r="C1857" s="1" t="s">
        <v>17</v>
      </c>
      <c r="D1857" s="1" t="s">
        <v>378</v>
      </c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</row>
    <row r="1858" ht="23.25" customHeight="1">
      <c r="A1858" s="17" t="str">
        <f>IF(COUNTIF('Icon Lookup'!C:C,B1858)&gt;0,LOOKUP(B1858,'Icon Lookup'!C:C,'Icon Lookup'!B:B),"")</f>
        <v/>
      </c>
      <c r="B1858" s="18" t="s">
        <v>471</v>
      </c>
      <c r="C1858" s="17" t="s">
        <v>17</v>
      </c>
      <c r="D1858" s="17">
        <v>61.0</v>
      </c>
      <c r="E1858" s="17" t="s">
        <v>71</v>
      </c>
      <c r="G1858" s="19"/>
      <c r="H1858" s="20" t="s">
        <v>2308</v>
      </c>
      <c r="I1858" s="17" t="s">
        <v>22</v>
      </c>
      <c r="J1858" s="17">
        <v>0.0</v>
      </c>
      <c r="K1858" s="17">
        <v>0.0</v>
      </c>
      <c r="L1858" s="17">
        <v>0.0</v>
      </c>
      <c r="M1858" s="17">
        <v>0.0</v>
      </c>
      <c r="N1858" s="17">
        <v>0.0</v>
      </c>
      <c r="O1858" s="17">
        <v>0.0</v>
      </c>
      <c r="P1858" s="17">
        <v>0.0</v>
      </c>
      <c r="Q1858" s="17">
        <v>0.0</v>
      </c>
      <c r="R1858" s="17">
        <v>0.0</v>
      </c>
      <c r="S1858" s="17">
        <v>0.0</v>
      </c>
      <c r="T1858" s="17">
        <v>0.0</v>
      </c>
      <c r="U1858" s="17">
        <v>0.0</v>
      </c>
    </row>
    <row r="1859" ht="23.25" customHeight="1">
      <c r="A1859" s="20" t="str">
        <f>IF(COUNTIF('Icon Lookup'!C:C,B1859)&gt;0,LOOKUP(B1859,'Icon Lookup'!C:C,'Icon Lookup'!B:B),"")</f>
        <v/>
      </c>
      <c r="B1859" s="21" t="s">
        <v>405</v>
      </c>
      <c r="C1859" s="20" t="s">
        <v>17</v>
      </c>
      <c r="D1859" s="20">
        <v>59.0</v>
      </c>
      <c r="E1859" s="20" t="s">
        <v>382</v>
      </c>
      <c r="G1859" s="22"/>
      <c r="H1859" s="23" t="s">
        <v>2309</v>
      </c>
      <c r="I1859" s="20" t="s">
        <v>22</v>
      </c>
      <c r="J1859" s="20">
        <v>0.0</v>
      </c>
      <c r="K1859" s="20">
        <v>0.0</v>
      </c>
      <c r="L1859" s="20">
        <v>0.0</v>
      </c>
      <c r="M1859" s="20">
        <v>0.0</v>
      </c>
      <c r="N1859" s="20">
        <v>0.0</v>
      </c>
      <c r="O1859" s="20">
        <v>0.0</v>
      </c>
      <c r="P1859" s="20">
        <v>0.0</v>
      </c>
      <c r="Q1859" s="20">
        <v>0.0</v>
      </c>
      <c r="R1859" s="20">
        <v>0.0</v>
      </c>
      <c r="S1859" s="20">
        <v>0.0</v>
      </c>
      <c r="T1859" s="20">
        <v>0.0</v>
      </c>
      <c r="U1859" s="20">
        <v>0.0</v>
      </c>
    </row>
    <row r="1860" ht="23.25" customHeight="1">
      <c r="A1860" s="1" t="str">
        <f>IF(COUNTIF('Icon Lookup'!C:C,B1860)&gt;0,LOOKUP(B1860,'Icon Lookup'!C:C,'Icon Lookup'!B:B),"")</f>
        <v/>
      </c>
      <c r="B1860" s="15" t="s">
        <v>2310</v>
      </c>
      <c r="C1860" s="1" t="s">
        <v>17</v>
      </c>
      <c r="D1860" s="1" t="s">
        <v>1943</v>
      </c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</row>
    <row r="1861" ht="23.25" customHeight="1">
      <c r="A1861" s="17" t="str">
        <f>IF(COUNTIF('Icon Lookup'!C:C,B1861)&gt;0,LOOKUP(B1861,'Icon Lookup'!C:C,'Icon Lookup'!B:B),"")</f>
        <v/>
      </c>
      <c r="B1861" s="18" t="s">
        <v>2311</v>
      </c>
      <c r="C1861" s="17" t="s">
        <v>17</v>
      </c>
      <c r="D1861" s="17">
        <v>60.0</v>
      </c>
      <c r="E1861" s="17" t="s">
        <v>71</v>
      </c>
      <c r="G1861" s="19"/>
      <c r="H1861" s="20" t="s">
        <v>2312</v>
      </c>
      <c r="I1861" s="17" t="s">
        <v>22</v>
      </c>
      <c r="J1861" s="17">
        <v>0.0</v>
      </c>
      <c r="K1861" s="17">
        <v>0.0</v>
      </c>
      <c r="L1861" s="17">
        <v>0.0</v>
      </c>
      <c r="M1861" s="17">
        <v>0.0</v>
      </c>
      <c r="N1861" s="17">
        <v>0.0</v>
      </c>
      <c r="O1861" s="17">
        <v>0.0</v>
      </c>
      <c r="P1861" s="17">
        <v>0.0</v>
      </c>
      <c r="Q1861" s="17">
        <v>0.0</v>
      </c>
      <c r="R1861" s="17">
        <v>0.0</v>
      </c>
      <c r="S1861" s="17">
        <v>0.0</v>
      </c>
      <c r="T1861" s="17">
        <v>0.0</v>
      </c>
      <c r="U1861" s="17">
        <v>0.0</v>
      </c>
    </row>
    <row r="1862" ht="23.25" customHeight="1">
      <c r="A1862" s="20" t="str">
        <f>IF(COUNTIF('Icon Lookup'!C:C,B1862)&gt;0,LOOKUP(B1862,'Icon Lookup'!C:C,'Icon Lookup'!B:B),"")</f>
        <v/>
      </c>
      <c r="B1862" s="21" t="s">
        <v>1797</v>
      </c>
      <c r="C1862" s="20" t="s">
        <v>17</v>
      </c>
      <c r="D1862" s="20">
        <v>60.0</v>
      </c>
      <c r="E1862" s="20" t="s">
        <v>20</v>
      </c>
      <c r="G1862" s="22"/>
      <c r="H1862" s="23" t="s">
        <v>1946</v>
      </c>
      <c r="I1862" s="20" t="s">
        <v>211</v>
      </c>
      <c r="J1862" s="20">
        <v>0.0</v>
      </c>
      <c r="K1862" s="20">
        <v>0.0</v>
      </c>
      <c r="L1862" s="20">
        <v>0.0</v>
      </c>
      <c r="M1862" s="20">
        <v>0.0</v>
      </c>
      <c r="N1862" s="20">
        <v>0.0</v>
      </c>
      <c r="O1862" s="20">
        <v>0.0</v>
      </c>
      <c r="P1862" s="20">
        <v>0.0</v>
      </c>
      <c r="Q1862" s="20">
        <v>0.0</v>
      </c>
      <c r="R1862" s="20">
        <v>0.0</v>
      </c>
      <c r="S1862" s="20">
        <v>0.0</v>
      </c>
      <c r="T1862" s="20">
        <v>0.0</v>
      </c>
      <c r="U1862" s="20">
        <v>0.0</v>
      </c>
    </row>
    <row r="1863" ht="23.25" customHeight="1">
      <c r="A1863" s="1" t="str">
        <f>IF(COUNTIF('Icon Lookup'!C:C,B1863)&gt;0,LOOKUP(B1863,'Icon Lookup'!C:C,'Icon Lookup'!B:B),"")</f>
        <v/>
      </c>
      <c r="B1863" s="15" t="s">
        <v>2313</v>
      </c>
      <c r="C1863" s="1" t="s">
        <v>17</v>
      </c>
      <c r="D1863" s="1" t="s">
        <v>1198</v>
      </c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</row>
    <row r="1864" ht="23.25" customHeight="1">
      <c r="A1864" s="17" t="str">
        <f>IF(COUNTIF('Icon Lookup'!C:C,B1864)&gt;0,LOOKUP(B1864,'Icon Lookup'!C:C,'Icon Lookup'!B:B),"")</f>
        <v/>
      </c>
      <c r="B1864" s="18" t="s">
        <v>653</v>
      </c>
      <c r="C1864" s="17" t="s">
        <v>17</v>
      </c>
      <c r="D1864" s="17">
        <v>54.0</v>
      </c>
      <c r="E1864" s="17" t="s">
        <v>525</v>
      </c>
      <c r="G1864" s="19"/>
      <c r="H1864" s="20" t="s">
        <v>2314</v>
      </c>
      <c r="I1864" s="17" t="s">
        <v>105</v>
      </c>
      <c r="J1864" s="17">
        <v>0.0</v>
      </c>
      <c r="K1864" s="17">
        <v>0.0</v>
      </c>
      <c r="L1864" s="17">
        <v>0.0</v>
      </c>
      <c r="M1864" s="17">
        <v>0.0</v>
      </c>
      <c r="N1864" s="17">
        <v>0.0</v>
      </c>
      <c r="O1864" s="17">
        <v>0.0</v>
      </c>
      <c r="P1864" s="17">
        <v>0.0</v>
      </c>
      <c r="Q1864" s="17">
        <v>0.0</v>
      </c>
      <c r="R1864" s="17">
        <v>0.0</v>
      </c>
      <c r="S1864" s="17">
        <v>0.0</v>
      </c>
      <c r="T1864" s="17">
        <v>0.0</v>
      </c>
      <c r="U1864" s="17">
        <v>0.0</v>
      </c>
    </row>
    <row r="1865" ht="23.25" customHeight="1">
      <c r="A1865" s="20" t="str">
        <f>IF(COUNTIF('Icon Lookup'!C:C,B1865)&gt;0,LOOKUP(B1865,'Icon Lookup'!C:C,'Icon Lookup'!B:B),"")</f>
        <v/>
      </c>
      <c r="B1865" s="21" t="s">
        <v>410</v>
      </c>
      <c r="C1865" s="20" t="s">
        <v>17</v>
      </c>
      <c r="D1865" s="20">
        <v>52.0</v>
      </c>
      <c r="E1865" s="20" t="s">
        <v>411</v>
      </c>
      <c r="G1865" s="22"/>
      <c r="H1865" s="23" t="s">
        <v>2315</v>
      </c>
      <c r="I1865" s="20" t="s">
        <v>205</v>
      </c>
      <c r="J1865" s="20">
        <v>0.0</v>
      </c>
      <c r="K1865" s="20">
        <v>0.0</v>
      </c>
      <c r="L1865" s="20">
        <v>0.0</v>
      </c>
      <c r="M1865" s="20">
        <v>0.0</v>
      </c>
      <c r="N1865" s="20">
        <v>0.0</v>
      </c>
      <c r="O1865" s="20">
        <v>0.0</v>
      </c>
      <c r="P1865" s="20">
        <v>0.0</v>
      </c>
      <c r="Q1865" s="20">
        <v>0.0</v>
      </c>
      <c r="R1865" s="20">
        <v>0.0</v>
      </c>
      <c r="S1865" s="20">
        <v>0.0</v>
      </c>
      <c r="T1865" s="20">
        <v>0.0</v>
      </c>
      <c r="U1865" s="20">
        <v>0.0</v>
      </c>
    </row>
    <row r="1866" ht="23.25" customHeight="1">
      <c r="A1866" s="1" t="str">
        <f>IF(COUNTIF('Icon Lookup'!C:C,B1866)&gt;0,LOOKUP(B1866,'Icon Lookup'!C:C,'Icon Lookup'!B:B),"")</f>
        <v/>
      </c>
      <c r="B1866" s="15" t="s">
        <v>2316</v>
      </c>
      <c r="C1866" s="1" t="s">
        <v>17</v>
      </c>
      <c r="D1866" s="1" t="s">
        <v>1198</v>
      </c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</row>
    <row r="1867" ht="23.25" customHeight="1">
      <c r="A1867" s="17" t="str">
        <f>IF(COUNTIF('Icon Lookup'!C:C,B1867)&gt;0,LOOKUP(B1867,'Icon Lookup'!C:C,'Icon Lookup'!B:B),"")</f>
        <v/>
      </c>
      <c r="B1867" s="18" t="s">
        <v>653</v>
      </c>
      <c r="C1867" s="17" t="s">
        <v>17</v>
      </c>
      <c r="D1867" s="17">
        <v>57.0</v>
      </c>
      <c r="E1867" s="17" t="s">
        <v>525</v>
      </c>
      <c r="G1867" s="19"/>
      <c r="H1867" s="20" t="s">
        <v>2314</v>
      </c>
      <c r="I1867" s="17" t="s">
        <v>105</v>
      </c>
      <c r="J1867" s="17">
        <v>0.0</v>
      </c>
      <c r="K1867" s="17">
        <v>0.0</v>
      </c>
      <c r="L1867" s="17">
        <v>0.0</v>
      </c>
      <c r="M1867" s="17">
        <v>0.0</v>
      </c>
      <c r="N1867" s="17">
        <v>0.0</v>
      </c>
      <c r="O1867" s="17">
        <v>0.0</v>
      </c>
      <c r="P1867" s="17">
        <v>0.0</v>
      </c>
      <c r="Q1867" s="17">
        <v>0.0</v>
      </c>
      <c r="R1867" s="17">
        <v>0.0</v>
      </c>
      <c r="S1867" s="17">
        <v>0.0</v>
      </c>
      <c r="T1867" s="17">
        <v>0.0</v>
      </c>
      <c r="U1867" s="17">
        <v>0.0</v>
      </c>
    </row>
    <row r="1868" ht="23.25" customHeight="1">
      <c r="A1868" s="20" t="str">
        <f>IF(COUNTIF('Icon Lookup'!C:C,B1868)&gt;0,LOOKUP(B1868,'Icon Lookup'!C:C,'Icon Lookup'!B:B),"")</f>
        <v/>
      </c>
      <c r="B1868" s="21" t="s">
        <v>410</v>
      </c>
      <c r="C1868" s="20" t="s">
        <v>17</v>
      </c>
      <c r="D1868" s="20">
        <v>59.0</v>
      </c>
      <c r="E1868" s="20" t="s">
        <v>411</v>
      </c>
      <c r="G1868" s="22"/>
      <c r="H1868" s="23" t="s">
        <v>2317</v>
      </c>
      <c r="I1868" s="20" t="s">
        <v>205</v>
      </c>
      <c r="J1868" s="20">
        <v>0.0</v>
      </c>
      <c r="K1868" s="20">
        <v>0.0</v>
      </c>
      <c r="L1868" s="20">
        <v>0.0</v>
      </c>
      <c r="M1868" s="20">
        <v>0.0</v>
      </c>
      <c r="N1868" s="20">
        <v>0.0</v>
      </c>
      <c r="O1868" s="20">
        <v>0.0</v>
      </c>
      <c r="P1868" s="20">
        <v>0.0</v>
      </c>
      <c r="Q1868" s="20">
        <v>0.0</v>
      </c>
      <c r="R1868" s="20">
        <v>0.0</v>
      </c>
      <c r="S1868" s="20">
        <v>0.0</v>
      </c>
      <c r="T1868" s="20">
        <v>0.0</v>
      </c>
      <c r="U1868" s="20">
        <v>0.0</v>
      </c>
    </row>
    <row r="1869" ht="23.25" customHeight="1">
      <c r="A1869" s="1" t="str">
        <f>IF(COUNTIF('Icon Lookup'!C:C,B1869)&gt;0,LOOKUP(B1869,'Icon Lookup'!C:C,'Icon Lookup'!B:B),"")</f>
        <v/>
      </c>
      <c r="B1869" s="15" t="s">
        <v>2318</v>
      </c>
      <c r="C1869" s="1" t="s">
        <v>17</v>
      </c>
      <c r="D1869" s="1" t="s">
        <v>1533</v>
      </c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</row>
    <row r="1870" ht="23.25" customHeight="1">
      <c r="A1870" s="17" t="str">
        <f>IF(COUNTIF('Icon Lookup'!C:C,B1870)&gt;0,LOOKUP(B1870,'Icon Lookup'!C:C,'Icon Lookup'!B:B),"")</f>
        <v/>
      </c>
      <c r="B1870" s="18" t="s">
        <v>410</v>
      </c>
      <c r="C1870" s="17" t="s">
        <v>17</v>
      </c>
      <c r="D1870" s="17">
        <v>55.0</v>
      </c>
      <c r="E1870" s="17" t="s">
        <v>411</v>
      </c>
      <c r="G1870" s="19"/>
      <c r="H1870" s="20" t="s">
        <v>2319</v>
      </c>
      <c r="I1870" s="17" t="s">
        <v>205</v>
      </c>
      <c r="J1870" s="17">
        <v>0.0</v>
      </c>
      <c r="K1870" s="17">
        <v>0.0</v>
      </c>
      <c r="L1870" s="17">
        <v>0.0</v>
      </c>
      <c r="M1870" s="17">
        <v>0.0</v>
      </c>
      <c r="N1870" s="17">
        <v>0.0</v>
      </c>
      <c r="O1870" s="17">
        <v>0.0</v>
      </c>
      <c r="P1870" s="17">
        <v>0.0</v>
      </c>
      <c r="Q1870" s="17">
        <v>0.0</v>
      </c>
      <c r="R1870" s="17">
        <v>0.0</v>
      </c>
      <c r="S1870" s="17">
        <v>0.0</v>
      </c>
      <c r="T1870" s="17">
        <v>0.0</v>
      </c>
      <c r="U1870" s="17">
        <v>0.0</v>
      </c>
    </row>
    <row r="1871" ht="23.25" customHeight="1">
      <c r="A1871" s="20" t="str">
        <f>IF(COUNTIF('Icon Lookup'!C:C,B1871)&gt;0,LOOKUP(B1871,'Icon Lookup'!C:C,'Icon Lookup'!B:B),"")</f>
        <v/>
      </c>
      <c r="B1871" s="21" t="s">
        <v>1098</v>
      </c>
      <c r="C1871" s="20" t="s">
        <v>17</v>
      </c>
      <c r="D1871" s="20">
        <v>58.0</v>
      </c>
      <c r="E1871" s="20" t="s">
        <v>91</v>
      </c>
      <c r="G1871" s="22"/>
      <c r="H1871" s="23" t="s">
        <v>1447</v>
      </c>
      <c r="I1871" s="20" t="s">
        <v>550</v>
      </c>
      <c r="J1871" s="20">
        <v>0.0</v>
      </c>
      <c r="K1871" s="20">
        <v>0.0</v>
      </c>
      <c r="L1871" s="20">
        <v>0.0</v>
      </c>
      <c r="M1871" s="20">
        <v>0.0</v>
      </c>
      <c r="N1871" s="20">
        <v>0.0</v>
      </c>
      <c r="O1871" s="20">
        <v>0.0</v>
      </c>
      <c r="P1871" s="20">
        <v>0.0</v>
      </c>
      <c r="Q1871" s="20">
        <v>0.0</v>
      </c>
      <c r="R1871" s="20">
        <v>0.0</v>
      </c>
      <c r="S1871" s="20">
        <v>0.0</v>
      </c>
      <c r="T1871" s="20">
        <v>0.0</v>
      </c>
      <c r="U1871" s="20">
        <v>0.0</v>
      </c>
    </row>
    <row r="1872" ht="23.25" customHeight="1">
      <c r="A1872" s="17" t="str">
        <f>IF(COUNTIF('Icon Lookup'!C:C,B1872)&gt;0,LOOKUP(B1872,'Icon Lookup'!C:C,'Icon Lookup'!B:B),"")</f>
        <v/>
      </c>
      <c r="B1872" s="18" t="s">
        <v>586</v>
      </c>
      <c r="C1872" s="17" t="s">
        <v>17</v>
      </c>
      <c r="D1872" s="17">
        <v>58.0</v>
      </c>
      <c r="E1872" s="17" t="s">
        <v>366</v>
      </c>
      <c r="G1872" s="19"/>
      <c r="H1872" s="20" t="s">
        <v>1534</v>
      </c>
      <c r="I1872" s="17" t="s">
        <v>612</v>
      </c>
      <c r="J1872" s="17">
        <v>0.0</v>
      </c>
      <c r="K1872" s="17">
        <v>0.0</v>
      </c>
      <c r="L1872" s="17">
        <v>0.0</v>
      </c>
      <c r="M1872" s="17">
        <v>0.0</v>
      </c>
      <c r="N1872" s="17">
        <v>0.0</v>
      </c>
      <c r="O1872" s="17">
        <v>0.0</v>
      </c>
      <c r="P1872" s="17">
        <v>0.0</v>
      </c>
      <c r="Q1872" s="17">
        <v>0.0</v>
      </c>
      <c r="R1872" s="17">
        <v>0.0</v>
      </c>
      <c r="S1872" s="17">
        <v>0.0</v>
      </c>
      <c r="T1872" s="17">
        <v>0.0</v>
      </c>
      <c r="U1872" s="17">
        <v>0.0</v>
      </c>
    </row>
    <row r="1873" ht="23.25" customHeight="1">
      <c r="A1873" s="1" t="str">
        <f>IF(COUNTIF('Icon Lookup'!C:C,B1873)&gt;0,LOOKUP(B1873,'Icon Lookup'!C:C,'Icon Lookup'!B:B),"")</f>
        <v/>
      </c>
      <c r="B1873" s="15" t="s">
        <v>2320</v>
      </c>
      <c r="C1873" s="1" t="s">
        <v>17</v>
      </c>
      <c r="D1873" s="1" t="s">
        <v>1540</v>
      </c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</row>
    <row r="1874" ht="23.25" customHeight="1">
      <c r="A1874" s="20" t="str">
        <f>IF(COUNTIF('Icon Lookup'!C:C,B1874)&gt;0,LOOKUP(B1874,'Icon Lookup'!C:C,'Icon Lookup'!B:B),"")</f>
        <v/>
      </c>
      <c r="B1874" s="21" t="s">
        <v>386</v>
      </c>
      <c r="C1874" s="20" t="s">
        <v>17</v>
      </c>
      <c r="D1874" s="20">
        <v>30.0</v>
      </c>
      <c r="E1874" s="20" t="s">
        <v>38</v>
      </c>
      <c r="G1874" s="22"/>
      <c r="H1874" s="23" t="s">
        <v>2321</v>
      </c>
      <c r="I1874" s="20" t="s">
        <v>52</v>
      </c>
      <c r="J1874" s="20">
        <v>0.0</v>
      </c>
      <c r="K1874" s="20">
        <v>0.0</v>
      </c>
      <c r="L1874" s="20">
        <v>0.0</v>
      </c>
      <c r="M1874" s="20">
        <v>0.0</v>
      </c>
      <c r="N1874" s="20">
        <v>0.0</v>
      </c>
      <c r="O1874" s="20">
        <v>0.0</v>
      </c>
      <c r="P1874" s="20">
        <v>0.0</v>
      </c>
      <c r="Q1874" s="20">
        <v>0.0</v>
      </c>
      <c r="R1874" s="20">
        <v>0.0</v>
      </c>
      <c r="S1874" s="20">
        <v>0.0</v>
      </c>
      <c r="T1874" s="20">
        <v>0.0</v>
      </c>
      <c r="U1874" s="20">
        <v>0.0</v>
      </c>
    </row>
    <row r="1875" ht="23.25" customHeight="1">
      <c r="A1875" s="17" t="str">
        <f>IF(COUNTIF('Icon Lookup'!C:C,B1875)&gt;0,LOOKUP(B1875,'Icon Lookup'!C:C,'Icon Lookup'!B:B),"")</f>
        <v/>
      </c>
      <c r="B1875" s="18" t="s">
        <v>386</v>
      </c>
      <c r="C1875" s="17" t="s">
        <v>17</v>
      </c>
      <c r="D1875" s="17">
        <v>28.0</v>
      </c>
      <c r="E1875" s="17" t="s">
        <v>387</v>
      </c>
      <c r="G1875" s="19"/>
      <c r="H1875" s="20" t="s">
        <v>2322</v>
      </c>
      <c r="I1875" s="17" t="s">
        <v>52</v>
      </c>
      <c r="J1875" s="17">
        <v>0.0</v>
      </c>
      <c r="K1875" s="17">
        <v>0.0</v>
      </c>
      <c r="L1875" s="17">
        <v>0.0</v>
      </c>
      <c r="M1875" s="17">
        <v>0.0</v>
      </c>
      <c r="N1875" s="17">
        <v>0.0</v>
      </c>
      <c r="O1875" s="17">
        <v>0.0</v>
      </c>
      <c r="P1875" s="17">
        <v>0.0</v>
      </c>
      <c r="Q1875" s="17">
        <v>0.0</v>
      </c>
      <c r="R1875" s="17">
        <v>0.0</v>
      </c>
      <c r="S1875" s="17">
        <v>0.0</v>
      </c>
      <c r="T1875" s="17">
        <v>0.0</v>
      </c>
      <c r="U1875" s="17">
        <v>0.0</v>
      </c>
    </row>
    <row r="1876" ht="23.25" customHeight="1">
      <c r="A1876" s="1" t="str">
        <f>IF(COUNTIF('Icon Lookup'!C:C,B1876)&gt;0,LOOKUP(B1876,'Icon Lookup'!C:C,'Icon Lookup'!B:B),"")</f>
        <v/>
      </c>
      <c r="B1876" s="15" t="s">
        <v>2323</v>
      </c>
      <c r="C1876" s="1" t="s">
        <v>17</v>
      </c>
      <c r="D1876" s="1" t="s">
        <v>1540</v>
      </c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</row>
    <row r="1877" ht="23.25" customHeight="1">
      <c r="A1877" s="20" t="str">
        <f>IF(COUNTIF('Icon Lookup'!C:C,B1877)&gt;0,LOOKUP(B1877,'Icon Lookup'!C:C,'Icon Lookup'!B:B),"")</f>
        <v/>
      </c>
      <c r="B1877" s="21" t="s">
        <v>386</v>
      </c>
      <c r="C1877" s="20" t="s">
        <v>17</v>
      </c>
      <c r="D1877" s="20">
        <v>40.0</v>
      </c>
      <c r="E1877" s="20" t="s">
        <v>38</v>
      </c>
      <c r="G1877" s="22"/>
      <c r="H1877" s="23" t="s">
        <v>2324</v>
      </c>
      <c r="I1877" s="20" t="s">
        <v>52</v>
      </c>
      <c r="J1877" s="20">
        <v>0.0</v>
      </c>
      <c r="K1877" s="20">
        <v>0.0</v>
      </c>
      <c r="L1877" s="20">
        <v>0.0</v>
      </c>
      <c r="M1877" s="20">
        <v>0.0</v>
      </c>
      <c r="N1877" s="20">
        <v>0.0</v>
      </c>
      <c r="O1877" s="20">
        <v>0.0</v>
      </c>
      <c r="P1877" s="20">
        <v>0.0</v>
      </c>
      <c r="Q1877" s="20">
        <v>0.0</v>
      </c>
      <c r="R1877" s="20">
        <v>0.0</v>
      </c>
      <c r="S1877" s="20">
        <v>0.0</v>
      </c>
      <c r="T1877" s="20">
        <v>0.0</v>
      </c>
      <c r="U1877" s="20">
        <v>0.0</v>
      </c>
    </row>
    <row r="1878" ht="23.25" customHeight="1">
      <c r="A1878" s="17" t="str">
        <f>IF(COUNTIF('Icon Lookup'!C:C,B1878)&gt;0,LOOKUP(B1878,'Icon Lookup'!C:C,'Icon Lookup'!B:B),"")</f>
        <v/>
      </c>
      <c r="B1878" s="18" t="s">
        <v>386</v>
      </c>
      <c r="C1878" s="17" t="s">
        <v>17</v>
      </c>
      <c r="D1878" s="17">
        <v>36.0</v>
      </c>
      <c r="E1878" s="17" t="s">
        <v>387</v>
      </c>
      <c r="G1878" s="19"/>
      <c r="H1878" s="20" t="s">
        <v>2325</v>
      </c>
      <c r="I1878" s="17" t="s">
        <v>52</v>
      </c>
      <c r="J1878" s="17">
        <v>0.0</v>
      </c>
      <c r="K1878" s="17">
        <v>0.0</v>
      </c>
      <c r="L1878" s="17">
        <v>0.0</v>
      </c>
      <c r="M1878" s="17">
        <v>0.0</v>
      </c>
      <c r="N1878" s="17">
        <v>0.0</v>
      </c>
      <c r="O1878" s="17">
        <v>0.0</v>
      </c>
      <c r="P1878" s="17">
        <v>0.0</v>
      </c>
      <c r="Q1878" s="17">
        <v>0.0</v>
      </c>
      <c r="R1878" s="17">
        <v>0.0</v>
      </c>
      <c r="S1878" s="17">
        <v>0.0</v>
      </c>
      <c r="T1878" s="17">
        <v>0.0</v>
      </c>
      <c r="U1878" s="17">
        <v>0.0</v>
      </c>
    </row>
    <row r="1879" ht="23.25" customHeight="1">
      <c r="A1879" s="1" t="str">
        <f>IF(COUNTIF('Icon Lookup'!C:C,B1879)&gt;0,LOOKUP(B1879,'Icon Lookup'!C:C,'Icon Lookup'!B:B),"")</f>
        <v/>
      </c>
      <c r="B1879" s="15" t="s">
        <v>2326</v>
      </c>
      <c r="C1879" s="1" t="s">
        <v>17</v>
      </c>
      <c r="D1879" s="1" t="s">
        <v>1540</v>
      </c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</row>
    <row r="1880" ht="23.25" customHeight="1">
      <c r="A1880" s="20" t="str">
        <f>IF(COUNTIF('Icon Lookup'!C:C,B1880)&gt;0,LOOKUP(B1880,'Icon Lookup'!C:C,'Icon Lookup'!B:B),"")</f>
        <v/>
      </c>
      <c r="B1880" s="21" t="s">
        <v>765</v>
      </c>
      <c r="C1880" s="20" t="s">
        <v>17</v>
      </c>
      <c r="D1880" s="20">
        <v>53.0</v>
      </c>
      <c r="E1880" s="20" t="s">
        <v>38</v>
      </c>
      <c r="G1880" s="22"/>
      <c r="H1880" s="23" t="s">
        <v>2324</v>
      </c>
      <c r="I1880" s="20" t="s">
        <v>52</v>
      </c>
      <c r="J1880" s="20">
        <v>0.0</v>
      </c>
      <c r="K1880" s="20">
        <v>0.0</v>
      </c>
      <c r="L1880" s="20">
        <v>0.0</v>
      </c>
      <c r="M1880" s="20">
        <v>0.0</v>
      </c>
      <c r="N1880" s="20">
        <v>0.0</v>
      </c>
      <c r="O1880" s="20">
        <v>0.0</v>
      </c>
      <c r="P1880" s="20">
        <v>0.0</v>
      </c>
      <c r="Q1880" s="20">
        <v>0.0</v>
      </c>
      <c r="R1880" s="20">
        <v>0.0</v>
      </c>
      <c r="S1880" s="20">
        <v>0.0</v>
      </c>
      <c r="T1880" s="20">
        <v>0.0</v>
      </c>
      <c r="U1880" s="20">
        <v>0.0</v>
      </c>
    </row>
    <row r="1881" ht="23.25" customHeight="1">
      <c r="A1881" s="17" t="str">
        <f>IF(COUNTIF('Icon Lookup'!C:C,B1881)&gt;0,LOOKUP(B1881,'Icon Lookup'!C:C,'Icon Lookup'!B:B),"")</f>
        <v/>
      </c>
      <c r="B1881" s="18" t="s">
        <v>765</v>
      </c>
      <c r="C1881" s="17" t="s">
        <v>17</v>
      </c>
      <c r="D1881" s="17">
        <v>53.0</v>
      </c>
      <c r="E1881" s="17" t="s">
        <v>387</v>
      </c>
      <c r="G1881" s="19"/>
      <c r="H1881" s="20" t="s">
        <v>2327</v>
      </c>
      <c r="I1881" s="17" t="s">
        <v>52</v>
      </c>
      <c r="J1881" s="17">
        <v>0.0</v>
      </c>
      <c r="K1881" s="17">
        <v>0.0</v>
      </c>
      <c r="L1881" s="17">
        <v>0.0</v>
      </c>
      <c r="M1881" s="17">
        <v>0.0</v>
      </c>
      <c r="N1881" s="17">
        <v>0.0</v>
      </c>
      <c r="O1881" s="17">
        <v>0.0</v>
      </c>
      <c r="P1881" s="17">
        <v>0.0</v>
      </c>
      <c r="Q1881" s="17">
        <v>0.0</v>
      </c>
      <c r="R1881" s="17">
        <v>0.0</v>
      </c>
      <c r="S1881" s="17">
        <v>0.0</v>
      </c>
      <c r="T1881" s="17">
        <v>0.0</v>
      </c>
      <c r="U1881" s="17">
        <v>0.0</v>
      </c>
    </row>
    <row r="1882" ht="23.25" customHeight="1">
      <c r="A1882" s="1" t="str">
        <f>IF(COUNTIF('Icon Lookup'!C:C,B1882)&gt;0,LOOKUP(B1882,'Icon Lookup'!C:C,'Icon Lookup'!B:B),"")</f>
        <v/>
      </c>
      <c r="B1882" s="15" t="s">
        <v>2328</v>
      </c>
      <c r="C1882" s="1" t="s">
        <v>17</v>
      </c>
      <c r="D1882" s="1" t="s">
        <v>317</v>
      </c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</row>
    <row r="1883" ht="23.25" customHeight="1">
      <c r="A1883" s="20" t="str">
        <f>IF(COUNTIF('Icon Lookup'!C:C,B1883)&gt;0,LOOKUP(B1883,'Icon Lookup'!C:C,'Icon Lookup'!B:B),"")</f>
        <v/>
      </c>
      <c r="B1883" s="21" t="s">
        <v>37</v>
      </c>
      <c r="C1883" s="20" t="s">
        <v>17</v>
      </c>
      <c r="D1883" s="20">
        <v>26.0</v>
      </c>
      <c r="E1883" s="20" t="s">
        <v>38</v>
      </c>
      <c r="G1883" s="22"/>
      <c r="H1883" s="23" t="s">
        <v>1550</v>
      </c>
      <c r="I1883" s="20" t="s">
        <v>22</v>
      </c>
      <c r="J1883" s="20">
        <v>0.0</v>
      </c>
      <c r="K1883" s="20">
        <v>0.0</v>
      </c>
      <c r="L1883" s="20">
        <v>0.0</v>
      </c>
      <c r="M1883" s="20">
        <v>0.0</v>
      </c>
      <c r="N1883" s="20">
        <v>0.0</v>
      </c>
      <c r="O1883" s="20">
        <v>0.0</v>
      </c>
      <c r="P1883" s="20">
        <v>0.0</v>
      </c>
      <c r="Q1883" s="20">
        <v>0.0</v>
      </c>
      <c r="R1883" s="20">
        <v>0.0</v>
      </c>
      <c r="S1883" s="20">
        <v>0.0</v>
      </c>
      <c r="T1883" s="20">
        <v>0.0</v>
      </c>
      <c r="U1883" s="20">
        <v>0.0</v>
      </c>
    </row>
    <row r="1884" ht="23.25" customHeight="1">
      <c r="A1884" s="17" t="str">
        <f>IF(COUNTIF('Icon Lookup'!C:C,B1884)&gt;0,LOOKUP(B1884,'Icon Lookup'!C:C,'Icon Lookup'!B:B),"")</f>
        <v/>
      </c>
      <c r="B1884" s="18" t="s">
        <v>174</v>
      </c>
      <c r="C1884" s="17" t="s">
        <v>17</v>
      </c>
      <c r="D1884" s="17">
        <v>29.0</v>
      </c>
      <c r="E1884" s="17" t="s">
        <v>38</v>
      </c>
      <c r="G1884" s="19"/>
      <c r="H1884" s="20" t="s">
        <v>1405</v>
      </c>
      <c r="I1884" s="17" t="s">
        <v>22</v>
      </c>
      <c r="J1884" s="17">
        <v>0.0</v>
      </c>
      <c r="K1884" s="17">
        <v>0.0</v>
      </c>
      <c r="L1884" s="17">
        <v>0.0</v>
      </c>
      <c r="M1884" s="17">
        <v>0.0</v>
      </c>
      <c r="N1884" s="17">
        <v>0.0</v>
      </c>
      <c r="O1884" s="17">
        <v>0.0</v>
      </c>
      <c r="P1884" s="17">
        <v>0.0</v>
      </c>
      <c r="Q1884" s="17">
        <v>0.0</v>
      </c>
      <c r="R1884" s="17">
        <v>0.0</v>
      </c>
      <c r="S1884" s="17">
        <v>0.0</v>
      </c>
      <c r="T1884" s="17">
        <v>0.0</v>
      </c>
      <c r="U1884" s="17">
        <v>0.0</v>
      </c>
    </row>
    <row r="1885" ht="23.25" customHeight="1">
      <c r="A1885" s="20" t="str">
        <f>IF(COUNTIF('Icon Lookup'!C:C,B1885)&gt;0,LOOKUP(B1885,'Icon Lookup'!C:C,'Icon Lookup'!B:B),"")</f>
        <v/>
      </c>
      <c r="B1885" s="21" t="s">
        <v>174</v>
      </c>
      <c r="C1885" s="20" t="s">
        <v>17</v>
      </c>
      <c r="D1885" s="20">
        <v>29.0</v>
      </c>
      <c r="E1885" s="20" t="s">
        <v>38</v>
      </c>
      <c r="G1885" s="22"/>
      <c r="H1885" s="23" t="s">
        <v>1405</v>
      </c>
      <c r="I1885" s="20" t="s">
        <v>52</v>
      </c>
      <c r="J1885" s="20">
        <v>0.0</v>
      </c>
      <c r="K1885" s="20">
        <v>0.0</v>
      </c>
      <c r="L1885" s="20">
        <v>0.0</v>
      </c>
      <c r="M1885" s="20">
        <v>0.0</v>
      </c>
      <c r="N1885" s="20">
        <v>0.0</v>
      </c>
      <c r="O1885" s="20">
        <v>0.0</v>
      </c>
      <c r="P1885" s="20">
        <v>0.0</v>
      </c>
      <c r="Q1885" s="20">
        <v>0.0</v>
      </c>
      <c r="R1885" s="20">
        <v>0.0</v>
      </c>
      <c r="S1885" s="20">
        <v>0.0</v>
      </c>
      <c r="T1885" s="20">
        <v>0.0</v>
      </c>
      <c r="U1885" s="20">
        <v>0.0</v>
      </c>
    </row>
    <row r="1886" ht="23.25" customHeight="1">
      <c r="A1886" s="1" t="str">
        <f>IF(COUNTIF('Icon Lookup'!C:C,B1886)&gt;0,LOOKUP(B1886,'Icon Lookup'!C:C,'Icon Lookup'!B:B),"")</f>
        <v/>
      </c>
      <c r="B1886" s="15" t="s">
        <v>2329</v>
      </c>
      <c r="C1886" s="1" t="s">
        <v>17</v>
      </c>
      <c r="D1886" s="1" t="s">
        <v>317</v>
      </c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</row>
    <row r="1887" ht="23.25" customHeight="1">
      <c r="A1887" s="17" t="str">
        <f>IF(COUNTIF('Icon Lookup'!C:C,B1887)&gt;0,LOOKUP(B1887,'Icon Lookup'!C:C,'Icon Lookup'!B:B),"")</f>
        <v/>
      </c>
      <c r="B1887" s="18" t="s">
        <v>174</v>
      </c>
      <c r="C1887" s="17" t="s">
        <v>17</v>
      </c>
      <c r="D1887" s="17">
        <v>36.0</v>
      </c>
      <c r="E1887" s="17" t="s">
        <v>38</v>
      </c>
      <c r="G1887" s="19"/>
      <c r="H1887" s="20" t="s">
        <v>542</v>
      </c>
      <c r="I1887" s="17" t="s">
        <v>22</v>
      </c>
      <c r="J1887" s="17">
        <v>0.0</v>
      </c>
      <c r="K1887" s="17">
        <v>0.0</v>
      </c>
      <c r="L1887" s="17">
        <v>0.0</v>
      </c>
      <c r="M1887" s="17">
        <v>0.0</v>
      </c>
      <c r="N1887" s="17">
        <v>0.0</v>
      </c>
      <c r="O1887" s="17">
        <v>0.0</v>
      </c>
      <c r="P1887" s="17">
        <v>0.0</v>
      </c>
      <c r="Q1887" s="17">
        <v>0.0</v>
      </c>
      <c r="R1887" s="17">
        <v>0.0</v>
      </c>
      <c r="S1887" s="17">
        <v>0.0</v>
      </c>
      <c r="T1887" s="17">
        <v>0.0</v>
      </c>
      <c r="U1887" s="17">
        <v>0.0</v>
      </c>
    </row>
    <row r="1888" ht="23.25" customHeight="1">
      <c r="A1888" s="20" t="str">
        <f>IF(COUNTIF('Icon Lookup'!C:C,B1888)&gt;0,LOOKUP(B1888,'Icon Lookup'!C:C,'Icon Lookup'!B:B),"")</f>
        <v/>
      </c>
      <c r="B1888" s="21" t="s">
        <v>174</v>
      </c>
      <c r="C1888" s="20" t="s">
        <v>17</v>
      </c>
      <c r="D1888" s="20">
        <v>37.0</v>
      </c>
      <c r="E1888" s="20" t="s">
        <v>38</v>
      </c>
      <c r="G1888" s="22"/>
      <c r="H1888" s="23" t="s">
        <v>542</v>
      </c>
      <c r="I1888" s="20" t="s">
        <v>22</v>
      </c>
      <c r="J1888" s="20">
        <v>0.0</v>
      </c>
      <c r="K1888" s="20">
        <v>0.0</v>
      </c>
      <c r="L1888" s="20">
        <v>0.0</v>
      </c>
      <c r="M1888" s="20">
        <v>0.0</v>
      </c>
      <c r="N1888" s="20">
        <v>0.0</v>
      </c>
      <c r="O1888" s="20">
        <v>0.0</v>
      </c>
      <c r="P1888" s="20">
        <v>0.0</v>
      </c>
      <c r="Q1888" s="20">
        <v>0.0</v>
      </c>
      <c r="R1888" s="20">
        <v>0.0</v>
      </c>
      <c r="S1888" s="20">
        <v>0.0</v>
      </c>
      <c r="T1888" s="20">
        <v>0.0</v>
      </c>
      <c r="U1888" s="20">
        <v>0.0</v>
      </c>
    </row>
    <row r="1889" ht="23.25" customHeight="1">
      <c r="A1889" s="17" t="str">
        <f>IF(COUNTIF('Icon Lookup'!C:C,B1889)&gt;0,LOOKUP(B1889,'Icon Lookup'!C:C,'Icon Lookup'!B:B),"")</f>
        <v/>
      </c>
      <c r="B1889" s="18" t="s">
        <v>174</v>
      </c>
      <c r="C1889" s="17" t="s">
        <v>17</v>
      </c>
      <c r="D1889" s="17">
        <v>38.0</v>
      </c>
      <c r="E1889" s="17" t="s">
        <v>38</v>
      </c>
      <c r="G1889" s="19"/>
      <c r="H1889" s="20" t="s">
        <v>2330</v>
      </c>
      <c r="I1889" s="17" t="s">
        <v>52</v>
      </c>
      <c r="J1889" s="17">
        <v>0.0</v>
      </c>
      <c r="K1889" s="17">
        <v>0.0</v>
      </c>
      <c r="L1889" s="17">
        <v>0.0</v>
      </c>
      <c r="M1889" s="17">
        <v>0.0</v>
      </c>
      <c r="N1889" s="17">
        <v>0.0</v>
      </c>
      <c r="O1889" s="17">
        <v>0.0</v>
      </c>
      <c r="P1889" s="17">
        <v>0.0</v>
      </c>
      <c r="Q1889" s="17">
        <v>0.0</v>
      </c>
      <c r="R1889" s="17">
        <v>0.0</v>
      </c>
      <c r="S1889" s="17">
        <v>0.0</v>
      </c>
      <c r="T1889" s="17">
        <v>0.0</v>
      </c>
      <c r="U1889" s="17">
        <v>0.0</v>
      </c>
    </row>
    <row r="1890" ht="23.25" customHeight="1">
      <c r="A1890" s="1" t="str">
        <f>IF(COUNTIF('Icon Lookup'!C:C,B1890)&gt;0,LOOKUP(B1890,'Icon Lookup'!C:C,'Icon Lookup'!B:B),"")</f>
        <v/>
      </c>
      <c r="B1890" s="15" t="s">
        <v>2331</v>
      </c>
      <c r="C1890" s="1" t="s">
        <v>17</v>
      </c>
      <c r="D1890" s="1" t="s">
        <v>317</v>
      </c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</row>
    <row r="1891" ht="23.25" customHeight="1">
      <c r="A1891" s="20" t="str">
        <f>IF(COUNTIF('Icon Lookup'!C:C,B1891)&gt;0,LOOKUP(B1891,'Icon Lookup'!C:C,'Icon Lookup'!B:B),"")</f>
        <v/>
      </c>
      <c r="B1891" s="21" t="s">
        <v>174</v>
      </c>
      <c r="C1891" s="20" t="s">
        <v>17</v>
      </c>
      <c r="D1891" s="20">
        <v>51.0</v>
      </c>
      <c r="E1891" s="20" t="s">
        <v>38</v>
      </c>
      <c r="G1891" s="22"/>
      <c r="H1891" s="23" t="s">
        <v>1617</v>
      </c>
      <c r="I1891" s="20" t="s">
        <v>22</v>
      </c>
      <c r="J1891" s="20">
        <v>0.0</v>
      </c>
      <c r="K1891" s="20">
        <v>0.0</v>
      </c>
      <c r="L1891" s="20">
        <v>0.0</v>
      </c>
      <c r="M1891" s="20">
        <v>0.0</v>
      </c>
      <c r="N1891" s="20">
        <v>0.0</v>
      </c>
      <c r="O1891" s="20">
        <v>0.0</v>
      </c>
      <c r="P1891" s="20">
        <v>0.0</v>
      </c>
      <c r="Q1891" s="20">
        <v>0.0</v>
      </c>
      <c r="R1891" s="20">
        <v>0.0</v>
      </c>
      <c r="S1891" s="20">
        <v>0.0</v>
      </c>
      <c r="T1891" s="20">
        <v>0.0</v>
      </c>
      <c r="U1891" s="20">
        <v>0.0</v>
      </c>
    </row>
    <row r="1892" ht="23.25" customHeight="1">
      <c r="A1892" s="17" t="str">
        <f>IF(COUNTIF('Icon Lookup'!C:C,B1892)&gt;0,LOOKUP(B1892,'Icon Lookup'!C:C,'Icon Lookup'!B:B),"")</f>
        <v/>
      </c>
      <c r="B1892" s="18" t="s">
        <v>1369</v>
      </c>
      <c r="C1892" s="17" t="s">
        <v>17</v>
      </c>
      <c r="D1892" s="17">
        <v>52.0</v>
      </c>
      <c r="E1892" s="17" t="s">
        <v>38</v>
      </c>
      <c r="G1892" s="19"/>
      <c r="H1892" s="20" t="s">
        <v>2332</v>
      </c>
      <c r="I1892" s="17" t="s">
        <v>22</v>
      </c>
      <c r="J1892" s="17">
        <v>0.0</v>
      </c>
      <c r="K1892" s="17">
        <v>0.0</v>
      </c>
      <c r="L1892" s="17">
        <v>0.0</v>
      </c>
      <c r="M1892" s="17">
        <v>0.0</v>
      </c>
      <c r="N1892" s="17">
        <v>0.0</v>
      </c>
      <c r="O1892" s="17">
        <v>0.0</v>
      </c>
      <c r="P1892" s="17">
        <v>0.0</v>
      </c>
      <c r="Q1892" s="17">
        <v>0.0</v>
      </c>
      <c r="R1892" s="17">
        <v>0.0</v>
      </c>
      <c r="S1892" s="17">
        <v>0.0</v>
      </c>
      <c r="T1892" s="17">
        <v>0.0</v>
      </c>
      <c r="U1892" s="17">
        <v>0.0</v>
      </c>
    </row>
    <row r="1893" ht="23.25" customHeight="1">
      <c r="A1893" s="20" t="str">
        <f>IF(COUNTIF('Icon Lookup'!C:C,B1893)&gt;0,LOOKUP(B1893,'Icon Lookup'!C:C,'Icon Lookup'!B:B),"")</f>
        <v/>
      </c>
      <c r="B1893" s="21" t="s">
        <v>1369</v>
      </c>
      <c r="C1893" s="20" t="s">
        <v>17</v>
      </c>
      <c r="D1893" s="20">
        <v>53.0</v>
      </c>
      <c r="E1893" s="20" t="s">
        <v>38</v>
      </c>
      <c r="G1893" s="22"/>
      <c r="H1893" s="23" t="s">
        <v>2333</v>
      </c>
      <c r="I1893" s="20" t="s">
        <v>52</v>
      </c>
      <c r="J1893" s="20">
        <v>0.0</v>
      </c>
      <c r="K1893" s="20">
        <v>0.0</v>
      </c>
      <c r="L1893" s="20">
        <v>0.0</v>
      </c>
      <c r="M1893" s="20">
        <v>0.0</v>
      </c>
      <c r="N1893" s="20">
        <v>0.0</v>
      </c>
      <c r="O1893" s="20">
        <v>0.0</v>
      </c>
      <c r="P1893" s="20">
        <v>0.0</v>
      </c>
      <c r="Q1893" s="20">
        <v>0.0</v>
      </c>
      <c r="R1893" s="20">
        <v>0.0</v>
      </c>
      <c r="S1893" s="20">
        <v>0.0</v>
      </c>
      <c r="T1893" s="20">
        <v>0.0</v>
      </c>
      <c r="U1893" s="20">
        <v>0.0</v>
      </c>
    </row>
    <row r="1894" ht="23.25" customHeight="1">
      <c r="A1894" s="1" t="str">
        <f>IF(COUNTIF('Icon Lookup'!C:C,B1894)&gt;0,LOOKUP(B1894,'Icon Lookup'!C:C,'Icon Lookup'!B:B),"")</f>
        <v/>
      </c>
      <c r="B1894" s="15" t="s">
        <v>2334</v>
      </c>
      <c r="C1894" s="1" t="s">
        <v>17</v>
      </c>
      <c r="D1894" s="1" t="s">
        <v>1223</v>
      </c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</row>
    <row r="1895" ht="23.25" customHeight="1">
      <c r="A1895" s="17" t="str">
        <f>IF(COUNTIF('Icon Lookup'!C:C,B1895)&gt;0,LOOKUP(B1895,'Icon Lookup'!C:C,'Icon Lookup'!B:B),"")</f>
        <v/>
      </c>
      <c r="B1895" s="18" t="s">
        <v>1003</v>
      </c>
      <c r="C1895" s="17" t="s">
        <v>17</v>
      </c>
      <c r="D1895" s="17">
        <v>40.0</v>
      </c>
      <c r="E1895" s="17" t="s">
        <v>1004</v>
      </c>
      <c r="G1895" s="19"/>
      <c r="H1895" s="20" t="s">
        <v>1427</v>
      </c>
      <c r="I1895" s="17" t="s">
        <v>22</v>
      </c>
      <c r="J1895" s="17">
        <v>0.0</v>
      </c>
      <c r="K1895" s="17">
        <v>0.0</v>
      </c>
      <c r="L1895" s="17">
        <v>0.0</v>
      </c>
      <c r="M1895" s="17">
        <v>0.0</v>
      </c>
      <c r="N1895" s="17">
        <v>0.0</v>
      </c>
      <c r="O1895" s="17">
        <v>0.0</v>
      </c>
      <c r="P1895" s="17">
        <v>0.0</v>
      </c>
      <c r="Q1895" s="17">
        <v>0.0</v>
      </c>
      <c r="R1895" s="17">
        <v>0.0</v>
      </c>
      <c r="S1895" s="17">
        <v>0.0</v>
      </c>
      <c r="T1895" s="17">
        <v>0.0</v>
      </c>
      <c r="U1895" s="17">
        <v>0.0</v>
      </c>
    </row>
    <row r="1896" ht="23.25" customHeight="1">
      <c r="A1896" s="1" t="str">
        <f>IF(COUNTIF('Icon Lookup'!C:C,B1896)&gt;0,LOOKUP(B1896,'Icon Lookup'!C:C,'Icon Lookup'!B:B),"")</f>
        <v/>
      </c>
      <c r="B1896" s="15" t="s">
        <v>2335</v>
      </c>
      <c r="C1896" s="1" t="s">
        <v>17</v>
      </c>
      <c r="D1896" s="1" t="s">
        <v>1223</v>
      </c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</row>
    <row r="1897" ht="23.25" customHeight="1">
      <c r="A1897" s="20" t="str">
        <f>IF(COUNTIF('Icon Lookup'!C:C,B1897)&gt;0,LOOKUP(B1897,'Icon Lookup'!C:C,'Icon Lookup'!B:B),"")</f>
        <v/>
      </c>
      <c r="B1897" s="21" t="s">
        <v>1040</v>
      </c>
      <c r="C1897" s="20" t="s">
        <v>17</v>
      </c>
      <c r="D1897" s="20">
        <v>60.0</v>
      </c>
      <c r="E1897" s="20" t="s">
        <v>1004</v>
      </c>
      <c r="G1897" s="22"/>
      <c r="H1897" s="23" t="s">
        <v>2336</v>
      </c>
      <c r="I1897" s="20" t="s">
        <v>22</v>
      </c>
      <c r="J1897" s="20">
        <v>0.0</v>
      </c>
      <c r="K1897" s="20">
        <v>0.0</v>
      </c>
      <c r="L1897" s="20">
        <v>0.0</v>
      </c>
      <c r="M1897" s="20">
        <v>0.0</v>
      </c>
      <c r="N1897" s="20">
        <v>0.0</v>
      </c>
      <c r="O1897" s="20">
        <v>0.0</v>
      </c>
      <c r="P1897" s="20">
        <v>0.0</v>
      </c>
      <c r="Q1897" s="20">
        <v>0.0</v>
      </c>
      <c r="R1897" s="20">
        <v>0.0</v>
      </c>
      <c r="S1897" s="20">
        <v>0.0</v>
      </c>
      <c r="T1897" s="20">
        <v>0.0</v>
      </c>
      <c r="U1897" s="20">
        <v>0.0</v>
      </c>
    </row>
    <row r="1898" ht="23.25" customHeight="1">
      <c r="A1898" s="1" t="str">
        <f>IF(COUNTIF('Icon Lookup'!C:C,B1898)&gt;0,LOOKUP(B1898,'Icon Lookup'!C:C,'Icon Lookup'!B:B),"")</f>
        <v/>
      </c>
      <c r="B1898" s="15" t="s">
        <v>2337</v>
      </c>
      <c r="C1898" s="1" t="s">
        <v>17</v>
      </c>
      <c r="D1898" s="1" t="s">
        <v>498</v>
      </c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</row>
    <row r="1899" ht="23.25" customHeight="1">
      <c r="A1899" s="17" t="str">
        <f>IF(COUNTIF('Icon Lookup'!C:C,B1899)&gt;0,LOOKUP(B1899,'Icon Lookup'!C:C,'Icon Lookup'!B:B),"")</f>
        <v/>
      </c>
      <c r="B1899" s="18" t="s">
        <v>478</v>
      </c>
      <c r="C1899" s="17" t="s">
        <v>17</v>
      </c>
      <c r="D1899" s="17">
        <v>40.0</v>
      </c>
      <c r="E1899" s="17" t="s">
        <v>38</v>
      </c>
      <c r="G1899" s="19"/>
      <c r="H1899" s="20" t="s">
        <v>2338</v>
      </c>
      <c r="I1899" s="17" t="s">
        <v>22</v>
      </c>
      <c r="J1899" s="17">
        <v>0.0</v>
      </c>
      <c r="K1899" s="17">
        <v>0.0</v>
      </c>
      <c r="L1899" s="17">
        <v>0.0</v>
      </c>
      <c r="M1899" s="17">
        <v>0.0</v>
      </c>
      <c r="N1899" s="17">
        <v>0.0</v>
      </c>
      <c r="O1899" s="17">
        <v>0.0</v>
      </c>
      <c r="P1899" s="17">
        <v>0.0</v>
      </c>
      <c r="Q1899" s="17">
        <v>0.0</v>
      </c>
      <c r="R1899" s="17">
        <v>0.0</v>
      </c>
      <c r="S1899" s="17">
        <v>0.0</v>
      </c>
      <c r="T1899" s="17">
        <v>0.0</v>
      </c>
      <c r="U1899" s="17">
        <v>0.0</v>
      </c>
    </row>
    <row r="1900" ht="23.25" customHeight="1">
      <c r="A1900" s="1" t="str">
        <f>IF(COUNTIF('Icon Lookup'!C:C,B1900)&gt;0,LOOKUP(B1900,'Icon Lookup'!C:C,'Icon Lookup'!B:B),"")</f>
        <v/>
      </c>
      <c r="B1900" s="15" t="s">
        <v>2339</v>
      </c>
      <c r="C1900" s="1" t="s">
        <v>17</v>
      </c>
      <c r="D1900" s="1" t="s">
        <v>498</v>
      </c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</row>
    <row r="1901" ht="23.25" customHeight="1">
      <c r="A1901" s="20" t="str">
        <f>IF(COUNTIF('Icon Lookup'!C:C,B1901)&gt;0,LOOKUP(B1901,'Icon Lookup'!C:C,'Icon Lookup'!B:B),"")</f>
        <v/>
      </c>
      <c r="B1901" s="21" t="s">
        <v>478</v>
      </c>
      <c r="C1901" s="20" t="s">
        <v>17</v>
      </c>
      <c r="D1901" s="20">
        <v>55.0</v>
      </c>
      <c r="E1901" s="20" t="s">
        <v>38</v>
      </c>
      <c r="G1901" s="22"/>
      <c r="H1901" s="23" t="s">
        <v>2340</v>
      </c>
      <c r="I1901" s="20" t="s">
        <v>22</v>
      </c>
      <c r="J1901" s="20">
        <v>0.0</v>
      </c>
      <c r="K1901" s="20">
        <v>0.0</v>
      </c>
      <c r="L1901" s="20">
        <v>0.0</v>
      </c>
      <c r="M1901" s="20">
        <v>0.0</v>
      </c>
      <c r="N1901" s="20">
        <v>0.0</v>
      </c>
      <c r="O1901" s="20">
        <v>0.0</v>
      </c>
      <c r="P1901" s="20">
        <v>0.0</v>
      </c>
      <c r="Q1901" s="20">
        <v>0.0</v>
      </c>
      <c r="R1901" s="20">
        <v>0.0</v>
      </c>
      <c r="S1901" s="20">
        <v>0.0</v>
      </c>
      <c r="T1901" s="20">
        <v>0.0</v>
      </c>
      <c r="U1901" s="20">
        <v>0.0</v>
      </c>
    </row>
    <row r="1902" ht="23.25" customHeight="1">
      <c r="A1902" s="1" t="str">
        <f>IF(COUNTIF('Icon Lookup'!C:C,B1902)&gt;0,LOOKUP(B1902,'Icon Lookup'!C:C,'Icon Lookup'!B:B),"")</f>
        <v/>
      </c>
      <c r="B1902" s="15" t="s">
        <v>2341</v>
      </c>
      <c r="C1902" s="1" t="s">
        <v>17</v>
      </c>
      <c r="D1902" s="1" t="s">
        <v>523</v>
      </c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</row>
    <row r="1903" ht="23.25" customHeight="1">
      <c r="A1903" s="17" t="str">
        <f>IF(COUNTIF('Icon Lookup'!C:C,B1903)&gt;0,LOOKUP(B1903,'Icon Lookup'!C:C,'Icon Lookup'!B:B),"")</f>
        <v/>
      </c>
      <c r="B1903" s="18" t="s">
        <v>653</v>
      </c>
      <c r="C1903" s="17" t="s">
        <v>17</v>
      </c>
      <c r="D1903" s="17">
        <v>37.0</v>
      </c>
      <c r="E1903" s="17" t="s">
        <v>525</v>
      </c>
      <c r="G1903" s="19"/>
      <c r="H1903" s="20" t="s">
        <v>2342</v>
      </c>
      <c r="I1903" s="17" t="s">
        <v>52</v>
      </c>
      <c r="J1903" s="17">
        <v>0.0</v>
      </c>
      <c r="K1903" s="17">
        <v>0.0</v>
      </c>
      <c r="L1903" s="17">
        <v>0.0</v>
      </c>
      <c r="M1903" s="17">
        <v>0.0</v>
      </c>
      <c r="N1903" s="17">
        <v>0.0</v>
      </c>
      <c r="O1903" s="17">
        <v>0.0</v>
      </c>
      <c r="P1903" s="17">
        <v>0.0</v>
      </c>
      <c r="Q1903" s="17">
        <v>0.0</v>
      </c>
      <c r="R1903" s="17">
        <v>0.0</v>
      </c>
      <c r="S1903" s="17">
        <v>0.0</v>
      </c>
      <c r="T1903" s="17">
        <v>0.0</v>
      </c>
      <c r="U1903" s="17">
        <v>0.0</v>
      </c>
    </row>
    <row r="1904" ht="23.25" customHeight="1">
      <c r="A1904" s="20" t="str">
        <f>IF(COUNTIF('Icon Lookup'!C:C,B1904)&gt;0,LOOKUP(B1904,'Icon Lookup'!C:C,'Icon Lookup'!B:B),"")</f>
        <v/>
      </c>
      <c r="B1904" s="21" t="s">
        <v>478</v>
      </c>
      <c r="C1904" s="20" t="s">
        <v>17</v>
      </c>
      <c r="D1904" s="20">
        <v>39.0</v>
      </c>
      <c r="E1904" s="20" t="s">
        <v>38</v>
      </c>
      <c r="G1904" s="22"/>
      <c r="H1904" s="23" t="s">
        <v>2343</v>
      </c>
      <c r="I1904" s="20" t="s">
        <v>22</v>
      </c>
      <c r="J1904" s="20">
        <v>0.0</v>
      </c>
      <c r="K1904" s="20">
        <v>0.0</v>
      </c>
      <c r="L1904" s="20">
        <v>0.0</v>
      </c>
      <c r="M1904" s="20">
        <v>0.0</v>
      </c>
      <c r="N1904" s="20">
        <v>0.0</v>
      </c>
      <c r="O1904" s="20">
        <v>0.0</v>
      </c>
      <c r="P1904" s="20">
        <v>0.0</v>
      </c>
      <c r="Q1904" s="20">
        <v>0.0</v>
      </c>
      <c r="R1904" s="20">
        <v>0.0</v>
      </c>
      <c r="S1904" s="20">
        <v>0.0</v>
      </c>
      <c r="T1904" s="20">
        <v>0.0</v>
      </c>
      <c r="U1904" s="20">
        <v>0.0</v>
      </c>
    </row>
    <row r="1905" ht="23.25" customHeight="1">
      <c r="A1905" s="1" t="str">
        <f>IF(COUNTIF('Icon Lookup'!C:C,B1905)&gt;0,LOOKUP(B1905,'Icon Lookup'!C:C,'Icon Lookup'!B:B),"")</f>
        <v/>
      </c>
      <c r="B1905" s="15" t="s">
        <v>2344</v>
      </c>
      <c r="C1905" s="1" t="s">
        <v>17</v>
      </c>
      <c r="D1905" s="1" t="s">
        <v>523</v>
      </c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</row>
    <row r="1906" ht="23.25" customHeight="1">
      <c r="A1906" s="17" t="str">
        <f>IF(COUNTIF('Icon Lookup'!C:C,B1906)&gt;0,LOOKUP(B1906,'Icon Lookup'!C:C,'Icon Lookup'!B:B),"")</f>
        <v/>
      </c>
      <c r="B1906" s="18" t="s">
        <v>653</v>
      </c>
      <c r="C1906" s="17" t="s">
        <v>17</v>
      </c>
      <c r="D1906" s="17">
        <v>58.0</v>
      </c>
      <c r="E1906" s="17" t="s">
        <v>525</v>
      </c>
      <c r="G1906" s="19"/>
      <c r="H1906" s="20" t="s">
        <v>2345</v>
      </c>
      <c r="I1906" s="17" t="s">
        <v>52</v>
      </c>
      <c r="J1906" s="17">
        <v>0.0</v>
      </c>
      <c r="K1906" s="17">
        <v>0.0</v>
      </c>
      <c r="L1906" s="17">
        <v>0.0</v>
      </c>
      <c r="M1906" s="17">
        <v>0.0</v>
      </c>
      <c r="N1906" s="17">
        <v>0.0</v>
      </c>
      <c r="O1906" s="17">
        <v>0.0</v>
      </c>
      <c r="P1906" s="17">
        <v>0.0</v>
      </c>
      <c r="Q1906" s="17">
        <v>0.0</v>
      </c>
      <c r="R1906" s="17">
        <v>0.0</v>
      </c>
      <c r="S1906" s="17">
        <v>0.0</v>
      </c>
      <c r="T1906" s="17">
        <v>0.0</v>
      </c>
      <c r="U1906" s="17">
        <v>0.0</v>
      </c>
    </row>
    <row r="1907" ht="23.25" customHeight="1">
      <c r="A1907" s="20" t="str">
        <f>IF(COUNTIF('Icon Lookup'!C:C,B1907)&gt;0,LOOKUP(B1907,'Icon Lookup'!C:C,'Icon Lookup'!B:B),"")</f>
        <v/>
      </c>
      <c r="B1907" s="21" t="s">
        <v>478</v>
      </c>
      <c r="C1907" s="20" t="s">
        <v>17</v>
      </c>
      <c r="D1907" s="20">
        <v>58.0</v>
      </c>
      <c r="E1907" s="20" t="s">
        <v>38</v>
      </c>
      <c r="G1907" s="22"/>
      <c r="H1907" s="23" t="s">
        <v>2343</v>
      </c>
      <c r="I1907" s="20" t="s">
        <v>22</v>
      </c>
      <c r="J1907" s="20">
        <v>0.0</v>
      </c>
      <c r="K1907" s="20">
        <v>0.0</v>
      </c>
      <c r="L1907" s="20">
        <v>0.0</v>
      </c>
      <c r="M1907" s="20">
        <v>0.0</v>
      </c>
      <c r="N1907" s="20">
        <v>0.0</v>
      </c>
      <c r="O1907" s="20">
        <v>0.0</v>
      </c>
      <c r="P1907" s="20">
        <v>0.0</v>
      </c>
      <c r="Q1907" s="20">
        <v>0.0</v>
      </c>
      <c r="R1907" s="20">
        <v>0.0</v>
      </c>
      <c r="S1907" s="20">
        <v>0.0</v>
      </c>
      <c r="T1907" s="20">
        <v>0.0</v>
      </c>
      <c r="U1907" s="20">
        <v>0.0</v>
      </c>
    </row>
    <row r="1908" ht="23.25" customHeight="1">
      <c r="A1908" s="1" t="str">
        <f>IF(COUNTIF('Icon Lookup'!C:C,B1908)&gt;0,LOOKUP(B1908,'Icon Lookup'!C:C,'Icon Lookup'!B:B),"")</f>
        <v/>
      </c>
      <c r="B1908" s="15" t="s">
        <v>2346</v>
      </c>
      <c r="C1908" s="1" t="s">
        <v>17</v>
      </c>
      <c r="D1908" s="1" t="s">
        <v>504</v>
      </c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</row>
    <row r="1909" ht="23.25" customHeight="1">
      <c r="A1909" s="17" t="str">
        <f>IF(COUNTIF('Icon Lookup'!C:C,B1909)&gt;0,LOOKUP(B1909,'Icon Lookup'!C:C,'Icon Lookup'!B:B),"")</f>
        <v/>
      </c>
      <c r="B1909" s="18" t="s">
        <v>117</v>
      </c>
      <c r="C1909" s="17" t="s">
        <v>17</v>
      </c>
      <c r="D1909" s="17">
        <v>40.0</v>
      </c>
      <c r="E1909" s="17" t="s">
        <v>26</v>
      </c>
      <c r="G1909" s="19"/>
      <c r="H1909" s="20" t="s">
        <v>2347</v>
      </c>
      <c r="I1909" s="17" t="s">
        <v>22</v>
      </c>
      <c r="J1909" s="17">
        <v>0.0</v>
      </c>
      <c r="K1909" s="17">
        <v>0.0</v>
      </c>
      <c r="L1909" s="17">
        <v>0.0</v>
      </c>
      <c r="M1909" s="17">
        <v>0.0</v>
      </c>
      <c r="N1909" s="17">
        <v>0.0</v>
      </c>
      <c r="O1909" s="17">
        <v>0.0</v>
      </c>
      <c r="P1909" s="17">
        <v>0.0</v>
      </c>
      <c r="Q1909" s="17">
        <v>0.0</v>
      </c>
      <c r="R1909" s="17">
        <v>0.0</v>
      </c>
      <c r="S1909" s="17">
        <v>0.0</v>
      </c>
      <c r="T1909" s="17">
        <v>0.0</v>
      </c>
      <c r="U1909" s="17">
        <v>0.0</v>
      </c>
    </row>
    <row r="1910" ht="23.25" customHeight="1">
      <c r="A1910" s="1" t="str">
        <f>IF(COUNTIF('Icon Lookup'!C:C,B1910)&gt;0,LOOKUP(B1910,'Icon Lookup'!C:C,'Icon Lookup'!B:B),"")</f>
        <v/>
      </c>
      <c r="B1910" s="15" t="s">
        <v>2348</v>
      </c>
      <c r="C1910" s="1" t="s">
        <v>17</v>
      </c>
      <c r="D1910" s="1" t="s">
        <v>504</v>
      </c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</row>
    <row r="1911" ht="23.25" customHeight="1">
      <c r="A1911" s="20" t="str">
        <f>IF(COUNTIF('Icon Lookup'!C:C,B1911)&gt;0,LOOKUP(B1911,'Icon Lookup'!C:C,'Icon Lookup'!B:B),"")</f>
        <v/>
      </c>
      <c r="B1911" s="21" t="s">
        <v>741</v>
      </c>
      <c r="C1911" s="20" t="s">
        <v>17</v>
      </c>
      <c r="D1911" s="20">
        <v>55.0</v>
      </c>
      <c r="E1911" s="20" t="s">
        <v>26</v>
      </c>
      <c r="G1911" s="22"/>
      <c r="H1911" s="23" t="s">
        <v>2349</v>
      </c>
      <c r="I1911" s="20" t="s">
        <v>22</v>
      </c>
      <c r="J1911" s="20">
        <v>0.0</v>
      </c>
      <c r="K1911" s="20">
        <v>0.0</v>
      </c>
      <c r="L1911" s="20">
        <v>0.0</v>
      </c>
      <c r="M1911" s="20">
        <v>0.0</v>
      </c>
      <c r="N1911" s="20">
        <v>0.0</v>
      </c>
      <c r="O1911" s="20">
        <v>0.0</v>
      </c>
      <c r="P1911" s="20">
        <v>0.0</v>
      </c>
      <c r="Q1911" s="20">
        <v>0.0</v>
      </c>
      <c r="R1911" s="20">
        <v>0.0</v>
      </c>
      <c r="S1911" s="20">
        <v>0.0</v>
      </c>
      <c r="T1911" s="20">
        <v>0.0</v>
      </c>
      <c r="U1911" s="20">
        <v>0.0</v>
      </c>
    </row>
    <row r="1912" ht="23.25" customHeight="1">
      <c r="A1912" s="1" t="str">
        <f>IF(COUNTIF('Icon Lookup'!C:C,B1912)&gt;0,LOOKUP(B1912,'Icon Lookup'!C:C,'Icon Lookup'!B:B),"")</f>
        <v/>
      </c>
      <c r="B1912" s="15" t="s">
        <v>2350</v>
      </c>
      <c r="C1912" s="1" t="s">
        <v>17</v>
      </c>
      <c r="D1912" s="1" t="s">
        <v>533</v>
      </c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</row>
    <row r="1913" ht="23.25" customHeight="1">
      <c r="A1913" s="17" t="str">
        <f>IF(COUNTIF('Icon Lookup'!C:C,B1913)&gt;0,LOOKUP(B1913,'Icon Lookup'!C:C,'Icon Lookup'!B:B),"")</f>
        <v/>
      </c>
      <c r="B1913" s="18" t="s">
        <v>494</v>
      </c>
      <c r="C1913" s="17" t="s">
        <v>17</v>
      </c>
      <c r="D1913" s="17">
        <v>40.0</v>
      </c>
      <c r="E1913" s="17" t="s">
        <v>495</v>
      </c>
      <c r="G1913" s="19"/>
      <c r="H1913" s="20" t="s">
        <v>496</v>
      </c>
      <c r="I1913" s="17" t="s">
        <v>156</v>
      </c>
      <c r="J1913" s="17">
        <v>0.0</v>
      </c>
      <c r="K1913" s="17">
        <v>0.0</v>
      </c>
      <c r="L1913" s="17">
        <v>0.0</v>
      </c>
      <c r="M1913" s="17">
        <v>0.0</v>
      </c>
      <c r="N1913" s="17">
        <v>0.0</v>
      </c>
      <c r="O1913" s="17">
        <v>0.0</v>
      </c>
      <c r="P1913" s="17">
        <v>0.0</v>
      </c>
      <c r="Q1913" s="17">
        <v>0.0</v>
      </c>
      <c r="R1913" s="17">
        <v>0.0</v>
      </c>
      <c r="S1913" s="17">
        <v>0.0</v>
      </c>
      <c r="T1913" s="17">
        <v>0.0</v>
      </c>
      <c r="U1913" s="17">
        <v>0.0</v>
      </c>
    </row>
    <row r="1914" ht="23.25" customHeight="1">
      <c r="A1914" s="1" t="str">
        <f>IF(COUNTIF('Icon Lookup'!C:C,B1914)&gt;0,LOOKUP(B1914,'Icon Lookup'!C:C,'Icon Lookup'!B:B),"")</f>
        <v/>
      </c>
      <c r="B1914" s="15" t="s">
        <v>2351</v>
      </c>
      <c r="C1914" s="1" t="s">
        <v>17</v>
      </c>
      <c r="D1914" s="1" t="s">
        <v>533</v>
      </c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</row>
    <row r="1915" ht="23.25" customHeight="1">
      <c r="A1915" s="20" t="str">
        <f>IF(COUNTIF('Icon Lookup'!C:C,B1915)&gt;0,LOOKUP(B1915,'Icon Lookup'!C:C,'Icon Lookup'!B:B),"")</f>
        <v/>
      </c>
      <c r="B1915" s="21" t="s">
        <v>494</v>
      </c>
      <c r="C1915" s="20" t="s">
        <v>17</v>
      </c>
      <c r="D1915" s="20">
        <v>55.0</v>
      </c>
      <c r="E1915" s="20" t="s">
        <v>495</v>
      </c>
      <c r="G1915" s="22"/>
      <c r="H1915" s="23" t="s">
        <v>2352</v>
      </c>
      <c r="I1915" s="20" t="s">
        <v>156</v>
      </c>
      <c r="J1915" s="20">
        <v>0.0</v>
      </c>
      <c r="K1915" s="20">
        <v>0.0</v>
      </c>
      <c r="L1915" s="20">
        <v>0.0</v>
      </c>
      <c r="M1915" s="20">
        <v>0.0</v>
      </c>
      <c r="N1915" s="20">
        <v>0.0</v>
      </c>
      <c r="O1915" s="20">
        <v>0.0</v>
      </c>
      <c r="P1915" s="20">
        <v>0.0</v>
      </c>
      <c r="Q1915" s="20">
        <v>0.0</v>
      </c>
      <c r="R1915" s="20">
        <v>0.0</v>
      </c>
      <c r="S1915" s="20">
        <v>0.0</v>
      </c>
      <c r="T1915" s="20">
        <v>0.0</v>
      </c>
      <c r="U1915" s="20">
        <v>0.0</v>
      </c>
    </row>
    <row r="1916" ht="23.25" customHeight="1">
      <c r="A1916" s="1" t="str">
        <f>IF(COUNTIF('Icon Lookup'!C:C,B1916)&gt;0,LOOKUP(B1916,'Icon Lookup'!C:C,'Icon Lookup'!B:B),"")</f>
        <v/>
      </c>
      <c r="B1916" s="15" t="s">
        <v>2353</v>
      </c>
      <c r="C1916" s="1" t="s">
        <v>17</v>
      </c>
      <c r="D1916" s="1" t="s">
        <v>626</v>
      </c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</row>
    <row r="1917" ht="23.25" customHeight="1">
      <c r="A1917" s="17" t="str">
        <f>IF(COUNTIF('Icon Lookup'!C:C,B1917)&gt;0,LOOKUP(B1917,'Icon Lookup'!C:C,'Icon Lookup'!B:B),"")</f>
        <v/>
      </c>
      <c r="B1917" s="18" t="s">
        <v>921</v>
      </c>
      <c r="C1917" s="17" t="s">
        <v>17</v>
      </c>
      <c r="D1917" s="17">
        <v>58.0</v>
      </c>
      <c r="E1917" s="17" t="s">
        <v>44</v>
      </c>
      <c r="G1917" s="19"/>
      <c r="H1917" s="20" t="s">
        <v>2299</v>
      </c>
      <c r="I1917" s="17" t="s">
        <v>22</v>
      </c>
      <c r="J1917" s="17">
        <v>0.0</v>
      </c>
      <c r="K1917" s="17">
        <v>0.0</v>
      </c>
      <c r="L1917" s="17">
        <v>0.0</v>
      </c>
      <c r="M1917" s="17">
        <v>0.0</v>
      </c>
      <c r="N1917" s="17">
        <v>0.0</v>
      </c>
      <c r="O1917" s="17">
        <v>0.0</v>
      </c>
      <c r="P1917" s="17">
        <v>0.0</v>
      </c>
      <c r="Q1917" s="17">
        <v>0.0</v>
      </c>
      <c r="R1917" s="17">
        <v>0.0</v>
      </c>
      <c r="S1917" s="17">
        <v>0.0</v>
      </c>
      <c r="T1917" s="17">
        <v>0.0</v>
      </c>
      <c r="U1917" s="17">
        <v>0.0</v>
      </c>
    </row>
    <row r="1918" ht="23.25" customHeight="1">
      <c r="A1918" s="20" t="str">
        <f>IF(COUNTIF('Icon Lookup'!C:C,B1918)&gt;0,LOOKUP(B1918,'Icon Lookup'!C:C,'Icon Lookup'!B:B),"")</f>
        <v/>
      </c>
      <c r="B1918" s="21" t="s">
        <v>628</v>
      </c>
      <c r="C1918" s="20" t="s">
        <v>17</v>
      </c>
      <c r="D1918" s="20">
        <v>58.0</v>
      </c>
      <c r="E1918" s="20" t="s">
        <v>629</v>
      </c>
      <c r="G1918" s="22"/>
      <c r="H1918" s="23" t="s">
        <v>2354</v>
      </c>
      <c r="I1918" s="20" t="s">
        <v>52</v>
      </c>
      <c r="J1918" s="20">
        <v>0.0</v>
      </c>
      <c r="K1918" s="20">
        <v>0.0</v>
      </c>
      <c r="L1918" s="20">
        <v>0.0</v>
      </c>
      <c r="M1918" s="20">
        <v>0.0</v>
      </c>
      <c r="N1918" s="20">
        <v>0.0</v>
      </c>
      <c r="O1918" s="20">
        <v>0.0</v>
      </c>
      <c r="P1918" s="20">
        <v>0.0</v>
      </c>
      <c r="Q1918" s="20">
        <v>0.0</v>
      </c>
      <c r="R1918" s="20">
        <v>0.0</v>
      </c>
      <c r="S1918" s="20">
        <v>0.0</v>
      </c>
      <c r="T1918" s="20">
        <v>0.0</v>
      </c>
      <c r="U1918" s="20">
        <v>0.0</v>
      </c>
    </row>
    <row r="1919" ht="23.25" customHeight="1">
      <c r="A1919" s="1" t="str">
        <f>IF(COUNTIF('Icon Lookup'!C:C,B1919)&gt;0,LOOKUP(B1919,'Icon Lookup'!C:C,'Icon Lookup'!B:B),"")</f>
        <v/>
      </c>
      <c r="B1919" s="15" t="s">
        <v>2355</v>
      </c>
      <c r="C1919" s="1" t="s">
        <v>17</v>
      </c>
      <c r="D1919" s="1" t="s">
        <v>635</v>
      </c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</row>
    <row r="1920" ht="23.25" customHeight="1">
      <c r="A1920" s="17" t="str">
        <f>IF(COUNTIF('Icon Lookup'!C:C,B1920)&gt;0,LOOKUP(B1920,'Icon Lookup'!C:C,'Icon Lookup'!B:B),"")</f>
        <v/>
      </c>
      <c r="B1920" s="18" t="s">
        <v>559</v>
      </c>
      <c r="C1920" s="17" t="s">
        <v>17</v>
      </c>
      <c r="D1920" s="17">
        <v>58.0</v>
      </c>
      <c r="E1920" s="17" t="s">
        <v>560</v>
      </c>
      <c r="G1920" s="19"/>
      <c r="H1920" s="20" t="s">
        <v>2356</v>
      </c>
      <c r="I1920" s="17" t="s">
        <v>52</v>
      </c>
      <c r="J1920" s="17">
        <v>0.0</v>
      </c>
      <c r="K1920" s="17">
        <v>0.0</v>
      </c>
      <c r="L1920" s="17">
        <v>0.0</v>
      </c>
      <c r="M1920" s="17">
        <v>0.0</v>
      </c>
      <c r="N1920" s="17">
        <v>0.0</v>
      </c>
      <c r="O1920" s="17">
        <v>0.0</v>
      </c>
      <c r="P1920" s="17">
        <v>0.0</v>
      </c>
      <c r="Q1920" s="17">
        <v>0.0</v>
      </c>
      <c r="R1920" s="17">
        <v>0.0</v>
      </c>
      <c r="S1920" s="17">
        <v>0.0</v>
      </c>
      <c r="T1920" s="17">
        <v>0.0</v>
      </c>
      <c r="U1920" s="17">
        <v>0.0</v>
      </c>
    </row>
    <row r="1921" ht="23.25" customHeight="1">
      <c r="A1921" s="20" t="str">
        <f>IF(COUNTIF('Icon Lookup'!C:C,B1921)&gt;0,LOOKUP(B1921,'Icon Lookup'!C:C,'Icon Lookup'!B:B),"")</f>
        <v/>
      </c>
      <c r="B1921" s="21" t="s">
        <v>398</v>
      </c>
      <c r="C1921" s="20" t="s">
        <v>17</v>
      </c>
      <c r="D1921" s="20">
        <v>58.0</v>
      </c>
      <c r="E1921" s="20" t="s">
        <v>399</v>
      </c>
      <c r="G1921" s="22"/>
      <c r="H1921" s="23" t="s">
        <v>2357</v>
      </c>
      <c r="I1921" s="20" t="s">
        <v>22</v>
      </c>
      <c r="J1921" s="20">
        <v>0.0</v>
      </c>
      <c r="K1921" s="20">
        <v>0.0</v>
      </c>
      <c r="L1921" s="20">
        <v>0.0</v>
      </c>
      <c r="M1921" s="20">
        <v>0.0</v>
      </c>
      <c r="N1921" s="20">
        <v>0.0</v>
      </c>
      <c r="O1921" s="20">
        <v>0.0</v>
      </c>
      <c r="P1921" s="20">
        <v>0.0</v>
      </c>
      <c r="Q1921" s="20">
        <v>0.0</v>
      </c>
      <c r="R1921" s="20">
        <v>0.0</v>
      </c>
      <c r="S1921" s="20">
        <v>0.0</v>
      </c>
      <c r="T1921" s="20">
        <v>0.0</v>
      </c>
      <c r="U1921" s="20">
        <v>0.0</v>
      </c>
    </row>
    <row r="1922" ht="23.25" customHeight="1">
      <c r="A1922" s="1" t="str">
        <f>IF(COUNTIF('Icon Lookup'!C:C,B1922)&gt;0,LOOKUP(B1922,'Icon Lookup'!C:C,'Icon Lookup'!B:B),"")</f>
        <v/>
      </c>
      <c r="B1922" s="15" t="s">
        <v>2358</v>
      </c>
      <c r="C1922" s="1" t="s">
        <v>17</v>
      </c>
      <c r="D1922" s="1" t="s">
        <v>1958</v>
      </c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</row>
    <row r="1923" ht="23.25" customHeight="1">
      <c r="A1923" s="17" t="str">
        <f>IF(COUNTIF('Icon Lookup'!C:C,B1923)&gt;0,LOOKUP(B1923,'Icon Lookup'!C:C,'Icon Lookup'!B:B),"")</f>
        <v/>
      </c>
      <c r="B1923" s="18" t="s">
        <v>1993</v>
      </c>
      <c r="C1923" s="17" t="s">
        <v>17</v>
      </c>
      <c r="D1923" s="17">
        <v>58.0</v>
      </c>
      <c r="E1923" s="17" t="s">
        <v>382</v>
      </c>
      <c r="G1923" s="19"/>
      <c r="H1923" s="20" t="s">
        <v>1960</v>
      </c>
      <c r="I1923" s="17" t="s">
        <v>105</v>
      </c>
      <c r="J1923" s="17">
        <v>0.0</v>
      </c>
      <c r="K1923" s="17">
        <v>0.0</v>
      </c>
      <c r="L1923" s="17">
        <v>0.0</v>
      </c>
      <c r="M1923" s="17">
        <v>0.0</v>
      </c>
      <c r="N1923" s="17">
        <v>0.0</v>
      </c>
      <c r="O1923" s="17">
        <v>0.0</v>
      </c>
      <c r="P1923" s="17">
        <v>0.0</v>
      </c>
      <c r="Q1923" s="17">
        <v>0.0</v>
      </c>
      <c r="R1923" s="17">
        <v>0.0</v>
      </c>
      <c r="S1923" s="17">
        <v>0.0</v>
      </c>
      <c r="T1923" s="17">
        <v>0.0</v>
      </c>
      <c r="U1923" s="17">
        <v>0.0</v>
      </c>
    </row>
    <row r="1924" ht="23.25" customHeight="1">
      <c r="A1924" s="20" t="str">
        <f>IF(COUNTIF('Icon Lookup'!C:C,B1924)&gt;0,LOOKUP(B1924,'Icon Lookup'!C:C,'Icon Lookup'!B:B),"")</f>
        <v/>
      </c>
      <c r="B1924" s="21" t="s">
        <v>1961</v>
      </c>
      <c r="C1924" s="20" t="s">
        <v>17</v>
      </c>
      <c r="D1924" s="20">
        <v>58.0</v>
      </c>
      <c r="E1924" s="20" t="s">
        <v>959</v>
      </c>
      <c r="G1924" s="22"/>
      <c r="H1924" s="23" t="s">
        <v>1962</v>
      </c>
      <c r="I1924" s="20" t="s">
        <v>52</v>
      </c>
      <c r="J1924" s="20">
        <v>0.0</v>
      </c>
      <c r="K1924" s="20">
        <v>0.0</v>
      </c>
      <c r="L1924" s="20">
        <v>0.0</v>
      </c>
      <c r="M1924" s="20">
        <v>0.0</v>
      </c>
      <c r="N1924" s="20">
        <v>0.0</v>
      </c>
      <c r="O1924" s="20">
        <v>0.0</v>
      </c>
      <c r="P1924" s="20">
        <v>0.0</v>
      </c>
      <c r="Q1924" s="20">
        <v>0.0</v>
      </c>
      <c r="R1924" s="20">
        <v>0.0</v>
      </c>
      <c r="S1924" s="20">
        <v>0.0</v>
      </c>
      <c r="T1924" s="20">
        <v>0.0</v>
      </c>
      <c r="U1924" s="20">
        <v>0.0</v>
      </c>
    </row>
    <row r="1925" ht="23.25" customHeight="1">
      <c r="A1925" s="1" t="str">
        <f>IF(COUNTIF('Icon Lookup'!C:C,B1925)&gt;0,LOOKUP(B1925,'Icon Lookup'!C:C,'Icon Lookup'!B:B),"")</f>
        <v/>
      </c>
      <c r="B1925" s="15" t="s">
        <v>2359</v>
      </c>
      <c r="C1925" s="1" t="s">
        <v>17</v>
      </c>
      <c r="D1925" s="1" t="s">
        <v>656</v>
      </c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</row>
    <row r="1926" ht="23.25" customHeight="1">
      <c r="A1926" s="17" t="str">
        <f>IF(COUNTIF('Icon Lookup'!C:C,B1926)&gt;0,LOOKUP(B1926,'Icon Lookup'!C:C,'Icon Lookup'!B:B),"")</f>
        <v/>
      </c>
      <c r="B1926" s="18" t="s">
        <v>657</v>
      </c>
      <c r="C1926" s="17" t="s">
        <v>17</v>
      </c>
      <c r="D1926" s="17">
        <v>60.0</v>
      </c>
      <c r="E1926" s="17" t="s">
        <v>44</v>
      </c>
      <c r="G1926" s="19"/>
      <c r="H1926" s="20" t="s">
        <v>2360</v>
      </c>
      <c r="I1926" s="17" t="s">
        <v>52</v>
      </c>
      <c r="J1926" s="17">
        <v>0.0</v>
      </c>
      <c r="K1926" s="17">
        <v>0.0</v>
      </c>
      <c r="L1926" s="17">
        <v>0.0</v>
      </c>
      <c r="M1926" s="17">
        <v>0.0</v>
      </c>
      <c r="N1926" s="17">
        <v>0.0</v>
      </c>
      <c r="O1926" s="17">
        <v>0.0</v>
      </c>
      <c r="P1926" s="17">
        <v>0.0</v>
      </c>
      <c r="Q1926" s="17">
        <v>0.0</v>
      </c>
      <c r="R1926" s="17">
        <v>0.0</v>
      </c>
      <c r="S1926" s="17">
        <v>0.0</v>
      </c>
      <c r="T1926" s="17">
        <v>0.0</v>
      </c>
      <c r="U1926" s="17">
        <v>0.0</v>
      </c>
    </row>
    <row r="1927" ht="23.25" customHeight="1">
      <c r="A1927" s="1" t="str">
        <f>IF(COUNTIF('Icon Lookup'!C:C,B1927)&gt;0,LOOKUP(B1927,'Icon Lookup'!C:C,'Icon Lookup'!B:B),"")</f>
        <v/>
      </c>
      <c r="B1927" s="15" t="s">
        <v>2361</v>
      </c>
      <c r="C1927" s="1" t="s">
        <v>17</v>
      </c>
      <c r="D1927" s="1" t="s">
        <v>669</v>
      </c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</row>
    <row r="1928" ht="23.25" customHeight="1">
      <c r="A1928" s="20" t="str">
        <f>IF(COUNTIF('Icon Lookup'!C:C,B1928)&gt;0,LOOKUP(B1928,'Icon Lookup'!C:C,'Icon Lookup'!B:B),"")</f>
        <v/>
      </c>
      <c r="B1928" s="21" t="s">
        <v>410</v>
      </c>
      <c r="C1928" s="20" t="s">
        <v>17</v>
      </c>
      <c r="D1928" s="20">
        <v>58.0</v>
      </c>
      <c r="E1928" s="20" t="s">
        <v>411</v>
      </c>
      <c r="G1928" s="22"/>
      <c r="H1928" s="23" t="s">
        <v>2362</v>
      </c>
      <c r="I1928" s="20" t="s">
        <v>52</v>
      </c>
      <c r="J1928" s="20">
        <v>0.0</v>
      </c>
      <c r="K1928" s="20">
        <v>0.0</v>
      </c>
      <c r="L1928" s="20">
        <v>0.0</v>
      </c>
      <c r="M1928" s="20">
        <v>0.0</v>
      </c>
      <c r="N1928" s="20">
        <v>0.0</v>
      </c>
      <c r="O1928" s="20">
        <v>0.0</v>
      </c>
      <c r="P1928" s="20">
        <v>0.0</v>
      </c>
      <c r="Q1928" s="20">
        <v>0.0</v>
      </c>
      <c r="R1928" s="20">
        <v>0.0</v>
      </c>
      <c r="S1928" s="20">
        <v>0.0</v>
      </c>
      <c r="T1928" s="20">
        <v>0.0</v>
      </c>
      <c r="U1928" s="20">
        <v>0.0</v>
      </c>
    </row>
    <row r="1929" ht="23.25" customHeight="1">
      <c r="A1929" s="17" t="str">
        <f>IF(COUNTIF('Icon Lookup'!C:C,B1929)&gt;0,LOOKUP(B1929,'Icon Lookup'!C:C,'Icon Lookup'!B:B),"")</f>
        <v/>
      </c>
      <c r="B1929" s="18" t="s">
        <v>515</v>
      </c>
      <c r="C1929" s="17" t="s">
        <v>17</v>
      </c>
      <c r="D1929" s="17">
        <v>58.0</v>
      </c>
      <c r="E1929" s="17" t="s">
        <v>44</v>
      </c>
      <c r="G1929" s="19"/>
      <c r="H1929" s="20" t="s">
        <v>2363</v>
      </c>
      <c r="I1929" s="17" t="s">
        <v>550</v>
      </c>
      <c r="J1929" s="17">
        <v>0.0</v>
      </c>
      <c r="K1929" s="17">
        <v>0.0</v>
      </c>
      <c r="L1929" s="17">
        <v>0.0</v>
      </c>
      <c r="M1929" s="17">
        <v>0.0</v>
      </c>
      <c r="N1929" s="17">
        <v>0.0</v>
      </c>
      <c r="O1929" s="17">
        <v>0.0</v>
      </c>
      <c r="P1929" s="17">
        <v>0.0</v>
      </c>
      <c r="Q1929" s="17">
        <v>0.0</v>
      </c>
      <c r="R1929" s="17">
        <v>0.0</v>
      </c>
      <c r="S1929" s="17">
        <v>0.0</v>
      </c>
      <c r="T1929" s="17">
        <v>0.0</v>
      </c>
      <c r="U1929" s="17">
        <v>0.0</v>
      </c>
    </row>
    <row r="1930" ht="23.25" customHeight="1">
      <c r="A1930" s="1" t="str">
        <f>IF(COUNTIF('Icon Lookup'!C:C,B1930)&gt;0,LOOKUP(B1930,'Icon Lookup'!C:C,'Icon Lookup'!B:B),"")</f>
        <v/>
      </c>
      <c r="B1930" s="15" t="s">
        <v>2364</v>
      </c>
      <c r="C1930" s="1" t="s">
        <v>17</v>
      </c>
      <c r="D1930" s="1" t="s">
        <v>1981</v>
      </c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</row>
    <row r="1931" ht="23.25" customHeight="1">
      <c r="A1931" s="20" t="str">
        <f>IF(COUNTIF('Icon Lookup'!C:C,B1931)&gt;0,LOOKUP(B1931,'Icon Lookup'!C:C,'Icon Lookup'!B:B),"")</f>
        <v/>
      </c>
      <c r="B1931" s="21" t="s">
        <v>1982</v>
      </c>
      <c r="C1931" s="20" t="s">
        <v>17</v>
      </c>
      <c r="D1931" s="20">
        <v>56.0</v>
      </c>
      <c r="E1931" s="20" t="s">
        <v>44</v>
      </c>
      <c r="G1931" s="22"/>
      <c r="H1931" s="23" t="s">
        <v>1983</v>
      </c>
      <c r="I1931" s="20" t="s">
        <v>105</v>
      </c>
      <c r="J1931" s="20">
        <v>0.0</v>
      </c>
      <c r="K1931" s="20">
        <v>0.0</v>
      </c>
      <c r="L1931" s="20">
        <v>0.0</v>
      </c>
      <c r="M1931" s="20">
        <v>0.0</v>
      </c>
      <c r="N1931" s="20">
        <v>0.0</v>
      </c>
      <c r="O1931" s="20">
        <v>0.0</v>
      </c>
      <c r="P1931" s="20">
        <v>0.0</v>
      </c>
      <c r="Q1931" s="20">
        <v>0.0</v>
      </c>
      <c r="R1931" s="20">
        <v>0.0</v>
      </c>
      <c r="S1931" s="20">
        <v>0.0</v>
      </c>
      <c r="T1931" s="20">
        <v>0.0</v>
      </c>
      <c r="U1931" s="20">
        <v>0.0</v>
      </c>
    </row>
    <row r="1932" ht="23.25" customHeight="1">
      <c r="A1932" s="17" t="str">
        <f>IF(COUNTIF('Icon Lookup'!C:C,B1932)&gt;0,LOOKUP(B1932,'Icon Lookup'!C:C,'Icon Lookup'!B:B),"")</f>
        <v/>
      </c>
      <c r="B1932" s="18" t="s">
        <v>1984</v>
      </c>
      <c r="C1932" s="17" t="s">
        <v>17</v>
      </c>
      <c r="D1932" s="17">
        <v>60.0</v>
      </c>
      <c r="E1932" s="17" t="s">
        <v>525</v>
      </c>
      <c r="G1932" s="19"/>
      <c r="H1932" s="20" t="s">
        <v>2365</v>
      </c>
      <c r="I1932" s="17" t="s">
        <v>612</v>
      </c>
      <c r="J1932" s="17">
        <v>0.0</v>
      </c>
      <c r="K1932" s="17">
        <v>0.0</v>
      </c>
      <c r="L1932" s="17">
        <v>0.0</v>
      </c>
      <c r="M1932" s="17">
        <v>0.0</v>
      </c>
      <c r="N1932" s="17">
        <v>0.0</v>
      </c>
      <c r="O1932" s="17">
        <v>0.0</v>
      </c>
      <c r="P1932" s="17">
        <v>0.0</v>
      </c>
      <c r="Q1932" s="17">
        <v>0.0</v>
      </c>
      <c r="R1932" s="17">
        <v>0.0</v>
      </c>
      <c r="S1932" s="17">
        <v>0.0</v>
      </c>
      <c r="T1932" s="17">
        <v>0.0</v>
      </c>
      <c r="U1932" s="17">
        <v>0.0</v>
      </c>
    </row>
    <row r="1933" ht="23.25" customHeight="1">
      <c r="A1933" s="1" t="str">
        <f>IF(COUNTIF('Icon Lookup'!C:C,B1933)&gt;0,LOOKUP(B1933,'Icon Lookup'!C:C,'Icon Lookup'!B:B),"")</f>
        <v/>
      </c>
      <c r="B1933" s="15" t="s">
        <v>2366</v>
      </c>
      <c r="C1933" s="1" t="s">
        <v>17</v>
      </c>
      <c r="D1933" s="1" t="s">
        <v>18</v>
      </c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</row>
    <row r="1934" ht="23.25" customHeight="1">
      <c r="A1934" s="20" t="str">
        <f>IF(COUNTIF('Icon Lookup'!C:C,B1934)&gt;0,LOOKUP(B1934,'Icon Lookup'!C:C,'Icon Lookup'!B:B),"")</f>
        <v/>
      </c>
      <c r="B1934" s="21" t="s">
        <v>19</v>
      </c>
      <c r="C1934" s="20" t="s">
        <v>17</v>
      </c>
      <c r="D1934" s="20">
        <v>19.0</v>
      </c>
      <c r="E1934" s="20" t="s">
        <v>20</v>
      </c>
      <c r="G1934" s="22"/>
      <c r="H1934" s="23" t="s">
        <v>1074</v>
      </c>
      <c r="I1934" s="20" t="s">
        <v>22</v>
      </c>
      <c r="J1934" s="20">
        <v>0.0</v>
      </c>
      <c r="K1934" s="20">
        <v>0.0</v>
      </c>
      <c r="L1934" s="20">
        <v>0.0</v>
      </c>
      <c r="M1934" s="20">
        <v>0.0</v>
      </c>
      <c r="N1934" s="20">
        <v>0.0</v>
      </c>
      <c r="O1934" s="20">
        <v>0.0</v>
      </c>
      <c r="P1934" s="20">
        <v>0.0</v>
      </c>
      <c r="Q1934" s="20">
        <v>0.0</v>
      </c>
      <c r="R1934" s="20">
        <v>0.0</v>
      </c>
      <c r="S1934" s="20">
        <v>0.0</v>
      </c>
      <c r="T1934" s="20">
        <v>0.0</v>
      </c>
      <c r="U1934" s="20">
        <v>0.0</v>
      </c>
    </row>
    <row r="1935" ht="23.25" customHeight="1">
      <c r="A1935" s="1" t="str">
        <f>IF(COUNTIF('Icon Lookup'!C:C,B1935)&gt;0,LOOKUP(B1935,'Icon Lookup'!C:C,'Icon Lookup'!B:B),"")</f>
        <v/>
      </c>
      <c r="B1935" s="15" t="s">
        <v>2367</v>
      </c>
      <c r="C1935" s="1" t="s">
        <v>17</v>
      </c>
      <c r="D1935" s="1" t="s">
        <v>18</v>
      </c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</row>
    <row r="1936" ht="23.25" customHeight="1">
      <c r="A1936" s="17" t="str">
        <f>IF(COUNTIF('Icon Lookup'!C:C,B1936)&gt;0,LOOKUP(B1936,'Icon Lookup'!C:C,'Icon Lookup'!B:B),"")</f>
        <v/>
      </c>
      <c r="B1936" s="18" t="s">
        <v>117</v>
      </c>
      <c r="C1936" s="17" t="s">
        <v>17</v>
      </c>
      <c r="D1936" s="17">
        <v>31.0</v>
      </c>
      <c r="E1936" s="17" t="s">
        <v>26</v>
      </c>
      <c r="G1936" s="19"/>
      <c r="H1936" s="20" t="s">
        <v>505</v>
      </c>
      <c r="I1936" s="17" t="s">
        <v>22</v>
      </c>
      <c r="J1936" s="17">
        <v>0.0</v>
      </c>
      <c r="K1936" s="17">
        <v>0.0</v>
      </c>
      <c r="L1936" s="17">
        <v>0.0</v>
      </c>
      <c r="M1936" s="17">
        <v>0.0</v>
      </c>
      <c r="N1936" s="17">
        <v>0.0</v>
      </c>
      <c r="O1936" s="17">
        <v>0.0</v>
      </c>
      <c r="P1936" s="17">
        <v>0.0</v>
      </c>
      <c r="Q1936" s="17">
        <v>0.0</v>
      </c>
      <c r="R1936" s="17">
        <v>0.0</v>
      </c>
      <c r="S1936" s="17">
        <v>0.0</v>
      </c>
      <c r="T1936" s="17">
        <v>0.0</v>
      </c>
      <c r="U1936" s="17">
        <v>0.0</v>
      </c>
    </row>
    <row r="1937" ht="23.25" customHeight="1">
      <c r="A1937" s="1" t="str">
        <f>IF(COUNTIF('Icon Lookup'!C:C,B1937)&gt;0,LOOKUP(B1937,'Icon Lookup'!C:C,'Icon Lookup'!B:B),"")</f>
        <v/>
      </c>
      <c r="B1937" s="15" t="s">
        <v>2368</v>
      </c>
      <c r="C1937" s="1" t="s">
        <v>17</v>
      </c>
      <c r="D1937" s="1" t="s">
        <v>18</v>
      </c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</row>
    <row r="1938" ht="23.25" customHeight="1">
      <c r="A1938" s="20" t="str">
        <f>IF(COUNTIF('Icon Lookup'!C:C,B1938)&gt;0,LOOKUP(B1938,'Icon Lookup'!C:C,'Icon Lookup'!B:B),"")</f>
        <v/>
      </c>
      <c r="B1938" s="21" t="s">
        <v>117</v>
      </c>
      <c r="C1938" s="20" t="s">
        <v>17</v>
      </c>
      <c r="D1938" s="20">
        <v>40.0</v>
      </c>
      <c r="E1938" s="20" t="s">
        <v>26</v>
      </c>
      <c r="G1938" s="22"/>
      <c r="H1938" s="23" t="s">
        <v>2117</v>
      </c>
      <c r="I1938" s="20" t="s">
        <v>22</v>
      </c>
      <c r="J1938" s="20">
        <v>0.0</v>
      </c>
      <c r="K1938" s="20">
        <v>0.0</v>
      </c>
      <c r="L1938" s="20">
        <v>0.0</v>
      </c>
      <c r="M1938" s="20">
        <v>0.0</v>
      </c>
      <c r="N1938" s="20">
        <v>0.0</v>
      </c>
      <c r="O1938" s="20">
        <v>0.0</v>
      </c>
      <c r="P1938" s="20">
        <v>0.0</v>
      </c>
      <c r="Q1938" s="20">
        <v>0.0</v>
      </c>
      <c r="R1938" s="20">
        <v>0.0</v>
      </c>
      <c r="S1938" s="20">
        <v>0.0</v>
      </c>
      <c r="T1938" s="20">
        <v>0.0</v>
      </c>
      <c r="U1938" s="20">
        <v>0.0</v>
      </c>
    </row>
    <row r="1939" ht="23.25" customHeight="1">
      <c r="A1939" s="1" t="str">
        <f>IF(COUNTIF('Icon Lookup'!C:C,B1939)&gt;0,LOOKUP(B1939,'Icon Lookup'!C:C,'Icon Lookup'!B:B),"")</f>
        <v/>
      </c>
      <c r="B1939" s="15" t="s">
        <v>2369</v>
      </c>
      <c r="C1939" s="1" t="s">
        <v>17</v>
      </c>
      <c r="D1939" s="1" t="s">
        <v>1229</v>
      </c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</row>
    <row r="1940" ht="23.25" customHeight="1">
      <c r="A1940" s="17" t="str">
        <f>IF(COUNTIF('Icon Lookup'!C:C,B1940)&gt;0,LOOKUP(B1940,'Icon Lookup'!C:C,'Icon Lookup'!B:B),"")</f>
        <v/>
      </c>
      <c r="B1940" s="18" t="s">
        <v>697</v>
      </c>
      <c r="C1940" s="17" t="s">
        <v>17</v>
      </c>
      <c r="D1940" s="17">
        <v>19.0</v>
      </c>
      <c r="E1940" s="17" t="s">
        <v>258</v>
      </c>
      <c r="G1940" s="19"/>
      <c r="H1940" s="20" t="s">
        <v>2370</v>
      </c>
      <c r="I1940" s="17" t="s">
        <v>22</v>
      </c>
      <c r="J1940" s="17">
        <v>0.0</v>
      </c>
      <c r="K1940" s="17">
        <v>0.0</v>
      </c>
      <c r="L1940" s="17">
        <v>0.0</v>
      </c>
      <c r="M1940" s="17">
        <v>0.0</v>
      </c>
      <c r="N1940" s="17">
        <v>0.0</v>
      </c>
      <c r="O1940" s="17">
        <v>0.0</v>
      </c>
      <c r="P1940" s="17">
        <v>0.0</v>
      </c>
      <c r="Q1940" s="17">
        <v>0.0</v>
      </c>
      <c r="R1940" s="17">
        <v>0.0</v>
      </c>
      <c r="S1940" s="17">
        <v>0.0</v>
      </c>
      <c r="T1940" s="17">
        <v>0.0</v>
      </c>
      <c r="U1940" s="17">
        <v>0.0</v>
      </c>
    </row>
    <row r="1941" ht="23.25" customHeight="1">
      <c r="A1941" s="1" t="str">
        <f>IF(COUNTIF('Icon Lookup'!C:C,B1941)&gt;0,LOOKUP(B1941,'Icon Lookup'!C:C,'Icon Lookup'!B:B),"")</f>
        <v/>
      </c>
      <c r="B1941" s="15" t="s">
        <v>2371</v>
      </c>
      <c r="C1941" s="1" t="s">
        <v>17</v>
      </c>
      <c r="D1941" s="1" t="s">
        <v>1229</v>
      </c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</row>
    <row r="1942" ht="23.25" customHeight="1">
      <c r="A1942" s="20" t="str">
        <f>IF(COUNTIF('Icon Lookup'!C:C,B1942)&gt;0,LOOKUP(B1942,'Icon Lookup'!C:C,'Icon Lookup'!B:B),"")</f>
        <v/>
      </c>
      <c r="B1942" s="21" t="s">
        <v>697</v>
      </c>
      <c r="C1942" s="20" t="s">
        <v>17</v>
      </c>
      <c r="D1942" s="20">
        <v>31.0</v>
      </c>
      <c r="E1942" s="20" t="s">
        <v>258</v>
      </c>
      <c r="G1942" s="22"/>
      <c r="H1942" s="23" t="s">
        <v>2372</v>
      </c>
      <c r="I1942" s="20" t="s">
        <v>22</v>
      </c>
      <c r="J1942" s="20">
        <v>0.0</v>
      </c>
      <c r="K1942" s="20">
        <v>0.0</v>
      </c>
      <c r="L1942" s="20">
        <v>0.0</v>
      </c>
      <c r="M1942" s="20">
        <v>0.0</v>
      </c>
      <c r="N1942" s="20">
        <v>0.0</v>
      </c>
      <c r="O1942" s="20">
        <v>0.0</v>
      </c>
      <c r="P1942" s="20">
        <v>0.0</v>
      </c>
      <c r="Q1942" s="20">
        <v>0.0</v>
      </c>
      <c r="R1942" s="20">
        <v>0.0</v>
      </c>
      <c r="S1942" s="20">
        <v>0.0</v>
      </c>
      <c r="T1942" s="20">
        <v>0.0</v>
      </c>
      <c r="U1942" s="20">
        <v>0.0</v>
      </c>
    </row>
    <row r="1943" ht="23.25" customHeight="1">
      <c r="A1943" s="1" t="str">
        <f>IF(COUNTIF('Icon Lookup'!C:C,B1943)&gt;0,LOOKUP(B1943,'Icon Lookup'!C:C,'Icon Lookup'!B:B),"")</f>
        <v/>
      </c>
      <c r="B1943" s="15" t="s">
        <v>2373</v>
      </c>
      <c r="C1943" s="1" t="s">
        <v>17</v>
      </c>
      <c r="D1943" s="1" t="s">
        <v>1229</v>
      </c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</row>
    <row r="1944" ht="23.25" customHeight="1">
      <c r="A1944" s="17" t="str">
        <f>IF(COUNTIF('Icon Lookup'!C:C,B1944)&gt;0,LOOKUP(B1944,'Icon Lookup'!C:C,'Icon Lookup'!B:B),"")</f>
        <v/>
      </c>
      <c r="B1944" s="18" t="s">
        <v>697</v>
      </c>
      <c r="C1944" s="17" t="s">
        <v>17</v>
      </c>
      <c r="D1944" s="17">
        <v>55.0</v>
      </c>
      <c r="E1944" s="17" t="s">
        <v>258</v>
      </c>
      <c r="G1944" s="19"/>
      <c r="H1944" s="20" t="s">
        <v>2374</v>
      </c>
      <c r="I1944" s="17" t="s">
        <v>22</v>
      </c>
      <c r="J1944" s="17">
        <v>0.0</v>
      </c>
      <c r="K1944" s="17">
        <v>0.0</v>
      </c>
      <c r="L1944" s="17">
        <v>0.0</v>
      </c>
      <c r="M1944" s="17">
        <v>0.0</v>
      </c>
      <c r="N1944" s="17">
        <v>0.0</v>
      </c>
      <c r="O1944" s="17">
        <v>0.0</v>
      </c>
      <c r="P1944" s="17">
        <v>0.0</v>
      </c>
      <c r="Q1944" s="17">
        <v>0.0</v>
      </c>
      <c r="R1944" s="17">
        <v>0.0</v>
      </c>
      <c r="S1944" s="17">
        <v>0.0</v>
      </c>
      <c r="T1944" s="17">
        <v>0.0</v>
      </c>
      <c r="U1944" s="17">
        <v>0.0</v>
      </c>
    </row>
    <row r="1945" ht="23.25" customHeight="1">
      <c r="A1945" s="1" t="str">
        <f>IF(COUNTIF('Icon Lookup'!C:C,B1945)&gt;0,LOOKUP(B1945,'Icon Lookup'!C:C,'Icon Lookup'!B:B),"")</f>
        <v/>
      </c>
      <c r="B1945" s="15" t="s">
        <v>2375</v>
      </c>
      <c r="C1945" s="1" t="s">
        <v>17</v>
      </c>
      <c r="D1945" s="1" t="s">
        <v>414</v>
      </c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</row>
    <row r="1946" ht="23.25" customHeight="1">
      <c r="A1946" s="20" t="str">
        <f t="shared" ref="A1946:A1947" si="2">IMAGE("https://www.smogon.com/forums//media/minisprites/shellos-east.png",3)</f>
        <v/>
      </c>
      <c r="B1946" s="21" t="s">
        <v>2700</v>
      </c>
      <c r="C1946" s="20" t="s">
        <v>17</v>
      </c>
      <c r="D1946" s="20">
        <v>28.0</v>
      </c>
      <c r="E1946" s="20" t="s">
        <v>366</v>
      </c>
      <c r="G1946" s="22"/>
      <c r="H1946" s="23" t="s">
        <v>2376</v>
      </c>
      <c r="I1946" s="20" t="s">
        <v>105</v>
      </c>
      <c r="J1946" s="20">
        <v>0.0</v>
      </c>
      <c r="K1946" s="20">
        <v>0.0</v>
      </c>
      <c r="L1946" s="20">
        <v>0.0</v>
      </c>
      <c r="M1946" s="20">
        <v>0.0</v>
      </c>
      <c r="N1946" s="20">
        <v>0.0</v>
      </c>
      <c r="O1946" s="20">
        <v>0.0</v>
      </c>
      <c r="P1946" s="20">
        <v>0.0</v>
      </c>
      <c r="Q1946" s="20">
        <v>0.0</v>
      </c>
      <c r="R1946" s="20">
        <v>0.0</v>
      </c>
      <c r="S1946" s="20">
        <v>0.0</v>
      </c>
      <c r="T1946" s="20">
        <v>0.0</v>
      </c>
      <c r="U1946" s="20">
        <v>0.0</v>
      </c>
    </row>
    <row r="1947" ht="23.25" customHeight="1">
      <c r="A1947" s="17" t="str">
        <f t="shared" si="2"/>
        <v/>
      </c>
      <c r="B1947" s="18" t="s">
        <v>2700</v>
      </c>
      <c r="C1947" s="17" t="s">
        <v>17</v>
      </c>
      <c r="D1947" s="17">
        <v>27.0</v>
      </c>
      <c r="E1947" s="17" t="s">
        <v>366</v>
      </c>
      <c r="G1947" s="19"/>
      <c r="H1947" s="20" t="s">
        <v>587</v>
      </c>
      <c r="I1947" s="17" t="s">
        <v>105</v>
      </c>
      <c r="J1947" s="17">
        <v>0.0</v>
      </c>
      <c r="K1947" s="17">
        <v>0.0</v>
      </c>
      <c r="L1947" s="17">
        <v>0.0</v>
      </c>
      <c r="M1947" s="17">
        <v>0.0</v>
      </c>
      <c r="N1947" s="17">
        <v>0.0</v>
      </c>
      <c r="O1947" s="17">
        <v>0.0</v>
      </c>
      <c r="P1947" s="17">
        <v>0.0</v>
      </c>
      <c r="Q1947" s="17">
        <v>0.0</v>
      </c>
      <c r="R1947" s="17">
        <v>0.0</v>
      </c>
      <c r="S1947" s="17">
        <v>0.0</v>
      </c>
      <c r="T1947" s="17">
        <v>0.0</v>
      </c>
      <c r="U1947" s="17">
        <v>0.0</v>
      </c>
    </row>
    <row r="1948" ht="23.25" customHeight="1">
      <c r="A1948" s="20" t="str">
        <f>IF(COUNTIF('Icon Lookup'!C:C,B1948)&gt;0,LOOKUP(B1948,'Icon Lookup'!C:C,'Icon Lookup'!B:B),"")</f>
        <v/>
      </c>
      <c r="B1948" s="21" t="s">
        <v>365</v>
      </c>
      <c r="C1948" s="20" t="s">
        <v>17</v>
      </c>
      <c r="D1948" s="20">
        <v>29.0</v>
      </c>
      <c r="E1948" s="20" t="s">
        <v>366</v>
      </c>
      <c r="G1948" s="22"/>
      <c r="H1948" s="23" t="s">
        <v>587</v>
      </c>
      <c r="I1948" s="20" t="s">
        <v>105</v>
      </c>
      <c r="J1948" s="20">
        <v>0.0</v>
      </c>
      <c r="K1948" s="20">
        <v>0.0</v>
      </c>
      <c r="L1948" s="20">
        <v>0.0</v>
      </c>
      <c r="M1948" s="20">
        <v>0.0</v>
      </c>
      <c r="N1948" s="20">
        <v>0.0</v>
      </c>
      <c r="O1948" s="20">
        <v>0.0</v>
      </c>
      <c r="P1948" s="20">
        <v>0.0</v>
      </c>
      <c r="Q1948" s="20">
        <v>0.0</v>
      </c>
      <c r="R1948" s="20">
        <v>0.0</v>
      </c>
      <c r="S1948" s="20">
        <v>0.0</v>
      </c>
      <c r="T1948" s="20">
        <v>0.0</v>
      </c>
      <c r="U1948" s="20">
        <v>0.0</v>
      </c>
    </row>
    <row r="1949" ht="23.25" customHeight="1">
      <c r="A1949" s="1" t="str">
        <f>IF(COUNTIF('Icon Lookup'!C:C,B1949)&gt;0,LOOKUP(B1949,'Icon Lookup'!C:C,'Icon Lookup'!B:B),"")</f>
        <v/>
      </c>
      <c r="B1949" s="15" t="s">
        <v>2377</v>
      </c>
      <c r="C1949" s="1" t="s">
        <v>17</v>
      </c>
      <c r="D1949" s="1" t="s">
        <v>414</v>
      </c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</row>
    <row r="1950" ht="23.25" customHeight="1">
      <c r="A1950" s="17" t="str">
        <f t="shared" ref="A1950:A1951" si="3">IMAGE("https://www.smogon.com/forums//media/minisprites/gastrodon-east.png",3)</f>
        <v/>
      </c>
      <c r="B1950" s="18" t="s">
        <v>2701</v>
      </c>
      <c r="C1950" s="17" t="s">
        <v>17</v>
      </c>
      <c r="D1950" s="17">
        <v>52.0</v>
      </c>
      <c r="E1950" s="17" t="s">
        <v>366</v>
      </c>
      <c r="G1950" s="19"/>
      <c r="H1950" s="20" t="s">
        <v>1537</v>
      </c>
      <c r="I1950" s="17" t="s">
        <v>105</v>
      </c>
      <c r="J1950" s="17">
        <v>0.0</v>
      </c>
      <c r="K1950" s="17">
        <v>0.0</v>
      </c>
      <c r="L1950" s="17">
        <v>0.0</v>
      </c>
      <c r="M1950" s="17">
        <v>0.0</v>
      </c>
      <c r="N1950" s="17">
        <v>0.0</v>
      </c>
      <c r="O1950" s="17">
        <v>0.0</v>
      </c>
      <c r="P1950" s="17">
        <v>0.0</v>
      </c>
      <c r="Q1950" s="17">
        <v>0.0</v>
      </c>
      <c r="R1950" s="17">
        <v>0.0</v>
      </c>
      <c r="S1950" s="17">
        <v>0.0</v>
      </c>
      <c r="T1950" s="17">
        <v>0.0</v>
      </c>
      <c r="U1950" s="17">
        <v>0.0</v>
      </c>
    </row>
    <row r="1951" ht="23.25" customHeight="1">
      <c r="A1951" s="20" t="str">
        <f t="shared" si="3"/>
        <v/>
      </c>
      <c r="B1951" s="21" t="s">
        <v>2701</v>
      </c>
      <c r="C1951" s="20" t="s">
        <v>17</v>
      </c>
      <c r="D1951" s="20">
        <v>53.0</v>
      </c>
      <c r="E1951" s="20" t="s">
        <v>366</v>
      </c>
      <c r="G1951" s="22"/>
      <c r="H1951" s="23" t="s">
        <v>1534</v>
      </c>
      <c r="I1951" s="20" t="s">
        <v>105</v>
      </c>
      <c r="J1951" s="20">
        <v>0.0</v>
      </c>
      <c r="K1951" s="20">
        <v>0.0</v>
      </c>
      <c r="L1951" s="20">
        <v>0.0</v>
      </c>
      <c r="M1951" s="20">
        <v>0.0</v>
      </c>
      <c r="N1951" s="20">
        <v>0.0</v>
      </c>
      <c r="O1951" s="20">
        <v>0.0</v>
      </c>
      <c r="P1951" s="20">
        <v>0.0</v>
      </c>
      <c r="Q1951" s="20">
        <v>0.0</v>
      </c>
      <c r="R1951" s="20">
        <v>0.0</v>
      </c>
      <c r="S1951" s="20">
        <v>0.0</v>
      </c>
      <c r="T1951" s="20">
        <v>0.0</v>
      </c>
      <c r="U1951" s="20">
        <v>0.0</v>
      </c>
    </row>
    <row r="1952" ht="23.25" customHeight="1">
      <c r="A1952" s="17" t="str">
        <f>IF(COUNTIF('Icon Lookup'!C:C,B1952)&gt;0,LOOKUP(B1952,'Icon Lookup'!C:C,'Icon Lookup'!B:B),"")</f>
        <v/>
      </c>
      <c r="B1952" s="18" t="s">
        <v>586</v>
      </c>
      <c r="C1952" s="17" t="s">
        <v>17</v>
      </c>
      <c r="D1952" s="17">
        <v>51.0</v>
      </c>
      <c r="E1952" s="17" t="s">
        <v>366</v>
      </c>
      <c r="G1952" s="19"/>
      <c r="H1952" s="20" t="s">
        <v>1325</v>
      </c>
      <c r="I1952" s="17" t="s">
        <v>105</v>
      </c>
      <c r="J1952" s="17">
        <v>0.0</v>
      </c>
      <c r="K1952" s="17">
        <v>0.0</v>
      </c>
      <c r="L1952" s="17">
        <v>0.0</v>
      </c>
      <c r="M1952" s="17">
        <v>0.0</v>
      </c>
      <c r="N1952" s="17">
        <v>0.0</v>
      </c>
      <c r="O1952" s="17">
        <v>0.0</v>
      </c>
      <c r="P1952" s="17">
        <v>0.0</v>
      </c>
      <c r="Q1952" s="17">
        <v>0.0</v>
      </c>
      <c r="R1952" s="17">
        <v>0.0</v>
      </c>
      <c r="S1952" s="17">
        <v>0.0</v>
      </c>
      <c r="T1952" s="17">
        <v>0.0</v>
      </c>
      <c r="U1952" s="17">
        <v>0.0</v>
      </c>
    </row>
    <row r="1953" ht="23.25" customHeight="1">
      <c r="A1953" s="1" t="str">
        <f>IF(COUNTIF('Icon Lookup'!C:C,B1953)&gt;0,LOOKUP(B1953,'Icon Lookup'!C:C,'Icon Lookup'!B:B),"")</f>
        <v/>
      </c>
      <c r="B1953" s="15" t="s">
        <v>2379</v>
      </c>
      <c r="C1953" s="1" t="s">
        <v>17</v>
      </c>
      <c r="D1953" s="1" t="s">
        <v>418</v>
      </c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</row>
    <row r="1954" ht="23.25" customHeight="1">
      <c r="A1954" s="20" t="str">
        <f>IF(COUNTIF('Icon Lookup'!C:C,B1954)&gt;0,LOOKUP(B1954,'Icon Lookup'!C:C,'Icon Lookup'!B:B),"")</f>
        <v/>
      </c>
      <c r="B1954" s="21" t="s">
        <v>419</v>
      </c>
      <c r="C1954" s="20" t="s">
        <v>17</v>
      </c>
      <c r="D1954" s="20">
        <v>40.0</v>
      </c>
      <c r="E1954" s="20" t="s">
        <v>31</v>
      </c>
      <c r="G1954" s="22"/>
      <c r="H1954" s="23" t="s">
        <v>2243</v>
      </c>
      <c r="I1954" s="20" t="s">
        <v>22</v>
      </c>
      <c r="J1954" s="20">
        <v>0.0</v>
      </c>
      <c r="K1954" s="20">
        <v>0.0</v>
      </c>
      <c r="L1954" s="20">
        <v>0.0</v>
      </c>
      <c r="M1954" s="20">
        <v>0.0</v>
      </c>
      <c r="N1954" s="20">
        <v>0.0</v>
      </c>
      <c r="O1954" s="20">
        <v>0.0</v>
      </c>
      <c r="P1954" s="20">
        <v>0.0</v>
      </c>
      <c r="Q1954" s="20">
        <v>0.0</v>
      </c>
      <c r="R1954" s="20">
        <v>0.0</v>
      </c>
      <c r="S1954" s="20">
        <v>0.0</v>
      </c>
      <c r="T1954" s="20">
        <v>0.0</v>
      </c>
      <c r="U1954" s="20">
        <v>0.0</v>
      </c>
    </row>
    <row r="1955" ht="23.25" customHeight="1">
      <c r="A1955" s="1" t="str">
        <f>IF(COUNTIF('Icon Lookup'!C:C,B1955)&gt;0,LOOKUP(B1955,'Icon Lookup'!C:C,'Icon Lookup'!B:B),"")</f>
        <v/>
      </c>
      <c r="B1955" s="15" t="s">
        <v>2380</v>
      </c>
      <c r="C1955" s="1" t="s">
        <v>17</v>
      </c>
      <c r="D1955" s="1" t="s">
        <v>270</v>
      </c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</row>
    <row r="1956" ht="23.25" customHeight="1">
      <c r="A1956" s="17" t="str">
        <f>IF(COUNTIF('Icon Lookup'!C:C,B1956)&gt;0,LOOKUP(B1956,'Icon Lookup'!C:C,'Icon Lookup'!B:B),"")</f>
        <v/>
      </c>
      <c r="B1956" s="18" t="s">
        <v>271</v>
      </c>
      <c r="C1956" s="17" t="s">
        <v>17</v>
      </c>
      <c r="D1956" s="17">
        <v>38.0</v>
      </c>
      <c r="E1956" s="17" t="s">
        <v>44</v>
      </c>
      <c r="G1956" s="19"/>
      <c r="H1956" s="20" t="s">
        <v>272</v>
      </c>
      <c r="I1956" s="17" t="s">
        <v>22</v>
      </c>
      <c r="J1956" s="17">
        <v>0.0</v>
      </c>
      <c r="K1956" s="17">
        <v>0.0</v>
      </c>
      <c r="L1956" s="17">
        <v>0.0</v>
      </c>
      <c r="M1956" s="17">
        <v>0.0</v>
      </c>
      <c r="N1956" s="17">
        <v>0.0</v>
      </c>
      <c r="O1956" s="17">
        <v>0.0</v>
      </c>
      <c r="P1956" s="17">
        <v>0.0</v>
      </c>
      <c r="Q1956" s="17">
        <v>0.0</v>
      </c>
      <c r="R1956" s="17">
        <v>0.0</v>
      </c>
      <c r="S1956" s="17">
        <v>0.0</v>
      </c>
      <c r="T1956" s="17">
        <v>0.0</v>
      </c>
      <c r="U1956" s="17">
        <v>0.0</v>
      </c>
    </row>
    <row r="1957" ht="23.25" customHeight="1">
      <c r="A1957" s="20" t="str">
        <f>IF(COUNTIF('Icon Lookup'!C:C,B1957)&gt;0,LOOKUP(B1957,'Icon Lookup'!C:C,'Icon Lookup'!B:B),"")</f>
        <v/>
      </c>
      <c r="B1957" s="21" t="s">
        <v>273</v>
      </c>
      <c r="C1957" s="20" t="s">
        <v>17</v>
      </c>
      <c r="D1957" s="20">
        <v>40.0</v>
      </c>
      <c r="E1957" s="20" t="s">
        <v>38</v>
      </c>
      <c r="G1957" s="22"/>
      <c r="H1957" s="23" t="s">
        <v>2381</v>
      </c>
      <c r="I1957" s="20" t="s">
        <v>52</v>
      </c>
      <c r="J1957" s="20">
        <v>0.0</v>
      </c>
      <c r="K1957" s="20">
        <v>0.0</v>
      </c>
      <c r="L1957" s="20">
        <v>0.0</v>
      </c>
      <c r="M1957" s="20">
        <v>0.0</v>
      </c>
      <c r="N1957" s="20">
        <v>0.0</v>
      </c>
      <c r="O1957" s="20">
        <v>0.0</v>
      </c>
      <c r="P1957" s="20">
        <v>0.0</v>
      </c>
      <c r="Q1957" s="20">
        <v>0.0</v>
      </c>
      <c r="R1957" s="20">
        <v>0.0</v>
      </c>
      <c r="S1957" s="20">
        <v>0.0</v>
      </c>
      <c r="T1957" s="20">
        <v>0.0</v>
      </c>
      <c r="U1957" s="20">
        <v>0.0</v>
      </c>
    </row>
    <row r="1958" ht="23.25" customHeight="1">
      <c r="A1958" s="17" t="str">
        <f>IF(COUNTIF('Icon Lookup'!C:C,B1958)&gt;0,LOOKUP(B1958,'Icon Lookup'!C:C,'Icon Lookup'!B:B),"")</f>
        <v/>
      </c>
      <c r="B1958" s="18" t="s">
        <v>275</v>
      </c>
      <c r="C1958" s="17" t="s">
        <v>17</v>
      </c>
      <c r="D1958" s="17">
        <v>39.0</v>
      </c>
      <c r="E1958" s="17" t="s">
        <v>276</v>
      </c>
      <c r="G1958" s="19"/>
      <c r="H1958" s="20" t="s">
        <v>835</v>
      </c>
      <c r="I1958" s="17" t="s">
        <v>22</v>
      </c>
      <c r="J1958" s="17">
        <v>0.0</v>
      </c>
      <c r="K1958" s="17">
        <v>0.0</v>
      </c>
      <c r="L1958" s="17">
        <v>0.0</v>
      </c>
      <c r="M1958" s="17">
        <v>0.0</v>
      </c>
      <c r="N1958" s="17">
        <v>0.0</v>
      </c>
      <c r="O1958" s="17">
        <v>0.0</v>
      </c>
      <c r="P1958" s="17">
        <v>0.0</v>
      </c>
      <c r="Q1958" s="17">
        <v>0.0</v>
      </c>
      <c r="R1958" s="17">
        <v>0.0</v>
      </c>
      <c r="S1958" s="17">
        <v>0.0</v>
      </c>
      <c r="T1958" s="17">
        <v>0.0</v>
      </c>
      <c r="U1958" s="17">
        <v>0.0</v>
      </c>
    </row>
    <row r="1959" ht="23.25" customHeight="1">
      <c r="A1959" s="1" t="str">
        <f>IF(COUNTIF('Icon Lookup'!C:C,B1959)&gt;0,LOOKUP(B1959,'Icon Lookup'!C:C,'Icon Lookup'!B:B),"")</f>
        <v/>
      </c>
      <c r="B1959" s="15" t="s">
        <v>2382</v>
      </c>
      <c r="C1959" s="1" t="s">
        <v>17</v>
      </c>
      <c r="D1959" s="1" t="s">
        <v>418</v>
      </c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</row>
    <row r="1960" ht="23.25" customHeight="1">
      <c r="A1960" s="20" t="str">
        <f>IF(COUNTIF('Icon Lookup'!C:C,B1960)&gt;0,LOOKUP(B1960,'Icon Lookup'!C:C,'Icon Lookup'!B:B),"")</f>
        <v/>
      </c>
      <c r="B1960" s="21" t="s">
        <v>419</v>
      </c>
      <c r="C1960" s="20" t="s">
        <v>17</v>
      </c>
      <c r="D1960" s="20">
        <v>55.0</v>
      </c>
      <c r="E1960" s="20" t="s">
        <v>31</v>
      </c>
      <c r="G1960" s="22"/>
      <c r="H1960" s="23" t="s">
        <v>2383</v>
      </c>
      <c r="I1960" s="20" t="s">
        <v>22</v>
      </c>
      <c r="J1960" s="20">
        <v>0.0</v>
      </c>
      <c r="K1960" s="20">
        <v>0.0</v>
      </c>
      <c r="L1960" s="20">
        <v>0.0</v>
      </c>
      <c r="M1960" s="20">
        <v>0.0</v>
      </c>
      <c r="N1960" s="20">
        <v>0.0</v>
      </c>
      <c r="O1960" s="20">
        <v>0.0</v>
      </c>
      <c r="P1960" s="20">
        <v>0.0</v>
      </c>
      <c r="Q1960" s="20">
        <v>0.0</v>
      </c>
      <c r="R1960" s="20">
        <v>0.0</v>
      </c>
      <c r="S1960" s="20">
        <v>0.0</v>
      </c>
      <c r="T1960" s="20">
        <v>0.0</v>
      </c>
      <c r="U1960" s="20">
        <v>0.0</v>
      </c>
    </row>
    <row r="1961" ht="23.25" customHeight="1">
      <c r="A1961" s="1" t="str">
        <f>IF(COUNTIF('Icon Lookup'!C:C,B1961)&gt;0,LOOKUP(B1961,'Icon Lookup'!C:C,'Icon Lookup'!B:B),"")</f>
        <v/>
      </c>
      <c r="B1961" s="15" t="s">
        <v>2384</v>
      </c>
      <c r="C1961" s="1" t="s">
        <v>17</v>
      </c>
      <c r="D1961" s="1" t="s">
        <v>270</v>
      </c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</row>
    <row r="1962" ht="23.25" customHeight="1">
      <c r="A1962" s="17" t="str">
        <f>IF(COUNTIF('Icon Lookup'!C:C,B1962)&gt;0,LOOKUP(B1962,'Icon Lookup'!C:C,'Icon Lookup'!B:B),"")</f>
        <v/>
      </c>
      <c r="B1962" s="18" t="s">
        <v>921</v>
      </c>
      <c r="C1962" s="17" t="s">
        <v>17</v>
      </c>
      <c r="D1962" s="17">
        <v>58.0</v>
      </c>
      <c r="E1962" s="17" t="s">
        <v>44</v>
      </c>
      <c r="G1962" s="19"/>
      <c r="H1962" s="20" t="s">
        <v>2385</v>
      </c>
      <c r="I1962" s="17" t="s">
        <v>22</v>
      </c>
      <c r="J1962" s="17">
        <v>0.0</v>
      </c>
      <c r="K1962" s="17">
        <v>0.0</v>
      </c>
      <c r="L1962" s="17">
        <v>0.0</v>
      </c>
      <c r="M1962" s="17">
        <v>0.0</v>
      </c>
      <c r="N1962" s="17">
        <v>0.0</v>
      </c>
      <c r="O1962" s="17">
        <v>0.0</v>
      </c>
      <c r="P1962" s="17">
        <v>0.0</v>
      </c>
      <c r="Q1962" s="17">
        <v>0.0</v>
      </c>
      <c r="R1962" s="17">
        <v>0.0</v>
      </c>
      <c r="S1962" s="17">
        <v>0.0</v>
      </c>
      <c r="T1962" s="17">
        <v>0.0</v>
      </c>
      <c r="U1962" s="17">
        <v>0.0</v>
      </c>
    </row>
    <row r="1963" ht="23.25" customHeight="1">
      <c r="A1963" s="20" t="str">
        <f>IF(COUNTIF('Icon Lookup'!C:C,B1963)&gt;0,LOOKUP(B1963,'Icon Lookup'!C:C,'Icon Lookup'!B:B),"")</f>
        <v/>
      </c>
      <c r="B1963" s="21" t="s">
        <v>273</v>
      </c>
      <c r="C1963" s="20" t="s">
        <v>17</v>
      </c>
      <c r="D1963" s="20">
        <v>59.0</v>
      </c>
      <c r="E1963" s="20" t="s">
        <v>38</v>
      </c>
      <c r="G1963" s="22"/>
      <c r="H1963" s="23" t="s">
        <v>2386</v>
      </c>
      <c r="I1963" s="20" t="s">
        <v>52</v>
      </c>
      <c r="J1963" s="20">
        <v>0.0</v>
      </c>
      <c r="K1963" s="20">
        <v>0.0</v>
      </c>
      <c r="L1963" s="20">
        <v>0.0</v>
      </c>
      <c r="M1963" s="20">
        <v>0.0</v>
      </c>
      <c r="N1963" s="20">
        <v>0.0</v>
      </c>
      <c r="O1963" s="20">
        <v>0.0</v>
      </c>
      <c r="P1963" s="20">
        <v>0.0</v>
      </c>
      <c r="Q1963" s="20">
        <v>0.0</v>
      </c>
      <c r="R1963" s="20">
        <v>0.0</v>
      </c>
      <c r="S1963" s="20">
        <v>0.0</v>
      </c>
      <c r="T1963" s="20">
        <v>0.0</v>
      </c>
      <c r="U1963" s="20">
        <v>0.0</v>
      </c>
    </row>
    <row r="1964" ht="23.25" customHeight="1">
      <c r="A1964" s="17" t="str">
        <f>IF(COUNTIF('Icon Lookup'!C:C,B1964)&gt;0,LOOKUP(B1964,'Icon Lookup'!C:C,'Icon Lookup'!B:B),"")</f>
        <v/>
      </c>
      <c r="B1964" s="18" t="s">
        <v>1098</v>
      </c>
      <c r="C1964" s="17" t="s">
        <v>17</v>
      </c>
      <c r="D1964" s="17">
        <v>60.0</v>
      </c>
      <c r="E1964" s="17" t="s">
        <v>276</v>
      </c>
      <c r="G1964" s="19"/>
      <c r="H1964" s="20" t="s">
        <v>2387</v>
      </c>
      <c r="I1964" s="17" t="s">
        <v>22</v>
      </c>
      <c r="J1964" s="17">
        <v>0.0</v>
      </c>
      <c r="K1964" s="17">
        <v>0.0</v>
      </c>
      <c r="L1964" s="17">
        <v>0.0</v>
      </c>
      <c r="M1964" s="17">
        <v>0.0</v>
      </c>
      <c r="N1964" s="17">
        <v>0.0</v>
      </c>
      <c r="O1964" s="17">
        <v>0.0</v>
      </c>
      <c r="P1964" s="17">
        <v>0.0</v>
      </c>
      <c r="Q1964" s="17">
        <v>0.0</v>
      </c>
      <c r="R1964" s="17">
        <v>0.0</v>
      </c>
      <c r="S1964" s="17">
        <v>0.0</v>
      </c>
      <c r="T1964" s="17">
        <v>0.0</v>
      </c>
      <c r="U1964" s="17">
        <v>0.0</v>
      </c>
    </row>
    <row r="1965" ht="23.25" customHeight="1">
      <c r="A1965" s="1" t="str">
        <f>IF(COUNTIF('Icon Lookup'!C:C,B1965)&gt;0,LOOKUP(B1965,'Icon Lookup'!C:C,'Icon Lookup'!B:B),"")</f>
        <v/>
      </c>
      <c r="B1965" s="15" t="s">
        <v>2388</v>
      </c>
      <c r="C1965" s="1" t="s">
        <v>17</v>
      </c>
      <c r="D1965" s="1" t="s">
        <v>1248</v>
      </c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</row>
    <row r="1966" ht="23.25" customHeight="1">
      <c r="A1966" s="20" t="str">
        <f>IF(COUNTIF('Icon Lookup'!C:C,B1966)&gt;0,LOOKUP(B1966,'Icon Lookup'!C:C,'Icon Lookup'!B:B),"")</f>
        <v/>
      </c>
      <c r="B1966" s="21" t="s">
        <v>741</v>
      </c>
      <c r="C1966" s="20" t="s">
        <v>17</v>
      </c>
      <c r="D1966" s="20">
        <v>58.0</v>
      </c>
      <c r="E1966" s="20" t="s">
        <v>26</v>
      </c>
      <c r="G1966" s="22"/>
      <c r="H1966" s="23" t="s">
        <v>2389</v>
      </c>
      <c r="I1966" s="20" t="s">
        <v>22</v>
      </c>
      <c r="J1966" s="20">
        <v>0.0</v>
      </c>
      <c r="K1966" s="20">
        <v>0.0</v>
      </c>
      <c r="L1966" s="20">
        <v>0.0</v>
      </c>
      <c r="M1966" s="20">
        <v>0.0</v>
      </c>
      <c r="N1966" s="20">
        <v>0.0</v>
      </c>
      <c r="O1966" s="20">
        <v>0.0</v>
      </c>
      <c r="P1966" s="20">
        <v>0.0</v>
      </c>
      <c r="Q1966" s="20">
        <v>0.0</v>
      </c>
      <c r="R1966" s="20">
        <v>0.0</v>
      </c>
      <c r="S1966" s="20">
        <v>0.0</v>
      </c>
      <c r="T1966" s="20">
        <v>0.0</v>
      </c>
      <c r="U1966" s="20">
        <v>0.0</v>
      </c>
    </row>
    <row r="1967" ht="23.25" customHeight="1">
      <c r="A1967" s="17" t="str">
        <f>IF(COUNTIF('Icon Lookup'!C:C,B1967)&gt;0,LOOKUP(B1967,'Icon Lookup'!C:C,'Icon Lookup'!B:B),"")</f>
        <v/>
      </c>
      <c r="B1967" s="18" t="s">
        <v>410</v>
      </c>
      <c r="C1967" s="17" t="s">
        <v>17</v>
      </c>
      <c r="D1967" s="17">
        <v>58.0</v>
      </c>
      <c r="E1967" s="17" t="s">
        <v>411</v>
      </c>
      <c r="G1967" s="19"/>
      <c r="H1967" s="20" t="s">
        <v>2390</v>
      </c>
      <c r="I1967" s="17" t="s">
        <v>612</v>
      </c>
      <c r="J1967" s="17">
        <v>0.0</v>
      </c>
      <c r="K1967" s="17">
        <v>0.0</v>
      </c>
      <c r="L1967" s="17">
        <v>0.0</v>
      </c>
      <c r="M1967" s="17">
        <v>0.0</v>
      </c>
      <c r="N1967" s="17">
        <v>0.0</v>
      </c>
      <c r="O1967" s="17">
        <v>0.0</v>
      </c>
      <c r="P1967" s="17">
        <v>0.0</v>
      </c>
      <c r="Q1967" s="17">
        <v>0.0</v>
      </c>
      <c r="R1967" s="17">
        <v>0.0</v>
      </c>
      <c r="S1967" s="17">
        <v>0.0</v>
      </c>
      <c r="T1967" s="17">
        <v>0.0</v>
      </c>
      <c r="U1967" s="17">
        <v>0.0</v>
      </c>
    </row>
    <row r="1968" ht="23.25" customHeight="1">
      <c r="A1968" s="20" t="str">
        <f>IF(COUNTIF('Icon Lookup'!C:C,B1968)&gt;0,LOOKUP(B1968,'Icon Lookup'!C:C,'Icon Lookup'!B:B),"")</f>
        <v/>
      </c>
      <c r="B1968" s="21" t="s">
        <v>1369</v>
      </c>
      <c r="C1968" s="20" t="s">
        <v>17</v>
      </c>
      <c r="D1968" s="20">
        <v>58.0</v>
      </c>
      <c r="E1968" s="20" t="s">
        <v>1413</v>
      </c>
      <c r="G1968" s="22"/>
      <c r="H1968" s="23" t="s">
        <v>2391</v>
      </c>
      <c r="I1968" s="20" t="s">
        <v>22</v>
      </c>
      <c r="J1968" s="20">
        <v>0.0</v>
      </c>
      <c r="K1968" s="20">
        <v>0.0</v>
      </c>
      <c r="L1968" s="20">
        <v>0.0</v>
      </c>
      <c r="M1968" s="20">
        <v>0.0</v>
      </c>
      <c r="N1968" s="20">
        <v>0.0</v>
      </c>
      <c r="O1968" s="20">
        <v>0.0</v>
      </c>
      <c r="P1968" s="20">
        <v>0.0</v>
      </c>
      <c r="Q1968" s="20">
        <v>0.0</v>
      </c>
      <c r="R1968" s="20">
        <v>0.0</v>
      </c>
      <c r="S1968" s="20">
        <v>0.0</v>
      </c>
      <c r="T1968" s="20">
        <v>0.0</v>
      </c>
      <c r="U1968" s="20">
        <v>0.0</v>
      </c>
    </row>
    <row r="1969" ht="23.25" customHeight="1">
      <c r="A1969" s="1" t="str">
        <f>IF(COUNTIF('Icon Lookup'!C:C,B1969)&gt;0,LOOKUP(B1969,'Icon Lookup'!C:C,'Icon Lookup'!B:B),"")</f>
        <v/>
      </c>
      <c r="B1969" s="15" t="s">
        <v>2392</v>
      </c>
      <c r="C1969" s="1" t="s">
        <v>17</v>
      </c>
      <c r="D1969" s="1" t="s">
        <v>2393</v>
      </c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</row>
    <row r="1970" ht="23.25" customHeight="1">
      <c r="A1970" s="17" t="str">
        <f>IF(COUNTIF('Icon Lookup'!C:C,B1970)&gt;0,LOOKUP(B1970,'Icon Lookup'!C:C,'Icon Lookup'!B:B),"")</f>
        <v/>
      </c>
      <c r="B1970" s="18" t="s">
        <v>2394</v>
      </c>
      <c r="C1970" s="17" t="s">
        <v>17</v>
      </c>
      <c r="D1970" s="17">
        <v>5.0</v>
      </c>
      <c r="E1970" s="17" t="s">
        <v>1413</v>
      </c>
      <c r="G1970" s="19"/>
      <c r="H1970" s="20" t="s">
        <v>1413</v>
      </c>
      <c r="I1970" s="17" t="s">
        <v>1045</v>
      </c>
      <c r="J1970" s="17">
        <v>0.0</v>
      </c>
      <c r="K1970" s="17">
        <v>0.0</v>
      </c>
      <c r="L1970" s="17">
        <v>0.0</v>
      </c>
      <c r="M1970" s="17">
        <v>0.0</v>
      </c>
      <c r="N1970" s="17">
        <v>0.0</v>
      </c>
      <c r="O1970" s="17">
        <v>0.0</v>
      </c>
      <c r="P1970" s="17">
        <v>0.0</v>
      </c>
      <c r="Q1970" s="17">
        <v>0.0</v>
      </c>
      <c r="R1970" s="17">
        <v>0.0</v>
      </c>
      <c r="S1970" s="17">
        <v>0.0</v>
      </c>
      <c r="T1970" s="17">
        <v>0.0</v>
      </c>
      <c r="U1970" s="17">
        <v>0.0</v>
      </c>
    </row>
    <row r="1971" ht="23.25" customHeight="1">
      <c r="A1971" s="1" t="str">
        <f>IF(COUNTIF('Icon Lookup'!C:C,B1971)&gt;0,LOOKUP(B1971,'Icon Lookup'!C:C,'Icon Lookup'!B:B),"")</f>
        <v/>
      </c>
      <c r="B1971" s="15" t="s">
        <v>2395</v>
      </c>
      <c r="C1971" s="1" t="s">
        <v>17</v>
      </c>
      <c r="D1971" s="1" t="s">
        <v>2396</v>
      </c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</row>
    <row r="1972" ht="23.25" customHeight="1">
      <c r="A1972" s="20" t="str">
        <f>IF(COUNTIF('Icon Lookup'!C:C,B1972)&gt;0,LOOKUP(B1972,'Icon Lookup'!C:C,'Icon Lookup'!B:B),"")</f>
        <v/>
      </c>
      <c r="B1972" s="21" t="s">
        <v>494</v>
      </c>
      <c r="C1972" s="20" t="s">
        <v>17</v>
      </c>
      <c r="D1972" s="20">
        <v>39.0</v>
      </c>
      <c r="E1972" s="20" t="s">
        <v>495</v>
      </c>
      <c r="G1972" s="22"/>
      <c r="H1972" s="23" t="s">
        <v>2397</v>
      </c>
      <c r="I1972" s="20" t="s">
        <v>89</v>
      </c>
      <c r="J1972" s="20">
        <v>0.0</v>
      </c>
      <c r="K1972" s="20">
        <v>0.0</v>
      </c>
      <c r="L1972" s="20">
        <v>0.0</v>
      </c>
      <c r="M1972" s="20">
        <v>0.0</v>
      </c>
      <c r="N1972" s="20">
        <v>0.0</v>
      </c>
      <c r="O1972" s="20">
        <v>0.0</v>
      </c>
      <c r="P1972" s="20">
        <v>0.0</v>
      </c>
      <c r="Q1972" s="20">
        <v>0.0</v>
      </c>
      <c r="R1972" s="20">
        <v>0.0</v>
      </c>
      <c r="S1972" s="20">
        <v>0.0</v>
      </c>
      <c r="T1972" s="20">
        <v>0.0</v>
      </c>
      <c r="U1972" s="20">
        <v>0.0</v>
      </c>
    </row>
    <row r="1973" ht="23.25" customHeight="1">
      <c r="A1973" s="1" t="str">
        <f>IF(COUNTIF('Icon Lookup'!C:C,B1973)&gt;0,LOOKUP(B1973,'Icon Lookup'!C:C,'Icon Lookup'!B:B),"")</f>
        <v/>
      </c>
      <c r="B1973" s="15" t="s">
        <v>2398</v>
      </c>
      <c r="C1973" s="1" t="s">
        <v>17</v>
      </c>
      <c r="D1973" s="1" t="s">
        <v>2399</v>
      </c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</row>
    <row r="1974" ht="23.25" customHeight="1">
      <c r="A1974" s="17" t="str">
        <f>IF(COUNTIF('Icon Lookup'!C:C,B1974)&gt;0,LOOKUP(B1974,'Icon Lookup'!C:C,'Icon Lookup'!B:B),"")</f>
        <v/>
      </c>
      <c r="B1974" s="18" t="s">
        <v>494</v>
      </c>
      <c r="C1974" s="17" t="s">
        <v>17</v>
      </c>
      <c r="D1974" s="17">
        <v>39.0</v>
      </c>
      <c r="E1974" s="17" t="s">
        <v>495</v>
      </c>
      <c r="G1974" s="19"/>
      <c r="H1974" s="20" t="s">
        <v>496</v>
      </c>
      <c r="I1974" s="17" t="s">
        <v>89</v>
      </c>
      <c r="J1974" s="17">
        <v>0.0</v>
      </c>
      <c r="K1974" s="17">
        <v>0.0</v>
      </c>
      <c r="L1974" s="17">
        <v>0.0</v>
      </c>
      <c r="M1974" s="17">
        <v>0.0</v>
      </c>
      <c r="N1974" s="17">
        <v>0.0</v>
      </c>
      <c r="O1974" s="17">
        <v>0.0</v>
      </c>
      <c r="P1974" s="17">
        <v>0.0</v>
      </c>
      <c r="Q1974" s="17">
        <v>0.0</v>
      </c>
      <c r="R1974" s="17">
        <v>0.0</v>
      </c>
      <c r="S1974" s="17">
        <v>0.0</v>
      </c>
      <c r="T1974" s="17">
        <v>0.0</v>
      </c>
      <c r="U1974" s="17">
        <v>0.0</v>
      </c>
    </row>
    <row r="1975" ht="23.25" customHeight="1">
      <c r="A1975" s="1" t="str">
        <f>IF(COUNTIF('Icon Lookup'!C:C,B1975)&gt;0,LOOKUP(B1975,'Icon Lookup'!C:C,'Icon Lookup'!B:B),"")</f>
        <v/>
      </c>
      <c r="B1975" s="15" t="s">
        <v>2400</v>
      </c>
      <c r="C1975" s="1" t="s">
        <v>17</v>
      </c>
      <c r="D1975" s="1" t="s">
        <v>2401</v>
      </c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</row>
    <row r="1976" ht="23.25" customHeight="1">
      <c r="A1976" s="20" t="str">
        <f>IF(COUNTIF('Icon Lookup'!C:C,B1976)&gt;0,LOOKUP(B1976,'Icon Lookup'!C:C,'Icon Lookup'!B:B),"")</f>
        <v/>
      </c>
      <c r="B1976" s="21" t="s">
        <v>386</v>
      </c>
      <c r="C1976" s="20" t="s">
        <v>17</v>
      </c>
      <c r="D1976" s="20">
        <v>37.0</v>
      </c>
      <c r="E1976" s="20" t="s">
        <v>387</v>
      </c>
      <c r="G1976" s="22"/>
      <c r="H1976" s="23" t="s">
        <v>2402</v>
      </c>
      <c r="I1976" s="20" t="s">
        <v>156</v>
      </c>
      <c r="J1976" s="20">
        <v>0.0</v>
      </c>
      <c r="K1976" s="20">
        <v>0.0</v>
      </c>
      <c r="L1976" s="20">
        <v>0.0</v>
      </c>
      <c r="M1976" s="20">
        <v>0.0</v>
      </c>
      <c r="N1976" s="20">
        <v>0.0</v>
      </c>
      <c r="O1976" s="20">
        <v>0.0</v>
      </c>
      <c r="P1976" s="20">
        <v>0.0</v>
      </c>
      <c r="Q1976" s="20">
        <v>0.0</v>
      </c>
      <c r="R1976" s="20">
        <v>0.0</v>
      </c>
      <c r="S1976" s="20">
        <v>0.0</v>
      </c>
      <c r="T1976" s="20">
        <v>0.0</v>
      </c>
      <c r="U1976" s="20">
        <v>0.0</v>
      </c>
    </row>
    <row r="1977" ht="23.25" customHeight="1">
      <c r="A1977" s="1" t="str">
        <f>IF(COUNTIF('Icon Lookup'!C:C,B1977)&gt;0,LOOKUP(B1977,'Icon Lookup'!C:C,'Icon Lookup'!B:B),"")</f>
        <v/>
      </c>
      <c r="B1977" s="15" t="s">
        <v>2403</v>
      </c>
      <c r="C1977" s="1" t="s">
        <v>17</v>
      </c>
      <c r="D1977" s="1" t="s">
        <v>2404</v>
      </c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</row>
    <row r="1978" ht="23.25" customHeight="1">
      <c r="A1978" s="17" t="str">
        <f>IF(COUNTIF('Icon Lookup'!C:C,B1978)&gt;0,LOOKUP(B1978,'Icon Lookup'!C:C,'Icon Lookup'!B:B),"")</f>
        <v/>
      </c>
      <c r="B1978" s="18" t="s">
        <v>386</v>
      </c>
      <c r="C1978" s="17" t="s">
        <v>17</v>
      </c>
      <c r="D1978" s="17">
        <v>35.0</v>
      </c>
      <c r="E1978" s="17" t="s">
        <v>38</v>
      </c>
      <c r="G1978" s="19"/>
      <c r="H1978" s="20" t="s">
        <v>2402</v>
      </c>
      <c r="I1978" s="17" t="s">
        <v>156</v>
      </c>
      <c r="J1978" s="17">
        <v>0.0</v>
      </c>
      <c r="K1978" s="17">
        <v>0.0</v>
      </c>
      <c r="L1978" s="17">
        <v>0.0</v>
      </c>
      <c r="M1978" s="17">
        <v>0.0</v>
      </c>
      <c r="N1978" s="17">
        <v>0.0</v>
      </c>
      <c r="O1978" s="17">
        <v>0.0</v>
      </c>
      <c r="P1978" s="17">
        <v>0.0</v>
      </c>
      <c r="Q1978" s="17">
        <v>0.0</v>
      </c>
      <c r="R1978" s="17">
        <v>0.0</v>
      </c>
      <c r="S1978" s="17">
        <v>0.0</v>
      </c>
      <c r="T1978" s="17">
        <v>0.0</v>
      </c>
      <c r="U1978" s="17">
        <v>0.0</v>
      </c>
    </row>
    <row r="1979" ht="23.25" customHeight="1">
      <c r="A1979" s="20" t="str">
        <f>IF(COUNTIF('Icon Lookup'!C:C,B1979)&gt;0,LOOKUP(B1979,'Icon Lookup'!C:C,'Icon Lookup'!B:B),"")</f>
        <v/>
      </c>
      <c r="B1979" s="21" t="s">
        <v>386</v>
      </c>
      <c r="C1979" s="20" t="s">
        <v>17</v>
      </c>
      <c r="D1979" s="20">
        <v>35.0</v>
      </c>
      <c r="E1979" s="20" t="s">
        <v>387</v>
      </c>
      <c r="G1979" s="22"/>
      <c r="H1979" s="23" t="s">
        <v>2405</v>
      </c>
      <c r="I1979" s="20" t="s">
        <v>156</v>
      </c>
      <c r="J1979" s="20">
        <v>0.0</v>
      </c>
      <c r="K1979" s="20">
        <v>0.0</v>
      </c>
      <c r="L1979" s="20">
        <v>0.0</v>
      </c>
      <c r="M1979" s="20">
        <v>0.0</v>
      </c>
      <c r="N1979" s="20">
        <v>0.0</v>
      </c>
      <c r="O1979" s="20">
        <v>0.0</v>
      </c>
      <c r="P1979" s="20">
        <v>0.0</v>
      </c>
      <c r="Q1979" s="20">
        <v>0.0</v>
      </c>
      <c r="R1979" s="20">
        <v>0.0</v>
      </c>
      <c r="S1979" s="20">
        <v>0.0</v>
      </c>
      <c r="T1979" s="20">
        <v>0.0</v>
      </c>
      <c r="U1979" s="20">
        <v>0.0</v>
      </c>
    </row>
    <row r="1980" ht="23.25" customHeight="1">
      <c r="A1980" s="1" t="str">
        <f>IF(COUNTIF('Icon Lookup'!C:C,B1980)&gt;0,LOOKUP(B1980,'Icon Lookup'!C:C,'Icon Lookup'!B:B),"")</f>
        <v/>
      </c>
      <c r="B1980" s="15" t="s">
        <v>2406</v>
      </c>
      <c r="C1980" s="1" t="s">
        <v>17</v>
      </c>
      <c r="D1980" s="1" t="s">
        <v>2407</v>
      </c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</row>
    <row r="1981" ht="23.25" customHeight="1">
      <c r="A1981" s="17" t="str">
        <f>IF(COUNTIF('Icon Lookup'!C:C,B1981)&gt;0,LOOKUP(B1981,'Icon Lookup'!C:C,'Icon Lookup'!B:B),"")</f>
        <v/>
      </c>
      <c r="B1981" s="18" t="s">
        <v>386</v>
      </c>
      <c r="C1981" s="17" t="s">
        <v>17</v>
      </c>
      <c r="D1981" s="17">
        <v>15.0</v>
      </c>
      <c r="E1981" s="17" t="s">
        <v>387</v>
      </c>
      <c r="G1981" s="19"/>
      <c r="H1981" s="20" t="s">
        <v>1542</v>
      </c>
      <c r="I1981" s="17" t="s">
        <v>156</v>
      </c>
      <c r="J1981" s="17">
        <v>0.0</v>
      </c>
      <c r="K1981" s="17">
        <v>0.0</v>
      </c>
      <c r="L1981" s="17">
        <v>0.0</v>
      </c>
      <c r="M1981" s="17">
        <v>0.0</v>
      </c>
      <c r="N1981" s="17">
        <v>0.0</v>
      </c>
      <c r="O1981" s="17">
        <v>0.0</v>
      </c>
      <c r="P1981" s="17">
        <v>0.0</v>
      </c>
      <c r="Q1981" s="17">
        <v>0.0</v>
      </c>
      <c r="R1981" s="17">
        <v>0.0</v>
      </c>
      <c r="S1981" s="17">
        <v>0.0</v>
      </c>
      <c r="T1981" s="17">
        <v>0.0</v>
      </c>
      <c r="U1981" s="17">
        <v>0.0</v>
      </c>
    </row>
    <row r="1982" ht="23.25" customHeight="1">
      <c r="A1982" s="1" t="str">
        <f>IF(COUNTIF('Icon Lookup'!C:C,B1982)&gt;0,LOOKUP(B1982,'Icon Lookup'!C:C,'Icon Lookup'!B:B),"")</f>
        <v/>
      </c>
      <c r="B1982" s="15" t="s">
        <v>2408</v>
      </c>
      <c r="C1982" s="1" t="s">
        <v>17</v>
      </c>
      <c r="D1982" s="1" t="s">
        <v>2409</v>
      </c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</row>
    <row r="1983" ht="23.25" customHeight="1">
      <c r="A1983" s="20" t="str">
        <f>IF(COUNTIF('Icon Lookup'!C:C,B1983)&gt;0,LOOKUP(B1983,'Icon Lookup'!C:C,'Icon Lookup'!B:B),"")</f>
        <v/>
      </c>
      <c r="B1983" s="21" t="s">
        <v>136</v>
      </c>
      <c r="C1983" s="20" t="s">
        <v>17</v>
      </c>
      <c r="D1983" s="20">
        <v>41.0</v>
      </c>
      <c r="E1983" s="20" t="s">
        <v>137</v>
      </c>
      <c r="G1983" s="22"/>
      <c r="H1983" s="23" t="s">
        <v>2410</v>
      </c>
      <c r="I1983" s="20" t="s">
        <v>22</v>
      </c>
      <c r="J1983" s="20">
        <v>0.0</v>
      </c>
      <c r="K1983" s="20">
        <v>0.0</v>
      </c>
      <c r="L1983" s="20">
        <v>0.0</v>
      </c>
      <c r="M1983" s="20">
        <v>0.0</v>
      </c>
      <c r="N1983" s="20">
        <v>0.0</v>
      </c>
      <c r="O1983" s="20">
        <v>0.0</v>
      </c>
      <c r="P1983" s="20">
        <v>0.0</v>
      </c>
      <c r="Q1983" s="20">
        <v>0.0</v>
      </c>
      <c r="R1983" s="20">
        <v>0.0</v>
      </c>
      <c r="S1983" s="20">
        <v>0.0</v>
      </c>
      <c r="T1983" s="20">
        <v>0.0</v>
      </c>
      <c r="U1983" s="20">
        <v>0.0</v>
      </c>
    </row>
    <row r="1984" ht="23.25" customHeight="1">
      <c r="A1984" s="17" t="str">
        <f>IF(COUNTIF('Icon Lookup'!C:C,B1984)&gt;0,LOOKUP(B1984,'Icon Lookup'!C:C,'Icon Lookup'!B:B),"")</f>
        <v/>
      </c>
      <c r="B1984" s="18" t="s">
        <v>136</v>
      </c>
      <c r="C1984" s="17" t="s">
        <v>17</v>
      </c>
      <c r="D1984" s="17">
        <v>41.0</v>
      </c>
      <c r="E1984" s="17" t="s">
        <v>137</v>
      </c>
      <c r="G1984" s="19"/>
      <c r="H1984" s="20" t="s">
        <v>2411</v>
      </c>
      <c r="I1984" s="17" t="s">
        <v>22</v>
      </c>
      <c r="J1984" s="17">
        <v>0.0</v>
      </c>
      <c r="K1984" s="17">
        <v>0.0</v>
      </c>
      <c r="L1984" s="17">
        <v>0.0</v>
      </c>
      <c r="M1984" s="17">
        <v>0.0</v>
      </c>
      <c r="N1984" s="17">
        <v>0.0</v>
      </c>
      <c r="O1984" s="17">
        <v>0.0</v>
      </c>
      <c r="P1984" s="17">
        <v>0.0</v>
      </c>
      <c r="Q1984" s="17">
        <v>0.0</v>
      </c>
      <c r="R1984" s="17">
        <v>0.0</v>
      </c>
      <c r="S1984" s="17">
        <v>0.0</v>
      </c>
      <c r="T1984" s="17">
        <v>0.0</v>
      </c>
      <c r="U1984" s="17">
        <v>0.0</v>
      </c>
    </row>
    <row r="1985" ht="23.25" customHeight="1">
      <c r="A1985" s="1" t="str">
        <f>IF(COUNTIF('Icon Lookup'!C:C,B1985)&gt;0,LOOKUP(B1985,'Icon Lookup'!C:C,'Icon Lookup'!B:B),"")</f>
        <v/>
      </c>
      <c r="B1985" s="15" t="s">
        <v>2412</v>
      </c>
      <c r="C1985" s="1" t="s">
        <v>17</v>
      </c>
      <c r="D1985" s="1" t="s">
        <v>1044</v>
      </c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</row>
    <row r="1986" ht="23.25" customHeight="1">
      <c r="A1986" s="20" t="str">
        <f>IF(COUNTIF('Icon Lookup'!C:C,B1986)&gt;0,LOOKUP(B1986,'Icon Lookup'!C:C,'Icon Lookup'!B:B),"")</f>
        <v/>
      </c>
      <c r="B1986" s="21" t="s">
        <v>691</v>
      </c>
      <c r="C1986" s="20" t="s">
        <v>17</v>
      </c>
      <c r="D1986" s="20">
        <v>28.0</v>
      </c>
      <c r="E1986" s="20" t="s">
        <v>58</v>
      </c>
      <c r="G1986" s="22"/>
      <c r="H1986" s="23" t="s">
        <v>1291</v>
      </c>
      <c r="I1986" s="20" t="s">
        <v>73</v>
      </c>
      <c r="J1986" s="20">
        <v>0.0</v>
      </c>
      <c r="K1986" s="20">
        <v>0.0</v>
      </c>
      <c r="L1986" s="20">
        <v>0.0</v>
      </c>
      <c r="M1986" s="20">
        <v>0.0</v>
      </c>
      <c r="N1986" s="20">
        <v>0.0</v>
      </c>
      <c r="O1986" s="20">
        <v>0.0</v>
      </c>
      <c r="P1986" s="20">
        <v>0.0</v>
      </c>
      <c r="Q1986" s="20">
        <v>0.0</v>
      </c>
      <c r="R1986" s="20">
        <v>0.0</v>
      </c>
      <c r="S1986" s="20">
        <v>0.0</v>
      </c>
      <c r="T1986" s="20">
        <v>0.0</v>
      </c>
      <c r="U1986" s="20">
        <v>0.0</v>
      </c>
    </row>
    <row r="1987" ht="23.25" customHeight="1">
      <c r="A1987" s="17" t="str">
        <f>IF(COUNTIF('Icon Lookup'!C:C,B1987)&gt;0,LOOKUP(B1987,'Icon Lookup'!C:C,'Icon Lookup'!B:B),"")</f>
        <v/>
      </c>
      <c r="B1987" s="18" t="s">
        <v>293</v>
      </c>
      <c r="C1987" s="17" t="s">
        <v>17</v>
      </c>
      <c r="D1987" s="17">
        <v>28.0</v>
      </c>
      <c r="E1987" s="17" t="s">
        <v>61</v>
      </c>
      <c r="G1987" s="19"/>
      <c r="H1987" s="20" t="s">
        <v>294</v>
      </c>
      <c r="I1987" s="17" t="s">
        <v>94</v>
      </c>
      <c r="J1987" s="17">
        <v>0.0</v>
      </c>
      <c r="K1987" s="17">
        <v>0.0</v>
      </c>
      <c r="L1987" s="17">
        <v>0.0</v>
      </c>
      <c r="M1987" s="17">
        <v>0.0</v>
      </c>
      <c r="N1987" s="17">
        <v>0.0</v>
      </c>
      <c r="O1987" s="17">
        <v>0.0</v>
      </c>
      <c r="P1987" s="17">
        <v>0.0</v>
      </c>
      <c r="Q1987" s="17">
        <v>0.0</v>
      </c>
      <c r="R1987" s="17">
        <v>0.0</v>
      </c>
      <c r="S1987" s="17">
        <v>0.0</v>
      </c>
      <c r="T1987" s="17">
        <v>0.0</v>
      </c>
      <c r="U1987" s="17">
        <v>0.0</v>
      </c>
    </row>
    <row r="1988" ht="23.25" customHeight="1">
      <c r="A1988" s="20" t="str">
        <f>IF(COUNTIF('Icon Lookup'!C:C,B1988)&gt;0,LOOKUP(B1988,'Icon Lookup'!C:C,'Icon Lookup'!B:B),"")</f>
        <v/>
      </c>
      <c r="B1988" s="21" t="s">
        <v>687</v>
      </c>
      <c r="C1988" s="20" t="s">
        <v>17</v>
      </c>
      <c r="D1988" s="20">
        <v>28.0</v>
      </c>
      <c r="E1988" s="20" t="s">
        <v>258</v>
      </c>
      <c r="G1988" s="22"/>
      <c r="H1988" s="23" t="s">
        <v>2413</v>
      </c>
      <c r="I1988" s="20" t="s">
        <v>36</v>
      </c>
      <c r="J1988" s="20">
        <v>0.0</v>
      </c>
      <c r="K1988" s="20">
        <v>0.0</v>
      </c>
      <c r="L1988" s="20">
        <v>0.0</v>
      </c>
      <c r="M1988" s="20">
        <v>0.0</v>
      </c>
      <c r="N1988" s="20">
        <v>0.0</v>
      </c>
      <c r="O1988" s="20">
        <v>0.0</v>
      </c>
      <c r="P1988" s="20">
        <v>0.0</v>
      </c>
      <c r="Q1988" s="20">
        <v>0.0</v>
      </c>
      <c r="R1988" s="20">
        <v>0.0</v>
      </c>
      <c r="S1988" s="20">
        <v>0.0</v>
      </c>
      <c r="T1988" s="20">
        <v>0.0</v>
      </c>
      <c r="U1988" s="20">
        <v>0.0</v>
      </c>
    </row>
    <row r="1989" ht="23.25" customHeight="1">
      <c r="A1989" s="1" t="str">
        <f>IF(COUNTIF('Icon Lookup'!C:C,B1989)&gt;0,LOOKUP(B1989,'Icon Lookup'!C:C,'Icon Lookup'!B:B),"")</f>
        <v/>
      </c>
      <c r="B1989" s="15" t="s">
        <v>2414</v>
      </c>
      <c r="C1989" s="1" t="s">
        <v>17</v>
      </c>
      <c r="D1989" s="1" t="s">
        <v>1044</v>
      </c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</row>
    <row r="1990" ht="23.25" customHeight="1">
      <c r="A1990" s="17" t="str">
        <f>IF(COUNTIF('Icon Lookup'!C:C,B1990)&gt;0,LOOKUP(B1990,'Icon Lookup'!C:C,'Icon Lookup'!B:B),"")</f>
        <v/>
      </c>
      <c r="B1990" s="18" t="s">
        <v>37</v>
      </c>
      <c r="C1990" s="17" t="s">
        <v>17</v>
      </c>
      <c r="D1990" s="17">
        <v>28.0</v>
      </c>
      <c r="E1990" s="17" t="s">
        <v>38</v>
      </c>
      <c r="G1990" s="19"/>
      <c r="H1990" s="20" t="s">
        <v>2415</v>
      </c>
      <c r="I1990" s="17" t="s">
        <v>1045</v>
      </c>
      <c r="J1990" s="17">
        <v>0.0</v>
      </c>
      <c r="K1990" s="17">
        <v>0.0</v>
      </c>
      <c r="L1990" s="17">
        <v>0.0</v>
      </c>
      <c r="M1990" s="17">
        <v>0.0</v>
      </c>
      <c r="N1990" s="17">
        <v>0.0</v>
      </c>
      <c r="O1990" s="17">
        <v>0.0</v>
      </c>
      <c r="P1990" s="17">
        <v>0.0</v>
      </c>
      <c r="Q1990" s="17">
        <v>0.0</v>
      </c>
      <c r="R1990" s="17">
        <v>0.0</v>
      </c>
      <c r="S1990" s="17">
        <v>0.0</v>
      </c>
      <c r="T1990" s="17">
        <v>0.0</v>
      </c>
      <c r="U1990" s="17">
        <v>0.0</v>
      </c>
    </row>
    <row r="1991" ht="23.25" customHeight="1">
      <c r="A1991" s="20" t="str">
        <f>IF(COUNTIF('Icon Lookup'!C:C,B1991)&gt;0,LOOKUP(B1991,'Icon Lookup'!C:C,'Icon Lookup'!B:B),"")</f>
        <v/>
      </c>
      <c r="B1991" s="21" t="s">
        <v>1017</v>
      </c>
      <c r="C1991" s="20" t="s">
        <v>17</v>
      </c>
      <c r="D1991" s="20">
        <v>28.0</v>
      </c>
      <c r="E1991" s="20" t="s">
        <v>1018</v>
      </c>
      <c r="G1991" s="22"/>
      <c r="H1991" s="23" t="s">
        <v>2416</v>
      </c>
      <c r="I1991" s="20" t="s">
        <v>197</v>
      </c>
      <c r="J1991" s="20">
        <v>0.0</v>
      </c>
      <c r="K1991" s="20">
        <v>0.0</v>
      </c>
      <c r="L1991" s="20">
        <v>0.0</v>
      </c>
      <c r="M1991" s="20">
        <v>0.0</v>
      </c>
      <c r="N1991" s="20">
        <v>0.0</v>
      </c>
      <c r="O1991" s="20">
        <v>0.0</v>
      </c>
      <c r="P1991" s="20">
        <v>0.0</v>
      </c>
      <c r="Q1991" s="20">
        <v>0.0</v>
      </c>
      <c r="R1991" s="20">
        <v>0.0</v>
      </c>
      <c r="S1991" s="20">
        <v>0.0</v>
      </c>
      <c r="T1991" s="20">
        <v>0.0</v>
      </c>
      <c r="U1991" s="20">
        <v>0.0</v>
      </c>
    </row>
    <row r="1992" ht="23.25" customHeight="1">
      <c r="A1992" s="17" t="str">
        <f>IF(COUNTIF('Icon Lookup'!C:C,B1992)&gt;0,LOOKUP(B1992,'Icon Lookup'!C:C,'Icon Lookup'!B:B),"")</f>
        <v/>
      </c>
      <c r="B1992" s="18" t="s">
        <v>288</v>
      </c>
      <c r="C1992" s="17" t="s">
        <v>17</v>
      </c>
      <c r="D1992" s="17">
        <v>28.0</v>
      </c>
      <c r="E1992" s="17" t="s">
        <v>289</v>
      </c>
      <c r="G1992" s="19"/>
      <c r="H1992" s="20" t="s">
        <v>2417</v>
      </c>
      <c r="I1992" s="17" t="s">
        <v>73</v>
      </c>
      <c r="J1992" s="17">
        <v>0.0</v>
      </c>
      <c r="K1992" s="17">
        <v>0.0</v>
      </c>
      <c r="L1992" s="17">
        <v>0.0</v>
      </c>
      <c r="M1992" s="17">
        <v>0.0</v>
      </c>
      <c r="N1992" s="17">
        <v>0.0</v>
      </c>
      <c r="O1992" s="17">
        <v>0.0</v>
      </c>
      <c r="P1992" s="17">
        <v>0.0</v>
      </c>
      <c r="Q1992" s="17">
        <v>0.0</v>
      </c>
      <c r="R1992" s="17">
        <v>0.0</v>
      </c>
      <c r="S1992" s="17">
        <v>0.0</v>
      </c>
      <c r="T1992" s="17">
        <v>0.0</v>
      </c>
      <c r="U1992" s="17">
        <v>0.0</v>
      </c>
    </row>
    <row r="1993" ht="23.25" customHeight="1">
      <c r="A1993" s="1" t="str">
        <f>IF(COUNTIF('Icon Lookup'!C:C,B1993)&gt;0,LOOKUP(B1993,'Icon Lookup'!C:C,'Icon Lookup'!B:B),"")</f>
        <v/>
      </c>
      <c r="B1993" s="15" t="s">
        <v>2418</v>
      </c>
      <c r="C1993" s="1" t="s">
        <v>17</v>
      </c>
      <c r="D1993" s="1" t="s">
        <v>1044</v>
      </c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</row>
    <row r="1994" ht="23.25" customHeight="1">
      <c r="A1994" s="20" t="str">
        <f>IF(COUNTIF('Icon Lookup'!C:C,B1994)&gt;0,LOOKUP(B1994,'Icon Lookup'!C:C,'Icon Lookup'!B:B),"")</f>
        <v/>
      </c>
      <c r="B1994" s="21" t="s">
        <v>37</v>
      </c>
      <c r="C1994" s="20" t="s">
        <v>17</v>
      </c>
      <c r="D1994" s="20">
        <v>31.0</v>
      </c>
      <c r="E1994" s="20" t="s">
        <v>38</v>
      </c>
      <c r="G1994" s="22"/>
      <c r="H1994" s="23" t="s">
        <v>536</v>
      </c>
      <c r="I1994" s="20" t="s">
        <v>1045</v>
      </c>
      <c r="J1994" s="20">
        <v>0.0</v>
      </c>
      <c r="K1994" s="20">
        <v>0.0</v>
      </c>
      <c r="L1994" s="20">
        <v>0.0</v>
      </c>
      <c r="M1994" s="20">
        <v>0.0</v>
      </c>
      <c r="N1994" s="20">
        <v>0.0</v>
      </c>
      <c r="O1994" s="20">
        <v>0.0</v>
      </c>
      <c r="P1994" s="20">
        <v>0.0</v>
      </c>
      <c r="Q1994" s="20">
        <v>0.0</v>
      </c>
      <c r="R1994" s="20">
        <v>0.0</v>
      </c>
      <c r="S1994" s="20">
        <v>0.0</v>
      </c>
      <c r="T1994" s="20">
        <v>0.0</v>
      </c>
      <c r="U1994" s="20">
        <v>0.0</v>
      </c>
    </row>
    <row r="1995" ht="23.25" customHeight="1">
      <c r="A1995" s="17" t="str">
        <f>IF(COUNTIF('Icon Lookup'!C:C,B1995)&gt;0,LOOKUP(B1995,'Icon Lookup'!C:C,'Icon Lookup'!B:B),"")</f>
        <v/>
      </c>
      <c r="B1995" s="18" t="s">
        <v>37</v>
      </c>
      <c r="C1995" s="17" t="s">
        <v>17</v>
      </c>
      <c r="D1995" s="17">
        <v>31.0</v>
      </c>
      <c r="E1995" s="17" t="s">
        <v>38</v>
      </c>
      <c r="G1995" s="19"/>
      <c r="H1995" s="20" t="s">
        <v>1429</v>
      </c>
      <c r="I1995" s="17" t="s">
        <v>197</v>
      </c>
      <c r="J1995" s="17">
        <v>0.0</v>
      </c>
      <c r="K1995" s="17">
        <v>0.0</v>
      </c>
      <c r="L1995" s="17">
        <v>0.0</v>
      </c>
      <c r="M1995" s="17">
        <v>0.0</v>
      </c>
      <c r="N1995" s="17">
        <v>0.0</v>
      </c>
      <c r="O1995" s="17">
        <v>0.0</v>
      </c>
      <c r="P1995" s="17">
        <v>0.0</v>
      </c>
      <c r="Q1995" s="17">
        <v>0.0</v>
      </c>
      <c r="R1995" s="17">
        <v>0.0</v>
      </c>
      <c r="S1995" s="17">
        <v>0.0</v>
      </c>
      <c r="T1995" s="17">
        <v>0.0</v>
      </c>
      <c r="U1995" s="17">
        <v>0.0</v>
      </c>
    </row>
    <row r="1996" ht="23.25" customHeight="1">
      <c r="A1996" s="20" t="str">
        <f>IF(COUNTIF('Icon Lookup'!C:C,B1996)&gt;0,LOOKUP(B1996,'Icon Lookup'!C:C,'Icon Lookup'!B:B),"")</f>
        <v/>
      </c>
      <c r="B1996" s="21" t="s">
        <v>174</v>
      </c>
      <c r="C1996" s="20" t="s">
        <v>17</v>
      </c>
      <c r="D1996" s="20">
        <v>34.0</v>
      </c>
      <c r="E1996" s="20" t="s">
        <v>38</v>
      </c>
      <c r="G1996" s="22"/>
      <c r="H1996" s="23" t="s">
        <v>542</v>
      </c>
      <c r="I1996" s="20" t="s">
        <v>73</v>
      </c>
      <c r="J1996" s="20">
        <v>0.0</v>
      </c>
      <c r="K1996" s="20">
        <v>0.0</v>
      </c>
      <c r="L1996" s="20">
        <v>0.0</v>
      </c>
      <c r="M1996" s="20">
        <v>0.0</v>
      </c>
      <c r="N1996" s="20">
        <v>0.0</v>
      </c>
      <c r="O1996" s="20">
        <v>0.0</v>
      </c>
      <c r="P1996" s="20">
        <v>0.0</v>
      </c>
      <c r="Q1996" s="20">
        <v>0.0</v>
      </c>
      <c r="R1996" s="20">
        <v>0.0</v>
      </c>
      <c r="S1996" s="20">
        <v>0.0</v>
      </c>
      <c r="T1996" s="20">
        <v>0.0</v>
      </c>
      <c r="U1996" s="20">
        <v>0.0</v>
      </c>
    </row>
    <row r="1997" ht="23.25" customHeight="1">
      <c r="A1997" s="1" t="str">
        <f>IF(COUNTIF('Icon Lookup'!C:C,B1997)&gt;0,LOOKUP(B1997,'Icon Lookup'!C:C,'Icon Lookup'!B:B),"")</f>
        <v/>
      </c>
      <c r="B1997" s="15" t="s">
        <v>2419</v>
      </c>
      <c r="C1997" s="1" t="s">
        <v>17</v>
      </c>
      <c r="D1997" s="1" t="s">
        <v>1044</v>
      </c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</row>
    <row r="1998" ht="23.25" customHeight="1">
      <c r="A1998" s="17" t="str">
        <f>IF(COUNTIF('Icon Lookup'!C:C,B1998)&gt;0,LOOKUP(B1998,'Icon Lookup'!C:C,'Icon Lookup'!B:B),"")</f>
        <v/>
      </c>
      <c r="B1998" s="18" t="s">
        <v>1003</v>
      </c>
      <c r="C1998" s="17" t="s">
        <v>17</v>
      </c>
      <c r="D1998" s="17">
        <v>32.0</v>
      </c>
      <c r="E1998" s="17" t="s">
        <v>1022</v>
      </c>
      <c r="G1998" s="19"/>
      <c r="H1998" s="20" t="s">
        <v>1410</v>
      </c>
      <c r="I1998" s="17" t="s">
        <v>94</v>
      </c>
      <c r="J1998" s="17">
        <v>0.0</v>
      </c>
      <c r="K1998" s="17">
        <v>0.0</v>
      </c>
      <c r="L1998" s="17">
        <v>0.0</v>
      </c>
      <c r="M1998" s="17">
        <v>0.0</v>
      </c>
      <c r="N1998" s="17">
        <v>0.0</v>
      </c>
      <c r="O1998" s="17">
        <v>0.0</v>
      </c>
      <c r="P1998" s="17">
        <v>0.0</v>
      </c>
      <c r="Q1998" s="17">
        <v>0.0</v>
      </c>
      <c r="R1998" s="17">
        <v>0.0</v>
      </c>
      <c r="S1998" s="17">
        <v>0.0</v>
      </c>
      <c r="T1998" s="17">
        <v>0.0</v>
      </c>
      <c r="U1998" s="17">
        <v>0.0</v>
      </c>
    </row>
    <row r="1999" ht="23.25" customHeight="1">
      <c r="A1999" s="20" t="str">
        <f>IF(COUNTIF('Icon Lookup'!C:C,B1999)&gt;0,LOOKUP(B1999,'Icon Lookup'!C:C,'Icon Lookup'!B:B),"")</f>
        <v/>
      </c>
      <c r="B1999" s="21" t="s">
        <v>1017</v>
      </c>
      <c r="C1999" s="20" t="s">
        <v>17</v>
      </c>
      <c r="D1999" s="20">
        <v>32.0</v>
      </c>
      <c r="E1999" s="20" t="s">
        <v>1126</v>
      </c>
      <c r="G1999" s="22"/>
      <c r="H1999" s="23" t="s">
        <v>2420</v>
      </c>
      <c r="I1999" s="20" t="s">
        <v>1045</v>
      </c>
      <c r="J1999" s="20">
        <v>0.0</v>
      </c>
      <c r="K1999" s="20">
        <v>0.0</v>
      </c>
      <c r="L1999" s="20">
        <v>0.0</v>
      </c>
      <c r="M1999" s="20">
        <v>0.0</v>
      </c>
      <c r="N1999" s="20">
        <v>0.0</v>
      </c>
      <c r="O1999" s="20">
        <v>0.0</v>
      </c>
      <c r="P1999" s="20">
        <v>0.0</v>
      </c>
      <c r="Q1999" s="20">
        <v>0.0</v>
      </c>
      <c r="R1999" s="20">
        <v>0.0</v>
      </c>
      <c r="S1999" s="20">
        <v>0.0</v>
      </c>
      <c r="T1999" s="20">
        <v>0.0</v>
      </c>
      <c r="U1999" s="20">
        <v>0.0</v>
      </c>
    </row>
    <row r="2000" ht="23.25" customHeight="1">
      <c r="A2000" s="17" t="str">
        <f>IF(COUNTIF('Icon Lookup'!C:C,B2000)&gt;0,LOOKUP(B2000,'Icon Lookup'!C:C,'Icon Lookup'!B:B),"")</f>
        <v/>
      </c>
      <c r="B2000" s="18" t="s">
        <v>288</v>
      </c>
      <c r="C2000" s="17" t="s">
        <v>17</v>
      </c>
      <c r="D2000" s="17">
        <v>32.0</v>
      </c>
      <c r="E2000" s="17" t="s">
        <v>289</v>
      </c>
      <c r="G2000" s="19"/>
      <c r="H2000" s="20" t="s">
        <v>2421</v>
      </c>
      <c r="I2000" s="17" t="s">
        <v>36</v>
      </c>
      <c r="J2000" s="17">
        <v>0.0</v>
      </c>
      <c r="K2000" s="17">
        <v>0.0</v>
      </c>
      <c r="L2000" s="17">
        <v>0.0</v>
      </c>
      <c r="M2000" s="17">
        <v>0.0</v>
      </c>
      <c r="N2000" s="17">
        <v>0.0</v>
      </c>
      <c r="O2000" s="17">
        <v>0.0</v>
      </c>
      <c r="P2000" s="17">
        <v>0.0</v>
      </c>
      <c r="Q2000" s="17">
        <v>0.0</v>
      </c>
      <c r="R2000" s="17">
        <v>0.0</v>
      </c>
      <c r="S2000" s="17">
        <v>0.0</v>
      </c>
      <c r="T2000" s="17">
        <v>0.0</v>
      </c>
      <c r="U2000" s="17">
        <v>0.0</v>
      </c>
    </row>
    <row r="2001" ht="23.25" customHeight="1">
      <c r="A2001" s="1" t="str">
        <f>IF(COUNTIF('Icon Lookup'!C:C,B2001)&gt;0,LOOKUP(B2001,'Icon Lookup'!C:C,'Icon Lookup'!B:B),"")</f>
        <v/>
      </c>
      <c r="B2001" s="15" t="s">
        <v>2422</v>
      </c>
      <c r="C2001" s="1" t="s">
        <v>17</v>
      </c>
      <c r="D2001" s="1" t="s">
        <v>807</v>
      </c>
      <c r="G2001" s="16"/>
      <c r="H2001" s="26" t="s">
        <v>808</v>
      </c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</row>
    <row r="2002" ht="23.25" customHeight="1">
      <c r="A2002" s="20" t="str">
        <f>IF(COUNTIF('Icon Lookup'!C:C,B2002)&gt;0,LOOKUP(B2002,'Icon Lookup'!C:C,'Icon Lookup'!B:B),"")</f>
        <v/>
      </c>
      <c r="B2002" s="21" t="s">
        <v>741</v>
      </c>
      <c r="C2002" s="20" t="s">
        <v>17</v>
      </c>
      <c r="D2002" s="20">
        <v>58.0</v>
      </c>
      <c r="E2002" s="20" t="str">
        <f>IMAGE("https://www.serebii.net/itemdex/sprites/focussash.png")</f>
        <v/>
      </c>
      <c r="F2002" s="20" t="s">
        <v>26</v>
      </c>
      <c r="G2002" s="20" t="s">
        <v>881</v>
      </c>
      <c r="H2002" s="23" t="s">
        <v>1516</v>
      </c>
      <c r="I2002" s="20" t="s">
        <v>22</v>
      </c>
      <c r="J2002" s="20">
        <v>60.0</v>
      </c>
      <c r="K2002" s="20">
        <v>132.0</v>
      </c>
      <c r="L2002" s="20">
        <v>36.0</v>
      </c>
      <c r="M2002" s="20">
        <v>0.0</v>
      </c>
      <c r="N2002" s="20">
        <v>36.0</v>
      </c>
      <c r="O2002" s="20">
        <v>244.0</v>
      </c>
      <c r="P2002" s="20">
        <v>5.0</v>
      </c>
      <c r="Q2002" s="20">
        <v>5.0</v>
      </c>
      <c r="R2002" s="20">
        <v>5.0</v>
      </c>
      <c r="S2002" s="20">
        <v>5.0</v>
      </c>
      <c r="T2002" s="20">
        <v>5.0</v>
      </c>
      <c r="U2002" s="20">
        <v>5.0</v>
      </c>
    </row>
    <row r="2003" ht="23.25" customHeight="1">
      <c r="A2003" s="17" t="str">
        <f>IF(COUNTIF('Icon Lookup'!C:C,B2003)&gt;0,LOOKUP(B2003,'Icon Lookup'!C:C,'Icon Lookup'!B:B),"")</f>
        <v/>
      </c>
      <c r="B2003" s="18" t="s">
        <v>921</v>
      </c>
      <c r="C2003" s="17" t="s">
        <v>17</v>
      </c>
      <c r="D2003" s="17">
        <v>59.0</v>
      </c>
      <c r="E2003" s="17" t="str">
        <f>IMAGE("https://www.serebii.net/itemdex/sprites/quickclaw.png")</f>
        <v/>
      </c>
      <c r="F2003" s="17" t="s">
        <v>44</v>
      </c>
      <c r="G2003" s="17" t="s">
        <v>1371</v>
      </c>
      <c r="H2003" s="20" t="s">
        <v>2423</v>
      </c>
      <c r="I2003" s="17" t="s">
        <v>22</v>
      </c>
      <c r="J2003" s="17">
        <v>40.0</v>
      </c>
      <c r="K2003" s="17">
        <v>136.0</v>
      </c>
      <c r="L2003" s="17">
        <v>40.0</v>
      </c>
      <c r="M2003" s="17">
        <v>0.0</v>
      </c>
      <c r="N2003" s="17">
        <v>40.0</v>
      </c>
      <c r="O2003" s="17">
        <v>248.0</v>
      </c>
      <c r="P2003" s="17">
        <v>6.0</v>
      </c>
      <c r="Q2003" s="17">
        <v>6.0</v>
      </c>
      <c r="R2003" s="17">
        <v>6.0</v>
      </c>
      <c r="S2003" s="17">
        <v>6.0</v>
      </c>
      <c r="T2003" s="17">
        <v>6.0</v>
      </c>
      <c r="U2003" s="17">
        <v>6.0</v>
      </c>
    </row>
    <row r="2004" ht="23.25" customHeight="1">
      <c r="A2004" s="20" t="str">
        <f>IF(COUNTIF('Icon Lookup'!C:C,B2004)&gt;0,LOOKUP(B2004,'Icon Lookup'!C:C,'Icon Lookup'!B:B),"")</f>
        <v/>
      </c>
      <c r="B2004" s="21" t="s">
        <v>851</v>
      </c>
      <c r="C2004" s="20" t="s">
        <v>17</v>
      </c>
      <c r="D2004" s="20">
        <v>60.0</v>
      </c>
      <c r="E2004" s="20" t="s">
        <v>1413</v>
      </c>
      <c r="G2004" s="22"/>
      <c r="H2004" s="23" t="s">
        <v>2424</v>
      </c>
      <c r="I2004" s="20" t="s">
        <v>22</v>
      </c>
      <c r="J2004" s="20">
        <v>44.0</v>
      </c>
      <c r="K2004" s="20">
        <v>124.0</v>
      </c>
      <c r="L2004" s="20">
        <v>44.0</v>
      </c>
      <c r="M2004" s="20">
        <v>0.0</v>
      </c>
      <c r="N2004" s="20">
        <v>44.0</v>
      </c>
      <c r="O2004" s="20">
        <v>252.0</v>
      </c>
      <c r="P2004" s="20">
        <v>9.0</v>
      </c>
      <c r="Q2004" s="20">
        <v>9.0</v>
      </c>
      <c r="R2004" s="20">
        <v>9.0</v>
      </c>
      <c r="S2004" s="20">
        <v>9.0</v>
      </c>
      <c r="T2004" s="20">
        <v>9.0</v>
      </c>
      <c r="U2004" s="20">
        <v>9.0</v>
      </c>
    </row>
    <row r="2005" ht="23.25" customHeight="1">
      <c r="A2005" s="17" t="str">
        <f>IF(COUNTIF('Icon Lookup'!C:C,B2005)&gt;0,LOOKUP(B2005,'Icon Lookup'!C:C,'Icon Lookup'!B:B),"")</f>
        <v/>
      </c>
      <c r="B2005" s="18" t="s">
        <v>710</v>
      </c>
      <c r="C2005" s="17" t="s">
        <v>17</v>
      </c>
      <c r="D2005" s="17">
        <v>59.0</v>
      </c>
      <c r="E2005" s="17" t="str">
        <f>IMAGE("https://www.serebii.net/itemdex/sprites/expertbelt.png")</f>
        <v/>
      </c>
      <c r="F2005" s="17" t="s">
        <v>79</v>
      </c>
      <c r="G2005" s="17" t="s">
        <v>907</v>
      </c>
      <c r="H2005" s="20" t="s">
        <v>1519</v>
      </c>
      <c r="I2005" s="17" t="s">
        <v>22</v>
      </c>
      <c r="J2005" s="17">
        <v>60.0</v>
      </c>
      <c r="K2005" s="17">
        <v>132.0</v>
      </c>
      <c r="L2005" s="17">
        <v>52.0</v>
      </c>
      <c r="M2005" s="17">
        <v>0.0</v>
      </c>
      <c r="N2005" s="17">
        <v>52.0</v>
      </c>
      <c r="O2005" s="17">
        <v>212.0</v>
      </c>
      <c r="P2005" s="17">
        <v>7.0</v>
      </c>
      <c r="Q2005" s="17">
        <v>7.0</v>
      </c>
      <c r="R2005" s="17">
        <v>7.0</v>
      </c>
      <c r="S2005" s="17">
        <v>7.0</v>
      </c>
      <c r="T2005" s="17">
        <v>7.0</v>
      </c>
      <c r="U2005" s="17">
        <v>7.0</v>
      </c>
    </row>
    <row r="2006" ht="23.25" customHeight="1">
      <c r="A2006" s="20" t="str">
        <f>IF(COUNTIF('Icon Lookup'!C:C,B2006)&gt;0,LOOKUP(B2006,'Icon Lookup'!C:C,'Icon Lookup'!B:B),"")</f>
        <v/>
      </c>
      <c r="B2006" s="21" t="s">
        <v>1520</v>
      </c>
      <c r="C2006" s="20" t="s">
        <v>17</v>
      </c>
      <c r="D2006" s="20">
        <v>60.0</v>
      </c>
      <c r="E2006" s="20" t="s">
        <v>382</v>
      </c>
      <c r="G2006" s="22"/>
      <c r="H2006" s="23" t="s">
        <v>1521</v>
      </c>
      <c r="I2006" s="20" t="s">
        <v>550</v>
      </c>
      <c r="J2006" s="20">
        <v>100.0</v>
      </c>
      <c r="K2006" s="20">
        <v>156.0</v>
      </c>
      <c r="L2006" s="20">
        <v>160.0</v>
      </c>
      <c r="M2006" s="20">
        <v>0.0</v>
      </c>
      <c r="N2006" s="20">
        <v>92.0</v>
      </c>
      <c r="O2006" s="20">
        <v>0.0</v>
      </c>
      <c r="P2006" s="20">
        <v>9.0</v>
      </c>
      <c r="Q2006" s="20">
        <v>9.0</v>
      </c>
      <c r="R2006" s="20">
        <v>9.0</v>
      </c>
      <c r="S2006" s="20">
        <v>9.0</v>
      </c>
      <c r="T2006" s="20">
        <v>9.0</v>
      </c>
      <c r="U2006" s="20">
        <v>9.0</v>
      </c>
    </row>
    <row r="2007" ht="23.25" customHeight="1">
      <c r="A2007" s="24" t="str">
        <f>IF(COUNTIF('Icon Lookup'!C:C,B2007)&gt;0,LOOKUP(B2007,'Icon Lookup'!C:C,'Icon Lookup'!B:B),"")</f>
        <v/>
      </c>
      <c r="B2007" s="25" t="s">
        <v>730</v>
      </c>
      <c r="C2007" s="24" t="s">
        <v>804</v>
      </c>
      <c r="D2007" s="24">
        <v>64.0</v>
      </c>
      <c r="E2007" s="24" t="str">
        <f>IMAGE("https://www.serebii.net/itemdex/sprites/leftovers.png")</f>
        <v/>
      </c>
      <c r="F2007" s="24" t="s">
        <v>267</v>
      </c>
      <c r="G2007" s="17" t="s">
        <v>859</v>
      </c>
      <c r="H2007" s="20" t="s">
        <v>1522</v>
      </c>
      <c r="I2007" s="24" t="s">
        <v>265</v>
      </c>
      <c r="J2007" s="24">
        <v>164.0</v>
      </c>
      <c r="K2007" s="24">
        <v>116.0</v>
      </c>
      <c r="L2007" s="24">
        <v>52.0</v>
      </c>
      <c r="M2007" s="24">
        <v>52.0</v>
      </c>
      <c r="N2007" s="24">
        <v>124.0</v>
      </c>
      <c r="O2007" s="24">
        <v>0.0</v>
      </c>
      <c r="P2007" s="24">
        <v>11.0</v>
      </c>
      <c r="Q2007" s="24">
        <v>11.0</v>
      </c>
      <c r="R2007" s="24">
        <v>11.0</v>
      </c>
      <c r="S2007" s="24">
        <v>11.0</v>
      </c>
      <c r="T2007" s="24">
        <v>11.0</v>
      </c>
      <c r="U2007" s="24">
        <v>11.0</v>
      </c>
    </row>
    <row r="2008" ht="23.25" customHeight="1">
      <c r="A2008" s="1" t="str">
        <f>IF(COUNTIF('Icon Lookup'!C:C,B2008)&gt;0,LOOKUP(B2008,'Icon Lookup'!C:C,'Icon Lookup'!B:B),"")</f>
        <v/>
      </c>
      <c r="B2008" s="15" t="s">
        <v>2425</v>
      </c>
      <c r="C2008" s="1" t="s">
        <v>17</v>
      </c>
      <c r="D2008" s="1" t="s">
        <v>807</v>
      </c>
      <c r="G2008" s="16"/>
      <c r="H2008" s="26" t="s">
        <v>808</v>
      </c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</row>
    <row r="2009" ht="23.25" customHeight="1">
      <c r="A2009" s="20" t="str">
        <f>IF(COUNTIF('Icon Lookup'!C:C,B2009)&gt;0,LOOKUP(B2009,'Icon Lookup'!C:C,'Icon Lookup'!B:B),"")</f>
        <v/>
      </c>
      <c r="B2009" s="21" t="s">
        <v>741</v>
      </c>
      <c r="C2009" s="20" t="s">
        <v>17</v>
      </c>
      <c r="D2009" s="20">
        <v>58.0</v>
      </c>
      <c r="E2009" s="20" t="str">
        <f>IMAGE("https://www.serebii.net/itemdex/sprites/focussash.png")</f>
        <v/>
      </c>
      <c r="F2009" s="20" t="s">
        <v>26</v>
      </c>
      <c r="G2009" s="20" t="s">
        <v>881</v>
      </c>
      <c r="H2009" s="23" t="s">
        <v>1524</v>
      </c>
      <c r="I2009" s="20" t="s">
        <v>22</v>
      </c>
      <c r="J2009" s="20">
        <v>60.0</v>
      </c>
      <c r="K2009" s="20">
        <v>132.0</v>
      </c>
      <c r="L2009" s="20">
        <v>36.0</v>
      </c>
      <c r="M2009" s="20">
        <v>0.0</v>
      </c>
      <c r="N2009" s="20">
        <v>36.0</v>
      </c>
      <c r="O2009" s="20">
        <v>244.0</v>
      </c>
      <c r="P2009" s="20">
        <v>5.0</v>
      </c>
      <c r="Q2009" s="20">
        <v>5.0</v>
      </c>
      <c r="R2009" s="20">
        <v>5.0</v>
      </c>
      <c r="S2009" s="20">
        <v>5.0</v>
      </c>
      <c r="T2009" s="20">
        <v>5.0</v>
      </c>
      <c r="U2009" s="20">
        <v>5.0</v>
      </c>
    </row>
    <row r="2010" ht="23.25" customHeight="1">
      <c r="A2010" s="17" t="str">
        <f>IF(COUNTIF('Icon Lookup'!C:C,B2010)&gt;0,LOOKUP(B2010,'Icon Lookup'!C:C,'Icon Lookup'!B:B),"")</f>
        <v/>
      </c>
      <c r="B2010" s="18" t="s">
        <v>921</v>
      </c>
      <c r="C2010" s="17" t="s">
        <v>17</v>
      </c>
      <c r="D2010" s="17">
        <v>59.0</v>
      </c>
      <c r="E2010" s="17" t="str">
        <f>IMAGE("https://www.serebii.net/itemdex/sprites/quickclaw.png")</f>
        <v/>
      </c>
      <c r="F2010" s="17" t="s">
        <v>44</v>
      </c>
      <c r="G2010" s="17" t="s">
        <v>1371</v>
      </c>
      <c r="H2010" s="20" t="s">
        <v>2423</v>
      </c>
      <c r="I2010" s="17" t="s">
        <v>22</v>
      </c>
      <c r="J2010" s="17">
        <v>40.0</v>
      </c>
      <c r="K2010" s="17">
        <v>136.0</v>
      </c>
      <c r="L2010" s="17">
        <v>40.0</v>
      </c>
      <c r="M2010" s="17">
        <v>0.0</v>
      </c>
      <c r="N2010" s="17">
        <v>40.0</v>
      </c>
      <c r="O2010" s="17">
        <v>248.0</v>
      </c>
      <c r="P2010" s="17">
        <v>6.0</v>
      </c>
      <c r="Q2010" s="17">
        <v>6.0</v>
      </c>
      <c r="R2010" s="17">
        <v>6.0</v>
      </c>
      <c r="S2010" s="17">
        <v>6.0</v>
      </c>
      <c r="T2010" s="17">
        <v>6.0</v>
      </c>
      <c r="U2010" s="17">
        <v>6.0</v>
      </c>
    </row>
    <row r="2011" ht="23.25" customHeight="1">
      <c r="A2011" s="20" t="str">
        <f>IF(COUNTIF('Icon Lookup'!C:C,B2011)&gt;0,LOOKUP(B2011,'Icon Lookup'!C:C,'Icon Lookup'!B:B),"")</f>
        <v/>
      </c>
      <c r="B2011" s="21" t="s">
        <v>851</v>
      </c>
      <c r="C2011" s="20" t="s">
        <v>17</v>
      </c>
      <c r="D2011" s="20">
        <v>60.0</v>
      </c>
      <c r="E2011" s="20" t="s">
        <v>1413</v>
      </c>
      <c r="G2011" s="22"/>
      <c r="H2011" s="23" t="s">
        <v>2424</v>
      </c>
      <c r="I2011" s="20" t="s">
        <v>22</v>
      </c>
      <c r="J2011" s="20">
        <v>44.0</v>
      </c>
      <c r="K2011" s="20">
        <v>124.0</v>
      </c>
      <c r="L2011" s="20">
        <v>44.0</v>
      </c>
      <c r="M2011" s="20">
        <v>0.0</v>
      </c>
      <c r="N2011" s="20">
        <v>44.0</v>
      </c>
      <c r="O2011" s="20">
        <v>252.0</v>
      </c>
      <c r="P2011" s="20">
        <v>9.0</v>
      </c>
      <c r="Q2011" s="20">
        <v>9.0</v>
      </c>
      <c r="R2011" s="20">
        <v>9.0</v>
      </c>
      <c r="S2011" s="20">
        <v>9.0</v>
      </c>
      <c r="T2011" s="20">
        <v>9.0</v>
      </c>
      <c r="U2011" s="20">
        <v>9.0</v>
      </c>
    </row>
    <row r="2012" ht="23.25" customHeight="1">
      <c r="A2012" s="17" t="str">
        <f>IF(COUNTIF('Icon Lookup'!C:C,B2012)&gt;0,LOOKUP(B2012,'Icon Lookup'!C:C,'Icon Lookup'!B:B),"")</f>
        <v/>
      </c>
      <c r="B2012" s="18" t="s">
        <v>906</v>
      </c>
      <c r="C2012" s="17" t="s">
        <v>17</v>
      </c>
      <c r="D2012" s="17">
        <v>59.0</v>
      </c>
      <c r="E2012" s="17" t="str">
        <f>IMAGE("https://www.serebii.net/itemdex/sprites/blacksludge.png")</f>
        <v/>
      </c>
      <c r="F2012" s="17" t="s">
        <v>50</v>
      </c>
      <c r="G2012" s="17" t="s">
        <v>844</v>
      </c>
      <c r="H2012" s="20" t="s">
        <v>2426</v>
      </c>
      <c r="I2012" s="17" t="s">
        <v>52</v>
      </c>
      <c r="J2012" s="17">
        <v>60.0</v>
      </c>
      <c r="K2012" s="17">
        <v>0.0</v>
      </c>
      <c r="L2012" s="17">
        <v>52.0</v>
      </c>
      <c r="M2012" s="17">
        <v>132.0</v>
      </c>
      <c r="N2012" s="17">
        <v>52.0</v>
      </c>
      <c r="O2012" s="17">
        <v>212.0</v>
      </c>
      <c r="P2012" s="17">
        <v>7.0</v>
      </c>
      <c r="Q2012" s="17">
        <v>7.0</v>
      </c>
      <c r="R2012" s="17">
        <v>7.0</v>
      </c>
      <c r="S2012" s="17">
        <v>7.0</v>
      </c>
      <c r="T2012" s="17">
        <v>7.0</v>
      </c>
      <c r="U2012" s="17">
        <v>7.0</v>
      </c>
    </row>
    <row r="2013" ht="23.25" customHeight="1">
      <c r="A2013" s="20" t="str">
        <f>IF(COUNTIF('Icon Lookup'!C:C,B2013)&gt;0,LOOKUP(B2013,'Icon Lookup'!C:C,'Icon Lookup'!B:B),"")</f>
        <v/>
      </c>
      <c r="B2013" s="21" t="s">
        <v>1520</v>
      </c>
      <c r="C2013" s="20" t="s">
        <v>17</v>
      </c>
      <c r="D2013" s="20">
        <v>60.0</v>
      </c>
      <c r="E2013" s="20" t="s">
        <v>382</v>
      </c>
      <c r="G2013" s="22"/>
      <c r="H2013" s="23" t="s">
        <v>1526</v>
      </c>
      <c r="I2013" s="20" t="s">
        <v>550</v>
      </c>
      <c r="J2013" s="20">
        <v>100.0</v>
      </c>
      <c r="K2013" s="20">
        <v>156.0</v>
      </c>
      <c r="L2013" s="20">
        <v>160.0</v>
      </c>
      <c r="M2013" s="20">
        <v>0.0</v>
      </c>
      <c r="N2013" s="20">
        <v>92.0</v>
      </c>
      <c r="O2013" s="20">
        <v>0.0</v>
      </c>
      <c r="P2013" s="20">
        <v>9.0</v>
      </c>
      <c r="Q2013" s="20">
        <v>9.0</v>
      </c>
      <c r="R2013" s="20">
        <v>9.0</v>
      </c>
      <c r="S2013" s="20">
        <v>9.0</v>
      </c>
      <c r="T2013" s="20">
        <v>9.0</v>
      </c>
      <c r="U2013" s="20">
        <v>9.0</v>
      </c>
    </row>
    <row r="2014" ht="23.25" customHeight="1">
      <c r="A2014" s="24" t="str">
        <f>IF(COUNTIF('Icon Lookup'!C:C,B2014)&gt;0,LOOKUP(B2014,'Icon Lookup'!C:C,'Icon Lookup'!B:B),"")</f>
        <v/>
      </c>
      <c r="B2014" s="25" t="s">
        <v>879</v>
      </c>
      <c r="C2014" s="24" t="s">
        <v>804</v>
      </c>
      <c r="D2014" s="24">
        <v>64.0</v>
      </c>
      <c r="E2014" s="24" t="str">
        <f>IMAGE("https://www.serebii.net/itemdex/sprites/expertbelt.png")</f>
        <v/>
      </c>
      <c r="F2014" s="24" t="s">
        <v>145</v>
      </c>
      <c r="G2014" s="17" t="s">
        <v>907</v>
      </c>
      <c r="H2014" s="20" t="s">
        <v>2427</v>
      </c>
      <c r="I2014" s="24" t="s">
        <v>22</v>
      </c>
      <c r="J2014" s="24">
        <v>52.0</v>
      </c>
      <c r="K2014" s="24">
        <v>0.0</v>
      </c>
      <c r="L2014" s="24">
        <v>52.0</v>
      </c>
      <c r="M2014" s="24">
        <v>188.0</v>
      </c>
      <c r="N2014" s="24">
        <v>52.0</v>
      </c>
      <c r="O2014" s="24">
        <v>164.0</v>
      </c>
      <c r="P2014" s="24">
        <v>11.0</v>
      </c>
      <c r="Q2014" s="24">
        <v>11.0</v>
      </c>
      <c r="R2014" s="24">
        <v>11.0</v>
      </c>
      <c r="S2014" s="24">
        <v>11.0</v>
      </c>
      <c r="T2014" s="24">
        <v>11.0</v>
      </c>
      <c r="U2014" s="24">
        <v>11.0</v>
      </c>
    </row>
    <row r="2015" ht="23.25" customHeight="1">
      <c r="A2015" s="1" t="str">
        <f>IF(COUNTIF('Icon Lookup'!C:C,B2015)&gt;0,LOOKUP(B2015,'Icon Lookup'!C:C,'Icon Lookup'!B:B),"")</f>
        <v/>
      </c>
      <c r="B2015" s="15" t="s">
        <v>2428</v>
      </c>
      <c r="C2015" s="1" t="s">
        <v>17</v>
      </c>
      <c r="D2015" s="1" t="s">
        <v>807</v>
      </c>
      <c r="G2015" s="16"/>
      <c r="H2015" s="26" t="s">
        <v>808</v>
      </c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</row>
    <row r="2016" ht="23.25" customHeight="1">
      <c r="A2016" s="20" t="str">
        <f>IF(COUNTIF('Icon Lookup'!C:C,B2016)&gt;0,LOOKUP(B2016,'Icon Lookup'!C:C,'Icon Lookup'!B:B),"")</f>
        <v/>
      </c>
      <c r="B2016" s="21" t="s">
        <v>741</v>
      </c>
      <c r="C2016" s="20" t="s">
        <v>17</v>
      </c>
      <c r="D2016" s="20">
        <v>58.0</v>
      </c>
      <c r="E2016" s="20" t="str">
        <f>IMAGE("https://www.serebii.net/itemdex/sprites/focussash.png")</f>
        <v/>
      </c>
      <c r="F2016" s="20" t="s">
        <v>26</v>
      </c>
      <c r="G2016" s="20" t="s">
        <v>881</v>
      </c>
      <c r="H2016" s="23" t="s">
        <v>1529</v>
      </c>
      <c r="I2016" s="20" t="s">
        <v>22</v>
      </c>
      <c r="J2016" s="20">
        <v>60.0</v>
      </c>
      <c r="K2016" s="20">
        <v>132.0</v>
      </c>
      <c r="L2016" s="20">
        <v>36.0</v>
      </c>
      <c r="M2016" s="20">
        <v>0.0</v>
      </c>
      <c r="N2016" s="20">
        <v>36.0</v>
      </c>
      <c r="O2016" s="20">
        <v>244.0</v>
      </c>
      <c r="P2016" s="20">
        <v>5.0</v>
      </c>
      <c r="Q2016" s="20">
        <v>5.0</v>
      </c>
      <c r="R2016" s="20">
        <v>5.0</v>
      </c>
      <c r="S2016" s="20">
        <v>5.0</v>
      </c>
      <c r="T2016" s="20">
        <v>5.0</v>
      </c>
      <c r="U2016" s="20">
        <v>5.0</v>
      </c>
    </row>
    <row r="2017" ht="23.25" customHeight="1">
      <c r="A2017" s="17" t="str">
        <f>IF(COUNTIF('Icon Lookup'!C:C,B2017)&gt;0,LOOKUP(B2017,'Icon Lookup'!C:C,'Icon Lookup'!B:B),"")</f>
        <v/>
      </c>
      <c r="B2017" s="18" t="s">
        <v>906</v>
      </c>
      <c r="C2017" s="17" t="s">
        <v>17</v>
      </c>
      <c r="D2017" s="17">
        <v>59.0</v>
      </c>
      <c r="E2017" s="17" t="str">
        <f>IMAGE("https://www.serebii.net/itemdex/sprites/blacksludge.png")</f>
        <v/>
      </c>
      <c r="F2017" s="17" t="s">
        <v>959</v>
      </c>
      <c r="G2017" s="17" t="s">
        <v>844</v>
      </c>
      <c r="H2017" s="20" t="s">
        <v>2429</v>
      </c>
      <c r="I2017" s="17" t="s">
        <v>52</v>
      </c>
      <c r="J2017" s="17">
        <v>40.0</v>
      </c>
      <c r="K2017" s="17">
        <v>0.0</v>
      </c>
      <c r="L2017" s="17">
        <v>40.0</v>
      </c>
      <c r="M2017" s="17">
        <v>136.0</v>
      </c>
      <c r="N2017" s="17">
        <v>40.0</v>
      </c>
      <c r="O2017" s="17">
        <v>248.0</v>
      </c>
      <c r="P2017" s="17">
        <v>6.0</v>
      </c>
      <c r="Q2017" s="17">
        <v>6.0</v>
      </c>
      <c r="R2017" s="17">
        <v>6.0</v>
      </c>
      <c r="S2017" s="17">
        <v>6.0</v>
      </c>
      <c r="T2017" s="17">
        <v>6.0</v>
      </c>
      <c r="U2017" s="17">
        <v>6.0</v>
      </c>
    </row>
    <row r="2018" ht="23.25" customHeight="1">
      <c r="A2018" s="20" t="str">
        <f>IF(COUNTIF('Icon Lookup'!C:C,B2018)&gt;0,LOOKUP(B2018,'Icon Lookup'!C:C,'Icon Lookup'!B:B),"")</f>
        <v/>
      </c>
      <c r="B2018" s="21" t="s">
        <v>851</v>
      </c>
      <c r="C2018" s="20" t="s">
        <v>17</v>
      </c>
      <c r="D2018" s="20">
        <v>60.0</v>
      </c>
      <c r="E2018" s="20" t="s">
        <v>1413</v>
      </c>
      <c r="G2018" s="22"/>
      <c r="H2018" s="23" t="s">
        <v>2424</v>
      </c>
      <c r="I2018" s="20" t="s">
        <v>22</v>
      </c>
      <c r="J2018" s="20">
        <v>44.0</v>
      </c>
      <c r="K2018" s="20">
        <v>124.0</v>
      </c>
      <c r="L2018" s="20">
        <v>44.0</v>
      </c>
      <c r="M2018" s="20">
        <v>0.0</v>
      </c>
      <c r="N2018" s="20">
        <v>44.0</v>
      </c>
      <c r="O2018" s="20">
        <v>252.0</v>
      </c>
      <c r="P2018" s="20">
        <v>9.0</v>
      </c>
      <c r="Q2018" s="20">
        <v>9.0</v>
      </c>
      <c r="R2018" s="20">
        <v>9.0</v>
      </c>
      <c r="S2018" s="20">
        <v>9.0</v>
      </c>
      <c r="T2018" s="20">
        <v>9.0</v>
      </c>
      <c r="U2018" s="20">
        <v>9.0</v>
      </c>
    </row>
    <row r="2019" ht="23.25" customHeight="1">
      <c r="A2019" s="17" t="str">
        <f>IF(COUNTIF('Icon Lookup'!C:C,B2019)&gt;0,LOOKUP(B2019,'Icon Lookup'!C:C,'Icon Lookup'!B:B),"")</f>
        <v/>
      </c>
      <c r="B2019" s="18" t="s">
        <v>710</v>
      </c>
      <c r="C2019" s="17" t="s">
        <v>17</v>
      </c>
      <c r="D2019" s="17">
        <v>59.0</v>
      </c>
      <c r="E2019" s="17" t="str">
        <f>IMAGE("https://www.serebii.net/itemdex/sprites/expertbelt.png")</f>
        <v/>
      </c>
      <c r="F2019" s="17" t="s">
        <v>79</v>
      </c>
      <c r="G2019" s="17" t="s">
        <v>907</v>
      </c>
      <c r="H2019" s="20" t="s">
        <v>1519</v>
      </c>
      <c r="I2019" s="17" t="s">
        <v>22</v>
      </c>
      <c r="J2019" s="17">
        <v>60.0</v>
      </c>
      <c r="K2019" s="17">
        <v>132.0</v>
      </c>
      <c r="L2019" s="17">
        <v>52.0</v>
      </c>
      <c r="M2019" s="17">
        <v>0.0</v>
      </c>
      <c r="N2019" s="17">
        <v>52.0</v>
      </c>
      <c r="O2019" s="17">
        <v>212.0</v>
      </c>
      <c r="P2019" s="17">
        <v>7.0</v>
      </c>
      <c r="Q2019" s="17">
        <v>7.0</v>
      </c>
      <c r="R2019" s="17">
        <v>7.0</v>
      </c>
      <c r="S2019" s="17">
        <v>7.0</v>
      </c>
      <c r="T2019" s="17">
        <v>7.0</v>
      </c>
      <c r="U2019" s="17">
        <v>7.0</v>
      </c>
    </row>
    <row r="2020" ht="23.25" customHeight="1">
      <c r="A2020" s="20" t="str">
        <f>IF(COUNTIF('Icon Lookup'!C:C,B2020)&gt;0,LOOKUP(B2020,'Icon Lookup'!C:C,'Icon Lookup'!B:B),"")</f>
        <v/>
      </c>
      <c r="B2020" s="21" t="s">
        <v>1520</v>
      </c>
      <c r="C2020" s="20" t="s">
        <v>17</v>
      </c>
      <c r="D2020" s="20">
        <v>60.0</v>
      </c>
      <c r="E2020" s="20" t="s">
        <v>382</v>
      </c>
      <c r="G2020" s="22"/>
      <c r="H2020" s="23" t="s">
        <v>1521</v>
      </c>
      <c r="I2020" s="20" t="s">
        <v>550</v>
      </c>
      <c r="J2020" s="20">
        <v>100.0</v>
      </c>
      <c r="K2020" s="20">
        <v>156.0</v>
      </c>
      <c r="L2020" s="20">
        <v>160.0</v>
      </c>
      <c r="M2020" s="20">
        <v>0.0</v>
      </c>
      <c r="N2020" s="20">
        <v>92.0</v>
      </c>
      <c r="O2020" s="20">
        <v>0.0</v>
      </c>
      <c r="P2020" s="20">
        <v>9.0</v>
      </c>
      <c r="Q2020" s="20">
        <v>9.0</v>
      </c>
      <c r="R2020" s="20">
        <v>9.0</v>
      </c>
      <c r="S2020" s="20">
        <v>9.0</v>
      </c>
      <c r="T2020" s="20">
        <v>9.0</v>
      </c>
      <c r="U2020" s="20">
        <v>9.0</v>
      </c>
    </row>
    <row r="2021" ht="23.25" customHeight="1">
      <c r="A2021" s="24" t="str">
        <f>IF(COUNTIF('Icon Lookup'!C:C,B2021)&gt;0,LOOKUP(B2021,'Icon Lookup'!C:C,'Icon Lookup'!B:B),"")</f>
        <v/>
      </c>
      <c r="B2021" s="25" t="s">
        <v>737</v>
      </c>
      <c r="C2021" s="24" t="s">
        <v>804</v>
      </c>
      <c r="D2021" s="24">
        <v>64.0</v>
      </c>
      <c r="E2021" s="24" t="str">
        <f>IMAGE("https://www.serebii.net/itemdex/sprites/quickclaw.png")</f>
        <v/>
      </c>
      <c r="F2021" s="24" t="s">
        <v>374</v>
      </c>
      <c r="G2021" s="17" t="s">
        <v>1371</v>
      </c>
      <c r="H2021" s="20" t="s">
        <v>2430</v>
      </c>
      <c r="I2021" s="24" t="s">
        <v>52</v>
      </c>
      <c r="J2021" s="24">
        <v>52.0</v>
      </c>
      <c r="K2021" s="24">
        <v>188.0</v>
      </c>
      <c r="L2021" s="24">
        <v>52.0</v>
      </c>
      <c r="M2021" s="24">
        <v>0.0</v>
      </c>
      <c r="N2021" s="24">
        <v>52.0</v>
      </c>
      <c r="O2021" s="24">
        <v>164.0</v>
      </c>
      <c r="P2021" s="24">
        <v>11.0</v>
      </c>
      <c r="Q2021" s="24">
        <v>11.0</v>
      </c>
      <c r="R2021" s="24">
        <v>11.0</v>
      </c>
      <c r="S2021" s="24">
        <v>11.0</v>
      </c>
      <c r="T2021" s="24">
        <v>11.0</v>
      </c>
      <c r="U2021" s="24">
        <v>11.0</v>
      </c>
    </row>
    <row r="2022" ht="23.25" customHeight="1">
      <c r="A2022" s="1" t="str">
        <f>IF(COUNTIF('Icon Lookup'!C:C,B2022)&gt;0,LOOKUP(B2022,'Icon Lookup'!C:C,'Icon Lookup'!B:B),"")</f>
        <v/>
      </c>
      <c r="B2022" s="15" t="s">
        <v>2431</v>
      </c>
      <c r="C2022" s="1" t="s">
        <v>17</v>
      </c>
      <c r="D2022" s="1" t="s">
        <v>807</v>
      </c>
      <c r="G2022" s="16"/>
      <c r="H2022" s="26" t="s">
        <v>808</v>
      </c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</row>
    <row r="2023" ht="23.25" customHeight="1">
      <c r="A2023" s="20" t="str">
        <f>IF(COUNTIF('Icon Lookup'!C:C,B2023)&gt;0,LOOKUP(B2023,'Icon Lookup'!C:C,'Icon Lookup'!B:B),"")</f>
        <v/>
      </c>
      <c r="B2023" s="21" t="s">
        <v>741</v>
      </c>
      <c r="C2023" s="20" t="s">
        <v>17</v>
      </c>
      <c r="D2023" s="20">
        <v>68.0</v>
      </c>
      <c r="E2023" s="20" t="str">
        <f>IMAGE("https://www.serebii.net/itemdex/sprites/focussash.png")</f>
        <v/>
      </c>
      <c r="F2023" s="20" t="s">
        <v>26</v>
      </c>
      <c r="G2023" s="20" t="s">
        <v>881</v>
      </c>
      <c r="H2023" s="23" t="s">
        <v>2702</v>
      </c>
      <c r="I2023" s="20" t="s">
        <v>22</v>
      </c>
      <c r="J2023" s="20">
        <v>60.0</v>
      </c>
      <c r="K2023" s="20">
        <v>132.0</v>
      </c>
      <c r="L2023" s="20">
        <v>36.0</v>
      </c>
      <c r="M2023" s="20">
        <v>0.0</v>
      </c>
      <c r="N2023" s="20">
        <v>36.0</v>
      </c>
      <c r="O2023" s="20">
        <v>244.0</v>
      </c>
      <c r="P2023" s="20">
        <v>5.0</v>
      </c>
      <c r="Q2023" s="20">
        <v>5.0</v>
      </c>
      <c r="R2023" s="20">
        <v>5.0</v>
      </c>
      <c r="S2023" s="20">
        <v>5.0</v>
      </c>
      <c r="T2023" s="20">
        <v>5.0</v>
      </c>
      <c r="U2023" s="20">
        <v>5.0</v>
      </c>
    </row>
    <row r="2024" ht="23.25" customHeight="1">
      <c r="A2024" s="17" t="str">
        <f>IF(COUNTIF('Icon Lookup'!C:C,B2024)&gt;0,LOOKUP(B2024,'Icon Lookup'!C:C,'Icon Lookup'!B:B),"")</f>
        <v/>
      </c>
      <c r="B2024" s="18" t="s">
        <v>921</v>
      </c>
      <c r="C2024" s="17" t="s">
        <v>17</v>
      </c>
      <c r="D2024" s="17">
        <v>69.0</v>
      </c>
      <c r="E2024" s="17" t="str">
        <f>IMAGE("https://www.serebii.net/itemdex/sprites/quickclaw.png")</f>
        <v/>
      </c>
      <c r="F2024" s="17" t="s">
        <v>44</v>
      </c>
      <c r="G2024" s="17" t="s">
        <v>1371</v>
      </c>
      <c r="H2024" s="20" t="s">
        <v>2423</v>
      </c>
      <c r="I2024" s="17" t="s">
        <v>22</v>
      </c>
      <c r="J2024" s="17">
        <v>40.0</v>
      </c>
      <c r="K2024" s="17">
        <v>136.0</v>
      </c>
      <c r="L2024" s="17">
        <v>40.0</v>
      </c>
      <c r="M2024" s="17">
        <v>0.0</v>
      </c>
      <c r="N2024" s="17">
        <v>40.0</v>
      </c>
      <c r="O2024" s="17">
        <v>248.0</v>
      </c>
      <c r="P2024" s="17">
        <v>6.0</v>
      </c>
      <c r="Q2024" s="17">
        <v>6.0</v>
      </c>
      <c r="R2024" s="17">
        <v>6.0</v>
      </c>
      <c r="S2024" s="17">
        <v>6.0</v>
      </c>
      <c r="T2024" s="17">
        <v>6.0</v>
      </c>
      <c r="U2024" s="17">
        <v>6.0</v>
      </c>
    </row>
    <row r="2025" ht="23.25" customHeight="1">
      <c r="A2025" s="20" t="str">
        <f>IF(COUNTIF('Icon Lookup'!C:C,B2025)&gt;0,LOOKUP(B2025,'Icon Lookup'!C:C,'Icon Lookup'!B:B),"")</f>
        <v/>
      </c>
      <c r="B2025" s="21" t="s">
        <v>851</v>
      </c>
      <c r="C2025" s="20" t="s">
        <v>17</v>
      </c>
      <c r="D2025" s="20">
        <v>70.0</v>
      </c>
      <c r="E2025" s="20" t="s">
        <v>1413</v>
      </c>
      <c r="G2025" s="22"/>
      <c r="H2025" s="23" t="s">
        <v>2424</v>
      </c>
      <c r="I2025" s="20" t="s">
        <v>22</v>
      </c>
      <c r="J2025" s="20">
        <v>44.0</v>
      </c>
      <c r="K2025" s="20">
        <v>124.0</v>
      </c>
      <c r="L2025" s="20">
        <v>44.0</v>
      </c>
      <c r="M2025" s="20">
        <v>0.0</v>
      </c>
      <c r="N2025" s="20">
        <v>44.0</v>
      </c>
      <c r="O2025" s="20">
        <v>252.0</v>
      </c>
      <c r="P2025" s="20">
        <v>9.0</v>
      </c>
      <c r="Q2025" s="20">
        <v>9.0</v>
      </c>
      <c r="R2025" s="20">
        <v>9.0</v>
      </c>
      <c r="S2025" s="20">
        <v>9.0</v>
      </c>
      <c r="T2025" s="20">
        <v>9.0</v>
      </c>
      <c r="U2025" s="20">
        <v>9.0</v>
      </c>
    </row>
    <row r="2026" ht="23.25" customHeight="1">
      <c r="A2026" s="17" t="str">
        <f>IF(COUNTIF('Icon Lookup'!C:C,B2026)&gt;0,LOOKUP(B2026,'Icon Lookup'!C:C,'Icon Lookup'!B:B),"")</f>
        <v/>
      </c>
      <c r="B2026" s="18" t="s">
        <v>710</v>
      </c>
      <c r="C2026" s="17" t="s">
        <v>17</v>
      </c>
      <c r="D2026" s="17">
        <v>69.0</v>
      </c>
      <c r="E2026" s="17" t="str">
        <f>IMAGE("https://www.serebii.net/itemdex/sprites/expertbelt.png")</f>
        <v/>
      </c>
      <c r="F2026" s="17" t="s">
        <v>79</v>
      </c>
      <c r="G2026" s="17" t="s">
        <v>907</v>
      </c>
      <c r="H2026" s="20" t="s">
        <v>2432</v>
      </c>
      <c r="I2026" s="17" t="s">
        <v>22</v>
      </c>
      <c r="J2026" s="17">
        <v>60.0</v>
      </c>
      <c r="K2026" s="17">
        <v>132.0</v>
      </c>
      <c r="L2026" s="17">
        <v>52.0</v>
      </c>
      <c r="M2026" s="17">
        <v>0.0</v>
      </c>
      <c r="N2026" s="17">
        <v>52.0</v>
      </c>
      <c r="O2026" s="17">
        <v>212.0</v>
      </c>
      <c r="P2026" s="17">
        <v>7.0</v>
      </c>
      <c r="Q2026" s="17">
        <v>7.0</v>
      </c>
      <c r="R2026" s="17">
        <v>7.0</v>
      </c>
      <c r="S2026" s="17">
        <v>7.0</v>
      </c>
      <c r="T2026" s="17">
        <v>7.0</v>
      </c>
      <c r="U2026" s="17">
        <v>7.0</v>
      </c>
    </row>
    <row r="2027" ht="23.25" customHeight="1">
      <c r="A2027" s="20" t="str">
        <f>IF(COUNTIF('Icon Lookup'!C:C,B2027)&gt;0,LOOKUP(B2027,'Icon Lookup'!C:C,'Icon Lookup'!B:B),"")</f>
        <v/>
      </c>
      <c r="B2027" s="21" t="s">
        <v>1520</v>
      </c>
      <c r="C2027" s="20" t="s">
        <v>17</v>
      </c>
      <c r="D2027" s="20">
        <v>70.0</v>
      </c>
      <c r="E2027" s="20" t="s">
        <v>382</v>
      </c>
      <c r="G2027" s="22"/>
      <c r="H2027" s="23" t="s">
        <v>1521</v>
      </c>
      <c r="I2027" s="20" t="s">
        <v>550</v>
      </c>
      <c r="J2027" s="20">
        <v>100.0</v>
      </c>
      <c r="K2027" s="20">
        <v>156.0</v>
      </c>
      <c r="L2027" s="20">
        <v>160.0</v>
      </c>
      <c r="M2027" s="20">
        <v>0.0</v>
      </c>
      <c r="N2027" s="20">
        <v>92.0</v>
      </c>
      <c r="O2027" s="20">
        <v>0.0</v>
      </c>
      <c r="P2027" s="20">
        <v>9.0</v>
      </c>
      <c r="Q2027" s="20">
        <v>9.0</v>
      </c>
      <c r="R2027" s="20">
        <v>9.0</v>
      </c>
      <c r="S2027" s="20">
        <v>9.0</v>
      </c>
      <c r="T2027" s="20">
        <v>9.0</v>
      </c>
      <c r="U2027" s="20">
        <v>9.0</v>
      </c>
    </row>
    <row r="2028" ht="23.25" customHeight="1">
      <c r="A2028" s="24" t="str">
        <f>IF(COUNTIF('Icon Lookup'!C:C,B2028)&gt;0,LOOKUP(B2028,'Icon Lookup'!C:C,'Icon Lookup'!B:B),"")</f>
        <v/>
      </c>
      <c r="B2028" s="25" t="s">
        <v>730</v>
      </c>
      <c r="C2028" s="24" t="s">
        <v>804</v>
      </c>
      <c r="D2028" s="24">
        <v>74.0</v>
      </c>
      <c r="E2028" s="24" t="str">
        <f>IMAGE("https://www.serebii.net/itemdex/sprites/leftovers.png")</f>
        <v/>
      </c>
      <c r="F2028" s="24" t="s">
        <v>267</v>
      </c>
      <c r="G2028" s="17" t="s">
        <v>859</v>
      </c>
      <c r="H2028" s="20" t="s">
        <v>1522</v>
      </c>
      <c r="I2028" s="24" t="s">
        <v>265</v>
      </c>
      <c r="J2028" s="24">
        <v>164.0</v>
      </c>
      <c r="K2028" s="24">
        <v>116.0</v>
      </c>
      <c r="L2028" s="24">
        <v>52.0</v>
      </c>
      <c r="M2028" s="24">
        <v>52.0</v>
      </c>
      <c r="N2028" s="24">
        <v>124.0</v>
      </c>
      <c r="O2028" s="24">
        <v>0.0</v>
      </c>
      <c r="P2028" s="24">
        <v>11.0</v>
      </c>
      <c r="Q2028" s="24">
        <v>11.0</v>
      </c>
      <c r="R2028" s="24">
        <v>11.0</v>
      </c>
      <c r="S2028" s="24">
        <v>11.0</v>
      </c>
      <c r="T2028" s="24">
        <v>11.0</v>
      </c>
      <c r="U2028" s="24">
        <v>11.0</v>
      </c>
    </row>
    <row r="2029" ht="23.25" customHeight="1">
      <c r="A2029" s="1" t="str">
        <f>IF(COUNTIF('Icon Lookup'!C:C,B2029)&gt;0,LOOKUP(B2029,'Icon Lookup'!C:C,'Icon Lookup'!B:B),"")</f>
        <v/>
      </c>
      <c r="B2029" s="15" t="s">
        <v>2433</v>
      </c>
      <c r="C2029" s="1" t="s">
        <v>17</v>
      </c>
      <c r="D2029" s="1" t="s">
        <v>807</v>
      </c>
      <c r="G2029" s="16"/>
      <c r="H2029" s="26" t="s">
        <v>808</v>
      </c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</row>
    <row r="2030" ht="23.25" customHeight="1">
      <c r="A2030" s="20" t="str">
        <f>IF(COUNTIF('Icon Lookup'!C:C,B2030)&gt;0,LOOKUP(B2030,'Icon Lookup'!C:C,'Icon Lookup'!B:B),"")</f>
        <v/>
      </c>
      <c r="B2030" s="21" t="s">
        <v>741</v>
      </c>
      <c r="C2030" s="20" t="s">
        <v>17</v>
      </c>
      <c r="D2030" s="20">
        <v>68.0</v>
      </c>
      <c r="E2030" s="20" t="str">
        <f>IMAGE("https://www.serebii.net/itemdex/sprites/focussash.png")</f>
        <v/>
      </c>
      <c r="F2030" s="20" t="s">
        <v>26</v>
      </c>
      <c r="G2030" s="20" t="s">
        <v>881</v>
      </c>
      <c r="H2030" s="23" t="s">
        <v>1524</v>
      </c>
      <c r="I2030" s="20" t="s">
        <v>22</v>
      </c>
      <c r="J2030" s="20">
        <v>60.0</v>
      </c>
      <c r="K2030" s="20">
        <v>132.0</v>
      </c>
      <c r="L2030" s="20">
        <v>36.0</v>
      </c>
      <c r="M2030" s="20">
        <v>0.0</v>
      </c>
      <c r="N2030" s="20">
        <v>36.0</v>
      </c>
      <c r="O2030" s="20">
        <v>244.0</v>
      </c>
      <c r="P2030" s="20">
        <v>5.0</v>
      </c>
      <c r="Q2030" s="20">
        <v>5.0</v>
      </c>
      <c r="R2030" s="20">
        <v>5.0</v>
      </c>
      <c r="S2030" s="20">
        <v>5.0</v>
      </c>
      <c r="T2030" s="20">
        <v>5.0</v>
      </c>
      <c r="U2030" s="20">
        <v>5.0</v>
      </c>
    </row>
    <row r="2031" ht="23.25" customHeight="1">
      <c r="A2031" s="17" t="str">
        <f>IF(COUNTIF('Icon Lookup'!C:C,B2031)&gt;0,LOOKUP(B2031,'Icon Lookup'!C:C,'Icon Lookup'!B:B),"")</f>
        <v/>
      </c>
      <c r="B2031" s="18" t="s">
        <v>921</v>
      </c>
      <c r="C2031" s="17" t="s">
        <v>17</v>
      </c>
      <c r="D2031" s="17">
        <v>69.0</v>
      </c>
      <c r="E2031" s="17" t="str">
        <f>IMAGE("https://www.serebii.net/itemdex/sprites/quickclaw.png")</f>
        <v/>
      </c>
      <c r="F2031" s="17" t="s">
        <v>44</v>
      </c>
      <c r="G2031" s="17" t="s">
        <v>1371</v>
      </c>
      <c r="H2031" s="20" t="s">
        <v>2423</v>
      </c>
      <c r="I2031" s="17" t="s">
        <v>22</v>
      </c>
      <c r="J2031" s="17">
        <v>40.0</v>
      </c>
      <c r="K2031" s="17">
        <v>136.0</v>
      </c>
      <c r="L2031" s="17">
        <v>40.0</v>
      </c>
      <c r="M2031" s="17">
        <v>0.0</v>
      </c>
      <c r="N2031" s="17">
        <v>40.0</v>
      </c>
      <c r="O2031" s="17">
        <v>248.0</v>
      </c>
      <c r="P2031" s="17">
        <v>6.0</v>
      </c>
      <c r="Q2031" s="17">
        <v>6.0</v>
      </c>
      <c r="R2031" s="17">
        <v>6.0</v>
      </c>
      <c r="S2031" s="17">
        <v>6.0</v>
      </c>
      <c r="T2031" s="17">
        <v>6.0</v>
      </c>
      <c r="U2031" s="17">
        <v>6.0</v>
      </c>
    </row>
    <row r="2032" ht="23.25" customHeight="1">
      <c r="A2032" s="20" t="str">
        <f>IF(COUNTIF('Icon Lookup'!C:C,B2032)&gt;0,LOOKUP(B2032,'Icon Lookup'!C:C,'Icon Lookup'!B:B),"")</f>
        <v/>
      </c>
      <c r="B2032" s="21" t="s">
        <v>851</v>
      </c>
      <c r="C2032" s="20" t="s">
        <v>17</v>
      </c>
      <c r="D2032" s="20">
        <v>70.0</v>
      </c>
      <c r="E2032" s="20" t="s">
        <v>1413</v>
      </c>
      <c r="G2032" s="22"/>
      <c r="H2032" s="23" t="s">
        <v>2424</v>
      </c>
      <c r="I2032" s="20" t="s">
        <v>22</v>
      </c>
      <c r="J2032" s="20">
        <v>44.0</v>
      </c>
      <c r="K2032" s="20">
        <v>124.0</v>
      </c>
      <c r="L2032" s="20">
        <v>44.0</v>
      </c>
      <c r="M2032" s="20">
        <v>0.0</v>
      </c>
      <c r="N2032" s="20">
        <v>44.0</v>
      </c>
      <c r="O2032" s="20">
        <v>252.0</v>
      </c>
      <c r="P2032" s="20">
        <v>9.0</v>
      </c>
      <c r="Q2032" s="20">
        <v>9.0</v>
      </c>
      <c r="R2032" s="20">
        <v>9.0</v>
      </c>
      <c r="S2032" s="20">
        <v>9.0</v>
      </c>
      <c r="T2032" s="20">
        <v>9.0</v>
      </c>
      <c r="U2032" s="20">
        <v>9.0</v>
      </c>
    </row>
    <row r="2033" ht="23.25" customHeight="1">
      <c r="A2033" s="17" t="str">
        <f>IF(COUNTIF('Icon Lookup'!C:C,B2033)&gt;0,LOOKUP(B2033,'Icon Lookup'!C:C,'Icon Lookup'!B:B),"")</f>
        <v/>
      </c>
      <c r="B2033" s="18" t="s">
        <v>906</v>
      </c>
      <c r="C2033" s="17" t="s">
        <v>17</v>
      </c>
      <c r="D2033" s="17">
        <v>69.0</v>
      </c>
      <c r="E2033" s="17" t="str">
        <f>IMAGE("https://www.serebii.net/itemdex/sprites/blacksludge.png")</f>
        <v/>
      </c>
      <c r="F2033" s="17" t="s">
        <v>50</v>
      </c>
      <c r="G2033" s="17" t="s">
        <v>844</v>
      </c>
      <c r="H2033" s="20" t="s">
        <v>2426</v>
      </c>
      <c r="I2033" s="17" t="s">
        <v>52</v>
      </c>
      <c r="J2033" s="17">
        <v>60.0</v>
      </c>
      <c r="K2033" s="17">
        <v>0.0</v>
      </c>
      <c r="L2033" s="17">
        <v>52.0</v>
      </c>
      <c r="M2033" s="17">
        <v>132.0</v>
      </c>
      <c r="N2033" s="17">
        <v>52.0</v>
      </c>
      <c r="O2033" s="17">
        <v>212.0</v>
      </c>
      <c r="P2033" s="17">
        <v>7.0</v>
      </c>
      <c r="Q2033" s="17">
        <v>7.0</v>
      </c>
      <c r="R2033" s="17">
        <v>7.0</v>
      </c>
      <c r="S2033" s="17">
        <v>7.0</v>
      </c>
      <c r="T2033" s="17">
        <v>7.0</v>
      </c>
      <c r="U2033" s="17">
        <v>7.0</v>
      </c>
    </row>
    <row r="2034" ht="23.25" customHeight="1">
      <c r="A2034" s="20" t="str">
        <f>IF(COUNTIF('Icon Lookup'!C:C,B2034)&gt;0,LOOKUP(B2034,'Icon Lookup'!C:C,'Icon Lookup'!B:B),"")</f>
        <v/>
      </c>
      <c r="B2034" s="21" t="s">
        <v>1520</v>
      </c>
      <c r="C2034" s="20" t="s">
        <v>17</v>
      </c>
      <c r="D2034" s="20">
        <v>70.0</v>
      </c>
      <c r="E2034" s="20" t="s">
        <v>382</v>
      </c>
      <c r="G2034" s="22"/>
      <c r="H2034" s="23" t="s">
        <v>1526</v>
      </c>
      <c r="I2034" s="20" t="s">
        <v>550</v>
      </c>
      <c r="J2034" s="20">
        <v>100.0</v>
      </c>
      <c r="K2034" s="20">
        <v>156.0</v>
      </c>
      <c r="L2034" s="20">
        <v>160.0</v>
      </c>
      <c r="M2034" s="20">
        <v>0.0</v>
      </c>
      <c r="N2034" s="20">
        <v>92.0</v>
      </c>
      <c r="O2034" s="20">
        <v>0.0</v>
      </c>
      <c r="P2034" s="20">
        <v>9.0</v>
      </c>
      <c r="Q2034" s="20">
        <v>9.0</v>
      </c>
      <c r="R2034" s="20">
        <v>9.0</v>
      </c>
      <c r="S2034" s="20">
        <v>9.0</v>
      </c>
      <c r="T2034" s="20">
        <v>9.0</v>
      </c>
      <c r="U2034" s="20">
        <v>9.0</v>
      </c>
    </row>
    <row r="2035" ht="23.25" customHeight="1">
      <c r="A2035" s="24" t="str">
        <f>IF(COUNTIF('Icon Lookup'!C:C,B2035)&gt;0,LOOKUP(B2035,'Icon Lookup'!C:C,'Icon Lookup'!B:B),"")</f>
        <v/>
      </c>
      <c r="B2035" s="25" t="s">
        <v>879</v>
      </c>
      <c r="C2035" s="24" t="s">
        <v>804</v>
      </c>
      <c r="D2035" s="24">
        <v>74.0</v>
      </c>
      <c r="E2035" s="24" t="str">
        <f>IMAGE("https://www.serebii.net/itemdex/sprites/expertbelt.png")</f>
        <v/>
      </c>
      <c r="F2035" s="24" t="s">
        <v>145</v>
      </c>
      <c r="G2035" s="17" t="s">
        <v>907</v>
      </c>
      <c r="H2035" s="20" t="s">
        <v>2427</v>
      </c>
      <c r="I2035" s="24" t="s">
        <v>22</v>
      </c>
      <c r="J2035" s="24">
        <v>52.0</v>
      </c>
      <c r="K2035" s="24">
        <v>0.0</v>
      </c>
      <c r="L2035" s="24">
        <v>52.0</v>
      </c>
      <c r="M2035" s="24">
        <v>188.0</v>
      </c>
      <c r="N2035" s="24">
        <v>52.0</v>
      </c>
      <c r="O2035" s="24">
        <v>164.0</v>
      </c>
      <c r="P2035" s="24">
        <v>11.0</v>
      </c>
      <c r="Q2035" s="24">
        <v>11.0</v>
      </c>
      <c r="R2035" s="24">
        <v>11.0</v>
      </c>
      <c r="S2035" s="24">
        <v>11.0</v>
      </c>
      <c r="T2035" s="24">
        <v>11.0</v>
      </c>
      <c r="U2035" s="24">
        <v>11.0</v>
      </c>
    </row>
    <row r="2036" ht="23.25" customHeight="1">
      <c r="A2036" s="1" t="str">
        <f>IF(COUNTIF('Icon Lookup'!C:C,B2036)&gt;0,LOOKUP(B2036,'Icon Lookup'!C:C,'Icon Lookup'!B:B),"")</f>
        <v/>
      </c>
      <c r="B2036" s="15" t="s">
        <v>2434</v>
      </c>
      <c r="C2036" s="1" t="s">
        <v>17</v>
      </c>
      <c r="D2036" s="1" t="s">
        <v>807</v>
      </c>
      <c r="G2036" s="16"/>
      <c r="H2036" s="26" t="s">
        <v>808</v>
      </c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</row>
    <row r="2037" ht="23.25" customHeight="1">
      <c r="A2037" s="20" t="str">
        <f>IF(COUNTIF('Icon Lookup'!C:C,B2037)&gt;0,LOOKUP(B2037,'Icon Lookup'!C:C,'Icon Lookup'!B:B),"")</f>
        <v/>
      </c>
      <c r="B2037" s="21" t="s">
        <v>741</v>
      </c>
      <c r="C2037" s="20" t="s">
        <v>17</v>
      </c>
      <c r="D2037" s="20">
        <v>68.0</v>
      </c>
      <c r="E2037" s="20" t="str">
        <f>IMAGE("https://www.serebii.net/itemdex/sprites/focussash.png")</f>
        <v/>
      </c>
      <c r="F2037" s="20" t="s">
        <v>26</v>
      </c>
      <c r="G2037" s="20" t="s">
        <v>881</v>
      </c>
      <c r="H2037" s="23" t="s">
        <v>2702</v>
      </c>
      <c r="I2037" s="20" t="s">
        <v>22</v>
      </c>
      <c r="J2037" s="20">
        <v>60.0</v>
      </c>
      <c r="K2037" s="20">
        <v>132.0</v>
      </c>
      <c r="L2037" s="20">
        <v>36.0</v>
      </c>
      <c r="M2037" s="20">
        <v>0.0</v>
      </c>
      <c r="N2037" s="20">
        <v>36.0</v>
      </c>
      <c r="O2037" s="20">
        <v>244.0</v>
      </c>
      <c r="P2037" s="20">
        <v>5.0</v>
      </c>
      <c r="Q2037" s="20">
        <v>5.0</v>
      </c>
      <c r="R2037" s="20">
        <v>5.0</v>
      </c>
      <c r="S2037" s="20">
        <v>5.0</v>
      </c>
      <c r="T2037" s="20">
        <v>5.0</v>
      </c>
      <c r="U2037" s="20">
        <v>5.0</v>
      </c>
    </row>
    <row r="2038" ht="23.25" customHeight="1">
      <c r="A2038" s="17" t="str">
        <f>IF(COUNTIF('Icon Lookup'!C:C,B2038)&gt;0,LOOKUP(B2038,'Icon Lookup'!C:C,'Icon Lookup'!B:B),"")</f>
        <v/>
      </c>
      <c r="B2038" s="18" t="s">
        <v>906</v>
      </c>
      <c r="C2038" s="17" t="s">
        <v>17</v>
      </c>
      <c r="D2038" s="17">
        <v>69.0</v>
      </c>
      <c r="E2038" s="17" t="str">
        <f>IMAGE("https://www.serebii.net/itemdex/sprites/blacksludge.png")</f>
        <v/>
      </c>
      <c r="F2038" s="17" t="s">
        <v>50</v>
      </c>
      <c r="G2038" s="17" t="s">
        <v>844</v>
      </c>
      <c r="H2038" s="20" t="s">
        <v>2429</v>
      </c>
      <c r="I2038" s="17" t="s">
        <v>52</v>
      </c>
      <c r="J2038" s="17">
        <v>40.0</v>
      </c>
      <c r="K2038" s="17">
        <v>0.0</v>
      </c>
      <c r="L2038" s="17">
        <v>40.0</v>
      </c>
      <c r="M2038" s="17">
        <v>136.0</v>
      </c>
      <c r="N2038" s="17">
        <v>40.0</v>
      </c>
      <c r="O2038" s="17">
        <v>248.0</v>
      </c>
      <c r="P2038" s="17">
        <v>6.0</v>
      </c>
      <c r="Q2038" s="17">
        <v>6.0</v>
      </c>
      <c r="R2038" s="17">
        <v>6.0</v>
      </c>
      <c r="S2038" s="17">
        <v>6.0</v>
      </c>
      <c r="T2038" s="17">
        <v>6.0</v>
      </c>
      <c r="U2038" s="17">
        <v>6.0</v>
      </c>
    </row>
    <row r="2039" ht="23.25" customHeight="1">
      <c r="A2039" s="20" t="str">
        <f>IF(COUNTIF('Icon Lookup'!C:C,B2039)&gt;0,LOOKUP(B2039,'Icon Lookup'!C:C,'Icon Lookup'!B:B),"")</f>
        <v/>
      </c>
      <c r="B2039" s="21" t="s">
        <v>851</v>
      </c>
      <c r="C2039" s="20" t="s">
        <v>17</v>
      </c>
      <c r="D2039" s="20">
        <v>70.0</v>
      </c>
      <c r="E2039" s="20" t="s">
        <v>1413</v>
      </c>
      <c r="G2039" s="22"/>
      <c r="H2039" s="23" t="s">
        <v>2424</v>
      </c>
      <c r="I2039" s="20" t="s">
        <v>22</v>
      </c>
      <c r="J2039" s="20">
        <v>44.0</v>
      </c>
      <c r="K2039" s="20">
        <v>124.0</v>
      </c>
      <c r="L2039" s="20">
        <v>44.0</v>
      </c>
      <c r="M2039" s="20">
        <v>0.0</v>
      </c>
      <c r="N2039" s="20">
        <v>44.0</v>
      </c>
      <c r="O2039" s="20">
        <v>252.0</v>
      </c>
      <c r="P2039" s="20">
        <v>9.0</v>
      </c>
      <c r="Q2039" s="20">
        <v>9.0</v>
      </c>
      <c r="R2039" s="20">
        <v>9.0</v>
      </c>
      <c r="S2039" s="20">
        <v>9.0</v>
      </c>
      <c r="T2039" s="20">
        <v>9.0</v>
      </c>
      <c r="U2039" s="20">
        <v>9.0</v>
      </c>
    </row>
    <row r="2040" ht="23.25" customHeight="1">
      <c r="A2040" s="17" t="str">
        <f>IF(COUNTIF('Icon Lookup'!C:C,B2040)&gt;0,LOOKUP(B2040,'Icon Lookup'!C:C,'Icon Lookup'!B:B),"")</f>
        <v/>
      </c>
      <c r="B2040" s="18" t="s">
        <v>710</v>
      </c>
      <c r="C2040" s="17" t="s">
        <v>17</v>
      </c>
      <c r="D2040" s="17">
        <v>69.0</v>
      </c>
      <c r="E2040" s="17" t="str">
        <f>IMAGE("https://www.serebii.net/itemdex/sprites/expertbelt.png")</f>
        <v/>
      </c>
      <c r="F2040" s="17" t="s">
        <v>79</v>
      </c>
      <c r="G2040" s="17" t="s">
        <v>907</v>
      </c>
      <c r="H2040" s="20" t="s">
        <v>2432</v>
      </c>
      <c r="I2040" s="17" t="s">
        <v>22</v>
      </c>
      <c r="J2040" s="17">
        <v>60.0</v>
      </c>
      <c r="K2040" s="17">
        <v>132.0</v>
      </c>
      <c r="L2040" s="17">
        <v>52.0</v>
      </c>
      <c r="M2040" s="17">
        <v>0.0</v>
      </c>
      <c r="N2040" s="17">
        <v>52.0</v>
      </c>
      <c r="O2040" s="17">
        <v>212.0</v>
      </c>
      <c r="P2040" s="17">
        <v>7.0</v>
      </c>
      <c r="Q2040" s="17">
        <v>7.0</v>
      </c>
      <c r="R2040" s="17">
        <v>7.0</v>
      </c>
      <c r="S2040" s="17">
        <v>7.0</v>
      </c>
      <c r="T2040" s="17">
        <v>7.0</v>
      </c>
      <c r="U2040" s="17">
        <v>7.0</v>
      </c>
    </row>
    <row r="2041" ht="23.25" customHeight="1">
      <c r="A2041" s="20" t="str">
        <f>IF(COUNTIF('Icon Lookup'!C:C,B2041)&gt;0,LOOKUP(B2041,'Icon Lookup'!C:C,'Icon Lookup'!B:B),"")</f>
        <v/>
      </c>
      <c r="B2041" s="21" t="s">
        <v>1520</v>
      </c>
      <c r="C2041" s="20" t="s">
        <v>17</v>
      </c>
      <c r="D2041" s="20">
        <v>70.0</v>
      </c>
      <c r="E2041" s="20" t="s">
        <v>382</v>
      </c>
      <c r="G2041" s="22"/>
      <c r="H2041" s="23" t="s">
        <v>1521</v>
      </c>
      <c r="I2041" s="20" t="s">
        <v>550</v>
      </c>
      <c r="J2041" s="20">
        <v>100.0</v>
      </c>
      <c r="K2041" s="20">
        <v>156.0</v>
      </c>
      <c r="L2041" s="20">
        <v>160.0</v>
      </c>
      <c r="M2041" s="20">
        <v>0.0</v>
      </c>
      <c r="N2041" s="20">
        <v>92.0</v>
      </c>
      <c r="O2041" s="20">
        <v>0.0</v>
      </c>
      <c r="P2041" s="20">
        <v>9.0</v>
      </c>
      <c r="Q2041" s="20">
        <v>9.0</v>
      </c>
      <c r="R2041" s="20">
        <v>9.0</v>
      </c>
      <c r="S2041" s="20">
        <v>9.0</v>
      </c>
      <c r="T2041" s="20">
        <v>9.0</v>
      </c>
      <c r="U2041" s="20">
        <v>9.0</v>
      </c>
    </row>
    <row r="2042" ht="23.25" customHeight="1">
      <c r="A2042" s="24" t="str">
        <f>IF(COUNTIF('Icon Lookup'!C:C,B2042)&gt;0,LOOKUP(B2042,'Icon Lookup'!C:C,'Icon Lookup'!B:B),"")</f>
        <v/>
      </c>
      <c r="B2042" s="25" t="s">
        <v>737</v>
      </c>
      <c r="C2042" s="24" t="s">
        <v>804</v>
      </c>
      <c r="D2042" s="24">
        <v>74.0</v>
      </c>
      <c r="E2042" s="24" t="str">
        <f>IMAGE("https://www.serebii.net/itemdex/sprites/quickclaw.png")</f>
        <v/>
      </c>
      <c r="F2042" s="24" t="s">
        <v>374</v>
      </c>
      <c r="G2042" s="17" t="s">
        <v>1371</v>
      </c>
      <c r="H2042" s="20" t="s">
        <v>2435</v>
      </c>
      <c r="I2042" s="24" t="s">
        <v>52</v>
      </c>
      <c r="J2042" s="24">
        <v>52.0</v>
      </c>
      <c r="K2042" s="24">
        <v>188.0</v>
      </c>
      <c r="L2042" s="24">
        <v>52.0</v>
      </c>
      <c r="M2042" s="24">
        <v>0.0</v>
      </c>
      <c r="N2042" s="24">
        <v>52.0</v>
      </c>
      <c r="O2042" s="24">
        <v>164.0</v>
      </c>
      <c r="P2042" s="24">
        <v>11.0</v>
      </c>
      <c r="Q2042" s="24">
        <v>11.0</v>
      </c>
      <c r="R2042" s="24">
        <v>11.0</v>
      </c>
      <c r="S2042" s="24">
        <v>11.0</v>
      </c>
      <c r="T2042" s="24">
        <v>11.0</v>
      </c>
      <c r="U2042" s="24">
        <v>11.0</v>
      </c>
    </row>
    <row r="2043" ht="23.25" customHeight="1">
      <c r="A2043" s="1" t="str">
        <f>IF(COUNTIF('Icon Lookup'!C:C,B2043)&gt;0,LOOKUP(B2043,'Icon Lookup'!C:C,'Icon Lookup'!B:B),"")</f>
        <v/>
      </c>
      <c r="B2043" s="15" t="s">
        <v>2436</v>
      </c>
      <c r="C2043" s="1" t="s">
        <v>17</v>
      </c>
      <c r="D2043" s="1" t="s">
        <v>1044</v>
      </c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</row>
    <row r="2044" ht="23.25" customHeight="1">
      <c r="A2044" s="20" t="str">
        <f>IF(COUNTIF('Icon Lookup'!C:C,B2044)&gt;0,LOOKUP(B2044,'Icon Lookup'!C:C,'Icon Lookup'!B:B),"")</f>
        <v/>
      </c>
      <c r="B2044" s="21" t="s">
        <v>1003</v>
      </c>
      <c r="C2044" s="20" t="s">
        <v>17</v>
      </c>
      <c r="D2044" s="20">
        <v>11.0</v>
      </c>
      <c r="E2044" s="20" t="s">
        <v>1022</v>
      </c>
      <c r="G2044" s="22"/>
      <c r="H2044" s="23" t="s">
        <v>1049</v>
      </c>
      <c r="I2044" s="20" t="s">
        <v>197</v>
      </c>
      <c r="J2044" s="20">
        <v>0.0</v>
      </c>
      <c r="K2044" s="20">
        <v>0.0</v>
      </c>
      <c r="L2044" s="20">
        <v>0.0</v>
      </c>
      <c r="M2044" s="20">
        <v>0.0</v>
      </c>
      <c r="N2044" s="20">
        <v>0.0</v>
      </c>
      <c r="O2044" s="20">
        <v>0.0</v>
      </c>
      <c r="P2044" s="20">
        <v>0.0</v>
      </c>
      <c r="Q2044" s="20">
        <v>0.0</v>
      </c>
      <c r="R2044" s="20">
        <v>0.0</v>
      </c>
      <c r="S2044" s="20">
        <v>0.0</v>
      </c>
      <c r="T2044" s="20">
        <v>0.0</v>
      </c>
      <c r="U2044" s="20">
        <v>0.0</v>
      </c>
    </row>
    <row r="2045" ht="23.25" customHeight="1">
      <c r="A2045" s="1" t="str">
        <f>IF(COUNTIF('Icon Lookup'!C:C,B2045)&gt;0,LOOKUP(B2045,'Icon Lookup'!C:C,'Icon Lookup'!B:B),"")</f>
        <v/>
      </c>
      <c r="B2045" s="15" t="s">
        <v>2437</v>
      </c>
      <c r="C2045" s="1" t="s">
        <v>17</v>
      </c>
      <c r="D2045" s="1" t="s">
        <v>2438</v>
      </c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</row>
    <row r="2046" ht="23.25" customHeight="1">
      <c r="A2046" s="17" t="str">
        <f>IF(COUNTIF('Icon Lookup'!C:C,B2046)&gt;0,LOOKUP(B2046,'Icon Lookup'!C:C,'Icon Lookup'!B:B),"")</f>
        <v/>
      </c>
      <c r="B2046" s="18" t="s">
        <v>90</v>
      </c>
      <c r="C2046" s="17" t="s">
        <v>17</v>
      </c>
      <c r="D2046" s="17">
        <v>31.0</v>
      </c>
      <c r="E2046" s="17" t="s">
        <v>91</v>
      </c>
      <c r="G2046" s="19"/>
      <c r="H2046" s="20" t="s">
        <v>423</v>
      </c>
      <c r="I2046" s="17" t="s">
        <v>89</v>
      </c>
      <c r="J2046" s="17">
        <v>0.0</v>
      </c>
      <c r="K2046" s="17">
        <v>0.0</v>
      </c>
      <c r="L2046" s="17">
        <v>0.0</v>
      </c>
      <c r="M2046" s="17">
        <v>0.0</v>
      </c>
      <c r="N2046" s="17">
        <v>0.0</v>
      </c>
      <c r="O2046" s="17">
        <v>0.0</v>
      </c>
      <c r="P2046" s="17">
        <v>0.0</v>
      </c>
      <c r="Q2046" s="17">
        <v>0.0</v>
      </c>
      <c r="R2046" s="17">
        <v>0.0</v>
      </c>
      <c r="S2046" s="17">
        <v>0.0</v>
      </c>
      <c r="T2046" s="17">
        <v>0.0</v>
      </c>
      <c r="U2046" s="17">
        <v>0.0</v>
      </c>
    </row>
    <row r="2047" ht="23.25" customHeight="1">
      <c r="A2047" s="20" t="str">
        <f>IF(COUNTIF('Icon Lookup'!C:C,B2047)&gt;0,LOOKUP(B2047,'Icon Lookup'!C:C,'Icon Lookup'!B:B),"")</f>
        <v/>
      </c>
      <c r="B2047" s="21" t="s">
        <v>275</v>
      </c>
      <c r="C2047" s="20" t="s">
        <v>17</v>
      </c>
      <c r="D2047" s="20">
        <v>31.0</v>
      </c>
      <c r="E2047" s="20" t="s">
        <v>91</v>
      </c>
      <c r="G2047" s="22"/>
      <c r="H2047" s="23" t="s">
        <v>2439</v>
      </c>
      <c r="I2047" s="20" t="s">
        <v>89</v>
      </c>
      <c r="J2047" s="20">
        <v>0.0</v>
      </c>
      <c r="K2047" s="20">
        <v>0.0</v>
      </c>
      <c r="L2047" s="20">
        <v>0.0</v>
      </c>
      <c r="M2047" s="20">
        <v>0.0</v>
      </c>
      <c r="N2047" s="20">
        <v>0.0</v>
      </c>
      <c r="O2047" s="20">
        <v>0.0</v>
      </c>
      <c r="P2047" s="20">
        <v>0.0</v>
      </c>
      <c r="Q2047" s="20">
        <v>0.0</v>
      </c>
      <c r="R2047" s="20">
        <v>0.0</v>
      </c>
      <c r="S2047" s="20">
        <v>0.0</v>
      </c>
      <c r="T2047" s="20">
        <v>0.0</v>
      </c>
      <c r="U2047" s="20">
        <v>0.0</v>
      </c>
    </row>
    <row r="2048" ht="23.25" customHeight="1">
      <c r="A2048" s="1" t="str">
        <f>IF(COUNTIF('Icon Lookup'!C:C,B2048)&gt;0,LOOKUP(B2048,'Icon Lookup'!C:C,'Icon Lookup'!B:B),"")</f>
        <v/>
      </c>
      <c r="B2048" s="15" t="s">
        <v>2440</v>
      </c>
      <c r="C2048" s="1" t="s">
        <v>17</v>
      </c>
      <c r="D2048" s="1" t="s">
        <v>2441</v>
      </c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</row>
    <row r="2049" ht="23.25" customHeight="1">
      <c r="A2049" s="17" t="str">
        <f>IF(COUNTIF('Icon Lookup'!C:C,B2049)&gt;0,LOOKUP(B2049,'Icon Lookup'!C:C,'Icon Lookup'!B:B),"")</f>
        <v/>
      </c>
      <c r="B2049" s="18" t="s">
        <v>756</v>
      </c>
      <c r="C2049" s="17" t="s">
        <v>17</v>
      </c>
      <c r="D2049" s="17">
        <v>33.0</v>
      </c>
      <c r="E2049" s="17" t="s">
        <v>98</v>
      </c>
      <c r="G2049" s="19"/>
      <c r="H2049" s="20" t="s">
        <v>2442</v>
      </c>
      <c r="I2049" s="17" t="s">
        <v>89</v>
      </c>
      <c r="J2049" s="17">
        <v>0.0</v>
      </c>
      <c r="K2049" s="17">
        <v>0.0</v>
      </c>
      <c r="L2049" s="17">
        <v>0.0</v>
      </c>
      <c r="M2049" s="17">
        <v>0.0</v>
      </c>
      <c r="N2049" s="17">
        <v>0.0</v>
      </c>
      <c r="O2049" s="17">
        <v>0.0</v>
      </c>
      <c r="P2049" s="17">
        <v>0.0</v>
      </c>
      <c r="Q2049" s="17">
        <v>0.0</v>
      </c>
      <c r="R2049" s="17">
        <v>0.0</v>
      </c>
      <c r="S2049" s="17">
        <v>0.0</v>
      </c>
      <c r="T2049" s="17">
        <v>0.0</v>
      </c>
      <c r="U2049" s="17">
        <v>0.0</v>
      </c>
    </row>
    <row r="2050" ht="23.25" customHeight="1">
      <c r="A2050" s="1" t="str">
        <f>IF(COUNTIF('Icon Lookup'!C:C,B2050)&gt;0,LOOKUP(B2050,'Icon Lookup'!C:C,'Icon Lookup'!B:B),"")</f>
        <v/>
      </c>
      <c r="B2050" s="15" t="s">
        <v>2443</v>
      </c>
      <c r="C2050" s="1" t="s">
        <v>17</v>
      </c>
      <c r="D2050" s="1" t="s">
        <v>2444</v>
      </c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</row>
    <row r="2051" ht="23.25" customHeight="1">
      <c r="A2051" s="20" t="str">
        <f>IF(COUNTIF('Icon Lookup'!C:C,B2051)&gt;0,LOOKUP(B2051,'Icon Lookup'!C:C,'Icon Lookup'!B:B),"")</f>
        <v/>
      </c>
      <c r="B2051" s="21" t="s">
        <v>710</v>
      </c>
      <c r="C2051" s="20" t="s">
        <v>17</v>
      </c>
      <c r="D2051" s="20">
        <v>33.0</v>
      </c>
      <c r="E2051" s="20" t="s">
        <v>121</v>
      </c>
      <c r="G2051" s="22"/>
      <c r="H2051" s="23" t="s">
        <v>711</v>
      </c>
      <c r="I2051" s="20" t="s">
        <v>156</v>
      </c>
      <c r="J2051" s="20">
        <v>0.0</v>
      </c>
      <c r="K2051" s="20">
        <v>0.0</v>
      </c>
      <c r="L2051" s="20">
        <v>0.0</v>
      </c>
      <c r="M2051" s="20">
        <v>0.0</v>
      </c>
      <c r="N2051" s="20">
        <v>0.0</v>
      </c>
      <c r="O2051" s="20">
        <v>0.0</v>
      </c>
      <c r="P2051" s="20">
        <v>0.0</v>
      </c>
      <c r="Q2051" s="20">
        <v>0.0</v>
      </c>
      <c r="R2051" s="20">
        <v>0.0</v>
      </c>
      <c r="S2051" s="20">
        <v>0.0</v>
      </c>
      <c r="T2051" s="20">
        <v>0.0</v>
      </c>
      <c r="U2051" s="20">
        <v>0.0</v>
      </c>
    </row>
    <row r="2052" ht="23.25" customHeight="1">
      <c r="A2052" s="1" t="str">
        <f>IF(COUNTIF('Icon Lookup'!C:C,B2052)&gt;0,LOOKUP(B2052,'Icon Lookup'!C:C,'Icon Lookup'!B:B),"")</f>
        <v/>
      </c>
      <c r="B2052" s="15" t="s">
        <v>2445</v>
      </c>
      <c r="C2052" s="1" t="s">
        <v>17</v>
      </c>
      <c r="D2052" s="1" t="s">
        <v>1044</v>
      </c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</row>
    <row r="2053" ht="23.25" customHeight="1">
      <c r="A2053" s="17" t="str">
        <f>IF(COUNTIF('Icon Lookup'!C:C,B2053)&gt;0,LOOKUP(B2053,'Icon Lookup'!C:C,'Icon Lookup'!B:B),"")</f>
        <v/>
      </c>
      <c r="B2053" s="18" t="s">
        <v>1003</v>
      </c>
      <c r="C2053" s="17" t="s">
        <v>17</v>
      </c>
      <c r="D2053" s="17">
        <v>25.0</v>
      </c>
      <c r="E2053" s="17" t="s">
        <v>1022</v>
      </c>
      <c r="G2053" s="19"/>
      <c r="H2053" s="20" t="s">
        <v>2446</v>
      </c>
      <c r="I2053" s="17" t="s">
        <v>73</v>
      </c>
      <c r="J2053" s="17">
        <v>0.0</v>
      </c>
      <c r="K2053" s="17">
        <v>0.0</v>
      </c>
      <c r="L2053" s="17">
        <v>0.0</v>
      </c>
      <c r="M2053" s="17">
        <v>0.0</v>
      </c>
      <c r="N2053" s="17">
        <v>0.0</v>
      </c>
      <c r="O2053" s="17">
        <v>0.0</v>
      </c>
      <c r="P2053" s="17">
        <v>0.0</v>
      </c>
      <c r="Q2053" s="17">
        <v>0.0</v>
      </c>
      <c r="R2053" s="17">
        <v>0.0</v>
      </c>
      <c r="S2053" s="17">
        <v>0.0</v>
      </c>
      <c r="T2053" s="17">
        <v>0.0</v>
      </c>
      <c r="U2053" s="17">
        <v>0.0</v>
      </c>
    </row>
    <row r="2054" ht="23.25" customHeight="1">
      <c r="A2054" s="1" t="str">
        <f>IF(COUNTIF('Icon Lookup'!C:C,B2054)&gt;0,LOOKUP(B2054,'Icon Lookup'!C:C,'Icon Lookup'!B:B),"")</f>
        <v/>
      </c>
      <c r="B2054" s="15" t="s">
        <v>2447</v>
      </c>
      <c r="C2054" s="1" t="s">
        <v>17</v>
      </c>
      <c r="D2054" s="1" t="s">
        <v>1044</v>
      </c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</row>
    <row r="2055" ht="23.25" customHeight="1">
      <c r="A2055" s="20" t="str">
        <f>IF(COUNTIF('Icon Lookup'!C:C,B2055)&gt;0,LOOKUP(B2055,'Icon Lookup'!C:C,'Icon Lookup'!B:B),"")</f>
        <v/>
      </c>
      <c r="B2055" s="21" t="s">
        <v>687</v>
      </c>
      <c r="C2055" s="20" t="s">
        <v>17</v>
      </c>
      <c r="D2055" s="20">
        <v>25.0</v>
      </c>
      <c r="E2055" s="20" t="s">
        <v>258</v>
      </c>
      <c r="G2055" s="22"/>
      <c r="H2055" s="23" t="s">
        <v>2448</v>
      </c>
      <c r="I2055" s="20" t="s">
        <v>94</v>
      </c>
      <c r="J2055" s="20">
        <v>0.0</v>
      </c>
      <c r="K2055" s="20">
        <v>0.0</v>
      </c>
      <c r="L2055" s="20">
        <v>0.0</v>
      </c>
      <c r="M2055" s="20">
        <v>0.0</v>
      </c>
      <c r="N2055" s="20">
        <v>0.0</v>
      </c>
      <c r="O2055" s="20">
        <v>0.0</v>
      </c>
      <c r="P2055" s="20">
        <v>0.0</v>
      </c>
      <c r="Q2055" s="20">
        <v>0.0</v>
      </c>
      <c r="R2055" s="20">
        <v>0.0</v>
      </c>
      <c r="S2055" s="20">
        <v>0.0</v>
      </c>
      <c r="T2055" s="20">
        <v>0.0</v>
      </c>
      <c r="U2055" s="20">
        <v>0.0</v>
      </c>
    </row>
    <row r="2056" ht="23.25" customHeight="1">
      <c r="A2056" s="17" t="str">
        <f>IF(COUNTIF('Icon Lookup'!C:C,B2056)&gt;0,LOOKUP(B2056,'Icon Lookup'!C:C,'Icon Lookup'!B:B),"")</f>
        <v/>
      </c>
      <c r="B2056" s="18" t="s">
        <v>1017</v>
      </c>
      <c r="C2056" s="17" t="s">
        <v>17</v>
      </c>
      <c r="D2056" s="17">
        <v>25.0</v>
      </c>
      <c r="E2056" s="17" t="s">
        <v>1018</v>
      </c>
      <c r="G2056" s="19"/>
      <c r="H2056" s="20" t="s">
        <v>2449</v>
      </c>
      <c r="I2056" s="17" t="s">
        <v>36</v>
      </c>
      <c r="J2056" s="17">
        <v>0.0</v>
      </c>
      <c r="K2056" s="17">
        <v>0.0</v>
      </c>
      <c r="L2056" s="17">
        <v>0.0</v>
      </c>
      <c r="M2056" s="17">
        <v>0.0</v>
      </c>
      <c r="N2056" s="17">
        <v>0.0</v>
      </c>
      <c r="O2056" s="17">
        <v>0.0</v>
      </c>
      <c r="P2056" s="17">
        <v>0.0</v>
      </c>
      <c r="Q2056" s="17">
        <v>0.0</v>
      </c>
      <c r="R2056" s="17">
        <v>0.0</v>
      </c>
      <c r="S2056" s="17">
        <v>0.0</v>
      </c>
      <c r="T2056" s="17">
        <v>0.0</v>
      </c>
      <c r="U2056" s="17">
        <v>0.0</v>
      </c>
    </row>
    <row r="2057" ht="23.25" customHeight="1">
      <c r="A2057" s="1" t="str">
        <f>IF(COUNTIF('Icon Lookup'!C:C,B2057)&gt;0,LOOKUP(B2057,'Icon Lookup'!C:C,'Icon Lookup'!B:B),"")</f>
        <v/>
      </c>
      <c r="B2057" s="15" t="s">
        <v>2450</v>
      </c>
      <c r="C2057" s="1" t="s">
        <v>17</v>
      </c>
      <c r="D2057" s="1" t="s">
        <v>1044</v>
      </c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</row>
    <row r="2058" ht="23.25" customHeight="1">
      <c r="A2058" s="20" t="str">
        <f>IF(COUNTIF('Icon Lookup'!C:C,B2058)&gt;0,LOOKUP(B2058,'Icon Lookup'!C:C,'Icon Lookup'!B:B),"")</f>
        <v/>
      </c>
      <c r="B2058" s="21" t="s">
        <v>293</v>
      </c>
      <c r="C2058" s="20" t="s">
        <v>17</v>
      </c>
      <c r="D2058" s="20">
        <v>25.0</v>
      </c>
      <c r="E2058" s="20" t="s">
        <v>61</v>
      </c>
      <c r="G2058" s="22"/>
      <c r="H2058" s="23" t="s">
        <v>2451</v>
      </c>
      <c r="I2058" s="20" t="s">
        <v>1045</v>
      </c>
      <c r="J2058" s="20">
        <v>0.0</v>
      </c>
      <c r="K2058" s="20">
        <v>0.0</v>
      </c>
      <c r="L2058" s="20">
        <v>0.0</v>
      </c>
      <c r="M2058" s="20">
        <v>0.0</v>
      </c>
      <c r="N2058" s="20">
        <v>0.0</v>
      </c>
      <c r="O2058" s="20">
        <v>0.0</v>
      </c>
      <c r="P2058" s="20">
        <v>0.0</v>
      </c>
      <c r="Q2058" s="20">
        <v>0.0</v>
      </c>
      <c r="R2058" s="20">
        <v>0.0</v>
      </c>
      <c r="S2058" s="20">
        <v>0.0</v>
      </c>
      <c r="T2058" s="20">
        <v>0.0</v>
      </c>
      <c r="U2058" s="20">
        <v>0.0</v>
      </c>
    </row>
    <row r="2059" ht="23.25" customHeight="1">
      <c r="A2059" s="17" t="str">
        <f>IF(COUNTIF('Icon Lookup'!C:C,B2059)&gt;0,LOOKUP(B2059,'Icon Lookup'!C:C,'Icon Lookup'!B:B),"")</f>
        <v/>
      </c>
      <c r="B2059" s="18" t="s">
        <v>288</v>
      </c>
      <c r="C2059" s="17" t="s">
        <v>17</v>
      </c>
      <c r="D2059" s="17">
        <v>25.0</v>
      </c>
      <c r="E2059" s="17" t="s">
        <v>289</v>
      </c>
      <c r="G2059" s="19"/>
      <c r="H2059" s="20" t="s">
        <v>290</v>
      </c>
      <c r="I2059" s="17" t="s">
        <v>197</v>
      </c>
      <c r="J2059" s="17">
        <v>0.0</v>
      </c>
      <c r="K2059" s="17">
        <v>0.0</v>
      </c>
      <c r="L2059" s="17">
        <v>0.0</v>
      </c>
      <c r="M2059" s="17">
        <v>0.0</v>
      </c>
      <c r="N2059" s="17">
        <v>0.0</v>
      </c>
      <c r="O2059" s="17">
        <v>0.0</v>
      </c>
      <c r="P2059" s="17">
        <v>0.0</v>
      </c>
      <c r="Q2059" s="17">
        <v>0.0</v>
      </c>
      <c r="R2059" s="17">
        <v>0.0</v>
      </c>
      <c r="S2059" s="17">
        <v>0.0</v>
      </c>
      <c r="T2059" s="17">
        <v>0.0</v>
      </c>
      <c r="U2059" s="17">
        <v>0.0</v>
      </c>
    </row>
    <row r="2060" ht="23.25" customHeight="1">
      <c r="A2060" s="1" t="str">
        <f>IF(COUNTIF('Icon Lookup'!C:C,B2060)&gt;0,LOOKUP(B2060,'Icon Lookup'!C:C,'Icon Lookup'!B:B),"")</f>
        <v/>
      </c>
      <c r="B2060" s="15" t="s">
        <v>2452</v>
      </c>
      <c r="C2060" s="1" t="s">
        <v>17</v>
      </c>
      <c r="D2060" s="1" t="s">
        <v>801</v>
      </c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</row>
    <row r="2061" ht="23.25" customHeight="1">
      <c r="A2061" s="20" t="str">
        <f>IF(COUNTIF('Icon Lookup'!C:C,B2061)&gt;0,LOOKUP(B2061,'Icon Lookup'!C:C,'Icon Lookup'!B:B),"")</f>
        <v/>
      </c>
      <c r="B2061" s="21" t="s">
        <v>2453</v>
      </c>
      <c r="C2061" s="20" t="s">
        <v>17</v>
      </c>
      <c r="D2061" s="20">
        <v>68.0</v>
      </c>
      <c r="E2061" s="20" t="str">
        <f>IMAGE("https://www.serebii.net/itemdex/sprites/smoothrock.png")</f>
        <v/>
      </c>
      <c r="F2061" s="20" t="s">
        <v>511</v>
      </c>
      <c r="G2061" s="20" t="s">
        <v>2454</v>
      </c>
      <c r="H2061" s="23" t="s">
        <v>2455</v>
      </c>
      <c r="I2061" s="20" t="s">
        <v>550</v>
      </c>
      <c r="J2061" s="20">
        <v>248.0</v>
      </c>
      <c r="K2061" s="20">
        <v>252.0</v>
      </c>
      <c r="L2061" s="20">
        <v>8.0</v>
      </c>
      <c r="M2061" s="20">
        <v>0.0</v>
      </c>
      <c r="N2061" s="20">
        <v>0.0</v>
      </c>
      <c r="O2061" s="20">
        <v>0.0</v>
      </c>
      <c r="P2061" s="20">
        <v>31.0</v>
      </c>
      <c r="Q2061" s="20">
        <v>31.0</v>
      </c>
      <c r="R2061" s="20">
        <v>31.0</v>
      </c>
      <c r="S2061" s="20">
        <v>31.0</v>
      </c>
      <c r="T2061" s="20">
        <v>31.0</v>
      </c>
      <c r="U2061" s="20">
        <v>31.0</v>
      </c>
    </row>
    <row r="2062" ht="23.25" customHeight="1">
      <c r="A2062" s="17" t="str">
        <f>IF(COUNTIF('Icon Lookup'!C:C,B2062)&gt;0,LOOKUP(B2062,'Icon Lookup'!C:C,'Icon Lookup'!B:B),"")</f>
        <v/>
      </c>
      <c r="B2062" s="18" t="s">
        <v>1820</v>
      </c>
      <c r="C2062" s="17" t="s">
        <v>17</v>
      </c>
      <c r="D2062" s="17">
        <v>66.0</v>
      </c>
      <c r="E2062" s="17" t="str">
        <f>IMAGE("https://www.serebii.net/itemdex/sprites/scopelens.png")</f>
        <v/>
      </c>
      <c r="F2062" s="17" t="s">
        <v>849</v>
      </c>
      <c r="G2062" s="17" t="s">
        <v>855</v>
      </c>
      <c r="H2062" s="20" t="s">
        <v>2456</v>
      </c>
      <c r="I2062" s="17" t="s">
        <v>22</v>
      </c>
      <c r="J2062" s="17">
        <v>6.0</v>
      </c>
      <c r="K2062" s="17">
        <v>252.0</v>
      </c>
      <c r="L2062" s="17">
        <v>0.0</v>
      </c>
      <c r="M2062" s="17">
        <v>0.0</v>
      </c>
      <c r="N2062" s="17">
        <v>0.0</v>
      </c>
      <c r="O2062" s="17">
        <v>252.0</v>
      </c>
      <c r="P2062" s="17">
        <v>31.0</v>
      </c>
      <c r="Q2062" s="17">
        <v>31.0</v>
      </c>
      <c r="R2062" s="17">
        <v>31.0</v>
      </c>
      <c r="S2062" s="17">
        <v>31.0</v>
      </c>
      <c r="T2062" s="17">
        <v>31.0</v>
      </c>
      <c r="U2062" s="17">
        <v>31.0</v>
      </c>
    </row>
    <row r="2063" ht="23.25" customHeight="1">
      <c r="A2063" s="20" t="str">
        <f>IF(COUNTIF('Icon Lookup'!C:C,B2063)&gt;0,LOOKUP(B2063,'Icon Lookup'!C:C,'Icon Lookup'!B:B),"")</f>
        <v/>
      </c>
      <c r="B2063" s="21" t="s">
        <v>2457</v>
      </c>
      <c r="C2063" s="20" t="s">
        <v>17</v>
      </c>
      <c r="D2063" s="20">
        <v>70.0</v>
      </c>
      <c r="E2063" s="20" t="str">
        <f>IMAGE("https://www.serebii.net/itemdex/sprites/sitrusberry.png")</f>
        <v/>
      </c>
      <c r="F2063" s="20" t="s">
        <v>44</v>
      </c>
      <c r="G2063" s="20" t="s">
        <v>824</v>
      </c>
      <c r="H2063" s="23" t="s">
        <v>2458</v>
      </c>
      <c r="I2063" s="20" t="s">
        <v>550</v>
      </c>
      <c r="J2063" s="20">
        <v>248.0</v>
      </c>
      <c r="K2063" s="20">
        <v>252.0</v>
      </c>
      <c r="L2063" s="20">
        <v>8.0</v>
      </c>
      <c r="M2063" s="20">
        <v>0.0</v>
      </c>
      <c r="N2063" s="20">
        <v>0.0</v>
      </c>
      <c r="O2063" s="20">
        <v>0.0</v>
      </c>
      <c r="P2063" s="20">
        <v>31.0</v>
      </c>
      <c r="Q2063" s="20">
        <v>31.0</v>
      </c>
      <c r="R2063" s="20">
        <v>31.0</v>
      </c>
      <c r="S2063" s="20">
        <v>31.0</v>
      </c>
      <c r="T2063" s="20">
        <v>31.0</v>
      </c>
      <c r="U2063" s="20">
        <v>31.0</v>
      </c>
    </row>
    <row r="2064" ht="23.25" customHeight="1">
      <c r="A2064" s="17" t="str">
        <f>IF(COUNTIF('Icon Lookup'!C:C,B2064)&gt;0,LOOKUP(B2064,'Icon Lookup'!C:C,'Icon Lookup'!B:B),"")</f>
        <v/>
      </c>
      <c r="B2064" s="18" t="s">
        <v>2459</v>
      </c>
      <c r="C2064" s="17" t="s">
        <v>17</v>
      </c>
      <c r="D2064" s="17">
        <v>68.0</v>
      </c>
      <c r="E2064" s="17" t="str">
        <f>IMAGE("https://www.serebii.net/itemdex/sprites/focussash.png")</f>
        <v/>
      </c>
      <c r="F2064" s="17" t="s">
        <v>2460</v>
      </c>
      <c r="G2064" s="17" t="s">
        <v>881</v>
      </c>
      <c r="H2064" s="20" t="s">
        <v>2461</v>
      </c>
      <c r="I2064" s="17" t="s">
        <v>612</v>
      </c>
      <c r="J2064" s="17">
        <v>0.0</v>
      </c>
      <c r="K2064" s="17">
        <v>0.0</v>
      </c>
      <c r="L2064" s="17">
        <v>252.0</v>
      </c>
      <c r="M2064" s="17">
        <v>252.0</v>
      </c>
      <c r="N2064" s="17">
        <v>0.0</v>
      </c>
      <c r="O2064" s="17">
        <v>4.0</v>
      </c>
      <c r="P2064" s="17">
        <v>31.0</v>
      </c>
      <c r="Q2064" s="17">
        <v>31.0</v>
      </c>
      <c r="R2064" s="17">
        <v>31.0</v>
      </c>
      <c r="S2064" s="17">
        <v>31.0</v>
      </c>
      <c r="T2064" s="17">
        <v>31.0</v>
      </c>
      <c r="U2064" s="17">
        <v>31.0</v>
      </c>
    </row>
    <row r="2065" ht="23.25" customHeight="1">
      <c r="A2065" s="20" t="str">
        <f>IF(COUNTIF('Icon Lookup'!C:C,B2065)&gt;0,LOOKUP(B2065,'Icon Lookup'!C:C,'Icon Lookup'!B:B),"")</f>
        <v/>
      </c>
      <c r="B2065" s="21" t="s">
        <v>2462</v>
      </c>
      <c r="C2065" s="20" t="s">
        <v>17</v>
      </c>
      <c r="D2065" s="20">
        <v>64.0</v>
      </c>
      <c r="E2065" s="20" t="str">
        <f>IMAGE("https://www.serebii.net/itemdex/sprites/choiceband.png")</f>
        <v/>
      </c>
      <c r="F2065" s="20" t="s">
        <v>87</v>
      </c>
      <c r="G2065" s="20" t="s">
        <v>2463</v>
      </c>
      <c r="H2065" s="23" t="s">
        <v>2464</v>
      </c>
      <c r="I2065" s="20" t="s">
        <v>550</v>
      </c>
      <c r="J2065" s="20">
        <v>0.0</v>
      </c>
      <c r="K2065" s="20">
        <v>252.0</v>
      </c>
      <c r="L2065" s="20">
        <v>80.0</v>
      </c>
      <c r="M2065" s="20">
        <v>0.0</v>
      </c>
      <c r="N2065" s="20">
        <v>176.0</v>
      </c>
      <c r="O2065" s="20">
        <v>0.0</v>
      </c>
      <c r="P2065" s="20">
        <v>31.0</v>
      </c>
      <c r="Q2065" s="20">
        <v>31.0</v>
      </c>
      <c r="R2065" s="20">
        <v>31.0</v>
      </c>
      <c r="S2065" s="20">
        <v>31.0</v>
      </c>
      <c r="T2065" s="20">
        <v>31.0</v>
      </c>
      <c r="U2065" s="20">
        <v>31.0</v>
      </c>
    </row>
    <row r="2066" ht="23.25" customHeight="1">
      <c r="A2066" s="24" t="str">
        <f>IF(COUNTIF('Icon Lookup'!C:C,B2066)&gt;0,LOOKUP(B2066,'Icon Lookup'!C:C,'Icon Lookup'!B:B),"")</f>
        <v/>
      </c>
      <c r="B2066" s="25" t="s">
        <v>714</v>
      </c>
      <c r="C2066" s="24" t="s">
        <v>804</v>
      </c>
      <c r="D2066" s="24">
        <v>72.0</v>
      </c>
      <c r="E2066" s="24" t="str">
        <f>IMAGE("https://www.serebii.net/itemdex/sprites/lifeorb.png")</f>
        <v/>
      </c>
      <c r="F2066" s="24" t="s">
        <v>872</v>
      </c>
      <c r="G2066" s="17" t="s">
        <v>873</v>
      </c>
      <c r="H2066" s="20" t="s">
        <v>2465</v>
      </c>
      <c r="I2066" s="24" t="s">
        <v>550</v>
      </c>
      <c r="J2066" s="24">
        <v>32.0</v>
      </c>
      <c r="K2066" s="24">
        <v>252.0</v>
      </c>
      <c r="L2066" s="24">
        <v>216.0</v>
      </c>
      <c r="M2066" s="24">
        <v>0.0</v>
      </c>
      <c r="N2066" s="24">
        <v>8.0</v>
      </c>
      <c r="O2066" s="24">
        <v>0.0</v>
      </c>
      <c r="P2066" s="24">
        <v>31.0</v>
      </c>
      <c r="Q2066" s="24">
        <v>31.0</v>
      </c>
      <c r="R2066" s="24">
        <v>31.0</v>
      </c>
      <c r="S2066" s="24">
        <v>31.0</v>
      </c>
      <c r="T2066" s="24">
        <v>31.0</v>
      </c>
      <c r="U2066" s="24">
        <v>31.0</v>
      </c>
    </row>
    <row r="2067" ht="23.25" customHeight="1">
      <c r="A2067" s="1" t="str">
        <f>IF(COUNTIF('Icon Lookup'!C:C,B2067)&gt;0,LOOKUP(B2067,'Icon Lookup'!C:C,'Icon Lookup'!B:B),"")</f>
        <v/>
      </c>
      <c r="B2067" s="15" t="s">
        <v>2466</v>
      </c>
      <c r="C2067" s="1" t="s">
        <v>17</v>
      </c>
      <c r="D2067" s="1" t="s">
        <v>1104</v>
      </c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</row>
    <row r="2068" ht="23.25" customHeight="1">
      <c r="A2068" s="20" t="str">
        <f>IF(COUNTIF('Icon Lookup'!C:C,B2068)&gt;0,LOOKUP(B2068,'Icon Lookup'!C:C,'Icon Lookup'!B:B),"")</f>
        <v/>
      </c>
      <c r="B2068" s="21" t="s">
        <v>2467</v>
      </c>
      <c r="C2068" s="20" t="s">
        <v>17</v>
      </c>
      <c r="D2068" s="20">
        <v>66.0</v>
      </c>
      <c r="E2068" s="20" t="str">
        <f>IMAGE("https://www.serebii.net/itemdex/sprites/heatrock.png")</f>
        <v/>
      </c>
      <c r="F2068" s="20" t="s">
        <v>66</v>
      </c>
      <c r="G2068" s="20" t="s">
        <v>2468</v>
      </c>
      <c r="H2068" s="23" t="s">
        <v>2469</v>
      </c>
      <c r="I2068" s="20" t="s">
        <v>52</v>
      </c>
      <c r="J2068" s="20">
        <v>76.0</v>
      </c>
      <c r="K2068" s="20">
        <v>0.0</v>
      </c>
      <c r="L2068" s="20">
        <v>44.0</v>
      </c>
      <c r="M2068" s="20">
        <v>128.0</v>
      </c>
      <c r="N2068" s="20">
        <v>8.0</v>
      </c>
      <c r="O2068" s="20">
        <v>252.0</v>
      </c>
      <c r="P2068" s="20">
        <v>31.0</v>
      </c>
      <c r="Q2068" s="20">
        <v>31.0</v>
      </c>
      <c r="R2068" s="20">
        <v>31.0</v>
      </c>
      <c r="S2068" s="20">
        <v>31.0</v>
      </c>
      <c r="T2068" s="20">
        <v>31.0</v>
      </c>
      <c r="U2068" s="20">
        <v>31.0</v>
      </c>
    </row>
    <row r="2069" ht="23.25" customHeight="1">
      <c r="A2069" s="17" t="str">
        <f>IF(COUNTIF('Icon Lookup'!C:C,B2069)&gt;0,LOOKUP(B2069,'Icon Lookup'!C:C,'Icon Lookup'!B:B),"")</f>
        <v/>
      </c>
      <c r="B2069" s="18" t="s">
        <v>2470</v>
      </c>
      <c r="C2069" s="17" t="s">
        <v>17</v>
      </c>
      <c r="D2069" s="17">
        <v>70.0</v>
      </c>
      <c r="E2069" s="17" t="str">
        <f>IMAGE("https://www.serebii.net/itemdex/sprites/choicescarf.png")</f>
        <v/>
      </c>
      <c r="F2069" s="17" t="s">
        <v>2471</v>
      </c>
      <c r="G2069" s="17" t="s">
        <v>2472</v>
      </c>
      <c r="H2069" s="20" t="s">
        <v>2473</v>
      </c>
      <c r="I2069" s="17" t="s">
        <v>52</v>
      </c>
      <c r="J2069" s="17">
        <v>6.0</v>
      </c>
      <c r="K2069" s="17">
        <v>0.0</v>
      </c>
      <c r="L2069" s="17">
        <v>0.0</v>
      </c>
      <c r="M2069" s="17">
        <v>252.0</v>
      </c>
      <c r="N2069" s="17">
        <v>0.0</v>
      </c>
      <c r="O2069" s="17">
        <v>252.0</v>
      </c>
      <c r="P2069" s="17">
        <v>31.0</v>
      </c>
      <c r="Q2069" s="17">
        <v>31.0</v>
      </c>
      <c r="R2069" s="17">
        <v>31.0</v>
      </c>
      <c r="S2069" s="17">
        <v>31.0</v>
      </c>
      <c r="T2069" s="17">
        <v>31.0</v>
      </c>
      <c r="U2069" s="17">
        <v>31.0</v>
      </c>
    </row>
    <row r="2070" ht="23.25" customHeight="1">
      <c r="A2070" s="20" t="str">
        <f>IF(COUNTIF('Icon Lookup'!C:C,B2070)&gt;0,LOOKUP(B2070,'Icon Lookup'!C:C,'Icon Lookup'!B:B),"")</f>
        <v/>
      </c>
      <c r="B2070" s="21" t="s">
        <v>600</v>
      </c>
      <c r="C2070" s="20" t="s">
        <v>17</v>
      </c>
      <c r="D2070" s="20">
        <v>69.0</v>
      </c>
      <c r="E2070" s="20" t="str">
        <f>IMAGE("https://www.serebii.net/itemdex/sprites/focussash.png")</f>
        <v/>
      </c>
      <c r="F2070" s="20" t="s">
        <v>601</v>
      </c>
      <c r="G2070" s="20" t="s">
        <v>881</v>
      </c>
      <c r="H2070" s="23" t="s">
        <v>2474</v>
      </c>
      <c r="I2070" s="20" t="s">
        <v>2475</v>
      </c>
      <c r="J2070" s="20">
        <v>0.0</v>
      </c>
      <c r="K2070" s="20">
        <v>252.0</v>
      </c>
      <c r="L2070" s="20">
        <v>0.0</v>
      </c>
      <c r="M2070" s="20">
        <v>252.0</v>
      </c>
      <c r="N2070" s="20">
        <v>0.0</v>
      </c>
      <c r="O2070" s="20">
        <v>6.0</v>
      </c>
      <c r="P2070" s="20">
        <v>31.0</v>
      </c>
      <c r="Q2070" s="20">
        <v>31.0</v>
      </c>
      <c r="R2070" s="20">
        <v>31.0</v>
      </c>
      <c r="S2070" s="20">
        <v>31.0</v>
      </c>
      <c r="T2070" s="20">
        <v>31.0</v>
      </c>
      <c r="U2070" s="20">
        <v>31.0</v>
      </c>
    </row>
    <row r="2071" ht="23.25" customHeight="1">
      <c r="A2071" s="17" t="str">
        <f>IF(COUNTIF('Icon Lookup'!C:C,B2071)&gt;0,LOOKUP(B2071,'Icon Lookup'!C:C,'Icon Lookup'!B:B),"")</f>
        <v/>
      </c>
      <c r="B2071" s="18" t="s">
        <v>1920</v>
      </c>
      <c r="C2071" s="17" t="s">
        <v>17</v>
      </c>
      <c r="D2071" s="17">
        <v>68.0</v>
      </c>
      <c r="E2071" s="17" t="str">
        <f>IMAGE("https://www.serebii.net/itemdex/sprites/toxicorb.png")</f>
        <v/>
      </c>
      <c r="F2071" s="17" t="s">
        <v>1921</v>
      </c>
      <c r="G2071" s="17" t="s">
        <v>2476</v>
      </c>
      <c r="H2071" s="20" t="s">
        <v>2477</v>
      </c>
      <c r="I2071" s="17" t="s">
        <v>22</v>
      </c>
      <c r="J2071" s="17">
        <v>120.0</v>
      </c>
      <c r="K2071" s="17">
        <v>138.0</v>
      </c>
      <c r="L2071" s="17">
        <v>0.0</v>
      </c>
      <c r="M2071" s="17">
        <v>0.0</v>
      </c>
      <c r="N2071" s="17">
        <v>0.0</v>
      </c>
      <c r="O2071" s="17">
        <v>252.0</v>
      </c>
      <c r="P2071" s="17">
        <v>31.0</v>
      </c>
      <c r="Q2071" s="17">
        <v>31.0</v>
      </c>
      <c r="R2071" s="17">
        <v>31.0</v>
      </c>
      <c r="S2071" s="17">
        <v>31.0</v>
      </c>
      <c r="T2071" s="17">
        <v>31.0</v>
      </c>
      <c r="U2071" s="17">
        <v>31.0</v>
      </c>
    </row>
    <row r="2072" ht="23.25" customHeight="1">
      <c r="A2072" s="20" t="str">
        <f>IF(COUNTIF('Icon Lookup'!C:C,B2072)&gt;0,LOOKUP(B2072,'Icon Lookup'!C:C,'Icon Lookup'!B:B),"")</f>
        <v/>
      </c>
      <c r="B2072" s="21" t="s">
        <v>730</v>
      </c>
      <c r="C2072" s="20" t="s">
        <v>17</v>
      </c>
      <c r="D2072" s="20">
        <v>68.0</v>
      </c>
      <c r="E2072" s="20" t="str">
        <f>IMAGE("https://www.serebii.net/itemdex/sprites/lifeorb.png")</f>
        <v/>
      </c>
      <c r="F2072" s="20" t="s">
        <v>267</v>
      </c>
      <c r="G2072" s="20" t="s">
        <v>873</v>
      </c>
      <c r="H2072" s="23" t="s">
        <v>2478</v>
      </c>
      <c r="I2072" s="20" t="s">
        <v>550</v>
      </c>
      <c r="J2072" s="20">
        <v>252.0</v>
      </c>
      <c r="K2072" s="20">
        <v>252.0</v>
      </c>
      <c r="L2072" s="20">
        <v>0.0</v>
      </c>
      <c r="M2072" s="20">
        <v>0.0</v>
      </c>
      <c r="N2072" s="20">
        <v>0.0</v>
      </c>
      <c r="O2072" s="20">
        <v>6.0</v>
      </c>
      <c r="P2072" s="20">
        <v>31.0</v>
      </c>
      <c r="Q2072" s="20">
        <v>31.0</v>
      </c>
      <c r="R2072" s="20">
        <v>31.0</v>
      </c>
      <c r="S2072" s="20">
        <v>31.0</v>
      </c>
      <c r="T2072" s="20">
        <v>31.0</v>
      </c>
      <c r="U2072" s="20">
        <v>31.0</v>
      </c>
    </row>
    <row r="2073" ht="23.25" customHeight="1">
      <c r="A2073" s="24" t="str">
        <f>IF(COUNTIF('Icon Lookup'!C:C,B2073)&gt;0,LOOKUP(B2073,'Icon Lookup'!C:C,'Icon Lookup'!B:B),"")</f>
        <v/>
      </c>
      <c r="B2073" s="25" t="s">
        <v>906</v>
      </c>
      <c r="C2073" s="24" t="s">
        <v>804</v>
      </c>
      <c r="D2073" s="24">
        <v>72.0</v>
      </c>
      <c r="E2073" s="24" t="str">
        <f>IMAGE("https://www.serebii.net/itemdex/sprites/powerherb.png")</f>
        <v/>
      </c>
      <c r="F2073" s="24" t="s">
        <v>959</v>
      </c>
      <c r="G2073" s="17" t="s">
        <v>2479</v>
      </c>
      <c r="H2073" s="20" t="s">
        <v>2480</v>
      </c>
      <c r="I2073" s="24" t="s">
        <v>612</v>
      </c>
      <c r="J2073" s="24">
        <v>6.0</v>
      </c>
      <c r="K2073" s="24">
        <v>0.0</v>
      </c>
      <c r="L2073" s="24">
        <v>0.0</v>
      </c>
      <c r="M2073" s="24">
        <v>252.0</v>
      </c>
      <c r="N2073" s="24">
        <v>0.0</v>
      </c>
      <c r="O2073" s="24">
        <v>252.0</v>
      </c>
      <c r="P2073" s="24">
        <v>31.0</v>
      </c>
      <c r="Q2073" s="24">
        <v>31.0</v>
      </c>
      <c r="R2073" s="24">
        <v>31.0</v>
      </c>
      <c r="S2073" s="24">
        <v>31.0</v>
      </c>
      <c r="T2073" s="24">
        <v>31.0</v>
      </c>
      <c r="U2073" s="24">
        <v>31.0</v>
      </c>
    </row>
    <row r="2074" ht="23.25" customHeight="1">
      <c r="A2074" s="1" t="str">
        <f>IF(COUNTIF('Icon Lookup'!C:C,B2074)&gt;0,LOOKUP(B2074,'Icon Lookup'!C:C,'Icon Lookup'!B:B),"")</f>
        <v/>
      </c>
      <c r="B2074" s="15" t="s">
        <v>2481</v>
      </c>
      <c r="C2074" s="1" t="s">
        <v>17</v>
      </c>
      <c r="D2074" s="1" t="s">
        <v>1112</v>
      </c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</row>
    <row r="2075" ht="23.25" customHeight="1">
      <c r="A2075" s="20" t="str">
        <f>IF(COUNTIF('Icon Lookup'!C:C,B2075)&gt;0,LOOKUP(B2075,'Icon Lookup'!C:C,'Icon Lookup'!B:B),"")</f>
        <v/>
      </c>
      <c r="B2075" s="21" t="s">
        <v>2482</v>
      </c>
      <c r="C2075" s="20" t="s">
        <v>17</v>
      </c>
      <c r="D2075" s="20">
        <v>68.0</v>
      </c>
      <c r="E2075" s="20" t="str">
        <f>IMAGE("https://www.serebii.net/itemdex/sprites/damprock.png")</f>
        <v/>
      </c>
      <c r="F2075" s="20" t="s">
        <v>411</v>
      </c>
      <c r="G2075" s="20" t="s">
        <v>1114</v>
      </c>
      <c r="H2075" s="23" t="s">
        <v>2483</v>
      </c>
      <c r="I2075" s="20" t="s">
        <v>52</v>
      </c>
      <c r="J2075" s="20">
        <v>6.0</v>
      </c>
      <c r="K2075" s="20">
        <v>0.0</v>
      </c>
      <c r="L2075" s="20">
        <v>0.0</v>
      </c>
      <c r="M2075" s="20">
        <v>252.0</v>
      </c>
      <c r="N2075" s="20">
        <v>0.0</v>
      </c>
      <c r="O2075" s="20">
        <v>252.0</v>
      </c>
      <c r="P2075" s="20">
        <v>31.0</v>
      </c>
      <c r="Q2075" s="20">
        <v>31.0</v>
      </c>
      <c r="R2075" s="20">
        <v>31.0</v>
      </c>
      <c r="S2075" s="20">
        <v>31.0</v>
      </c>
      <c r="T2075" s="20">
        <v>31.0</v>
      </c>
      <c r="U2075" s="20">
        <v>31.0</v>
      </c>
    </row>
    <row r="2076" ht="23.25" customHeight="1">
      <c r="A2076" s="17" t="str">
        <f>IF(COUNTIF('Icon Lookup'!C:C,B2076)&gt;0,LOOKUP(B2076,'Icon Lookup'!C:C,'Icon Lookup'!B:B),"")</f>
        <v/>
      </c>
      <c r="B2076" s="18" t="s">
        <v>2484</v>
      </c>
      <c r="C2076" s="17" t="s">
        <v>17</v>
      </c>
      <c r="D2076" s="17">
        <v>68.0</v>
      </c>
      <c r="E2076" s="17" t="str">
        <f>IMAGE("https://www.serebii.net/itemdex/sprites/chestoberry.png")</f>
        <v/>
      </c>
      <c r="F2076" s="17" t="s">
        <v>44</v>
      </c>
      <c r="G2076" s="17" t="s">
        <v>865</v>
      </c>
      <c r="H2076" s="20" t="s">
        <v>2485</v>
      </c>
      <c r="I2076" s="17" t="s">
        <v>52</v>
      </c>
      <c r="J2076" s="17">
        <v>6.0</v>
      </c>
      <c r="K2076" s="17">
        <v>0.0</v>
      </c>
      <c r="L2076" s="17">
        <v>0.0</v>
      </c>
      <c r="M2076" s="17">
        <v>252.0</v>
      </c>
      <c r="N2076" s="17">
        <v>0.0</v>
      </c>
      <c r="O2076" s="17">
        <v>252.0</v>
      </c>
      <c r="P2076" s="17">
        <v>31.0</v>
      </c>
      <c r="Q2076" s="17">
        <v>31.0</v>
      </c>
      <c r="R2076" s="17">
        <v>31.0</v>
      </c>
      <c r="S2076" s="17">
        <v>31.0</v>
      </c>
      <c r="T2076" s="17">
        <v>31.0</v>
      </c>
      <c r="U2076" s="17">
        <v>31.0</v>
      </c>
    </row>
    <row r="2077" ht="23.25" customHeight="1">
      <c r="A2077" s="20" t="str">
        <f>IF(COUNTIF('Icon Lookup'!C:C,B2077)&gt;0,LOOKUP(B2077,'Icon Lookup'!C:C,'Icon Lookup'!B:B),"")</f>
        <v/>
      </c>
      <c r="B2077" s="21" t="s">
        <v>2486</v>
      </c>
      <c r="C2077" s="20" t="s">
        <v>17</v>
      </c>
      <c r="D2077" s="20">
        <v>68.0</v>
      </c>
      <c r="E2077" s="20" t="str">
        <f>IMAGE("https://www.serebii.net/itemdex/sprites/sitrusberry.png")</f>
        <v/>
      </c>
      <c r="F2077" s="20" t="s">
        <v>44</v>
      </c>
      <c r="G2077" s="20" t="s">
        <v>824</v>
      </c>
      <c r="H2077" s="23" t="s">
        <v>2487</v>
      </c>
      <c r="I2077" s="20" t="s">
        <v>612</v>
      </c>
      <c r="J2077" s="20">
        <v>6.0</v>
      </c>
      <c r="K2077" s="20">
        <v>0.0</v>
      </c>
      <c r="L2077" s="20">
        <v>0.0</v>
      </c>
      <c r="M2077" s="20">
        <v>252.0</v>
      </c>
      <c r="N2077" s="20">
        <v>0.0</v>
      </c>
      <c r="O2077" s="20">
        <v>252.0</v>
      </c>
      <c r="P2077" s="20">
        <v>31.0</v>
      </c>
      <c r="Q2077" s="20">
        <v>31.0</v>
      </c>
      <c r="R2077" s="20">
        <v>31.0</v>
      </c>
      <c r="S2077" s="20">
        <v>31.0</v>
      </c>
      <c r="T2077" s="20">
        <v>31.0</v>
      </c>
      <c r="U2077" s="20">
        <v>31.0</v>
      </c>
    </row>
    <row r="2078" ht="23.25" customHeight="1">
      <c r="A2078" s="17" t="str">
        <f>IF(COUNTIF('Icon Lookup'!C:C,B2078)&gt;0,LOOKUP(B2078,'Icon Lookup'!C:C,'Icon Lookup'!B:B),"")</f>
        <v/>
      </c>
      <c r="B2078" s="18" t="s">
        <v>2488</v>
      </c>
      <c r="C2078" s="17" t="s">
        <v>17</v>
      </c>
      <c r="D2078" s="17">
        <v>70.0</v>
      </c>
      <c r="E2078" s="17" t="str">
        <f>IMAGE("https://www.serebii.net/itemdex/sprites/focussash.png")</f>
        <v/>
      </c>
      <c r="F2078" s="17" t="s">
        <v>44</v>
      </c>
      <c r="G2078" s="17" t="s">
        <v>881</v>
      </c>
      <c r="H2078" s="20" t="s">
        <v>2489</v>
      </c>
      <c r="I2078" s="17" t="s">
        <v>22</v>
      </c>
      <c r="J2078" s="17">
        <v>6.0</v>
      </c>
      <c r="K2078" s="17">
        <v>252.0</v>
      </c>
      <c r="L2078" s="17">
        <v>0.0</v>
      </c>
      <c r="M2078" s="17">
        <v>0.0</v>
      </c>
      <c r="N2078" s="17">
        <v>0.0</v>
      </c>
      <c r="O2078" s="17">
        <v>252.0</v>
      </c>
      <c r="P2078" s="17">
        <v>31.0</v>
      </c>
      <c r="Q2078" s="17">
        <v>31.0</v>
      </c>
      <c r="R2078" s="17">
        <v>31.0</v>
      </c>
      <c r="S2078" s="17">
        <v>31.0</v>
      </c>
      <c r="T2078" s="17">
        <v>31.0</v>
      </c>
      <c r="U2078" s="17">
        <v>31.0</v>
      </c>
    </row>
    <row r="2079" ht="23.25" customHeight="1">
      <c r="A2079" s="20" t="str">
        <f>IF(COUNTIF('Icon Lookup'!C:C,B2079)&gt;0,LOOKUP(B2079,'Icon Lookup'!C:C,'Icon Lookup'!B:B),"")</f>
        <v/>
      </c>
      <c r="B2079" s="21" t="s">
        <v>190</v>
      </c>
      <c r="C2079" s="20" t="s">
        <v>17</v>
      </c>
      <c r="D2079" s="20">
        <v>70.0</v>
      </c>
      <c r="E2079" s="20" t="str">
        <f>IMAGE("https://www.serebii.net/itemdex/sprites/wacanberry.png")</f>
        <v/>
      </c>
      <c r="F2079" s="20" t="s">
        <v>26</v>
      </c>
      <c r="G2079" s="20" t="s">
        <v>1373</v>
      </c>
      <c r="H2079" s="23" t="s">
        <v>2490</v>
      </c>
      <c r="I2079" s="20" t="s">
        <v>22</v>
      </c>
      <c r="J2079" s="20">
        <v>6.0</v>
      </c>
      <c r="K2079" s="20">
        <v>252.0</v>
      </c>
      <c r="L2079" s="20">
        <v>0.0</v>
      </c>
      <c r="M2079" s="20">
        <v>0.0</v>
      </c>
      <c r="N2079" s="20">
        <v>0.0</v>
      </c>
      <c r="O2079" s="20">
        <v>252.0</v>
      </c>
      <c r="P2079" s="20">
        <v>31.0</v>
      </c>
      <c r="Q2079" s="20">
        <v>31.0</v>
      </c>
      <c r="R2079" s="20">
        <v>31.0</v>
      </c>
      <c r="S2079" s="20">
        <v>31.0</v>
      </c>
      <c r="T2079" s="20">
        <v>31.0</v>
      </c>
      <c r="U2079" s="20">
        <v>31.0</v>
      </c>
    </row>
    <row r="2080" ht="23.25" customHeight="1">
      <c r="A2080" s="24" t="str">
        <f>IF(COUNTIF('Icon Lookup'!C:C,B2080)&gt;0,LOOKUP(B2080,'Icon Lookup'!C:C,'Icon Lookup'!B:B),"")</f>
        <v/>
      </c>
      <c r="B2080" s="25" t="s">
        <v>921</v>
      </c>
      <c r="C2080" s="24" t="s">
        <v>804</v>
      </c>
      <c r="D2080" s="24">
        <v>72.0</v>
      </c>
      <c r="E2080" s="24" t="str">
        <f>IMAGE("https://www.serebii.net/itemdex/sprites/lifeorb.png")</f>
        <v/>
      </c>
      <c r="F2080" s="24" t="s">
        <v>44</v>
      </c>
      <c r="G2080" s="17" t="s">
        <v>873</v>
      </c>
      <c r="H2080" s="20" t="s">
        <v>2491</v>
      </c>
      <c r="I2080" s="24" t="s">
        <v>22</v>
      </c>
      <c r="J2080" s="24">
        <v>6.0</v>
      </c>
      <c r="K2080" s="24">
        <v>252.0</v>
      </c>
      <c r="L2080" s="24">
        <v>0.0</v>
      </c>
      <c r="M2080" s="24">
        <v>0.0</v>
      </c>
      <c r="N2080" s="24">
        <v>0.0</v>
      </c>
      <c r="O2080" s="24">
        <v>252.0</v>
      </c>
      <c r="P2080" s="24">
        <v>31.0</v>
      </c>
      <c r="Q2080" s="24">
        <v>31.0</v>
      </c>
      <c r="R2080" s="24">
        <v>31.0</v>
      </c>
      <c r="S2080" s="24">
        <v>31.0</v>
      </c>
      <c r="T2080" s="24">
        <v>31.0</v>
      </c>
      <c r="U2080" s="24">
        <v>31.0</v>
      </c>
    </row>
    <row r="2081" ht="23.25" customHeight="1">
      <c r="A2081" s="1" t="str">
        <f>IF(COUNTIF('Icon Lookup'!C:C,B2081)&gt;0,LOOKUP(B2081,'Icon Lookup'!C:C,'Icon Lookup'!B:B),"")</f>
        <v/>
      </c>
      <c r="B2081" s="15" t="s">
        <v>2492</v>
      </c>
      <c r="C2081" s="1" t="s">
        <v>17</v>
      </c>
      <c r="D2081" s="1" t="s">
        <v>1118</v>
      </c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</row>
    <row r="2082" ht="23.25" customHeight="1">
      <c r="A2082" s="20" t="str">
        <f>IF(COUNTIF('Icon Lookup'!C:C,B2082)&gt;0,LOOKUP(B2082,'Icon Lookup'!C:C,'Icon Lookup'!B:B),"")</f>
        <v/>
      </c>
      <c r="B2082" s="21" t="s">
        <v>2493</v>
      </c>
      <c r="C2082" s="20" t="s">
        <v>17</v>
      </c>
      <c r="D2082" s="20">
        <v>64.0</v>
      </c>
      <c r="E2082" s="20" t="str">
        <f>IMAGE("https://www.serebii.net/itemdex/sprites/expertbelt.png")</f>
        <v/>
      </c>
      <c r="F2082" s="20" t="s">
        <v>26</v>
      </c>
      <c r="G2082" s="20" t="s">
        <v>907</v>
      </c>
      <c r="H2082" s="23" t="s">
        <v>2494</v>
      </c>
      <c r="I2082" s="20" t="s">
        <v>550</v>
      </c>
      <c r="J2082" s="20">
        <v>252.0</v>
      </c>
      <c r="K2082" s="20">
        <v>252.0</v>
      </c>
      <c r="L2082" s="20">
        <v>0.0</v>
      </c>
      <c r="M2082" s="20">
        <v>0.0</v>
      </c>
      <c r="N2082" s="20">
        <v>0.0</v>
      </c>
      <c r="O2082" s="20">
        <v>6.0</v>
      </c>
      <c r="P2082" s="20">
        <v>31.0</v>
      </c>
      <c r="Q2082" s="20">
        <v>31.0</v>
      </c>
      <c r="R2082" s="20">
        <v>31.0</v>
      </c>
      <c r="S2082" s="20">
        <v>31.0</v>
      </c>
      <c r="T2082" s="20">
        <v>31.0</v>
      </c>
      <c r="U2082" s="20">
        <v>31.0</v>
      </c>
    </row>
    <row r="2083" ht="23.25" customHeight="1">
      <c r="A2083" s="17" t="str">
        <f>IF(COUNTIF('Icon Lookup'!C:C,B2083)&gt;0,LOOKUP(B2083,'Icon Lookup'!C:C,'Icon Lookup'!B:B),"")</f>
        <v/>
      </c>
      <c r="B2083" s="18" t="s">
        <v>1920</v>
      </c>
      <c r="C2083" s="17" t="s">
        <v>17</v>
      </c>
      <c r="D2083" s="17">
        <v>66.0</v>
      </c>
      <c r="E2083" s="17" t="str">
        <f>IMAGE("https://www.serebii.net/itemdex/sprites/lifeorb.png")</f>
        <v/>
      </c>
      <c r="F2083" s="17" t="s">
        <v>1109</v>
      </c>
      <c r="G2083" s="17" t="s">
        <v>873</v>
      </c>
      <c r="H2083" s="20" t="s">
        <v>2495</v>
      </c>
      <c r="I2083" s="17" t="s">
        <v>550</v>
      </c>
      <c r="J2083" s="17">
        <v>6.0</v>
      </c>
      <c r="K2083" s="17">
        <v>252.0</v>
      </c>
      <c r="L2083" s="17">
        <v>0.0</v>
      </c>
      <c r="M2083" s="17">
        <v>0.0</v>
      </c>
      <c r="N2083" s="17">
        <v>0.0</v>
      </c>
      <c r="O2083" s="17">
        <v>252.0</v>
      </c>
      <c r="P2083" s="17">
        <v>31.0</v>
      </c>
      <c r="Q2083" s="17">
        <v>31.0</v>
      </c>
      <c r="R2083" s="17">
        <v>31.0</v>
      </c>
      <c r="S2083" s="17">
        <v>31.0</v>
      </c>
      <c r="T2083" s="17">
        <v>31.0</v>
      </c>
      <c r="U2083" s="17">
        <v>31.0</v>
      </c>
    </row>
    <row r="2084" ht="23.25" customHeight="1">
      <c r="A2084" s="20" t="str">
        <f>IF(COUNTIF('Icon Lookup'!C:C,B2084)&gt;0,LOOKUP(B2084,'Icon Lookup'!C:C,'Icon Lookup'!B:B),"")</f>
        <v/>
      </c>
      <c r="B2084" s="21" t="s">
        <v>851</v>
      </c>
      <c r="C2084" s="20" t="s">
        <v>17</v>
      </c>
      <c r="D2084" s="20">
        <v>68.0</v>
      </c>
      <c r="E2084" s="20" t="str">
        <f>IMAGE("https://www.serebii.net/itemdex/sprites/flameorb.png")</f>
        <v/>
      </c>
      <c r="F2084" s="20" t="s">
        <v>276</v>
      </c>
      <c r="G2084" s="20" t="s">
        <v>852</v>
      </c>
      <c r="H2084" s="23" t="s">
        <v>2496</v>
      </c>
      <c r="I2084" s="20" t="s">
        <v>22</v>
      </c>
      <c r="J2084" s="20">
        <v>6.0</v>
      </c>
      <c r="K2084" s="20">
        <v>252.0</v>
      </c>
      <c r="L2084" s="20">
        <v>0.0</v>
      </c>
      <c r="M2084" s="20">
        <v>0.0</v>
      </c>
      <c r="N2084" s="20">
        <v>0.0</v>
      </c>
      <c r="O2084" s="20">
        <v>252.0</v>
      </c>
      <c r="P2084" s="20">
        <v>31.0</v>
      </c>
      <c r="Q2084" s="20">
        <v>31.0</v>
      </c>
      <c r="R2084" s="20">
        <v>31.0</v>
      </c>
      <c r="S2084" s="20">
        <v>31.0</v>
      </c>
      <c r="T2084" s="20">
        <v>31.0</v>
      </c>
      <c r="U2084" s="20">
        <v>31.0</v>
      </c>
    </row>
    <row r="2085" ht="23.25" customHeight="1">
      <c r="A2085" s="17" t="str">
        <f>IF(COUNTIF('Icon Lookup'!C:C,B2085)&gt;0,LOOKUP(B2085,'Icon Lookup'!C:C,'Icon Lookup'!B:B),"")</f>
        <v/>
      </c>
      <c r="B2085" s="18" t="s">
        <v>879</v>
      </c>
      <c r="C2085" s="17" t="s">
        <v>17</v>
      </c>
      <c r="D2085" s="17">
        <v>70.0</v>
      </c>
      <c r="E2085" s="17" t="str">
        <f>IMAGE("https://www.serebii.net/itemdex/sprites/whiteherb.png")</f>
        <v/>
      </c>
      <c r="F2085" s="17" t="s">
        <v>145</v>
      </c>
      <c r="G2085" s="17" t="s">
        <v>2497</v>
      </c>
      <c r="H2085" s="20" t="s">
        <v>2498</v>
      </c>
      <c r="I2085" s="17" t="s">
        <v>2499</v>
      </c>
      <c r="J2085" s="17">
        <v>0.0</v>
      </c>
      <c r="K2085" s="17">
        <v>252.0</v>
      </c>
      <c r="L2085" s="17">
        <v>0.0</v>
      </c>
      <c r="M2085" s="17">
        <v>252.0</v>
      </c>
      <c r="N2085" s="17">
        <v>0.0</v>
      </c>
      <c r="O2085" s="17">
        <v>6.0</v>
      </c>
      <c r="P2085" s="17">
        <v>31.0</v>
      </c>
      <c r="Q2085" s="17">
        <v>31.0</v>
      </c>
      <c r="R2085" s="17">
        <v>31.0</v>
      </c>
      <c r="S2085" s="17">
        <v>31.0</v>
      </c>
      <c r="T2085" s="17">
        <v>31.0</v>
      </c>
      <c r="U2085" s="17">
        <v>31.0</v>
      </c>
    </row>
    <row r="2086" ht="23.25" customHeight="1">
      <c r="A2086" s="20" t="str">
        <f>IF(COUNTIF('Icon Lookup'!C:C,B2086)&gt;0,LOOKUP(B2086,'Icon Lookup'!C:C,'Icon Lookup'!B:B),"")</f>
        <v/>
      </c>
      <c r="B2086" s="21" t="s">
        <v>582</v>
      </c>
      <c r="C2086" s="20" t="s">
        <v>17</v>
      </c>
      <c r="D2086" s="20">
        <v>72.0</v>
      </c>
      <c r="E2086" s="20" t="str">
        <f>IMAGE("https://www.serebii.net/itemdex/sprites/choiceband.png")</f>
        <v/>
      </c>
      <c r="F2086" s="20" t="s">
        <v>166</v>
      </c>
      <c r="G2086" s="20" t="s">
        <v>2463</v>
      </c>
      <c r="H2086" s="23" t="s">
        <v>2500</v>
      </c>
      <c r="I2086" s="20" t="s">
        <v>550</v>
      </c>
      <c r="J2086" s="20">
        <v>6.0</v>
      </c>
      <c r="K2086" s="20">
        <v>252.0</v>
      </c>
      <c r="L2086" s="20">
        <v>0.0</v>
      </c>
      <c r="M2086" s="20">
        <v>0.0</v>
      </c>
      <c r="N2086" s="20">
        <v>0.0</v>
      </c>
      <c r="O2086" s="20">
        <v>252.0</v>
      </c>
      <c r="P2086" s="20">
        <v>31.0</v>
      </c>
      <c r="Q2086" s="20">
        <v>31.0</v>
      </c>
      <c r="R2086" s="20">
        <v>31.0</v>
      </c>
      <c r="S2086" s="20">
        <v>31.0</v>
      </c>
      <c r="T2086" s="20">
        <v>31.0</v>
      </c>
      <c r="U2086" s="20">
        <v>31.0</v>
      </c>
    </row>
    <row r="2087" ht="23.25" customHeight="1">
      <c r="A2087" s="24" t="str">
        <f>IF(COUNTIF('Icon Lookup'!C:C,B2087)&gt;0,LOOKUP(B2087,'Icon Lookup'!C:C,'Icon Lookup'!B:B),"")</f>
        <v/>
      </c>
      <c r="B2087" s="25" t="s">
        <v>910</v>
      </c>
      <c r="C2087" s="24" t="s">
        <v>804</v>
      </c>
      <c r="D2087" s="24">
        <v>74.0</v>
      </c>
      <c r="E2087" s="24" t="str">
        <f>IMAGE("https://www.serebii.net/itemdex/sprites/focussash.png")</f>
        <v/>
      </c>
      <c r="F2087" s="24" t="s">
        <v>2501</v>
      </c>
      <c r="G2087" s="17" t="s">
        <v>881</v>
      </c>
      <c r="H2087" s="20" t="s">
        <v>2502</v>
      </c>
      <c r="I2087" s="24" t="s">
        <v>612</v>
      </c>
      <c r="J2087" s="24">
        <v>6.0</v>
      </c>
      <c r="K2087" s="24">
        <v>0.0</v>
      </c>
      <c r="L2087" s="24">
        <v>0.0</v>
      </c>
      <c r="M2087" s="24">
        <v>252.0</v>
      </c>
      <c r="N2087" s="24">
        <v>0.0</v>
      </c>
      <c r="O2087" s="24">
        <v>252.0</v>
      </c>
      <c r="P2087" s="24">
        <v>31.0</v>
      </c>
      <c r="Q2087" s="24">
        <v>31.0</v>
      </c>
      <c r="R2087" s="24">
        <v>31.0</v>
      </c>
      <c r="S2087" s="24">
        <v>31.0</v>
      </c>
      <c r="T2087" s="24">
        <v>31.0</v>
      </c>
      <c r="U2087" s="24">
        <v>31.0</v>
      </c>
    </row>
    <row r="2088" ht="23.25" customHeight="1">
      <c r="A2088" s="1" t="str">
        <f>IF(COUNTIF('Icon Lookup'!C:C,B2088)&gt;0,LOOKUP(B2088,'Icon Lookup'!C:C,'Icon Lookup'!B:B),"")</f>
        <v/>
      </c>
      <c r="B2088" s="15" t="s">
        <v>2503</v>
      </c>
      <c r="C2088" s="1" t="s">
        <v>17</v>
      </c>
      <c r="D2088" s="1" t="s">
        <v>1125</v>
      </c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</row>
    <row r="2089" ht="23.25" customHeight="1">
      <c r="A2089" s="20" t="str">
        <f>IF(COUNTIF('Icon Lookup'!C:C,B2089)&gt;0,LOOKUP(B2089,'Icon Lookup'!C:C,'Icon Lookup'!B:B),"")</f>
        <v/>
      </c>
      <c r="B2089" s="21" t="s">
        <v>875</v>
      </c>
      <c r="C2089" s="20" t="s">
        <v>17</v>
      </c>
      <c r="D2089" s="20">
        <v>68.0</v>
      </c>
      <c r="E2089" s="20" t="str">
        <f>IMAGE("https://www.serebii.net/itemdex/sprites/flameorb.png")</f>
        <v/>
      </c>
      <c r="F2089" s="20" t="s">
        <v>991</v>
      </c>
      <c r="G2089" s="20" t="s">
        <v>852</v>
      </c>
      <c r="H2089" s="23" t="s">
        <v>2504</v>
      </c>
      <c r="I2089" s="20" t="s">
        <v>612</v>
      </c>
      <c r="J2089" s="20">
        <v>6.0</v>
      </c>
      <c r="K2089" s="20">
        <v>0.0</v>
      </c>
      <c r="L2089" s="20">
        <v>0.0</v>
      </c>
      <c r="M2089" s="20">
        <v>252.0</v>
      </c>
      <c r="N2089" s="20">
        <v>0.0</v>
      </c>
      <c r="O2089" s="20">
        <v>252.0</v>
      </c>
      <c r="P2089" s="20">
        <v>31.0</v>
      </c>
      <c r="Q2089" s="20">
        <v>31.0</v>
      </c>
      <c r="R2089" s="20">
        <v>31.0</v>
      </c>
      <c r="S2089" s="20">
        <v>31.0</v>
      </c>
      <c r="T2089" s="20">
        <v>31.0</v>
      </c>
      <c r="U2089" s="20">
        <v>31.0</v>
      </c>
    </row>
    <row r="2090" ht="23.25" customHeight="1">
      <c r="A2090" s="17" t="str">
        <f>IF(COUNTIF('Icon Lookup'!C:C,B2090)&gt;0,LOOKUP(B2090,'Icon Lookup'!C:C,'Icon Lookup'!B:B),"")</f>
        <v/>
      </c>
      <c r="B2090" s="18" t="s">
        <v>2170</v>
      </c>
      <c r="C2090" s="17" t="s">
        <v>17</v>
      </c>
      <c r="D2090" s="17">
        <v>65.0</v>
      </c>
      <c r="E2090" s="17" t="str">
        <f>IMAGE("https://www.serebii.net/itemdex/sprites/ironball.png")</f>
        <v/>
      </c>
      <c r="F2090" s="17" t="s">
        <v>768</v>
      </c>
      <c r="G2090" s="17" t="s">
        <v>2505</v>
      </c>
      <c r="H2090" s="20" t="s">
        <v>2506</v>
      </c>
      <c r="I2090" s="17" t="s">
        <v>550</v>
      </c>
      <c r="J2090" s="17">
        <v>244.0</v>
      </c>
      <c r="K2090" s="17">
        <v>252.0</v>
      </c>
      <c r="L2090" s="17">
        <v>0.0</v>
      </c>
      <c r="M2090" s="17">
        <v>0.0</v>
      </c>
      <c r="N2090" s="17">
        <v>0.0</v>
      </c>
      <c r="O2090" s="17">
        <v>12.0</v>
      </c>
      <c r="P2090" s="17">
        <v>31.0</v>
      </c>
      <c r="Q2090" s="17">
        <v>31.0</v>
      </c>
      <c r="R2090" s="17">
        <v>31.0</v>
      </c>
      <c r="S2090" s="17">
        <v>31.0</v>
      </c>
      <c r="T2090" s="17">
        <v>31.0</v>
      </c>
      <c r="U2090" s="17">
        <v>31.0</v>
      </c>
    </row>
    <row r="2091" ht="23.25" customHeight="1">
      <c r="A2091" s="20" t="str">
        <f>IF(COUNTIF('Icon Lookup'!C:C,B2091)&gt;0,LOOKUP(B2091,'Icon Lookup'!C:C,'Icon Lookup'!B:B),"")</f>
        <v/>
      </c>
      <c r="B2091" s="21" t="s">
        <v>2507</v>
      </c>
      <c r="C2091" s="20" t="s">
        <v>17</v>
      </c>
      <c r="D2091" s="20">
        <v>70.0</v>
      </c>
      <c r="E2091" s="20" t="str">
        <f>IMAGE("https://www.serebii.net/itemdex/sprites/sitrusberry.png")</f>
        <v/>
      </c>
      <c r="F2091" s="20" t="s">
        <v>903</v>
      </c>
      <c r="G2091" s="20" t="s">
        <v>824</v>
      </c>
      <c r="H2091" s="23" t="s">
        <v>2508</v>
      </c>
      <c r="I2091" s="20" t="s">
        <v>550</v>
      </c>
      <c r="J2091" s="20">
        <v>248.0</v>
      </c>
      <c r="K2091" s="20">
        <v>252.0</v>
      </c>
      <c r="L2091" s="20">
        <v>4.0</v>
      </c>
      <c r="M2091" s="20">
        <v>0.0</v>
      </c>
      <c r="N2091" s="20">
        <v>4.0</v>
      </c>
      <c r="O2091" s="20">
        <v>0.0</v>
      </c>
      <c r="P2091" s="20">
        <v>31.0</v>
      </c>
      <c r="Q2091" s="20">
        <v>31.0</v>
      </c>
      <c r="R2091" s="20">
        <v>31.0</v>
      </c>
      <c r="S2091" s="20">
        <v>31.0</v>
      </c>
      <c r="T2091" s="20">
        <v>31.0</v>
      </c>
      <c r="U2091" s="20">
        <v>31.0</v>
      </c>
    </row>
    <row r="2092" ht="23.25" customHeight="1">
      <c r="A2092" s="17" t="str">
        <f>IF(COUNTIF('Icon Lookup'!C:C,B2092)&gt;0,LOOKUP(B2092,'Icon Lookup'!C:C,'Icon Lookup'!B:B),"")</f>
        <v/>
      </c>
      <c r="B2092" s="18" t="s">
        <v>1131</v>
      </c>
      <c r="C2092" s="17" t="s">
        <v>17</v>
      </c>
      <c r="D2092" s="17">
        <v>70.0</v>
      </c>
      <c r="E2092" s="17" t="str">
        <f>IMAGE("https://www.serebii.net/itemdex/sprites/expertbelt.png")</f>
        <v/>
      </c>
      <c r="F2092" s="17" t="s">
        <v>161</v>
      </c>
      <c r="G2092" s="17" t="s">
        <v>907</v>
      </c>
      <c r="H2092" s="20" t="s">
        <v>2509</v>
      </c>
      <c r="I2092" s="17" t="s">
        <v>52</v>
      </c>
      <c r="J2092" s="17">
        <v>6.0</v>
      </c>
      <c r="K2092" s="17">
        <v>0.0</v>
      </c>
      <c r="L2092" s="17">
        <v>0.0</v>
      </c>
      <c r="M2092" s="17">
        <v>252.0</v>
      </c>
      <c r="N2092" s="17">
        <v>0.0</v>
      </c>
      <c r="O2092" s="17">
        <v>252.0</v>
      </c>
      <c r="P2092" s="17">
        <v>31.0</v>
      </c>
      <c r="Q2092" s="17">
        <v>31.0</v>
      </c>
      <c r="R2092" s="17">
        <v>31.0</v>
      </c>
      <c r="S2092" s="17">
        <v>31.0</v>
      </c>
      <c r="T2092" s="17">
        <v>31.0</v>
      </c>
      <c r="U2092" s="17">
        <v>31.0</v>
      </c>
    </row>
    <row r="2093" ht="23.25" customHeight="1">
      <c r="A2093" s="20" t="str">
        <f>IF(COUNTIF('Icon Lookup'!C:C,B2093)&gt;0,LOOKUP(B2093,'Icon Lookup'!C:C,'Icon Lookup'!B:B),"")</f>
        <v/>
      </c>
      <c r="B2093" s="21" t="s">
        <v>2510</v>
      </c>
      <c r="C2093" s="20" t="s">
        <v>17</v>
      </c>
      <c r="D2093" s="20">
        <v>72.0</v>
      </c>
      <c r="E2093" s="20" t="str">
        <f>IMAGE("https://www.serebii.net/itemdex/sprites/focussash.png")</f>
        <v/>
      </c>
      <c r="F2093" s="20" t="s">
        <v>768</v>
      </c>
      <c r="G2093" s="20" t="s">
        <v>881</v>
      </c>
      <c r="H2093" s="23" t="s">
        <v>2511</v>
      </c>
      <c r="I2093" s="20" t="s">
        <v>52</v>
      </c>
      <c r="J2093" s="20">
        <v>6.0</v>
      </c>
      <c r="K2093" s="20">
        <v>0.0</v>
      </c>
      <c r="L2093" s="20">
        <v>0.0</v>
      </c>
      <c r="M2093" s="20">
        <v>252.0</v>
      </c>
      <c r="N2093" s="20">
        <v>0.0</v>
      </c>
      <c r="O2093" s="20">
        <v>252.0</v>
      </c>
      <c r="P2093" s="20">
        <v>31.0</v>
      </c>
      <c r="Q2093" s="20">
        <v>31.0</v>
      </c>
      <c r="R2093" s="20">
        <v>31.0</v>
      </c>
      <c r="S2093" s="20">
        <v>31.0</v>
      </c>
      <c r="T2093" s="20">
        <v>31.0</v>
      </c>
      <c r="U2093" s="20">
        <v>31.0</v>
      </c>
    </row>
    <row r="2094" ht="23.25" customHeight="1">
      <c r="A2094" s="24" t="str">
        <f>IF(COUNTIF('Icon Lookup'!C:C,B2094)&gt;0,LOOKUP(B2094,'Icon Lookup'!C:C,'Icon Lookup'!B:B),"")</f>
        <v/>
      </c>
      <c r="B2094" s="25" t="s">
        <v>767</v>
      </c>
      <c r="C2094" s="24" t="s">
        <v>804</v>
      </c>
      <c r="D2094" s="24">
        <v>72.0</v>
      </c>
      <c r="E2094" s="24" t="str">
        <f>IMAGE("https://www.serebii.net/itemdex/sprites/lifeorb.png")</f>
        <v/>
      </c>
      <c r="F2094" s="24" t="s">
        <v>768</v>
      </c>
      <c r="G2094" s="17" t="s">
        <v>873</v>
      </c>
      <c r="H2094" s="20" t="s">
        <v>2512</v>
      </c>
      <c r="I2094" s="24" t="s">
        <v>52</v>
      </c>
      <c r="J2094" s="24">
        <v>6.0</v>
      </c>
      <c r="K2094" s="24">
        <v>0.0</v>
      </c>
      <c r="L2094" s="24">
        <v>0.0</v>
      </c>
      <c r="M2094" s="24">
        <v>252.0</v>
      </c>
      <c r="N2094" s="24">
        <v>0.0</v>
      </c>
      <c r="O2094" s="24">
        <v>252.0</v>
      </c>
      <c r="P2094" s="24">
        <v>31.0</v>
      </c>
      <c r="Q2094" s="24">
        <v>31.0</v>
      </c>
      <c r="R2094" s="24">
        <v>31.0</v>
      </c>
      <c r="S2094" s="24">
        <v>31.0</v>
      </c>
      <c r="T2094" s="24">
        <v>31.0</v>
      </c>
      <c r="U2094" s="24">
        <v>31.0</v>
      </c>
    </row>
    <row r="2095" ht="23.25" customHeight="1">
      <c r="A2095" s="1" t="str">
        <f>IF(COUNTIF('Icon Lookup'!C:C,B2095)&gt;0,LOOKUP(B2095,'Icon Lookup'!C:C,'Icon Lookup'!B:B),"")</f>
        <v/>
      </c>
      <c r="B2095" s="15" t="s">
        <v>2513</v>
      </c>
      <c r="C2095" s="1" t="s">
        <v>17</v>
      </c>
      <c r="D2095" s="1" t="s">
        <v>1134</v>
      </c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</row>
    <row r="2096" ht="23.25" customHeight="1">
      <c r="A2096" s="20" t="str">
        <f>IF(COUNTIF('Icon Lookup'!C:C,B2096)&gt;0,LOOKUP(B2096,'Icon Lookup'!C:C,'Icon Lookup'!B:B),"")</f>
        <v/>
      </c>
      <c r="B2096" s="21" t="s">
        <v>1141</v>
      </c>
      <c r="C2096" s="20" t="s">
        <v>17</v>
      </c>
      <c r="D2096" s="20">
        <v>68.0</v>
      </c>
      <c r="E2096" s="20" t="str">
        <f>IMAGE("https://www.serebii.net/itemdex/sprites/icyrock.png")</f>
        <v/>
      </c>
      <c r="F2096" s="20" t="s">
        <v>495</v>
      </c>
      <c r="G2096" s="20" t="s">
        <v>1135</v>
      </c>
      <c r="H2096" s="23" t="s">
        <v>2514</v>
      </c>
      <c r="I2096" s="20" t="s">
        <v>822</v>
      </c>
      <c r="J2096" s="20">
        <v>240.0</v>
      </c>
      <c r="K2096" s="20">
        <v>252.0</v>
      </c>
      <c r="L2096" s="20">
        <v>12.0</v>
      </c>
      <c r="M2096" s="20">
        <v>0.0</v>
      </c>
      <c r="N2096" s="20">
        <v>4.0</v>
      </c>
      <c r="O2096" s="20">
        <v>0.0</v>
      </c>
      <c r="P2096" s="20">
        <v>31.0</v>
      </c>
      <c r="Q2096" s="20">
        <v>31.0</v>
      </c>
      <c r="R2096" s="20">
        <v>31.0</v>
      </c>
      <c r="S2096" s="20">
        <v>31.0</v>
      </c>
      <c r="T2096" s="20">
        <v>31.0</v>
      </c>
      <c r="U2096" s="20">
        <v>0.0</v>
      </c>
    </row>
    <row r="2097" ht="23.25" customHeight="1">
      <c r="A2097" s="17" t="str">
        <f>IF(COUNTIF('Icon Lookup'!C:C,B2097)&gt;0,LOOKUP(B2097,'Icon Lookup'!C:C,'Icon Lookup'!B:B),"")</f>
        <v/>
      </c>
      <c r="B2097" s="18" t="s">
        <v>2515</v>
      </c>
      <c r="C2097" s="17" t="s">
        <v>17</v>
      </c>
      <c r="D2097" s="17">
        <v>70.0</v>
      </c>
      <c r="E2097" s="17" t="str">
        <f>IMAGE("https://www.serebii.net/itemdex/sprites/focussash.png")</f>
        <v/>
      </c>
      <c r="F2097" s="17" t="s">
        <v>1096</v>
      </c>
      <c r="G2097" s="17" t="s">
        <v>881</v>
      </c>
      <c r="H2097" s="20" t="s">
        <v>2516</v>
      </c>
      <c r="I2097" s="17" t="s">
        <v>612</v>
      </c>
      <c r="J2097" s="17">
        <v>6.0</v>
      </c>
      <c r="K2097" s="17">
        <v>0.0</v>
      </c>
      <c r="L2097" s="17">
        <v>0.0</v>
      </c>
      <c r="M2097" s="17">
        <v>252.0</v>
      </c>
      <c r="N2097" s="17">
        <v>0.0</v>
      </c>
      <c r="O2097" s="17">
        <v>252.0</v>
      </c>
      <c r="P2097" s="17">
        <v>31.0</v>
      </c>
      <c r="Q2097" s="17">
        <v>31.0</v>
      </c>
      <c r="R2097" s="17">
        <v>31.0</v>
      </c>
      <c r="S2097" s="17">
        <v>31.0</v>
      </c>
      <c r="T2097" s="17">
        <v>31.0</v>
      </c>
      <c r="U2097" s="17">
        <v>31.0</v>
      </c>
    </row>
    <row r="2098" ht="23.25" customHeight="1">
      <c r="A2098" s="20" t="str">
        <f>IF(COUNTIF('Icon Lookup'!C:C,B2098)&gt;0,LOOKUP(B2098,'Icon Lookup'!C:C,'Icon Lookup'!B:B),"")</f>
        <v/>
      </c>
      <c r="B2098" s="21" t="s">
        <v>2517</v>
      </c>
      <c r="C2098" s="20" t="s">
        <v>17</v>
      </c>
      <c r="D2098" s="20">
        <v>68.0</v>
      </c>
      <c r="E2098" s="20" t="str">
        <f>IMAGE("https://www.serebii.net/itemdex/sprites/expertbelt.png")</f>
        <v/>
      </c>
      <c r="F2098" s="20" t="s">
        <v>2518</v>
      </c>
      <c r="G2098" s="20" t="s">
        <v>907</v>
      </c>
      <c r="H2098" s="23" t="s">
        <v>2519</v>
      </c>
      <c r="I2098" s="20" t="s">
        <v>550</v>
      </c>
      <c r="J2098" s="20">
        <v>6.0</v>
      </c>
      <c r="K2098" s="20">
        <v>252.0</v>
      </c>
      <c r="L2098" s="20">
        <v>0.0</v>
      </c>
      <c r="M2098" s="20">
        <v>0.0</v>
      </c>
      <c r="N2098" s="20">
        <v>0.0</v>
      </c>
      <c r="O2098" s="20">
        <v>252.0</v>
      </c>
      <c r="P2098" s="20">
        <v>31.0</v>
      </c>
      <c r="Q2098" s="20">
        <v>31.0</v>
      </c>
      <c r="R2098" s="20">
        <v>31.0</v>
      </c>
      <c r="S2098" s="20">
        <v>31.0</v>
      </c>
      <c r="T2098" s="20">
        <v>31.0</v>
      </c>
      <c r="U2098" s="20">
        <v>31.0</v>
      </c>
    </row>
    <row r="2099" ht="23.25" customHeight="1">
      <c r="A2099" s="17" t="str">
        <f>IF(COUNTIF('Icon Lookup'!C:C,B2099)&gt;0,LOOKUP(B2099,'Icon Lookup'!C:C,'Icon Lookup'!B:B),"")</f>
        <v/>
      </c>
      <c r="B2099" s="18" t="s">
        <v>2510</v>
      </c>
      <c r="C2099" s="17" t="s">
        <v>17</v>
      </c>
      <c r="D2099" s="17">
        <v>70.0</v>
      </c>
      <c r="E2099" s="17" t="str">
        <f>IMAGE("https://www.serebii.net/itemdex/sprites/sitrusberry.png")</f>
        <v/>
      </c>
      <c r="F2099" s="17" t="s">
        <v>2518</v>
      </c>
      <c r="G2099" s="17" t="s">
        <v>824</v>
      </c>
      <c r="H2099" s="20" t="s">
        <v>2520</v>
      </c>
      <c r="I2099" s="17" t="s">
        <v>612</v>
      </c>
      <c r="J2099" s="17">
        <v>6.0</v>
      </c>
      <c r="K2099" s="17">
        <v>0.0</v>
      </c>
      <c r="L2099" s="17">
        <v>0.0</v>
      </c>
      <c r="M2099" s="17">
        <v>252.0</v>
      </c>
      <c r="N2099" s="17">
        <v>0.0</v>
      </c>
      <c r="O2099" s="17">
        <v>252.0</v>
      </c>
      <c r="P2099" s="17">
        <v>31.0</v>
      </c>
      <c r="Q2099" s="17">
        <v>31.0</v>
      </c>
      <c r="R2099" s="17">
        <v>31.0</v>
      </c>
      <c r="S2099" s="17">
        <v>31.0</v>
      </c>
      <c r="T2099" s="17">
        <v>31.0</v>
      </c>
      <c r="U2099" s="17">
        <v>31.0</v>
      </c>
    </row>
    <row r="2100" ht="23.25" customHeight="1">
      <c r="A2100" s="20" t="str">
        <f>IF(COUNTIF('Icon Lookup'!C:C,B2100)&gt;0,LOOKUP(B2100,'Icon Lookup'!C:C,'Icon Lookup'!B:B),"")</f>
        <v/>
      </c>
      <c r="B2100" s="21" t="s">
        <v>2521</v>
      </c>
      <c r="C2100" s="20" t="s">
        <v>17</v>
      </c>
      <c r="D2100" s="20">
        <v>70.0</v>
      </c>
      <c r="E2100" s="20" t="str">
        <f>IMAGE("https://www.serebii.net/itemdex/sprites/leftovers.png")</f>
        <v/>
      </c>
      <c r="F2100" s="20" t="s">
        <v>2522</v>
      </c>
      <c r="G2100" s="20" t="s">
        <v>859</v>
      </c>
      <c r="H2100" s="23" t="s">
        <v>2523</v>
      </c>
      <c r="I2100" s="20" t="s">
        <v>612</v>
      </c>
      <c r="J2100" s="20">
        <v>252.0</v>
      </c>
      <c r="K2100" s="20">
        <v>0.0</v>
      </c>
      <c r="L2100" s="20">
        <v>0.0</v>
      </c>
      <c r="M2100" s="20">
        <v>252.0</v>
      </c>
      <c r="N2100" s="20">
        <v>0.0</v>
      </c>
      <c r="O2100" s="20">
        <v>6.0</v>
      </c>
      <c r="P2100" s="20">
        <v>31.0</v>
      </c>
      <c r="Q2100" s="20">
        <v>31.0</v>
      </c>
      <c r="R2100" s="20">
        <v>31.0</v>
      </c>
      <c r="S2100" s="20">
        <v>31.0</v>
      </c>
      <c r="T2100" s="20">
        <v>31.0</v>
      </c>
      <c r="U2100" s="20">
        <v>31.0</v>
      </c>
    </row>
    <row r="2101" ht="23.25" customHeight="1">
      <c r="A2101" s="24" t="str">
        <f>IF(COUNTIF('Icon Lookup'!C:C,B2101)&gt;0,LOOKUP(B2101,'Icon Lookup'!C:C,'Icon Lookup'!B:B),"")</f>
        <v/>
      </c>
      <c r="B2101" s="25" t="s">
        <v>1375</v>
      </c>
      <c r="C2101" s="24" t="s">
        <v>804</v>
      </c>
      <c r="D2101" s="24">
        <v>72.0</v>
      </c>
      <c r="E2101" s="24" t="str">
        <f>IMAGE("https://www.serebii.net/itemdex/sprites/lifeorb.png")</f>
        <v/>
      </c>
      <c r="F2101" s="24" t="s">
        <v>903</v>
      </c>
      <c r="G2101" s="17" t="s">
        <v>873</v>
      </c>
      <c r="H2101" s="20" t="s">
        <v>2524</v>
      </c>
      <c r="I2101" s="24" t="s">
        <v>550</v>
      </c>
      <c r="J2101" s="24">
        <v>6.0</v>
      </c>
      <c r="K2101" s="24">
        <v>252.0</v>
      </c>
      <c r="L2101" s="24">
        <v>0.0</v>
      </c>
      <c r="M2101" s="24">
        <v>0.0</v>
      </c>
      <c r="N2101" s="24">
        <v>0.0</v>
      </c>
      <c r="O2101" s="24">
        <v>252.0</v>
      </c>
      <c r="P2101" s="24">
        <v>31.0</v>
      </c>
      <c r="Q2101" s="24">
        <v>31.0</v>
      </c>
      <c r="R2101" s="24">
        <v>31.0</v>
      </c>
      <c r="S2101" s="24">
        <v>31.0</v>
      </c>
      <c r="T2101" s="24">
        <v>31.0</v>
      </c>
      <c r="U2101" s="24">
        <v>31.0</v>
      </c>
    </row>
    <row r="2102" ht="23.25" customHeight="1">
      <c r="A2102" s="1" t="str">
        <f>IF(COUNTIF('Icon Lookup'!C:C,B2102)&gt;0,LOOKUP(B2102,'Icon Lookup'!C:C,'Icon Lookup'!B:B),"")</f>
        <v/>
      </c>
      <c r="B2102" s="15" t="s">
        <v>2525</v>
      </c>
      <c r="C2102" s="1" t="s">
        <v>17</v>
      </c>
      <c r="D2102" s="1" t="s">
        <v>818</v>
      </c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</row>
    <row r="2103" ht="23.25" customHeight="1">
      <c r="A2103" s="20" t="str">
        <f>IF(COUNTIF('Icon Lookup'!C:C,B2103)&gt;0,LOOKUP(B2103,'Icon Lookup'!C:C,'Icon Lookup'!B:B),"")</f>
        <v/>
      </c>
      <c r="B2103" s="21" t="s">
        <v>1797</v>
      </c>
      <c r="C2103" s="20" t="s">
        <v>17</v>
      </c>
      <c r="D2103" s="20">
        <v>69.0</v>
      </c>
      <c r="E2103" s="20" t="str">
        <f>IMAGE("https://www.serebii.net/itemdex/sprites/leftovers.png")</f>
        <v/>
      </c>
      <c r="F2103" s="20" t="s">
        <v>98</v>
      </c>
      <c r="G2103" s="20" t="s">
        <v>859</v>
      </c>
      <c r="H2103" s="23" t="s">
        <v>2526</v>
      </c>
      <c r="I2103" s="20" t="s">
        <v>211</v>
      </c>
      <c r="J2103" s="20">
        <v>252.0</v>
      </c>
      <c r="K2103" s="20">
        <v>0.0</v>
      </c>
      <c r="L2103" s="20">
        <v>252.0</v>
      </c>
      <c r="M2103" s="20">
        <v>0.0</v>
      </c>
      <c r="N2103" s="20">
        <v>0.0</v>
      </c>
      <c r="O2103" s="20">
        <v>6.0</v>
      </c>
      <c r="P2103" s="20">
        <v>31.0</v>
      </c>
      <c r="Q2103" s="20">
        <v>31.0</v>
      </c>
      <c r="R2103" s="20">
        <v>31.0</v>
      </c>
      <c r="S2103" s="20">
        <v>31.0</v>
      </c>
      <c r="T2103" s="20">
        <v>31.0</v>
      </c>
      <c r="U2103" s="20">
        <v>31.0</v>
      </c>
    </row>
    <row r="2104" ht="23.25" customHeight="1">
      <c r="A2104" s="17" t="str">
        <f>IF(COUNTIF('Icon Lookup'!C:C,B2104)&gt;0,LOOKUP(B2104,'Icon Lookup'!C:C,'Icon Lookup'!B:B),"")</f>
        <v/>
      </c>
      <c r="B2104" s="18" t="s">
        <v>756</v>
      </c>
      <c r="C2104" s="17" t="s">
        <v>17</v>
      </c>
      <c r="D2104" s="17">
        <v>69.0</v>
      </c>
      <c r="E2104" s="17" t="str">
        <f>IMAGE("https://www.serebii.net/itemdex/sprites/lifeorb.png")</f>
        <v/>
      </c>
      <c r="F2104" s="17" t="s">
        <v>872</v>
      </c>
      <c r="G2104" s="17" t="s">
        <v>873</v>
      </c>
      <c r="H2104" s="20" t="s">
        <v>2527</v>
      </c>
      <c r="I2104" s="17" t="s">
        <v>550</v>
      </c>
      <c r="J2104" s="17">
        <v>76.0</v>
      </c>
      <c r="K2104" s="17">
        <v>252.0</v>
      </c>
      <c r="L2104" s="17">
        <v>0.0</v>
      </c>
      <c r="M2104" s="17">
        <v>0.0</v>
      </c>
      <c r="N2104" s="17">
        <v>180.0</v>
      </c>
      <c r="O2104" s="17">
        <v>0.0</v>
      </c>
      <c r="P2104" s="17">
        <v>31.0</v>
      </c>
      <c r="Q2104" s="17">
        <v>31.0</v>
      </c>
      <c r="R2104" s="17">
        <v>31.0</v>
      </c>
      <c r="S2104" s="17">
        <v>31.0</v>
      </c>
      <c r="T2104" s="17">
        <v>31.0</v>
      </c>
      <c r="U2104" s="17">
        <v>31.0</v>
      </c>
    </row>
    <row r="2105" ht="23.25" customHeight="1">
      <c r="A2105" s="20" t="str">
        <f>IF(COUNTIF('Icon Lookup'!C:C,B2105)&gt;0,LOOKUP(B2105,'Icon Lookup'!C:C,'Icon Lookup'!B:B),"")</f>
        <v/>
      </c>
      <c r="B2105" s="21" t="s">
        <v>2528</v>
      </c>
      <c r="C2105" s="20" t="s">
        <v>17</v>
      </c>
      <c r="D2105" s="20">
        <v>70.0</v>
      </c>
      <c r="E2105" s="20" t="str">
        <f>IMAGE("https://www.serebii.net/itemdex/sprites/focussash.png")</f>
        <v/>
      </c>
      <c r="F2105" s="20" t="s">
        <v>2529</v>
      </c>
      <c r="G2105" s="20" t="s">
        <v>881</v>
      </c>
      <c r="H2105" s="23" t="s">
        <v>2530</v>
      </c>
      <c r="I2105" s="20" t="s">
        <v>905</v>
      </c>
      <c r="J2105" s="20">
        <v>248.0</v>
      </c>
      <c r="K2105" s="20">
        <v>0.0</v>
      </c>
      <c r="L2105" s="20">
        <v>0.0</v>
      </c>
      <c r="M2105" s="20">
        <v>252.0</v>
      </c>
      <c r="N2105" s="20">
        <v>8.0</v>
      </c>
      <c r="O2105" s="20">
        <v>0.0</v>
      </c>
      <c r="P2105" s="20">
        <v>31.0</v>
      </c>
      <c r="Q2105" s="20">
        <v>31.0</v>
      </c>
      <c r="R2105" s="20">
        <v>31.0</v>
      </c>
      <c r="S2105" s="20">
        <v>31.0</v>
      </c>
      <c r="T2105" s="20">
        <v>31.0</v>
      </c>
      <c r="U2105" s="20">
        <v>0.0</v>
      </c>
    </row>
    <row r="2106" ht="23.25" customHeight="1">
      <c r="A2106" s="17" t="str">
        <f>IF(COUNTIF('Icon Lookup'!C:C,B2106)&gt;0,LOOKUP(B2106,'Icon Lookup'!C:C,'Icon Lookup'!B:B),"")</f>
        <v/>
      </c>
      <c r="B2106" s="18" t="s">
        <v>737</v>
      </c>
      <c r="C2106" s="17" t="s">
        <v>17</v>
      </c>
      <c r="D2106" s="17">
        <v>70.0</v>
      </c>
      <c r="E2106" s="17" t="str">
        <f>IMAGE("https://www.serebii.net/itemdex/sprites/expertbelt.png")</f>
        <v/>
      </c>
      <c r="F2106" s="17" t="s">
        <v>374</v>
      </c>
      <c r="G2106" s="17" t="s">
        <v>907</v>
      </c>
      <c r="H2106" s="20" t="s">
        <v>2531</v>
      </c>
      <c r="I2106" s="17" t="s">
        <v>612</v>
      </c>
      <c r="J2106" s="17">
        <v>244.0</v>
      </c>
      <c r="K2106" s="17">
        <v>0.0</v>
      </c>
      <c r="L2106" s="17">
        <v>0.0</v>
      </c>
      <c r="M2106" s="17">
        <v>252.0</v>
      </c>
      <c r="N2106" s="17">
        <v>12.0</v>
      </c>
      <c r="O2106" s="17">
        <v>0.0</v>
      </c>
      <c r="P2106" s="17">
        <v>31.0</v>
      </c>
      <c r="Q2106" s="17">
        <v>31.0</v>
      </c>
      <c r="R2106" s="17">
        <v>31.0</v>
      </c>
      <c r="S2106" s="17">
        <v>31.0</v>
      </c>
      <c r="T2106" s="17">
        <v>31.0</v>
      </c>
      <c r="U2106" s="17">
        <v>31.0</v>
      </c>
    </row>
    <row r="2107" ht="23.25" customHeight="1">
      <c r="A2107" s="20" t="str">
        <f>IF(COUNTIF('Icon Lookup'!C:C,B2107)&gt;0,LOOKUP(B2107,'Icon Lookup'!C:C,'Icon Lookup'!B:B),"")</f>
        <v/>
      </c>
      <c r="B2107" s="21" t="s">
        <v>2532</v>
      </c>
      <c r="C2107" s="20" t="s">
        <v>17</v>
      </c>
      <c r="D2107" s="20">
        <v>72.0</v>
      </c>
      <c r="E2107" s="20" t="str">
        <f>IMAGE("https://www.serebii.net/itemdex/sprites/choicescarf.png")</f>
        <v/>
      </c>
      <c r="F2107" s="20" t="s">
        <v>87</v>
      </c>
      <c r="G2107" s="20" t="s">
        <v>2472</v>
      </c>
      <c r="H2107" s="23" t="s">
        <v>2464</v>
      </c>
      <c r="I2107" s="20" t="s">
        <v>22</v>
      </c>
      <c r="J2107" s="20">
        <v>6.0</v>
      </c>
      <c r="K2107" s="20">
        <v>252.0</v>
      </c>
      <c r="L2107" s="20">
        <v>0.0</v>
      </c>
      <c r="M2107" s="20">
        <v>0.0</v>
      </c>
      <c r="N2107" s="20">
        <v>0.0</v>
      </c>
      <c r="O2107" s="20">
        <v>252.0</v>
      </c>
      <c r="P2107" s="20">
        <v>31.0</v>
      </c>
      <c r="Q2107" s="20">
        <v>31.0</v>
      </c>
      <c r="R2107" s="20">
        <v>31.0</v>
      </c>
      <c r="S2107" s="20">
        <v>31.0</v>
      </c>
      <c r="T2107" s="20">
        <v>31.0</v>
      </c>
      <c r="U2107" s="20">
        <v>31.0</v>
      </c>
    </row>
    <row r="2108" ht="23.25" customHeight="1">
      <c r="A2108" s="24" t="str">
        <f>IF(COUNTIF('Icon Lookup'!C:C,B2108)&gt;0,LOOKUP(B2108,'Icon Lookup'!C:C,'Icon Lookup'!B:B),"")</f>
        <v/>
      </c>
      <c r="B2108" s="25" t="s">
        <v>823</v>
      </c>
      <c r="C2108" s="24" t="s">
        <v>804</v>
      </c>
      <c r="D2108" s="24">
        <v>72.0</v>
      </c>
      <c r="E2108" s="24" t="str">
        <f>IMAGE("https://www.serebii.net/itemdex/sprites/lumberry.png")</f>
        <v/>
      </c>
      <c r="F2108" s="24" t="s">
        <v>98</v>
      </c>
      <c r="G2108" s="17" t="s">
        <v>2533</v>
      </c>
      <c r="H2108" s="20" t="s">
        <v>2534</v>
      </c>
      <c r="I2108" s="24" t="s">
        <v>822</v>
      </c>
      <c r="J2108" s="24">
        <v>252.0</v>
      </c>
      <c r="K2108" s="24">
        <v>0.0</v>
      </c>
      <c r="L2108" s="24">
        <v>16.0</v>
      </c>
      <c r="M2108" s="24">
        <v>0.0</v>
      </c>
      <c r="N2108" s="24">
        <v>240.0</v>
      </c>
      <c r="O2108" s="24">
        <v>0.0</v>
      </c>
      <c r="P2108" s="24">
        <v>31.0</v>
      </c>
      <c r="Q2108" s="24">
        <v>31.0</v>
      </c>
      <c r="R2108" s="24">
        <v>31.0</v>
      </c>
      <c r="S2108" s="24">
        <v>31.0</v>
      </c>
      <c r="T2108" s="24">
        <v>31.0</v>
      </c>
      <c r="U2108" s="24">
        <v>31.0</v>
      </c>
    </row>
    <row r="2109" ht="23.25" customHeight="1">
      <c r="A2109" s="1" t="str">
        <f>IF(COUNTIF('Icon Lookup'!C:C,B2109)&gt;0,LOOKUP(B2109,'Icon Lookup'!C:C,'Icon Lookup'!B:B),"")</f>
        <v/>
      </c>
      <c r="B2109" s="15" t="s">
        <v>2535</v>
      </c>
      <c r="C2109" s="1" t="s">
        <v>17</v>
      </c>
      <c r="D2109" s="1" t="s">
        <v>1144</v>
      </c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</row>
    <row r="2110" ht="23.25" customHeight="1">
      <c r="A2110" s="20" t="str">
        <f>IF(COUNTIF('Icon Lookup'!C:C,B2110)&gt;0,LOOKUP(B2110,'Icon Lookup'!C:C,'Icon Lookup'!B:B),"")</f>
        <v/>
      </c>
      <c r="B2110" s="21" t="s">
        <v>410</v>
      </c>
      <c r="C2110" s="20" t="s">
        <v>17</v>
      </c>
      <c r="D2110" s="20">
        <v>70.0</v>
      </c>
      <c r="E2110" s="20" t="str">
        <f>IMAGE("https://www.serebii.net/itemdex/sprites/damprock.png")</f>
        <v/>
      </c>
      <c r="F2110" s="20" t="s">
        <v>411</v>
      </c>
      <c r="G2110" s="20" t="s">
        <v>1114</v>
      </c>
      <c r="H2110" s="23" t="s">
        <v>2536</v>
      </c>
      <c r="I2110" s="20" t="s">
        <v>612</v>
      </c>
      <c r="J2110" s="20">
        <v>220.0</v>
      </c>
      <c r="K2110" s="20">
        <v>0.0</v>
      </c>
      <c r="L2110" s="20">
        <v>0.0</v>
      </c>
      <c r="M2110" s="20">
        <v>252.0</v>
      </c>
      <c r="N2110" s="20">
        <v>36.0</v>
      </c>
      <c r="O2110" s="20">
        <v>0.0</v>
      </c>
      <c r="P2110" s="20">
        <v>31.0</v>
      </c>
      <c r="Q2110" s="20">
        <v>31.0</v>
      </c>
      <c r="R2110" s="20">
        <v>31.0</v>
      </c>
      <c r="S2110" s="20">
        <v>31.0</v>
      </c>
      <c r="T2110" s="20">
        <v>31.0</v>
      </c>
      <c r="U2110" s="20">
        <v>31.0</v>
      </c>
    </row>
    <row r="2111" ht="23.25" customHeight="1">
      <c r="A2111" s="17" t="str">
        <f>IF(COUNTIF('Icon Lookup'!C:C,B2111)&gt;0,LOOKUP(B2111,'Icon Lookup'!C:C,'Icon Lookup'!B:B),"")</f>
        <v/>
      </c>
      <c r="B2111" s="18" t="s">
        <v>311</v>
      </c>
      <c r="C2111" s="17" t="s">
        <v>17</v>
      </c>
      <c r="D2111" s="17">
        <v>70.0</v>
      </c>
      <c r="E2111" s="17" t="str">
        <f>IMAGE("https://www.serebii.net/itemdex/sprites/choicescarf.png")</f>
        <v/>
      </c>
      <c r="F2111" s="17" t="s">
        <v>2537</v>
      </c>
      <c r="G2111" s="17" t="s">
        <v>2472</v>
      </c>
      <c r="H2111" s="20" t="s">
        <v>2538</v>
      </c>
      <c r="I2111" s="17" t="s">
        <v>52</v>
      </c>
      <c r="J2111" s="17">
        <v>6.0</v>
      </c>
      <c r="K2111" s="17">
        <v>0.0</v>
      </c>
      <c r="L2111" s="17">
        <v>0.0</v>
      </c>
      <c r="M2111" s="17">
        <v>252.0</v>
      </c>
      <c r="N2111" s="17">
        <v>0.0</v>
      </c>
      <c r="O2111" s="17">
        <v>252.0</v>
      </c>
      <c r="P2111" s="17">
        <v>31.0</v>
      </c>
      <c r="Q2111" s="17">
        <v>31.0</v>
      </c>
      <c r="R2111" s="17">
        <v>31.0</v>
      </c>
      <c r="S2111" s="17">
        <v>31.0</v>
      </c>
      <c r="T2111" s="17">
        <v>31.0</v>
      </c>
      <c r="U2111" s="17">
        <v>31.0</v>
      </c>
    </row>
    <row r="2112" ht="23.25" customHeight="1">
      <c r="A2112" s="20" t="str">
        <f>IF(COUNTIF('Icon Lookup'!C:C,B2112)&gt;0,LOOKUP(B2112,'Icon Lookup'!C:C,'Icon Lookup'!B:B),"")</f>
        <v/>
      </c>
      <c r="B2112" s="21" t="s">
        <v>1150</v>
      </c>
      <c r="C2112" s="20" t="s">
        <v>17</v>
      </c>
      <c r="D2112" s="20">
        <v>70.0</v>
      </c>
      <c r="E2112" s="20" t="str">
        <f>IMAGE("https://www.serebii.net/itemdex/sprites/focussash.png")</f>
        <v/>
      </c>
      <c r="F2112" s="20" t="s">
        <v>26</v>
      </c>
      <c r="G2112" s="20" t="s">
        <v>881</v>
      </c>
      <c r="H2112" s="23" t="s">
        <v>2539</v>
      </c>
      <c r="I2112" s="20" t="s">
        <v>550</v>
      </c>
      <c r="J2112" s="20">
        <v>6.0</v>
      </c>
      <c r="K2112" s="20">
        <v>252.0</v>
      </c>
      <c r="L2112" s="20">
        <v>0.0</v>
      </c>
      <c r="M2112" s="20">
        <v>0.0</v>
      </c>
      <c r="N2112" s="20">
        <v>0.0</v>
      </c>
      <c r="O2112" s="20">
        <v>252.0</v>
      </c>
      <c r="P2112" s="20">
        <v>31.0</v>
      </c>
      <c r="Q2112" s="20">
        <v>31.0</v>
      </c>
      <c r="R2112" s="20">
        <v>31.0</v>
      </c>
      <c r="S2112" s="20">
        <v>31.0</v>
      </c>
      <c r="T2112" s="20">
        <v>31.0</v>
      </c>
      <c r="U2112" s="20">
        <v>31.0</v>
      </c>
    </row>
    <row r="2113" ht="23.25" customHeight="1">
      <c r="A2113" s="17" t="str">
        <f>IF(COUNTIF('Icon Lookup'!C:C,B2113)&gt;0,LOOKUP(B2113,'Icon Lookup'!C:C,'Icon Lookup'!B:B),"")</f>
        <v/>
      </c>
      <c r="B2113" s="18" t="s">
        <v>1972</v>
      </c>
      <c r="C2113" s="17" t="s">
        <v>17</v>
      </c>
      <c r="D2113" s="17">
        <v>66.0</v>
      </c>
      <c r="E2113" s="17" t="str">
        <f>IMAGE("https://www.serebii.net/itemdex/sprites/expertbelt.png")</f>
        <v/>
      </c>
      <c r="F2113" s="17" t="s">
        <v>1970</v>
      </c>
      <c r="G2113" s="17" t="s">
        <v>907</v>
      </c>
      <c r="H2113" s="20" t="s">
        <v>2540</v>
      </c>
      <c r="I2113" s="17" t="s">
        <v>612</v>
      </c>
      <c r="J2113" s="17">
        <v>252.0</v>
      </c>
      <c r="K2113" s="17">
        <v>0.0</v>
      </c>
      <c r="L2113" s="17">
        <v>0.0</v>
      </c>
      <c r="M2113" s="17">
        <v>252.0</v>
      </c>
      <c r="N2113" s="17">
        <v>0.0</v>
      </c>
      <c r="O2113" s="17">
        <v>6.0</v>
      </c>
      <c r="P2113" s="17">
        <v>31.0</v>
      </c>
      <c r="Q2113" s="17">
        <v>31.0</v>
      </c>
      <c r="R2113" s="17">
        <v>31.0</v>
      </c>
      <c r="S2113" s="17">
        <v>31.0</v>
      </c>
      <c r="T2113" s="17">
        <v>31.0</v>
      </c>
      <c r="U2113" s="17">
        <v>31.0</v>
      </c>
    </row>
    <row r="2114" ht="23.25" customHeight="1">
      <c r="A2114" s="20" t="str">
        <f>IF(COUNTIF('Icon Lookup'!C:C,B2114)&gt;0,LOOKUP(B2114,'Icon Lookup'!C:C,'Icon Lookup'!B:B),"")</f>
        <v/>
      </c>
      <c r="B2114" s="21" t="s">
        <v>2541</v>
      </c>
      <c r="C2114" s="20" t="s">
        <v>17</v>
      </c>
      <c r="D2114" s="20">
        <v>68.0</v>
      </c>
      <c r="E2114" s="20" t="str">
        <f>IMAGE("https://www.serebii.net/itemdex/sprites/toxicorb.png")</f>
        <v/>
      </c>
      <c r="F2114" s="20" t="s">
        <v>1879</v>
      </c>
      <c r="G2114" s="20" t="s">
        <v>2476</v>
      </c>
      <c r="H2114" s="23" t="s">
        <v>2542</v>
      </c>
      <c r="I2114" s="20" t="s">
        <v>612</v>
      </c>
      <c r="J2114" s="20">
        <v>6.0</v>
      </c>
      <c r="K2114" s="20">
        <v>0.0</v>
      </c>
      <c r="L2114" s="20">
        <v>0.0</v>
      </c>
      <c r="M2114" s="20">
        <v>252.0</v>
      </c>
      <c r="N2114" s="20">
        <v>0.0</v>
      </c>
      <c r="O2114" s="20">
        <v>252.0</v>
      </c>
      <c r="P2114" s="20">
        <v>31.0</v>
      </c>
      <c r="Q2114" s="20">
        <v>31.0</v>
      </c>
      <c r="R2114" s="20">
        <v>31.0</v>
      </c>
      <c r="S2114" s="20">
        <v>31.0</v>
      </c>
      <c r="T2114" s="20">
        <v>31.0</v>
      </c>
      <c r="U2114" s="20">
        <v>31.0</v>
      </c>
    </row>
    <row r="2115" ht="23.25" customHeight="1">
      <c r="A2115" s="24" t="str">
        <f>IF(COUNTIF('Icon Lookup'!C:C,B2115)&gt;0,LOOKUP(B2115,'Icon Lookup'!C:C,'Icon Lookup'!B:B),"")</f>
        <v/>
      </c>
      <c r="B2115" s="25" t="s">
        <v>2543</v>
      </c>
      <c r="C2115" s="24" t="s">
        <v>804</v>
      </c>
      <c r="D2115" s="24">
        <v>75.0</v>
      </c>
      <c r="E2115" s="24" t="str">
        <f>IMAGE("https://www.serebii.net/itemdex/sprites/lifeorb.png")</f>
        <v/>
      </c>
      <c r="F2115" s="24" t="s">
        <v>2544</v>
      </c>
      <c r="G2115" s="17" t="s">
        <v>873</v>
      </c>
      <c r="H2115" s="20" t="s">
        <v>2545</v>
      </c>
      <c r="I2115" s="24" t="s">
        <v>2475</v>
      </c>
      <c r="J2115" s="24">
        <v>6.0</v>
      </c>
      <c r="K2115" s="24">
        <v>252.0</v>
      </c>
      <c r="L2115" s="24">
        <v>0.0</v>
      </c>
      <c r="M2115" s="24">
        <v>252.0</v>
      </c>
      <c r="N2115" s="24">
        <v>0.0</v>
      </c>
      <c r="O2115" s="24">
        <v>0.0</v>
      </c>
      <c r="P2115" s="24">
        <v>31.0</v>
      </c>
      <c r="Q2115" s="24">
        <v>31.0</v>
      </c>
      <c r="R2115" s="24">
        <v>31.0</v>
      </c>
      <c r="S2115" s="24">
        <v>31.0</v>
      </c>
      <c r="T2115" s="24">
        <v>31.0</v>
      </c>
      <c r="U2115" s="24">
        <v>31.0</v>
      </c>
    </row>
    <row r="2116" ht="23.25" customHeight="1">
      <c r="A2116" s="1" t="str">
        <f>IF(COUNTIF('Icon Lookup'!C:C,B2116)&gt;0,LOOKUP(B2116,'Icon Lookup'!C:C,'Icon Lookup'!B:B),"")</f>
        <v/>
      </c>
      <c r="B2116" s="15" t="s">
        <v>2546</v>
      </c>
      <c r="C2116" s="1" t="s">
        <v>17</v>
      </c>
      <c r="D2116" s="1" t="s">
        <v>2029</v>
      </c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</row>
    <row r="2117" ht="23.25" customHeight="1">
      <c r="A2117" s="20" t="str">
        <f>IF(COUNTIF('Icon Lookup'!C:C,B2117)&gt;0,LOOKUP(B2117,'Icon Lookup'!C:C,'Icon Lookup'!B:B),"")</f>
        <v/>
      </c>
      <c r="B2117" s="21" t="s">
        <v>257</v>
      </c>
      <c r="C2117" s="20" t="s">
        <v>17</v>
      </c>
      <c r="D2117" s="20">
        <v>58.0</v>
      </c>
      <c r="E2117" s="20" t="str">
        <f>IMAGE("https://www.serebii.net/itemdex/sprites/focussash.png")</f>
        <v/>
      </c>
      <c r="F2117" s="20" t="s">
        <v>2547</v>
      </c>
      <c r="G2117" s="20" t="s">
        <v>881</v>
      </c>
      <c r="H2117" s="23" t="s">
        <v>2548</v>
      </c>
      <c r="I2117" s="20" t="s">
        <v>52</v>
      </c>
      <c r="J2117" s="20">
        <v>6.0</v>
      </c>
      <c r="K2117" s="20">
        <v>0.0</v>
      </c>
      <c r="L2117" s="20">
        <v>0.0</v>
      </c>
      <c r="M2117" s="20">
        <v>252.0</v>
      </c>
      <c r="N2117" s="20">
        <v>0.0</v>
      </c>
      <c r="O2117" s="20">
        <v>252.0</v>
      </c>
      <c r="P2117" s="20">
        <v>31.0</v>
      </c>
      <c r="Q2117" s="20">
        <v>31.0</v>
      </c>
      <c r="R2117" s="20">
        <v>31.0</v>
      </c>
      <c r="S2117" s="20">
        <v>31.0</v>
      </c>
      <c r="T2117" s="20">
        <v>31.0</v>
      </c>
      <c r="U2117" s="20">
        <v>31.0</v>
      </c>
    </row>
    <row r="2118" ht="23.25" customHeight="1">
      <c r="A2118" s="17" t="str">
        <f>IF(COUNTIF('Icon Lookup'!C:C,B2118)&gt;0,LOOKUP(B2118,'Icon Lookup'!C:C,'Icon Lookup'!B:B),"")</f>
        <v/>
      </c>
      <c r="B2118" s="18" t="s">
        <v>912</v>
      </c>
      <c r="C2118" s="17" t="s">
        <v>17</v>
      </c>
      <c r="D2118" s="17">
        <v>59.0</v>
      </c>
      <c r="E2118" s="17" t="str">
        <f>IMAGE("https://www.serebii.net/itemdex/sprites/flameorb.png")</f>
        <v/>
      </c>
      <c r="F2118" s="17" t="s">
        <v>913</v>
      </c>
      <c r="G2118" s="17" t="s">
        <v>852</v>
      </c>
      <c r="H2118" s="20" t="s">
        <v>2549</v>
      </c>
      <c r="I2118" s="17" t="s">
        <v>612</v>
      </c>
      <c r="J2118" s="17">
        <v>252.0</v>
      </c>
      <c r="K2118" s="17">
        <v>0.0</v>
      </c>
      <c r="L2118" s="17">
        <v>128.0</v>
      </c>
      <c r="M2118" s="17">
        <v>0.0</v>
      </c>
      <c r="N2118" s="17">
        <v>128.0</v>
      </c>
      <c r="O2118" s="17">
        <v>6.0</v>
      </c>
      <c r="P2118" s="17">
        <v>31.0</v>
      </c>
      <c r="Q2118" s="17">
        <v>31.0</v>
      </c>
      <c r="R2118" s="17">
        <v>31.0</v>
      </c>
      <c r="S2118" s="17">
        <v>31.0</v>
      </c>
      <c r="T2118" s="17">
        <v>31.0</v>
      </c>
      <c r="U2118" s="17">
        <v>31.0</v>
      </c>
    </row>
    <row r="2119" ht="23.25" customHeight="1">
      <c r="A2119" s="20" t="str">
        <f>IF(COUNTIF('Icon Lookup'!C:C,B2119)&gt;0,LOOKUP(B2119,'Icon Lookup'!C:C,'Icon Lookup'!B:B),"")</f>
        <v/>
      </c>
      <c r="B2119" s="21" t="s">
        <v>2550</v>
      </c>
      <c r="C2119" s="20" t="s">
        <v>17</v>
      </c>
      <c r="D2119" s="20">
        <v>63.0</v>
      </c>
      <c r="E2119" s="20" t="str">
        <f>IMAGE("https://www.serebii.net/itemdex/sprites/lifeorb.png")</f>
        <v/>
      </c>
      <c r="F2119" s="20" t="s">
        <v>2501</v>
      </c>
      <c r="G2119" s="20" t="s">
        <v>873</v>
      </c>
      <c r="H2119" s="23" t="s">
        <v>2551</v>
      </c>
      <c r="I2119" s="20" t="s">
        <v>550</v>
      </c>
      <c r="J2119" s="20">
        <v>6.0</v>
      </c>
      <c r="K2119" s="20">
        <v>252.0</v>
      </c>
      <c r="L2119" s="20">
        <v>0.0</v>
      </c>
      <c r="M2119" s="20">
        <v>0.0</v>
      </c>
      <c r="N2119" s="20">
        <v>0.0</v>
      </c>
      <c r="O2119" s="20">
        <v>252.0</v>
      </c>
      <c r="P2119" s="20">
        <v>31.0</v>
      </c>
      <c r="Q2119" s="20">
        <v>31.0</v>
      </c>
      <c r="R2119" s="20">
        <v>31.0</v>
      </c>
      <c r="S2119" s="20">
        <v>31.0</v>
      </c>
      <c r="T2119" s="20">
        <v>31.0</v>
      </c>
      <c r="U2119" s="20">
        <v>31.0</v>
      </c>
    </row>
    <row r="2120" ht="23.25" customHeight="1">
      <c r="A2120" s="17" t="str">
        <f>IF(COUNTIF('Icon Lookup'!C:C,B2120)&gt;0,LOOKUP(B2120,'Icon Lookup'!C:C,'Icon Lookup'!B:B),"")</f>
        <v/>
      </c>
      <c r="B2120" s="18" t="s">
        <v>2552</v>
      </c>
      <c r="C2120" s="17" t="s">
        <v>17</v>
      </c>
      <c r="D2120" s="17">
        <v>59.0</v>
      </c>
      <c r="E2120" s="17" t="str">
        <f>IMAGE("https://www.serebii.net/itemdex/sprites/expertbelt.png")</f>
        <v/>
      </c>
      <c r="F2120" s="17" t="s">
        <v>1802</v>
      </c>
      <c r="G2120" s="17" t="s">
        <v>907</v>
      </c>
      <c r="H2120" s="20" t="s">
        <v>2553</v>
      </c>
      <c r="I2120" s="17" t="s">
        <v>612</v>
      </c>
      <c r="J2120" s="17">
        <v>6.0</v>
      </c>
      <c r="K2120" s="17">
        <v>0.0</v>
      </c>
      <c r="L2120" s="17">
        <v>0.0</v>
      </c>
      <c r="M2120" s="17">
        <v>252.0</v>
      </c>
      <c r="N2120" s="17">
        <v>0.0</v>
      </c>
      <c r="O2120" s="17">
        <v>252.0</v>
      </c>
      <c r="P2120" s="17">
        <v>31.0</v>
      </c>
      <c r="Q2120" s="17">
        <v>31.0</v>
      </c>
      <c r="R2120" s="17">
        <v>31.0</v>
      </c>
      <c r="S2120" s="17">
        <v>31.0</v>
      </c>
      <c r="T2120" s="17">
        <v>31.0</v>
      </c>
      <c r="U2120" s="17">
        <v>31.0</v>
      </c>
    </row>
    <row r="2121" ht="23.25" customHeight="1">
      <c r="A2121" s="20" t="str">
        <f>IF(COUNTIF('Icon Lookup'!C:C,B2121)&gt;0,LOOKUP(B2121,'Icon Lookup'!C:C,'Icon Lookup'!B:B),"")</f>
        <v/>
      </c>
      <c r="B2121" s="21" t="s">
        <v>728</v>
      </c>
      <c r="C2121" s="20" t="s">
        <v>17</v>
      </c>
      <c r="D2121" s="20">
        <v>60.0</v>
      </c>
      <c r="E2121" s="20" t="str">
        <f>IMAGE("https://www.serebii.net/itemdex/sprites/sitrusberry.png")</f>
        <v/>
      </c>
      <c r="F2121" s="20" t="s">
        <v>31</v>
      </c>
      <c r="G2121" s="20" t="s">
        <v>824</v>
      </c>
      <c r="H2121" s="23" t="s">
        <v>2554</v>
      </c>
      <c r="I2121" s="20" t="s">
        <v>52</v>
      </c>
      <c r="J2121" s="20">
        <v>6.0</v>
      </c>
      <c r="K2121" s="20">
        <v>0.0</v>
      </c>
      <c r="L2121" s="20">
        <v>0.0</v>
      </c>
      <c r="M2121" s="20">
        <v>252.0</v>
      </c>
      <c r="N2121" s="20">
        <v>0.0</v>
      </c>
      <c r="O2121" s="20">
        <v>252.0</v>
      </c>
      <c r="P2121" s="20">
        <v>31.0</v>
      </c>
      <c r="Q2121" s="20">
        <v>31.0</v>
      </c>
      <c r="R2121" s="20">
        <v>31.0</v>
      </c>
      <c r="S2121" s="20">
        <v>31.0</v>
      </c>
      <c r="T2121" s="20">
        <v>31.0</v>
      </c>
      <c r="U2121" s="20">
        <v>31.0</v>
      </c>
    </row>
    <row r="2122" ht="23.25" customHeight="1">
      <c r="A2122" s="24" t="str">
        <f>IF(COUNTIF('Icon Lookup'!C:C,B2122)&gt;0,LOOKUP(B2122,'Icon Lookup'!C:C,'Icon Lookup'!B:B),"")</f>
        <v/>
      </c>
      <c r="B2122" s="25" t="s">
        <v>730</v>
      </c>
      <c r="C2122" s="24" t="s">
        <v>804</v>
      </c>
      <c r="D2122" s="24">
        <v>64.0</v>
      </c>
      <c r="E2122" s="24" t="str">
        <f>IMAGE("https://www.serebii.net/itemdex/sprites/leftovers.png")</f>
        <v/>
      </c>
      <c r="F2122" s="24" t="s">
        <v>1106</v>
      </c>
      <c r="G2122" s="17" t="s">
        <v>859</v>
      </c>
      <c r="H2122" s="20" t="s">
        <v>2555</v>
      </c>
      <c r="I2122" s="24" t="s">
        <v>822</v>
      </c>
      <c r="J2122" s="24">
        <v>252.0</v>
      </c>
      <c r="K2122" s="24">
        <v>252.0</v>
      </c>
      <c r="L2122" s="24">
        <v>0.0</v>
      </c>
      <c r="M2122" s="24">
        <v>0.0</v>
      </c>
      <c r="N2122" s="24">
        <v>6.0</v>
      </c>
      <c r="O2122" s="24">
        <v>0.0</v>
      </c>
      <c r="P2122" s="24">
        <v>31.0</v>
      </c>
      <c r="Q2122" s="24">
        <v>31.0</v>
      </c>
      <c r="R2122" s="24">
        <v>31.0</v>
      </c>
      <c r="S2122" s="24">
        <v>31.0</v>
      </c>
      <c r="T2122" s="24">
        <v>31.0</v>
      </c>
      <c r="U2122" s="24">
        <v>0.0</v>
      </c>
    </row>
    <row r="2123" ht="23.25" customHeight="1">
      <c r="A2123" s="1" t="str">
        <f>IF(COUNTIF('Icon Lookup'!C:C,B2123)&gt;0,LOOKUP(B2123,'Icon Lookup'!C:C,'Icon Lookup'!B:B),"")</f>
        <v/>
      </c>
      <c r="B2123" s="15" t="s">
        <v>2556</v>
      </c>
      <c r="C2123" s="1" t="s">
        <v>17</v>
      </c>
      <c r="D2123" s="1" t="s">
        <v>2029</v>
      </c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</row>
    <row r="2124" ht="23.25" customHeight="1">
      <c r="A2124" s="20" t="str">
        <f>IF(COUNTIF('Icon Lookup'!C:C,B2124)&gt;0,LOOKUP(B2124,'Icon Lookup'!C:C,'Icon Lookup'!B:B),"")</f>
        <v/>
      </c>
      <c r="B2124" s="21" t="s">
        <v>257</v>
      </c>
      <c r="C2124" s="20" t="s">
        <v>17</v>
      </c>
      <c r="D2124" s="20">
        <v>58.0</v>
      </c>
      <c r="E2124" s="20" t="str">
        <f>IMAGE("https://www.serebii.net/itemdex/sprites/focussash.png")</f>
        <v/>
      </c>
      <c r="F2124" s="20" t="s">
        <v>2547</v>
      </c>
      <c r="G2124" s="20" t="s">
        <v>881</v>
      </c>
      <c r="H2124" s="23" t="s">
        <v>2548</v>
      </c>
      <c r="I2124" s="20" t="s">
        <v>52</v>
      </c>
      <c r="J2124" s="20">
        <v>6.0</v>
      </c>
      <c r="K2124" s="20">
        <v>0.0</v>
      </c>
      <c r="L2124" s="20">
        <v>0.0</v>
      </c>
      <c r="M2124" s="20">
        <v>252.0</v>
      </c>
      <c r="N2124" s="20">
        <v>0.0</v>
      </c>
      <c r="O2124" s="20">
        <v>252.0</v>
      </c>
      <c r="P2124" s="20">
        <v>31.0</v>
      </c>
      <c r="Q2124" s="20">
        <v>31.0</v>
      </c>
      <c r="R2124" s="20">
        <v>31.0</v>
      </c>
      <c r="S2124" s="20">
        <v>31.0</v>
      </c>
      <c r="T2124" s="20">
        <v>31.0</v>
      </c>
      <c r="U2124" s="20">
        <v>31.0</v>
      </c>
    </row>
    <row r="2125" ht="23.25" customHeight="1">
      <c r="A2125" s="17" t="str">
        <f>IF(COUNTIF('Icon Lookup'!C:C,B2125)&gt;0,LOOKUP(B2125,'Icon Lookup'!C:C,'Icon Lookup'!B:B),"")</f>
        <v/>
      </c>
      <c r="B2125" s="18" t="s">
        <v>2557</v>
      </c>
      <c r="C2125" s="17" t="s">
        <v>17</v>
      </c>
      <c r="D2125" s="17">
        <v>59.0</v>
      </c>
      <c r="E2125" s="17" t="str">
        <f>IMAGE("https://www.serebii.net/itemdex/sprites/lumberry.png")</f>
        <v/>
      </c>
      <c r="F2125" s="17" t="s">
        <v>2558</v>
      </c>
      <c r="G2125" s="17" t="s">
        <v>2533</v>
      </c>
      <c r="H2125" s="20" t="s">
        <v>2559</v>
      </c>
      <c r="I2125" s="17" t="s">
        <v>550</v>
      </c>
      <c r="J2125" s="17">
        <v>252.0</v>
      </c>
      <c r="K2125" s="17">
        <v>252.0</v>
      </c>
      <c r="L2125" s="17">
        <v>0.0</v>
      </c>
      <c r="M2125" s="17">
        <v>0.0</v>
      </c>
      <c r="N2125" s="17">
        <v>0.0</v>
      </c>
      <c r="O2125" s="17">
        <v>6.0</v>
      </c>
      <c r="P2125" s="17">
        <v>31.0</v>
      </c>
      <c r="Q2125" s="17">
        <v>31.0</v>
      </c>
      <c r="R2125" s="17">
        <v>31.0</v>
      </c>
      <c r="S2125" s="17">
        <v>31.0</v>
      </c>
      <c r="T2125" s="17">
        <v>31.0</v>
      </c>
      <c r="U2125" s="17">
        <v>31.0</v>
      </c>
    </row>
    <row r="2126" ht="23.25" customHeight="1">
      <c r="A2126" s="20" t="str">
        <f>IF(COUNTIF('Icon Lookup'!C:C,B2126)&gt;0,LOOKUP(B2126,'Icon Lookup'!C:C,'Icon Lookup'!B:B),"")</f>
        <v/>
      </c>
      <c r="B2126" s="21" t="s">
        <v>2550</v>
      </c>
      <c r="C2126" s="20" t="s">
        <v>17</v>
      </c>
      <c r="D2126" s="20">
        <v>63.0</v>
      </c>
      <c r="E2126" s="20" t="str">
        <f>IMAGE("https://www.serebii.net/itemdex/sprites/lifeorb.png")</f>
        <v/>
      </c>
      <c r="F2126" s="20" t="s">
        <v>2501</v>
      </c>
      <c r="G2126" s="20" t="s">
        <v>873</v>
      </c>
      <c r="H2126" s="23" t="s">
        <v>2551</v>
      </c>
      <c r="I2126" s="20" t="s">
        <v>550</v>
      </c>
      <c r="J2126" s="20">
        <v>6.0</v>
      </c>
      <c r="K2126" s="20">
        <v>252.0</v>
      </c>
      <c r="L2126" s="20">
        <v>0.0</v>
      </c>
      <c r="M2126" s="20">
        <v>0.0</v>
      </c>
      <c r="N2126" s="20">
        <v>0.0</v>
      </c>
      <c r="O2126" s="20">
        <v>252.0</v>
      </c>
      <c r="P2126" s="20">
        <v>31.0</v>
      </c>
      <c r="Q2126" s="20">
        <v>31.0</v>
      </c>
      <c r="R2126" s="20">
        <v>31.0</v>
      </c>
      <c r="S2126" s="20">
        <v>31.0</v>
      </c>
      <c r="T2126" s="20">
        <v>31.0</v>
      </c>
      <c r="U2126" s="20">
        <v>31.0</v>
      </c>
    </row>
    <row r="2127" ht="23.25" customHeight="1">
      <c r="A2127" s="17" t="str">
        <f>IF(COUNTIF('Icon Lookup'!C:C,B2127)&gt;0,LOOKUP(B2127,'Icon Lookup'!C:C,'Icon Lookup'!B:B),"")</f>
        <v/>
      </c>
      <c r="B2127" s="18" t="s">
        <v>912</v>
      </c>
      <c r="C2127" s="17" t="s">
        <v>17</v>
      </c>
      <c r="D2127" s="17">
        <v>59.0</v>
      </c>
      <c r="E2127" s="17" t="str">
        <f>IMAGE("https://www.serebii.net/itemdex/sprites/flameorb.png")</f>
        <v/>
      </c>
      <c r="F2127" s="17" t="s">
        <v>913</v>
      </c>
      <c r="G2127" s="17" t="s">
        <v>852</v>
      </c>
      <c r="H2127" s="20" t="s">
        <v>2549</v>
      </c>
      <c r="I2127" s="17" t="s">
        <v>612</v>
      </c>
      <c r="J2127" s="17">
        <v>252.0</v>
      </c>
      <c r="K2127" s="17">
        <v>0.0</v>
      </c>
      <c r="L2127" s="17">
        <v>128.0</v>
      </c>
      <c r="M2127" s="17">
        <v>0.0</v>
      </c>
      <c r="N2127" s="17">
        <v>128.0</v>
      </c>
      <c r="O2127" s="17">
        <v>6.0</v>
      </c>
      <c r="P2127" s="17">
        <v>31.0</v>
      </c>
      <c r="Q2127" s="17">
        <v>31.0</v>
      </c>
      <c r="R2127" s="17">
        <v>31.0</v>
      </c>
      <c r="S2127" s="17">
        <v>31.0</v>
      </c>
      <c r="T2127" s="17">
        <v>31.0</v>
      </c>
      <c r="U2127" s="17">
        <v>31.0</v>
      </c>
    </row>
    <row r="2128" ht="23.25" customHeight="1">
      <c r="A2128" s="20" t="str">
        <f>IF(COUNTIF('Icon Lookup'!C:C,B2128)&gt;0,LOOKUP(B2128,'Icon Lookup'!C:C,'Icon Lookup'!B:B),"")</f>
        <v/>
      </c>
      <c r="B2128" s="21" t="s">
        <v>728</v>
      </c>
      <c r="C2128" s="20" t="s">
        <v>17</v>
      </c>
      <c r="D2128" s="20">
        <v>60.0</v>
      </c>
      <c r="E2128" s="20" t="str">
        <f>IMAGE("https://www.serebii.net/itemdex/sprites/sitrusberry.png")</f>
        <v/>
      </c>
      <c r="F2128" s="20" t="s">
        <v>31</v>
      </c>
      <c r="G2128" s="20" t="s">
        <v>824</v>
      </c>
      <c r="H2128" s="23" t="s">
        <v>2554</v>
      </c>
      <c r="I2128" s="20" t="s">
        <v>52</v>
      </c>
      <c r="J2128" s="20">
        <v>6.0</v>
      </c>
      <c r="K2128" s="20">
        <v>0.0</v>
      </c>
      <c r="L2128" s="20">
        <v>0.0</v>
      </c>
      <c r="M2128" s="20">
        <v>252.0</v>
      </c>
      <c r="N2128" s="20">
        <v>0.0</v>
      </c>
      <c r="O2128" s="20">
        <v>252.0</v>
      </c>
      <c r="P2128" s="20">
        <v>31.0</v>
      </c>
      <c r="Q2128" s="20">
        <v>31.0</v>
      </c>
      <c r="R2128" s="20">
        <v>31.0</v>
      </c>
      <c r="S2128" s="20">
        <v>31.0</v>
      </c>
      <c r="T2128" s="20">
        <v>31.0</v>
      </c>
      <c r="U2128" s="20">
        <v>31.0</v>
      </c>
    </row>
    <row r="2129" ht="23.25" customHeight="1">
      <c r="A2129" s="24" t="str">
        <f>IF(COUNTIF('Icon Lookup'!C:C,B2129)&gt;0,LOOKUP(B2129,'Icon Lookup'!C:C,'Icon Lookup'!B:B),"")</f>
        <v/>
      </c>
      <c r="B2129" s="25" t="s">
        <v>879</v>
      </c>
      <c r="C2129" s="24" t="s">
        <v>804</v>
      </c>
      <c r="D2129" s="24">
        <v>64.0</v>
      </c>
      <c r="E2129" s="24" t="str">
        <f>IMAGE("https://www.serebii.net/itemdex/sprites/choicescarf.png")</f>
        <v/>
      </c>
      <c r="F2129" s="24" t="s">
        <v>145</v>
      </c>
      <c r="G2129" s="17" t="s">
        <v>2472</v>
      </c>
      <c r="H2129" s="20" t="s">
        <v>2703</v>
      </c>
      <c r="I2129" s="24" t="s">
        <v>2704</v>
      </c>
      <c r="J2129" s="24">
        <v>0.0</v>
      </c>
      <c r="K2129" s="24">
        <v>252.0</v>
      </c>
      <c r="L2129" s="24">
        <v>0.0</v>
      </c>
      <c r="M2129" s="24">
        <v>252.0</v>
      </c>
      <c r="N2129" s="24">
        <v>0.0</v>
      </c>
      <c r="O2129" s="24">
        <v>6.0</v>
      </c>
      <c r="P2129" s="24">
        <v>31.0</v>
      </c>
      <c r="Q2129" s="24">
        <v>31.0</v>
      </c>
      <c r="R2129" s="24">
        <v>31.0</v>
      </c>
      <c r="S2129" s="24">
        <v>31.0</v>
      </c>
      <c r="T2129" s="24">
        <v>31.0</v>
      </c>
      <c r="U2129" s="24">
        <v>31.0</v>
      </c>
    </row>
    <row r="2130" ht="23.25" customHeight="1">
      <c r="A2130" s="1" t="str">
        <f>IF(COUNTIF('Icon Lookup'!C:C,B2130)&gt;0,LOOKUP(B2130,'Icon Lookup'!C:C,'Icon Lookup'!B:B),"")</f>
        <v/>
      </c>
      <c r="B2130" s="15" t="s">
        <v>2561</v>
      </c>
      <c r="C2130" s="1" t="s">
        <v>17</v>
      </c>
      <c r="D2130" s="1" t="s">
        <v>2029</v>
      </c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</row>
    <row r="2131" ht="23.25" customHeight="1">
      <c r="A2131" s="20" t="str">
        <f>IF(COUNTIF('Icon Lookup'!C:C,B2131)&gt;0,LOOKUP(B2131,'Icon Lookup'!C:C,'Icon Lookup'!B:B),"")</f>
        <v/>
      </c>
      <c r="B2131" s="21" t="s">
        <v>257</v>
      </c>
      <c r="C2131" s="20" t="s">
        <v>17</v>
      </c>
      <c r="D2131" s="20">
        <v>58.0</v>
      </c>
      <c r="E2131" s="20" t="str">
        <f>IMAGE("https://www.serebii.net/itemdex/sprites/focussash.png")</f>
        <v/>
      </c>
      <c r="F2131" s="20" t="s">
        <v>2547</v>
      </c>
      <c r="G2131" s="20" t="s">
        <v>881</v>
      </c>
      <c r="H2131" s="23" t="s">
        <v>2548</v>
      </c>
      <c r="I2131" s="20" t="s">
        <v>52</v>
      </c>
      <c r="J2131" s="20">
        <v>6.0</v>
      </c>
      <c r="K2131" s="20">
        <v>0.0</v>
      </c>
      <c r="L2131" s="20">
        <v>0.0</v>
      </c>
      <c r="M2131" s="20">
        <v>252.0</v>
      </c>
      <c r="N2131" s="20">
        <v>0.0</v>
      </c>
      <c r="O2131" s="20">
        <v>252.0</v>
      </c>
      <c r="P2131" s="20">
        <v>31.0</v>
      </c>
      <c r="Q2131" s="20">
        <v>31.0</v>
      </c>
      <c r="R2131" s="20">
        <v>31.0</v>
      </c>
      <c r="S2131" s="20">
        <v>31.0</v>
      </c>
      <c r="T2131" s="20">
        <v>31.0</v>
      </c>
      <c r="U2131" s="20">
        <v>31.0</v>
      </c>
    </row>
    <row r="2132" ht="23.25" customHeight="1">
      <c r="A2132" s="17" t="str">
        <f>IF(COUNTIF('Icon Lookup'!C:C,B2132)&gt;0,LOOKUP(B2132,'Icon Lookup'!C:C,'Icon Lookup'!B:B),"")</f>
        <v/>
      </c>
      <c r="B2132" s="18" t="s">
        <v>2552</v>
      </c>
      <c r="C2132" s="17" t="s">
        <v>17</v>
      </c>
      <c r="D2132" s="17">
        <v>59.0</v>
      </c>
      <c r="E2132" s="17" t="str">
        <f>IMAGE("https://www.serebii.net/itemdex/sprites/expertbelt.png")</f>
        <v/>
      </c>
      <c r="F2132" s="17" t="s">
        <v>1802</v>
      </c>
      <c r="G2132" s="17" t="s">
        <v>907</v>
      </c>
      <c r="H2132" s="20" t="s">
        <v>2553</v>
      </c>
      <c r="I2132" s="17" t="s">
        <v>612</v>
      </c>
      <c r="J2132" s="17">
        <v>6.0</v>
      </c>
      <c r="K2132" s="17">
        <v>0.0</v>
      </c>
      <c r="L2132" s="17">
        <v>0.0</v>
      </c>
      <c r="M2132" s="17">
        <v>252.0</v>
      </c>
      <c r="N2132" s="17">
        <v>0.0</v>
      </c>
      <c r="O2132" s="17">
        <v>252.0</v>
      </c>
      <c r="P2132" s="17">
        <v>31.0</v>
      </c>
      <c r="Q2132" s="17">
        <v>31.0</v>
      </c>
      <c r="R2132" s="17">
        <v>31.0</v>
      </c>
      <c r="S2132" s="17">
        <v>31.0</v>
      </c>
      <c r="T2132" s="17">
        <v>31.0</v>
      </c>
      <c r="U2132" s="17">
        <v>31.0</v>
      </c>
    </row>
    <row r="2133" ht="23.25" customHeight="1">
      <c r="A2133" s="20" t="str">
        <f>IF(COUNTIF('Icon Lookup'!C:C,B2133)&gt;0,LOOKUP(B2133,'Icon Lookup'!C:C,'Icon Lookup'!B:B),"")</f>
        <v/>
      </c>
      <c r="B2133" s="21" t="s">
        <v>2550</v>
      </c>
      <c r="C2133" s="20" t="s">
        <v>17</v>
      </c>
      <c r="D2133" s="20">
        <v>63.0</v>
      </c>
      <c r="E2133" s="20" t="str">
        <f>IMAGE("https://www.serebii.net/itemdex/sprites/lifeorb.png")</f>
        <v/>
      </c>
      <c r="F2133" s="20" t="s">
        <v>2501</v>
      </c>
      <c r="G2133" s="20" t="s">
        <v>873</v>
      </c>
      <c r="H2133" s="23" t="s">
        <v>2551</v>
      </c>
      <c r="I2133" s="20" t="s">
        <v>550</v>
      </c>
      <c r="J2133" s="20">
        <v>6.0</v>
      </c>
      <c r="K2133" s="20">
        <v>252.0</v>
      </c>
      <c r="L2133" s="20">
        <v>0.0</v>
      </c>
      <c r="M2133" s="20">
        <v>0.0</v>
      </c>
      <c r="N2133" s="20">
        <v>0.0</v>
      </c>
      <c r="O2133" s="20">
        <v>252.0</v>
      </c>
      <c r="P2133" s="20">
        <v>31.0</v>
      </c>
      <c r="Q2133" s="20">
        <v>31.0</v>
      </c>
      <c r="R2133" s="20">
        <v>31.0</v>
      </c>
      <c r="S2133" s="20">
        <v>31.0</v>
      </c>
      <c r="T2133" s="20">
        <v>31.0</v>
      </c>
      <c r="U2133" s="20">
        <v>31.0</v>
      </c>
    </row>
    <row r="2134" ht="23.25" customHeight="1">
      <c r="A2134" s="17" t="str">
        <f>IF(COUNTIF('Icon Lookup'!C:C,B2134)&gt;0,LOOKUP(B2134,'Icon Lookup'!C:C,'Icon Lookup'!B:B),"")</f>
        <v/>
      </c>
      <c r="B2134" s="18" t="s">
        <v>2557</v>
      </c>
      <c r="C2134" s="17" t="s">
        <v>17</v>
      </c>
      <c r="D2134" s="17">
        <v>59.0</v>
      </c>
      <c r="E2134" s="17" t="str">
        <f>IMAGE("https://www.serebii.net/itemdex/sprites/lumberry.png")</f>
        <v/>
      </c>
      <c r="F2134" s="17" t="s">
        <v>2558</v>
      </c>
      <c r="G2134" s="17" t="s">
        <v>2533</v>
      </c>
      <c r="H2134" s="20" t="s">
        <v>2559</v>
      </c>
      <c r="I2134" s="17" t="s">
        <v>550</v>
      </c>
      <c r="J2134" s="17">
        <v>252.0</v>
      </c>
      <c r="K2134" s="17">
        <v>252.0</v>
      </c>
      <c r="L2134" s="17">
        <v>0.0</v>
      </c>
      <c r="M2134" s="17">
        <v>0.0</v>
      </c>
      <c r="N2134" s="17">
        <v>0.0</v>
      </c>
      <c r="O2134" s="17">
        <v>6.0</v>
      </c>
      <c r="P2134" s="17">
        <v>31.0</v>
      </c>
      <c r="Q2134" s="17">
        <v>31.0</v>
      </c>
      <c r="R2134" s="17">
        <v>31.0</v>
      </c>
      <c r="S2134" s="17">
        <v>31.0</v>
      </c>
      <c r="T2134" s="17">
        <v>31.0</v>
      </c>
      <c r="U2134" s="17">
        <v>31.0</v>
      </c>
    </row>
    <row r="2135" ht="23.25" customHeight="1">
      <c r="A2135" s="20" t="str">
        <f>IF(COUNTIF('Icon Lookup'!C:C,B2135)&gt;0,LOOKUP(B2135,'Icon Lookup'!C:C,'Icon Lookup'!B:B),"")</f>
        <v/>
      </c>
      <c r="B2135" s="21" t="s">
        <v>728</v>
      </c>
      <c r="C2135" s="20" t="s">
        <v>17</v>
      </c>
      <c r="D2135" s="20">
        <v>60.0</v>
      </c>
      <c r="E2135" s="20" t="str">
        <f>IMAGE("https://www.serebii.net/itemdex/sprites/sitrusberry.png")</f>
        <v/>
      </c>
      <c r="F2135" s="20" t="s">
        <v>31</v>
      </c>
      <c r="G2135" s="20" t="s">
        <v>824</v>
      </c>
      <c r="H2135" s="23" t="s">
        <v>2554</v>
      </c>
      <c r="I2135" s="20" t="s">
        <v>52</v>
      </c>
      <c r="J2135" s="20">
        <v>6.0</v>
      </c>
      <c r="K2135" s="20">
        <v>0.0</v>
      </c>
      <c r="L2135" s="20">
        <v>0.0</v>
      </c>
      <c r="M2135" s="20">
        <v>252.0</v>
      </c>
      <c r="N2135" s="20">
        <v>0.0</v>
      </c>
      <c r="O2135" s="20">
        <v>252.0</v>
      </c>
      <c r="P2135" s="20">
        <v>31.0</v>
      </c>
      <c r="Q2135" s="20">
        <v>31.0</v>
      </c>
      <c r="R2135" s="20">
        <v>31.0</v>
      </c>
      <c r="S2135" s="20">
        <v>31.0</v>
      </c>
      <c r="T2135" s="20">
        <v>31.0</v>
      </c>
      <c r="U2135" s="20">
        <v>31.0</v>
      </c>
    </row>
    <row r="2136" ht="23.25" customHeight="1">
      <c r="A2136" s="24" t="str">
        <f>IF(COUNTIF('Icon Lookup'!C:C,B2136)&gt;0,LOOKUP(B2136,'Icon Lookup'!C:C,'Icon Lookup'!B:B),"")</f>
        <v/>
      </c>
      <c r="B2136" s="25" t="s">
        <v>737</v>
      </c>
      <c r="C2136" s="24" t="s">
        <v>804</v>
      </c>
      <c r="D2136" s="24">
        <v>64.0</v>
      </c>
      <c r="E2136" s="24" t="str">
        <f>IMAGE("https://www.serebii.net/itemdex/sprites/choiceband.png")</f>
        <v/>
      </c>
      <c r="F2136" s="24" t="s">
        <v>2705</v>
      </c>
      <c r="G2136" s="17" t="s">
        <v>2463</v>
      </c>
      <c r="H2136" s="20" t="s">
        <v>2562</v>
      </c>
      <c r="I2136" s="24" t="s">
        <v>550</v>
      </c>
      <c r="J2136" s="24">
        <v>252.0</v>
      </c>
      <c r="K2136" s="24">
        <v>252.0</v>
      </c>
      <c r="L2136" s="24">
        <v>6.0</v>
      </c>
      <c r="M2136" s="24">
        <v>0.0</v>
      </c>
      <c r="N2136" s="24">
        <v>0.0</v>
      </c>
      <c r="O2136" s="24">
        <v>0.0</v>
      </c>
      <c r="P2136" s="24">
        <v>31.0</v>
      </c>
      <c r="Q2136" s="24">
        <v>31.0</v>
      </c>
      <c r="R2136" s="24">
        <v>31.0</v>
      </c>
      <c r="S2136" s="24">
        <v>31.0</v>
      </c>
      <c r="T2136" s="24">
        <v>31.0</v>
      </c>
      <c r="U2136" s="24">
        <v>31.0</v>
      </c>
    </row>
    <row r="2137" ht="23.25" customHeight="1">
      <c r="A2137" s="1" t="str">
        <f>IF(COUNTIF('Icon Lookup'!C:C,B2137)&gt;0,LOOKUP(B2137,'Icon Lookup'!C:C,'Icon Lookup'!B:B),"")</f>
        <v/>
      </c>
      <c r="B2137" s="15" t="s">
        <v>2563</v>
      </c>
      <c r="C2137" s="1" t="s">
        <v>17</v>
      </c>
      <c r="D2137" s="1" t="s">
        <v>2029</v>
      </c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</row>
    <row r="2138" ht="23.25" customHeight="1">
      <c r="A2138" s="20" t="str">
        <f>IF(COUNTIF('Icon Lookup'!C:C,B2138)&gt;0,LOOKUP(B2138,'Icon Lookup'!C:C,'Icon Lookup'!B:B),"")</f>
        <v/>
      </c>
      <c r="B2138" s="21" t="s">
        <v>2507</v>
      </c>
      <c r="C2138" s="20" t="s">
        <v>17</v>
      </c>
      <c r="D2138" s="20">
        <v>68.0</v>
      </c>
      <c r="E2138" s="20" t="str">
        <f>IMAGE("https://www.serebii.net/itemdex/sprites/lumberry.png")</f>
        <v/>
      </c>
      <c r="F2138" s="20" t="s">
        <v>903</v>
      </c>
      <c r="G2138" s="20" t="s">
        <v>2533</v>
      </c>
      <c r="H2138" s="23" t="s">
        <v>2564</v>
      </c>
      <c r="I2138" s="20" t="s">
        <v>822</v>
      </c>
      <c r="J2138" s="20">
        <v>252.0</v>
      </c>
      <c r="K2138" s="20">
        <v>252.0</v>
      </c>
      <c r="L2138" s="20">
        <v>6.0</v>
      </c>
      <c r="M2138" s="20">
        <v>0.0</v>
      </c>
      <c r="N2138" s="20">
        <v>0.0</v>
      </c>
      <c r="O2138" s="20">
        <v>0.0</v>
      </c>
      <c r="P2138" s="20">
        <v>31.0</v>
      </c>
      <c r="Q2138" s="20">
        <v>31.0</v>
      </c>
      <c r="R2138" s="20">
        <v>31.0</v>
      </c>
      <c r="S2138" s="20">
        <v>31.0</v>
      </c>
      <c r="T2138" s="20">
        <v>31.0</v>
      </c>
      <c r="U2138" s="20">
        <v>0.0</v>
      </c>
    </row>
    <row r="2139" ht="23.25" customHeight="1">
      <c r="A2139" s="17" t="str">
        <f>IF(COUNTIF('Icon Lookup'!C:C,B2139)&gt;0,LOOKUP(B2139,'Icon Lookup'!C:C,'Icon Lookup'!B:B),"")</f>
        <v/>
      </c>
      <c r="B2139" s="18" t="s">
        <v>2565</v>
      </c>
      <c r="C2139" s="17" t="s">
        <v>17</v>
      </c>
      <c r="D2139" s="17">
        <v>69.0</v>
      </c>
      <c r="E2139" s="17" t="str">
        <f>IMAGE("https://www.serebii.net/itemdex/sprites/toxicorb.png")</f>
        <v/>
      </c>
      <c r="F2139" s="17" t="s">
        <v>276</v>
      </c>
      <c r="G2139" s="17" t="s">
        <v>2476</v>
      </c>
      <c r="H2139" s="20" t="s">
        <v>2566</v>
      </c>
      <c r="I2139" s="17" t="s">
        <v>550</v>
      </c>
      <c r="J2139" s="17">
        <v>252.0</v>
      </c>
      <c r="K2139" s="17">
        <v>252.0</v>
      </c>
      <c r="L2139" s="17">
        <v>6.0</v>
      </c>
      <c r="M2139" s="17">
        <v>0.0</v>
      </c>
      <c r="N2139" s="17">
        <v>0.0</v>
      </c>
      <c r="O2139" s="17">
        <v>0.0</v>
      </c>
      <c r="P2139" s="17">
        <v>31.0</v>
      </c>
      <c r="Q2139" s="17">
        <v>31.0</v>
      </c>
      <c r="R2139" s="17">
        <v>31.0</v>
      </c>
      <c r="S2139" s="17">
        <v>31.0</v>
      </c>
      <c r="T2139" s="17">
        <v>31.0</v>
      </c>
      <c r="U2139" s="17">
        <v>0.0</v>
      </c>
    </row>
    <row r="2140" ht="23.25" customHeight="1">
      <c r="A2140" s="20" t="str">
        <f>IF(COUNTIF('Icon Lookup'!C:C,B2140)&gt;0,LOOKUP(B2140,'Icon Lookup'!C:C,'Icon Lookup'!B:B),"")</f>
        <v/>
      </c>
      <c r="B2140" s="21" t="s">
        <v>714</v>
      </c>
      <c r="C2140" s="20" t="s">
        <v>17</v>
      </c>
      <c r="D2140" s="20">
        <v>70.0</v>
      </c>
      <c r="E2140" s="20" t="str">
        <f>IMAGE("https://www.serebii.net/itemdex/sprites/focussash.png")</f>
        <v/>
      </c>
      <c r="F2140" s="20" t="s">
        <v>434</v>
      </c>
      <c r="G2140" s="20" t="s">
        <v>881</v>
      </c>
      <c r="H2140" s="23" t="s">
        <v>2567</v>
      </c>
      <c r="I2140" s="20" t="s">
        <v>550</v>
      </c>
      <c r="J2140" s="20">
        <v>252.0</v>
      </c>
      <c r="K2140" s="20">
        <v>252.0</v>
      </c>
      <c r="L2140" s="20">
        <v>6.0</v>
      </c>
      <c r="M2140" s="20">
        <v>0.0</v>
      </c>
      <c r="N2140" s="20">
        <v>0.0</v>
      </c>
      <c r="O2140" s="20">
        <v>0.0</v>
      </c>
      <c r="P2140" s="20">
        <v>31.0</v>
      </c>
      <c r="Q2140" s="20">
        <v>31.0</v>
      </c>
      <c r="R2140" s="20">
        <v>31.0</v>
      </c>
      <c r="S2140" s="20">
        <v>31.0</v>
      </c>
      <c r="T2140" s="20">
        <v>31.0</v>
      </c>
      <c r="U2140" s="20">
        <v>0.0</v>
      </c>
    </row>
    <row r="2141" ht="23.25" customHeight="1">
      <c r="A2141" s="17" t="str">
        <f>IMAGE("https://www.smogon.com/forums//media/minisprites/rotom-wash.png",3)</f>
        <v/>
      </c>
      <c r="B2141" s="18" t="s">
        <v>2568</v>
      </c>
      <c r="C2141" s="17" t="s">
        <v>17</v>
      </c>
      <c r="D2141" s="17">
        <v>69.0</v>
      </c>
      <c r="E2141" s="17" t="str">
        <f>IMAGE("https://www.serebii.net/itemdex/sprites/choicespecs.png")</f>
        <v/>
      </c>
      <c r="F2141" s="17" t="s">
        <v>161</v>
      </c>
      <c r="G2141" s="17" t="s">
        <v>2569</v>
      </c>
      <c r="H2141" s="20" t="s">
        <v>2570</v>
      </c>
      <c r="I2141" s="17" t="s">
        <v>612</v>
      </c>
      <c r="J2141" s="17">
        <v>252.0</v>
      </c>
      <c r="K2141" s="17">
        <v>0.0</v>
      </c>
      <c r="L2141" s="17">
        <v>0.0</v>
      </c>
      <c r="M2141" s="17">
        <v>252.0</v>
      </c>
      <c r="N2141" s="17">
        <v>0.0</v>
      </c>
      <c r="O2141" s="17">
        <v>6.0</v>
      </c>
      <c r="P2141" s="17">
        <v>31.0</v>
      </c>
      <c r="Q2141" s="17">
        <v>31.0</v>
      </c>
      <c r="R2141" s="17">
        <v>31.0</v>
      </c>
      <c r="S2141" s="17">
        <v>31.0</v>
      </c>
      <c r="T2141" s="17">
        <v>31.0</v>
      </c>
      <c r="U2141" s="17">
        <v>31.0</v>
      </c>
    </row>
    <row r="2142" ht="23.25" customHeight="1">
      <c r="A2142" s="20" t="str">
        <f>IF(COUNTIF('Icon Lookup'!C:C,B2142)&gt;0,LOOKUP(B2142,'Icon Lookup'!C:C,'Icon Lookup'!B:B),"")</f>
        <v/>
      </c>
      <c r="B2142" s="21" t="s">
        <v>1868</v>
      </c>
      <c r="C2142" s="20" t="s">
        <v>17</v>
      </c>
      <c r="D2142" s="20">
        <v>70.0</v>
      </c>
      <c r="E2142" s="20" t="str">
        <f>IMAGE("https://www.serebii.net/itemdex/sprites/kingsrock.png")</f>
        <v/>
      </c>
      <c r="F2142" s="20" t="s">
        <v>240</v>
      </c>
      <c r="G2142" s="20" t="s">
        <v>2571</v>
      </c>
      <c r="H2142" s="23" t="s">
        <v>2572</v>
      </c>
      <c r="I2142" s="20" t="s">
        <v>22</v>
      </c>
      <c r="J2142" s="20">
        <v>252.0</v>
      </c>
      <c r="K2142" s="20">
        <v>0.0</v>
      </c>
      <c r="L2142" s="20">
        <v>252.0</v>
      </c>
      <c r="M2142" s="20">
        <v>0.0</v>
      </c>
      <c r="N2142" s="20">
        <v>6.0</v>
      </c>
      <c r="O2142" s="20">
        <v>0.0</v>
      </c>
      <c r="P2142" s="20">
        <v>31.0</v>
      </c>
      <c r="Q2142" s="20">
        <v>31.0</v>
      </c>
      <c r="R2142" s="20">
        <v>31.0</v>
      </c>
      <c r="S2142" s="20">
        <v>31.0</v>
      </c>
      <c r="T2142" s="20">
        <v>31.0</v>
      </c>
      <c r="U2142" s="20">
        <v>31.0</v>
      </c>
    </row>
    <row r="2143" ht="23.25" customHeight="1">
      <c r="A2143" s="24" t="str">
        <f>IF(COUNTIF('Icon Lookup'!C:C,B2143)&gt;0,LOOKUP(B2143,'Icon Lookup'!C:C,'Icon Lookup'!B:B),"")</f>
        <v/>
      </c>
      <c r="B2143" s="25" t="s">
        <v>730</v>
      </c>
      <c r="C2143" s="24" t="s">
        <v>804</v>
      </c>
      <c r="D2143" s="24">
        <v>74.0</v>
      </c>
      <c r="E2143" s="24" t="str">
        <f>IMAGE("https://www.serebii.net/itemdex/sprites/leftovers.png")</f>
        <v/>
      </c>
      <c r="F2143" s="24" t="s">
        <v>1106</v>
      </c>
      <c r="G2143" s="17" t="s">
        <v>859</v>
      </c>
      <c r="H2143" s="20" t="s">
        <v>2555</v>
      </c>
      <c r="I2143" s="24" t="s">
        <v>822</v>
      </c>
      <c r="J2143" s="24">
        <v>252.0</v>
      </c>
      <c r="K2143" s="24">
        <v>252.0</v>
      </c>
      <c r="L2143" s="24">
        <v>0.0</v>
      </c>
      <c r="M2143" s="24">
        <v>0.0</v>
      </c>
      <c r="N2143" s="24">
        <v>6.0</v>
      </c>
      <c r="O2143" s="24">
        <v>0.0</v>
      </c>
      <c r="P2143" s="24">
        <v>31.0</v>
      </c>
      <c r="Q2143" s="24">
        <v>31.0</v>
      </c>
      <c r="R2143" s="24">
        <v>31.0</v>
      </c>
      <c r="S2143" s="24">
        <v>31.0</v>
      </c>
      <c r="T2143" s="24">
        <v>31.0</v>
      </c>
      <c r="U2143" s="24">
        <v>0.0</v>
      </c>
    </row>
    <row r="2144" ht="23.25" customHeight="1">
      <c r="A2144" s="1" t="str">
        <f>IF(COUNTIF('Icon Lookup'!C:C,B2144)&gt;0,LOOKUP(B2144,'Icon Lookup'!C:C,'Icon Lookup'!B:B),"")</f>
        <v/>
      </c>
      <c r="B2144" s="15" t="s">
        <v>2573</v>
      </c>
      <c r="C2144" s="1" t="s">
        <v>17</v>
      </c>
      <c r="D2144" s="1" t="s">
        <v>2029</v>
      </c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</row>
    <row r="2145" ht="23.25" customHeight="1">
      <c r="A2145" s="20" t="str">
        <f>IF(COUNTIF('Icon Lookup'!C:C,B2145)&gt;0,LOOKUP(B2145,'Icon Lookup'!C:C,'Icon Lookup'!B:B),"")</f>
        <v/>
      </c>
      <c r="B2145" s="21" t="s">
        <v>2574</v>
      </c>
      <c r="C2145" s="20" t="s">
        <v>17</v>
      </c>
      <c r="D2145" s="20">
        <v>68.0</v>
      </c>
      <c r="E2145" s="20" t="str">
        <f>IMAGE("https://www.serebii.net/itemdex/sprites/razorclaw.png")</f>
        <v/>
      </c>
      <c r="F2145" s="20" t="s">
        <v>1367</v>
      </c>
      <c r="G2145" s="20" t="s">
        <v>2575</v>
      </c>
      <c r="H2145" s="23" t="s">
        <v>2576</v>
      </c>
      <c r="I2145" s="20" t="s">
        <v>22</v>
      </c>
      <c r="J2145" s="20">
        <v>6.0</v>
      </c>
      <c r="K2145" s="20">
        <v>252.0</v>
      </c>
      <c r="L2145" s="20">
        <v>0.0</v>
      </c>
      <c r="M2145" s="20">
        <v>0.0</v>
      </c>
      <c r="N2145" s="20">
        <v>0.0</v>
      </c>
      <c r="O2145" s="20">
        <v>252.0</v>
      </c>
      <c r="P2145" s="20">
        <v>31.0</v>
      </c>
      <c r="Q2145" s="20">
        <v>31.0</v>
      </c>
      <c r="R2145" s="20">
        <v>31.0</v>
      </c>
      <c r="S2145" s="20">
        <v>31.0</v>
      </c>
      <c r="T2145" s="20">
        <v>31.0</v>
      </c>
      <c r="U2145" s="20">
        <v>31.0</v>
      </c>
    </row>
    <row r="2146" ht="23.25" customHeight="1">
      <c r="A2146" s="17" t="str">
        <f>IF(COUNTIF('Icon Lookup'!C:C,B2146)&gt;0,LOOKUP(B2146,'Icon Lookup'!C:C,'Icon Lookup'!B:B),"")</f>
        <v/>
      </c>
      <c r="B2146" s="18" t="s">
        <v>2577</v>
      </c>
      <c r="C2146" s="17" t="s">
        <v>17</v>
      </c>
      <c r="D2146" s="17">
        <v>69.0</v>
      </c>
      <c r="E2146" s="17" t="str">
        <f>IMAGE("https://www.serebii.net/itemdex/sprites/focussash.png")</f>
        <v/>
      </c>
      <c r="F2146" s="17" t="s">
        <v>2578</v>
      </c>
      <c r="G2146" s="17" t="s">
        <v>881</v>
      </c>
      <c r="H2146" s="20" t="s">
        <v>2579</v>
      </c>
      <c r="I2146" s="17" t="s">
        <v>550</v>
      </c>
      <c r="J2146" s="17">
        <v>6.0</v>
      </c>
      <c r="K2146" s="17">
        <v>252.0</v>
      </c>
      <c r="L2146" s="17">
        <v>0.0</v>
      </c>
      <c r="M2146" s="17">
        <v>0.0</v>
      </c>
      <c r="N2146" s="17">
        <v>0.0</v>
      </c>
      <c r="O2146" s="17">
        <v>252.0</v>
      </c>
      <c r="P2146" s="17">
        <v>31.0</v>
      </c>
      <c r="Q2146" s="17">
        <v>31.0</v>
      </c>
      <c r="R2146" s="17">
        <v>31.0</v>
      </c>
      <c r="S2146" s="17">
        <v>31.0</v>
      </c>
      <c r="T2146" s="17">
        <v>31.0</v>
      </c>
      <c r="U2146" s="17">
        <v>31.0</v>
      </c>
    </row>
    <row r="2147" ht="23.25" customHeight="1">
      <c r="A2147" s="20" t="str">
        <f>IF(COUNTIF('Icon Lookup'!C:C,B2147)&gt;0,LOOKUP(B2147,'Icon Lookup'!C:C,'Icon Lookup'!B:B),"")</f>
        <v/>
      </c>
      <c r="B2147" s="21" t="s">
        <v>2580</v>
      </c>
      <c r="C2147" s="20" t="s">
        <v>17</v>
      </c>
      <c r="D2147" s="20">
        <v>70.0</v>
      </c>
      <c r="E2147" s="20" t="str">
        <f>IMAGE("https://www.serebii.net/itemdex/sprites/lifeorb.png")</f>
        <v/>
      </c>
      <c r="F2147" s="20" t="s">
        <v>2581</v>
      </c>
      <c r="G2147" s="20" t="s">
        <v>873</v>
      </c>
      <c r="H2147" s="23" t="s">
        <v>2582</v>
      </c>
      <c r="I2147" s="20" t="s">
        <v>612</v>
      </c>
      <c r="J2147" s="20">
        <v>6.0</v>
      </c>
      <c r="K2147" s="20">
        <v>0.0</v>
      </c>
      <c r="L2147" s="20">
        <v>0.0</v>
      </c>
      <c r="M2147" s="20">
        <v>252.0</v>
      </c>
      <c r="N2147" s="20">
        <v>0.0</v>
      </c>
      <c r="O2147" s="20">
        <v>252.0</v>
      </c>
      <c r="P2147" s="20">
        <v>31.0</v>
      </c>
      <c r="Q2147" s="20">
        <v>31.0</v>
      </c>
      <c r="R2147" s="20">
        <v>31.0</v>
      </c>
      <c r="S2147" s="20">
        <v>31.0</v>
      </c>
      <c r="T2147" s="20">
        <v>31.0</v>
      </c>
      <c r="U2147" s="20">
        <v>31.0</v>
      </c>
    </row>
    <row r="2148" ht="23.25" customHeight="1">
      <c r="A2148" s="17" t="str">
        <f>IMAGE("https://www.smogon.com/forums//media/minisprites/rotom-mow.png",3)</f>
        <v/>
      </c>
      <c r="B2148" s="18" t="s">
        <v>2583</v>
      </c>
      <c r="C2148" s="17" t="s">
        <v>17</v>
      </c>
      <c r="D2148" s="17">
        <v>69.0</v>
      </c>
      <c r="E2148" s="17" t="str">
        <f>IMAGE("https://www.serebii.net/itemdex/sprites/choicespecs.png")</f>
        <v/>
      </c>
      <c r="F2148" s="17" t="s">
        <v>161</v>
      </c>
      <c r="G2148" s="17" t="s">
        <v>2569</v>
      </c>
      <c r="H2148" s="20" t="s">
        <v>2584</v>
      </c>
      <c r="I2148" s="17" t="s">
        <v>612</v>
      </c>
      <c r="J2148" s="17">
        <v>6.0</v>
      </c>
      <c r="K2148" s="17">
        <v>0.0</v>
      </c>
      <c r="L2148" s="17">
        <v>0.0</v>
      </c>
      <c r="M2148" s="17">
        <v>252.0</v>
      </c>
      <c r="N2148" s="17">
        <v>0.0</v>
      </c>
      <c r="O2148" s="17">
        <v>252.0</v>
      </c>
      <c r="P2148" s="17">
        <v>31.0</v>
      </c>
      <c r="Q2148" s="17">
        <v>31.0</v>
      </c>
      <c r="R2148" s="17">
        <v>31.0</v>
      </c>
      <c r="S2148" s="17">
        <v>31.0</v>
      </c>
      <c r="T2148" s="17">
        <v>31.0</v>
      </c>
      <c r="U2148" s="17">
        <v>31.0</v>
      </c>
    </row>
    <row r="2149" ht="23.25" customHeight="1">
      <c r="A2149" s="20" t="str">
        <f>IF(COUNTIF('Icon Lookup'!C:C,B2149)&gt;0,LOOKUP(B2149,'Icon Lookup'!C:C,'Icon Lookup'!B:B),"")</f>
        <v/>
      </c>
      <c r="B2149" s="21" t="s">
        <v>2585</v>
      </c>
      <c r="C2149" s="20" t="s">
        <v>17</v>
      </c>
      <c r="D2149" s="20">
        <v>70.0</v>
      </c>
      <c r="E2149" s="20" t="str">
        <f>IMAGE("https://www.serebii.net/itemdex/sprites/silkscarf.png")</f>
        <v/>
      </c>
      <c r="F2149" s="20" t="s">
        <v>2586</v>
      </c>
      <c r="G2149" s="20" t="s">
        <v>2587</v>
      </c>
      <c r="H2149" s="23" t="s">
        <v>2588</v>
      </c>
      <c r="I2149" s="20" t="s">
        <v>612</v>
      </c>
      <c r="J2149" s="20">
        <v>6.0</v>
      </c>
      <c r="K2149" s="20">
        <v>252.0</v>
      </c>
      <c r="L2149" s="20">
        <v>0.0</v>
      </c>
      <c r="M2149" s="20">
        <v>0.0</v>
      </c>
      <c r="N2149" s="20">
        <v>0.0</v>
      </c>
      <c r="O2149" s="20">
        <v>252.0</v>
      </c>
      <c r="P2149" s="20">
        <v>31.0</v>
      </c>
      <c r="Q2149" s="20">
        <v>31.0</v>
      </c>
      <c r="R2149" s="20">
        <v>31.0</v>
      </c>
      <c r="S2149" s="20">
        <v>31.0</v>
      </c>
      <c r="T2149" s="20">
        <v>31.0</v>
      </c>
      <c r="U2149" s="20">
        <v>31.0</v>
      </c>
    </row>
    <row r="2150" ht="23.25" customHeight="1">
      <c r="A2150" s="24" t="str">
        <f>IF(COUNTIF('Icon Lookup'!C:C,B2150)&gt;0,LOOKUP(B2150,'Icon Lookup'!C:C,'Icon Lookup'!B:B),"")</f>
        <v/>
      </c>
      <c r="B2150" s="25" t="s">
        <v>879</v>
      </c>
      <c r="C2150" s="24" t="s">
        <v>804</v>
      </c>
      <c r="D2150" s="24">
        <v>74.0</v>
      </c>
      <c r="E2150" s="24" t="str">
        <f>IMAGE("https://www.serebii.net/itemdex/sprites/choicescarf.png")</f>
        <v/>
      </c>
      <c r="F2150" s="24" t="s">
        <v>145</v>
      </c>
      <c r="G2150" s="17" t="s">
        <v>2472</v>
      </c>
      <c r="H2150" s="20" t="s">
        <v>2703</v>
      </c>
      <c r="I2150" s="24" t="s">
        <v>2704</v>
      </c>
      <c r="J2150" s="24">
        <v>0.0</v>
      </c>
      <c r="K2150" s="24">
        <v>252.0</v>
      </c>
      <c r="L2150" s="24">
        <v>0.0</v>
      </c>
      <c r="M2150" s="24">
        <v>252.0</v>
      </c>
      <c r="N2150" s="24">
        <v>0.0</v>
      </c>
      <c r="O2150" s="24">
        <v>6.0</v>
      </c>
      <c r="P2150" s="24">
        <v>31.0</v>
      </c>
      <c r="Q2150" s="24">
        <v>31.0</v>
      </c>
      <c r="R2150" s="24">
        <v>31.0</v>
      </c>
      <c r="S2150" s="24">
        <v>31.0</v>
      </c>
      <c r="T2150" s="24">
        <v>31.0</v>
      </c>
      <c r="U2150" s="24">
        <v>31.0</v>
      </c>
    </row>
    <row r="2151" ht="23.25" customHeight="1">
      <c r="A2151" s="1" t="str">
        <f>IF(COUNTIF('Icon Lookup'!C:C,B2151)&gt;0,LOOKUP(B2151,'Icon Lookup'!C:C,'Icon Lookup'!B:B),"")</f>
        <v/>
      </c>
      <c r="B2151" s="15" t="s">
        <v>2589</v>
      </c>
      <c r="C2151" s="1" t="s">
        <v>17</v>
      </c>
      <c r="D2151" s="1" t="s">
        <v>2029</v>
      </c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</row>
    <row r="2152" ht="23.25" customHeight="1">
      <c r="A2152" s="20" t="str">
        <f>IF(COUNTIF('Icon Lookup'!C:C,B2152)&gt;0,LOOKUP(B2152,'Icon Lookup'!C:C,'Icon Lookup'!B:B),"")</f>
        <v/>
      </c>
      <c r="B2152" s="21" t="s">
        <v>2590</v>
      </c>
      <c r="C2152" s="20" t="s">
        <v>17</v>
      </c>
      <c r="D2152" s="20">
        <v>68.0</v>
      </c>
      <c r="E2152" s="20" t="str">
        <f>IMAGE("https://www.serebii.net/itemdex/sprites/toxicorb.png")</f>
        <v/>
      </c>
      <c r="F2152" s="20" t="s">
        <v>1921</v>
      </c>
      <c r="G2152" s="20" t="s">
        <v>2476</v>
      </c>
      <c r="H2152" s="23" t="s">
        <v>2591</v>
      </c>
      <c r="I2152" s="20" t="s">
        <v>211</v>
      </c>
      <c r="J2152" s="20">
        <v>252.0</v>
      </c>
      <c r="K2152" s="20">
        <v>0.0</v>
      </c>
      <c r="L2152" s="20">
        <v>6.0</v>
      </c>
      <c r="M2152" s="20">
        <v>0.0</v>
      </c>
      <c r="N2152" s="20">
        <v>252.0</v>
      </c>
      <c r="O2152" s="20">
        <v>0.0</v>
      </c>
      <c r="P2152" s="20">
        <v>31.0</v>
      </c>
      <c r="Q2152" s="20">
        <v>31.0</v>
      </c>
      <c r="R2152" s="20">
        <v>31.0</v>
      </c>
      <c r="S2152" s="20">
        <v>31.0</v>
      </c>
      <c r="T2152" s="20">
        <v>31.0</v>
      </c>
      <c r="U2152" s="20">
        <v>31.0</v>
      </c>
    </row>
    <row r="2153" ht="23.25" customHeight="1">
      <c r="A2153" s="17" t="str">
        <f>IF(COUNTIF('Icon Lookup'!C:C,B2153)&gt;0,LOOKUP(B2153,'Icon Lookup'!C:C,'Icon Lookup'!B:B),"")</f>
        <v/>
      </c>
      <c r="B2153" s="18" t="s">
        <v>2592</v>
      </c>
      <c r="C2153" s="17" t="s">
        <v>17</v>
      </c>
      <c r="D2153" s="17">
        <v>69.0</v>
      </c>
      <c r="E2153" s="17" t="str">
        <f>IMAGE("https://www.serebii.net/itemdex/sprites/bigroot.png")</f>
        <v/>
      </c>
      <c r="F2153" s="17" t="s">
        <v>366</v>
      </c>
      <c r="G2153" s="17" t="s">
        <v>1122</v>
      </c>
      <c r="H2153" s="20" t="s">
        <v>2593</v>
      </c>
      <c r="I2153" s="17" t="s">
        <v>205</v>
      </c>
      <c r="J2153" s="17">
        <v>252.0</v>
      </c>
      <c r="K2153" s="17">
        <v>0.0</v>
      </c>
      <c r="L2153" s="17">
        <v>128.0</v>
      </c>
      <c r="M2153" s="17">
        <v>0.0</v>
      </c>
      <c r="N2153" s="17">
        <v>128.0</v>
      </c>
      <c r="O2153" s="17">
        <v>0.0</v>
      </c>
      <c r="P2153" s="17">
        <v>31.0</v>
      </c>
      <c r="Q2153" s="17">
        <v>31.0</v>
      </c>
      <c r="R2153" s="17">
        <v>31.0</v>
      </c>
      <c r="S2153" s="17">
        <v>31.0</v>
      </c>
      <c r="T2153" s="17">
        <v>31.0</v>
      </c>
      <c r="U2153" s="17">
        <v>31.0</v>
      </c>
    </row>
    <row r="2154" ht="23.25" customHeight="1">
      <c r="A2154" s="20" t="str">
        <f>IF(COUNTIF('Icon Lookup'!C:C,B2154)&gt;0,LOOKUP(B2154,'Icon Lookup'!C:C,'Icon Lookup'!B:B),"")</f>
        <v/>
      </c>
      <c r="B2154" s="21" t="s">
        <v>2521</v>
      </c>
      <c r="C2154" s="20" t="s">
        <v>17</v>
      </c>
      <c r="D2154" s="20">
        <v>70.0</v>
      </c>
      <c r="E2154" s="20" t="str">
        <f>IMAGE("https://www.serebii.net/itemdex/sprites/leftovers.png")</f>
        <v/>
      </c>
      <c r="F2154" s="20" t="s">
        <v>2522</v>
      </c>
      <c r="G2154" s="20" t="s">
        <v>859</v>
      </c>
      <c r="H2154" s="23" t="s">
        <v>2594</v>
      </c>
      <c r="I2154" s="20" t="s">
        <v>612</v>
      </c>
      <c r="J2154" s="20">
        <v>252.0</v>
      </c>
      <c r="K2154" s="20">
        <v>0.0</v>
      </c>
      <c r="L2154" s="20">
        <v>0.0</v>
      </c>
      <c r="M2154" s="20">
        <v>252.0</v>
      </c>
      <c r="N2154" s="20">
        <v>0.0</v>
      </c>
      <c r="O2154" s="20">
        <v>6.0</v>
      </c>
      <c r="P2154" s="20">
        <v>31.0</v>
      </c>
      <c r="Q2154" s="20">
        <v>31.0</v>
      </c>
      <c r="R2154" s="20">
        <v>31.0</v>
      </c>
      <c r="S2154" s="20">
        <v>31.0</v>
      </c>
      <c r="T2154" s="20">
        <v>31.0</v>
      </c>
      <c r="U2154" s="20">
        <v>31.0</v>
      </c>
    </row>
    <row r="2155" ht="23.25" customHeight="1">
      <c r="A2155" s="17" t="str">
        <f>IMAGE("https://www.smogon.com/forums//media/minisprites/rotom-heat.png",3)</f>
        <v/>
      </c>
      <c r="B2155" s="18" t="s">
        <v>2595</v>
      </c>
      <c r="C2155" s="17" t="s">
        <v>17</v>
      </c>
      <c r="D2155" s="17">
        <v>69.0</v>
      </c>
      <c r="E2155" s="17" t="str">
        <f>IMAGE("https://www.serebii.net/itemdex/sprites/choicespecs.png")</f>
        <v/>
      </c>
      <c r="F2155" s="17" t="s">
        <v>161</v>
      </c>
      <c r="G2155" s="17" t="s">
        <v>2569</v>
      </c>
      <c r="H2155" s="20" t="s">
        <v>2596</v>
      </c>
      <c r="I2155" s="17" t="s">
        <v>612</v>
      </c>
      <c r="J2155" s="17">
        <v>252.0</v>
      </c>
      <c r="K2155" s="17">
        <v>0.0</v>
      </c>
      <c r="L2155" s="17">
        <v>0.0</v>
      </c>
      <c r="M2155" s="17">
        <v>252.0</v>
      </c>
      <c r="N2155" s="17">
        <v>0.0</v>
      </c>
      <c r="O2155" s="17">
        <v>6.0</v>
      </c>
      <c r="P2155" s="17">
        <v>31.0</v>
      </c>
      <c r="Q2155" s="17">
        <v>31.0</v>
      </c>
      <c r="R2155" s="17">
        <v>31.0</v>
      </c>
      <c r="S2155" s="17">
        <v>31.0</v>
      </c>
      <c r="T2155" s="17">
        <v>31.0</v>
      </c>
      <c r="U2155" s="17">
        <v>31.0</v>
      </c>
    </row>
    <row r="2156" ht="23.25" customHeight="1">
      <c r="A2156" s="20" t="str">
        <f>IF(COUNTIF('Icon Lookup'!C:C,B2156)&gt;0,LOOKUP(B2156,'Icon Lookup'!C:C,'Icon Lookup'!B:B),"")</f>
        <v/>
      </c>
      <c r="B2156" s="21" t="s">
        <v>1775</v>
      </c>
      <c r="C2156" s="20" t="s">
        <v>17</v>
      </c>
      <c r="D2156" s="20">
        <v>70.0</v>
      </c>
      <c r="E2156" s="20" t="str">
        <f>IMAGE("https://www.serebii.net/itemdex/sprites/lifeorb.png")</f>
        <v/>
      </c>
      <c r="F2156" s="20" t="s">
        <v>26</v>
      </c>
      <c r="G2156" s="20" t="s">
        <v>873</v>
      </c>
      <c r="H2156" s="23" t="s">
        <v>2597</v>
      </c>
      <c r="I2156" s="20" t="s">
        <v>550</v>
      </c>
      <c r="J2156" s="20">
        <v>6.0</v>
      </c>
      <c r="K2156" s="20">
        <v>252.0</v>
      </c>
      <c r="L2156" s="20">
        <v>0.0</v>
      </c>
      <c r="M2156" s="20">
        <v>0.0</v>
      </c>
      <c r="N2156" s="20">
        <v>0.0</v>
      </c>
      <c r="O2156" s="20">
        <v>252.0</v>
      </c>
      <c r="P2156" s="20">
        <v>31.0</v>
      </c>
      <c r="Q2156" s="20">
        <v>31.0</v>
      </c>
      <c r="R2156" s="20">
        <v>31.0</v>
      </c>
      <c r="S2156" s="20">
        <v>31.0</v>
      </c>
      <c r="T2156" s="20">
        <v>31.0</v>
      </c>
      <c r="U2156" s="20">
        <v>31.0</v>
      </c>
    </row>
    <row r="2157" ht="23.25" customHeight="1">
      <c r="A2157" s="24" t="str">
        <f>IF(COUNTIF('Icon Lookup'!C:C,B2157)&gt;0,LOOKUP(B2157,'Icon Lookup'!C:C,'Icon Lookup'!B:B),"")</f>
        <v/>
      </c>
      <c r="B2157" s="25" t="s">
        <v>737</v>
      </c>
      <c r="C2157" s="24" t="s">
        <v>804</v>
      </c>
      <c r="D2157" s="24">
        <v>74.0</v>
      </c>
      <c r="E2157" s="24" t="str">
        <f>IMAGE("https://www.serebii.net/itemdex/sprites/choiceband.png")</f>
        <v/>
      </c>
      <c r="F2157" s="24" t="s">
        <v>2705</v>
      </c>
      <c r="G2157" s="17" t="s">
        <v>2463</v>
      </c>
      <c r="H2157" s="20" t="s">
        <v>2562</v>
      </c>
      <c r="I2157" s="24" t="s">
        <v>550</v>
      </c>
      <c r="J2157" s="24">
        <v>252.0</v>
      </c>
      <c r="K2157" s="24">
        <v>252.0</v>
      </c>
      <c r="L2157" s="24">
        <v>6.0</v>
      </c>
      <c r="M2157" s="24">
        <v>0.0</v>
      </c>
      <c r="N2157" s="24">
        <v>0.0</v>
      </c>
      <c r="O2157" s="24">
        <v>0.0</v>
      </c>
      <c r="P2157" s="24">
        <v>31.0</v>
      </c>
      <c r="Q2157" s="24">
        <v>31.0</v>
      </c>
      <c r="R2157" s="24">
        <v>31.0</v>
      </c>
      <c r="S2157" s="24">
        <v>31.0</v>
      </c>
      <c r="T2157" s="24">
        <v>31.0</v>
      </c>
      <c r="U2157" s="24">
        <v>31.0</v>
      </c>
    </row>
    <row r="2158" ht="23.25" customHeight="1">
      <c r="A2158" s="1" t="str">
        <f>IF(COUNTIF('Icon Lookup'!C:C,B2158)&gt;0,LOOKUP(B2158,'Icon Lookup'!C:C,'Icon Lookup'!B:B),"")</f>
        <v/>
      </c>
      <c r="B2158" s="15" t="s">
        <v>2598</v>
      </c>
      <c r="C2158" s="1" t="s">
        <v>17</v>
      </c>
      <c r="D2158" s="1" t="s">
        <v>2036</v>
      </c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</row>
    <row r="2159" ht="23.25" customHeight="1">
      <c r="A2159" s="20" t="str">
        <f>IMAGE("https://www.smogon.com/forums//media/minisprites/wormadam-trash.png",3)</f>
        <v/>
      </c>
      <c r="B2159" s="21" t="s">
        <v>2706</v>
      </c>
      <c r="C2159" s="20" t="s">
        <v>17</v>
      </c>
      <c r="D2159" s="20">
        <v>58.0</v>
      </c>
      <c r="E2159" s="20" t="str">
        <f>IMAGE("https://www.serebii.net/itemdex/sprites/leftovers.png")</f>
        <v/>
      </c>
      <c r="F2159" s="20" t="s">
        <v>289</v>
      </c>
      <c r="G2159" s="20" t="s">
        <v>859</v>
      </c>
      <c r="H2159" s="23" t="s">
        <v>2600</v>
      </c>
      <c r="I2159" s="20" t="s">
        <v>89</v>
      </c>
      <c r="J2159" s="20">
        <v>252.0</v>
      </c>
      <c r="K2159" s="20">
        <v>0.0</v>
      </c>
      <c r="L2159" s="20">
        <v>128.0</v>
      </c>
      <c r="M2159" s="20">
        <v>0.0</v>
      </c>
      <c r="N2159" s="20">
        <v>128.0</v>
      </c>
      <c r="O2159" s="20">
        <v>0.0</v>
      </c>
      <c r="P2159" s="20">
        <v>31.0</v>
      </c>
      <c r="Q2159" s="20">
        <v>31.0</v>
      </c>
      <c r="R2159" s="20">
        <v>31.0</v>
      </c>
      <c r="S2159" s="20">
        <v>31.0</v>
      </c>
      <c r="T2159" s="20">
        <v>31.0</v>
      </c>
      <c r="U2159" s="20">
        <v>31.0</v>
      </c>
    </row>
    <row r="2160" ht="23.25" customHeight="1">
      <c r="A2160" s="17" t="str">
        <f>IF(COUNTIF('Icon Lookup'!C:C,B2160)&gt;0,LOOKUP(B2160,'Icon Lookup'!C:C,'Icon Lookup'!B:B),"")</f>
        <v/>
      </c>
      <c r="B2160" s="18" t="s">
        <v>2552</v>
      </c>
      <c r="C2160" s="17" t="s">
        <v>17</v>
      </c>
      <c r="D2160" s="17">
        <v>59.0</v>
      </c>
      <c r="E2160" s="17" t="str">
        <f>IMAGE("https://www.serebii.net/itemdex/sprites/expertbelt.png")</f>
        <v/>
      </c>
      <c r="F2160" s="17" t="s">
        <v>1802</v>
      </c>
      <c r="G2160" s="17" t="s">
        <v>907</v>
      </c>
      <c r="H2160" s="20" t="s">
        <v>2601</v>
      </c>
      <c r="I2160" s="17" t="s">
        <v>612</v>
      </c>
      <c r="J2160" s="17">
        <v>252.0</v>
      </c>
      <c r="K2160" s="17">
        <v>0.0</v>
      </c>
      <c r="L2160" s="17">
        <v>0.0</v>
      </c>
      <c r="M2160" s="17">
        <v>252.0</v>
      </c>
      <c r="N2160" s="17">
        <v>0.0</v>
      </c>
      <c r="O2160" s="17">
        <v>6.0</v>
      </c>
      <c r="P2160" s="17">
        <v>31.0</v>
      </c>
      <c r="Q2160" s="17">
        <v>31.0</v>
      </c>
      <c r="R2160" s="17">
        <v>31.0</v>
      </c>
      <c r="S2160" s="17">
        <v>31.0</v>
      </c>
      <c r="T2160" s="17">
        <v>31.0</v>
      </c>
      <c r="U2160" s="17">
        <v>31.0</v>
      </c>
    </row>
    <row r="2161" ht="23.25" customHeight="1">
      <c r="A2161" s="20" t="str">
        <f>IF(COUNTIF('Icon Lookup'!C:C,B2161)&gt;0,LOOKUP(B2161,'Icon Lookup'!C:C,'Icon Lookup'!B:B),"")</f>
        <v/>
      </c>
      <c r="B2161" s="21" t="s">
        <v>2510</v>
      </c>
      <c r="C2161" s="20" t="s">
        <v>17</v>
      </c>
      <c r="D2161" s="20">
        <v>60.0</v>
      </c>
      <c r="E2161" s="20" t="str">
        <f>IMAGE("https://www.serebii.net/itemdex/sprites/focussash.png")</f>
        <v/>
      </c>
      <c r="F2161" s="20" t="s">
        <v>768</v>
      </c>
      <c r="G2161" s="20" t="s">
        <v>881</v>
      </c>
      <c r="H2161" s="23" t="s">
        <v>2602</v>
      </c>
      <c r="I2161" s="20" t="s">
        <v>52</v>
      </c>
      <c r="J2161" s="20">
        <v>6.0</v>
      </c>
      <c r="K2161" s="20">
        <v>0.0</v>
      </c>
      <c r="L2161" s="20">
        <v>0.0</v>
      </c>
      <c r="M2161" s="20">
        <v>252.0</v>
      </c>
      <c r="N2161" s="20">
        <v>0.0</v>
      </c>
      <c r="O2161" s="20">
        <v>252.0</v>
      </c>
      <c r="P2161" s="20">
        <v>31.0</v>
      </c>
      <c r="Q2161" s="20">
        <v>31.0</v>
      </c>
      <c r="R2161" s="20">
        <v>31.0</v>
      </c>
      <c r="S2161" s="20">
        <v>31.0</v>
      </c>
      <c r="T2161" s="20">
        <v>31.0</v>
      </c>
      <c r="U2161" s="20">
        <v>31.0</v>
      </c>
    </row>
    <row r="2162" ht="23.25" customHeight="1">
      <c r="A2162" s="17" t="str">
        <f>IF(COUNTIF('Icon Lookup'!C:C,B2162)&gt;0,LOOKUP(B2162,'Icon Lookup'!C:C,'Icon Lookup'!B:B),"")</f>
        <v/>
      </c>
      <c r="B2162" s="18" t="s">
        <v>912</v>
      </c>
      <c r="C2162" s="17" t="s">
        <v>17</v>
      </c>
      <c r="D2162" s="17">
        <v>59.0</v>
      </c>
      <c r="E2162" s="17" t="str">
        <f>IMAGE("https://www.serebii.net/itemdex/sprites/lifeorb.png")</f>
        <v/>
      </c>
      <c r="F2162" s="17" t="s">
        <v>2603</v>
      </c>
      <c r="G2162" s="17" t="s">
        <v>873</v>
      </c>
      <c r="H2162" s="20" t="s">
        <v>2604</v>
      </c>
      <c r="I2162" s="17" t="s">
        <v>612</v>
      </c>
      <c r="J2162" s="17">
        <v>6.0</v>
      </c>
      <c r="K2162" s="17">
        <v>0.0</v>
      </c>
      <c r="L2162" s="17">
        <v>0.0</v>
      </c>
      <c r="M2162" s="17">
        <v>252.0</v>
      </c>
      <c r="N2162" s="17">
        <v>0.0</v>
      </c>
      <c r="O2162" s="17">
        <v>252.0</v>
      </c>
      <c r="P2162" s="17">
        <v>31.0</v>
      </c>
      <c r="Q2162" s="17">
        <v>31.0</v>
      </c>
      <c r="R2162" s="17">
        <v>31.0</v>
      </c>
      <c r="S2162" s="17">
        <v>31.0</v>
      </c>
      <c r="T2162" s="17">
        <v>31.0</v>
      </c>
      <c r="U2162" s="17">
        <v>31.0</v>
      </c>
    </row>
    <row r="2163" ht="23.25" customHeight="1">
      <c r="A2163" s="20" t="str">
        <f>IF(COUNTIF('Icon Lookup'!C:C,B2163)&gt;0,LOOKUP(B2163,'Icon Lookup'!C:C,'Icon Lookup'!B:B),"")</f>
        <v/>
      </c>
      <c r="B2163" s="21" t="s">
        <v>728</v>
      </c>
      <c r="C2163" s="20" t="s">
        <v>17</v>
      </c>
      <c r="D2163" s="20">
        <v>60.0</v>
      </c>
      <c r="E2163" s="20" t="str">
        <f>IMAGE("https://www.serebii.net/itemdex/sprites/sitrusberry.png")</f>
        <v/>
      </c>
      <c r="F2163" s="20" t="s">
        <v>31</v>
      </c>
      <c r="G2163" s="20" t="s">
        <v>824</v>
      </c>
      <c r="H2163" s="23" t="s">
        <v>2554</v>
      </c>
      <c r="I2163" s="20" t="s">
        <v>52</v>
      </c>
      <c r="J2163" s="20">
        <v>6.0</v>
      </c>
      <c r="K2163" s="20">
        <v>0.0</v>
      </c>
      <c r="L2163" s="20">
        <v>0.0</v>
      </c>
      <c r="M2163" s="20">
        <v>252.0</v>
      </c>
      <c r="N2163" s="20">
        <v>0.0</v>
      </c>
      <c r="O2163" s="20">
        <v>252.0</v>
      </c>
      <c r="P2163" s="20">
        <v>31.0</v>
      </c>
      <c r="Q2163" s="20">
        <v>31.0</v>
      </c>
      <c r="R2163" s="20">
        <v>31.0</v>
      </c>
      <c r="S2163" s="20">
        <v>31.0</v>
      </c>
      <c r="T2163" s="20">
        <v>31.0</v>
      </c>
      <c r="U2163" s="20">
        <v>31.0</v>
      </c>
    </row>
    <row r="2164" ht="23.25" customHeight="1">
      <c r="A2164" s="24" t="str">
        <f>IF(COUNTIF('Icon Lookup'!C:C,B2164)&gt;0,LOOKUP(B2164,'Icon Lookup'!C:C,'Icon Lookup'!B:B),"")</f>
        <v/>
      </c>
      <c r="B2164" s="25" t="s">
        <v>730</v>
      </c>
      <c r="C2164" s="24" t="s">
        <v>804</v>
      </c>
      <c r="D2164" s="24">
        <v>64.0</v>
      </c>
      <c r="E2164" s="24" t="str">
        <f>IMAGE("https://www.serebii.net/itemdex/sprites/yacheberry.png")</f>
        <v/>
      </c>
      <c r="F2164" s="24" t="s">
        <v>267</v>
      </c>
      <c r="G2164" s="17" t="s">
        <v>917</v>
      </c>
      <c r="H2164" s="20" t="s">
        <v>2605</v>
      </c>
      <c r="I2164" s="24" t="s">
        <v>550</v>
      </c>
      <c r="J2164" s="24">
        <v>128.0</v>
      </c>
      <c r="K2164" s="24">
        <v>252.0</v>
      </c>
      <c r="L2164" s="24">
        <v>128.0</v>
      </c>
      <c r="M2164" s="24">
        <v>0.0</v>
      </c>
      <c r="N2164" s="24">
        <v>0.0</v>
      </c>
      <c r="O2164" s="24">
        <v>0.0</v>
      </c>
      <c r="P2164" s="24">
        <v>31.0</v>
      </c>
      <c r="Q2164" s="24">
        <v>31.0</v>
      </c>
      <c r="R2164" s="24">
        <v>31.0</v>
      </c>
      <c r="S2164" s="24">
        <v>31.0</v>
      </c>
      <c r="T2164" s="24">
        <v>31.0</v>
      </c>
      <c r="U2164" s="24">
        <v>31.0</v>
      </c>
    </row>
    <row r="2165" ht="23.25" customHeight="1">
      <c r="A2165" s="1" t="str">
        <f>IF(COUNTIF('Icon Lookup'!C:C,B2165)&gt;0,LOOKUP(B2165,'Icon Lookup'!C:C,'Icon Lookup'!B:B),"")</f>
        <v/>
      </c>
      <c r="B2165" s="15" t="s">
        <v>2606</v>
      </c>
      <c r="C2165" s="1" t="s">
        <v>17</v>
      </c>
      <c r="D2165" s="1" t="s">
        <v>2036</v>
      </c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</row>
    <row r="2166" ht="23.25" customHeight="1">
      <c r="A2166" s="20" t="str">
        <f>IMAGE("https://www.smogon.com/forums//media/minisprites/wormadam-sandy.png",3)</f>
        <v/>
      </c>
      <c r="B2166" s="21" t="s">
        <v>2707</v>
      </c>
      <c r="C2166" s="20" t="s">
        <v>17</v>
      </c>
      <c r="D2166" s="20">
        <v>58.0</v>
      </c>
      <c r="E2166" s="20" t="str">
        <f>IMAGE("https://www.serebii.net/itemdex/sprites/leftovers.png")</f>
        <v/>
      </c>
      <c r="F2166" s="20" t="s">
        <v>289</v>
      </c>
      <c r="G2166" s="20" t="s">
        <v>859</v>
      </c>
      <c r="H2166" s="23" t="s">
        <v>2608</v>
      </c>
      <c r="I2166" s="20" t="s">
        <v>550</v>
      </c>
      <c r="J2166" s="20">
        <v>252.0</v>
      </c>
      <c r="K2166" s="20">
        <v>252.0</v>
      </c>
      <c r="L2166" s="20">
        <v>0.0</v>
      </c>
      <c r="M2166" s="20">
        <v>0.0</v>
      </c>
      <c r="N2166" s="20">
        <v>0.0</v>
      </c>
      <c r="O2166" s="20">
        <v>6.0</v>
      </c>
      <c r="P2166" s="20">
        <v>31.0</v>
      </c>
      <c r="Q2166" s="20">
        <v>31.0</v>
      </c>
      <c r="R2166" s="20">
        <v>31.0</v>
      </c>
      <c r="S2166" s="20">
        <v>31.0</v>
      </c>
      <c r="T2166" s="20">
        <v>31.0</v>
      </c>
      <c r="U2166" s="20">
        <v>31.0</v>
      </c>
    </row>
    <row r="2167" ht="23.25" customHeight="1">
      <c r="A2167" s="17" t="str">
        <f>IF(COUNTIF('Icon Lookup'!C:C,B2167)&gt;0,LOOKUP(B2167,'Icon Lookup'!C:C,'Icon Lookup'!B:B),"")</f>
        <v/>
      </c>
      <c r="B2167" s="18" t="s">
        <v>912</v>
      </c>
      <c r="C2167" s="17" t="s">
        <v>17</v>
      </c>
      <c r="D2167" s="17">
        <v>59.0</v>
      </c>
      <c r="E2167" s="17" t="str">
        <f>IMAGE("https://www.serebii.net/itemdex/sprites/lifeorb.png")</f>
        <v/>
      </c>
      <c r="F2167" s="17" t="s">
        <v>2603</v>
      </c>
      <c r="G2167" s="17" t="s">
        <v>873</v>
      </c>
      <c r="H2167" s="20" t="s">
        <v>2604</v>
      </c>
      <c r="I2167" s="17" t="s">
        <v>612</v>
      </c>
      <c r="J2167" s="17">
        <v>6.0</v>
      </c>
      <c r="K2167" s="17">
        <v>0.0</v>
      </c>
      <c r="L2167" s="17">
        <v>0.0</v>
      </c>
      <c r="M2167" s="17">
        <v>252.0</v>
      </c>
      <c r="N2167" s="17">
        <v>0.0</v>
      </c>
      <c r="O2167" s="17">
        <v>252.0</v>
      </c>
      <c r="P2167" s="17">
        <v>31.0</v>
      </c>
      <c r="Q2167" s="17">
        <v>31.0</v>
      </c>
      <c r="R2167" s="17">
        <v>31.0</v>
      </c>
      <c r="S2167" s="17">
        <v>31.0</v>
      </c>
      <c r="T2167" s="17">
        <v>31.0</v>
      </c>
      <c r="U2167" s="17">
        <v>31.0</v>
      </c>
    </row>
    <row r="2168" ht="23.25" customHeight="1">
      <c r="A2168" s="20" t="str">
        <f>IF(COUNTIF('Icon Lookup'!C:C,B2168)&gt;0,LOOKUP(B2168,'Icon Lookup'!C:C,'Icon Lookup'!B:B),"")</f>
        <v/>
      </c>
      <c r="B2168" s="21" t="s">
        <v>2510</v>
      </c>
      <c r="C2168" s="20" t="s">
        <v>17</v>
      </c>
      <c r="D2168" s="20">
        <v>60.0</v>
      </c>
      <c r="E2168" s="20" t="str">
        <f>IMAGE("https://www.serebii.net/itemdex/sprites/focussash.png")</f>
        <v/>
      </c>
      <c r="F2168" s="20" t="s">
        <v>768</v>
      </c>
      <c r="G2168" s="20" t="s">
        <v>881</v>
      </c>
      <c r="H2168" s="23" t="s">
        <v>2602</v>
      </c>
      <c r="I2168" s="20" t="s">
        <v>52</v>
      </c>
      <c r="J2168" s="20">
        <v>6.0</v>
      </c>
      <c r="K2168" s="20">
        <v>0.0</v>
      </c>
      <c r="L2168" s="20">
        <v>0.0</v>
      </c>
      <c r="M2168" s="20">
        <v>252.0</v>
      </c>
      <c r="N2168" s="20">
        <v>0.0</v>
      </c>
      <c r="O2168" s="20">
        <v>252.0</v>
      </c>
      <c r="P2168" s="20">
        <v>31.0</v>
      </c>
      <c r="Q2168" s="20">
        <v>31.0</v>
      </c>
      <c r="R2168" s="20">
        <v>31.0</v>
      </c>
      <c r="S2168" s="20">
        <v>31.0</v>
      </c>
      <c r="T2168" s="20">
        <v>31.0</v>
      </c>
      <c r="U2168" s="20">
        <v>31.0</v>
      </c>
    </row>
    <row r="2169" ht="23.25" customHeight="1">
      <c r="A2169" s="17" t="str">
        <f>IF(COUNTIF('Icon Lookup'!C:C,B2169)&gt;0,LOOKUP(B2169,'Icon Lookup'!C:C,'Icon Lookup'!B:B),"")</f>
        <v/>
      </c>
      <c r="B2169" s="18" t="s">
        <v>2557</v>
      </c>
      <c r="C2169" s="17" t="s">
        <v>17</v>
      </c>
      <c r="D2169" s="17">
        <v>59.0</v>
      </c>
      <c r="E2169" s="17" t="str">
        <f>IMAGE("https://www.serebii.net/itemdex/sprites/choicespecs.png")</f>
        <v/>
      </c>
      <c r="F2169" s="17" t="s">
        <v>2558</v>
      </c>
      <c r="G2169" s="17" t="s">
        <v>2569</v>
      </c>
      <c r="H2169" s="20" t="s">
        <v>2609</v>
      </c>
      <c r="I2169" s="17" t="s">
        <v>612</v>
      </c>
      <c r="J2169" s="17">
        <v>252.0</v>
      </c>
      <c r="K2169" s="17">
        <v>0.0</v>
      </c>
      <c r="L2169" s="17">
        <v>0.0</v>
      </c>
      <c r="M2169" s="17">
        <v>252.0</v>
      </c>
      <c r="N2169" s="17">
        <v>0.0</v>
      </c>
      <c r="O2169" s="17">
        <v>6.0</v>
      </c>
      <c r="P2169" s="17">
        <v>31.0</v>
      </c>
      <c r="Q2169" s="17">
        <v>31.0</v>
      </c>
      <c r="R2169" s="17">
        <v>31.0</v>
      </c>
      <c r="S2169" s="17">
        <v>31.0</v>
      </c>
      <c r="T2169" s="17">
        <v>31.0</v>
      </c>
      <c r="U2169" s="17">
        <v>31.0</v>
      </c>
    </row>
    <row r="2170" ht="23.25" customHeight="1">
      <c r="A2170" s="20" t="str">
        <f>IF(COUNTIF('Icon Lookup'!C:C,B2170)&gt;0,LOOKUP(B2170,'Icon Lookup'!C:C,'Icon Lookup'!B:B),"")</f>
        <v/>
      </c>
      <c r="B2170" s="21" t="s">
        <v>728</v>
      </c>
      <c r="C2170" s="20" t="s">
        <v>17</v>
      </c>
      <c r="D2170" s="20">
        <v>60.0</v>
      </c>
      <c r="E2170" s="20" t="str">
        <f>IMAGE("https://www.serebii.net/itemdex/sprites/sitrusberry.png")</f>
        <v/>
      </c>
      <c r="F2170" s="20" t="s">
        <v>31</v>
      </c>
      <c r="G2170" s="20" t="s">
        <v>824</v>
      </c>
      <c r="H2170" s="23" t="s">
        <v>2554</v>
      </c>
      <c r="I2170" s="20" t="s">
        <v>52</v>
      </c>
      <c r="J2170" s="20">
        <v>6.0</v>
      </c>
      <c r="K2170" s="20">
        <v>0.0</v>
      </c>
      <c r="L2170" s="20">
        <v>0.0</v>
      </c>
      <c r="M2170" s="20">
        <v>252.0</v>
      </c>
      <c r="N2170" s="20">
        <v>0.0</v>
      </c>
      <c r="O2170" s="20">
        <v>252.0</v>
      </c>
      <c r="P2170" s="20">
        <v>31.0</v>
      </c>
      <c r="Q2170" s="20">
        <v>31.0</v>
      </c>
      <c r="R2170" s="20">
        <v>31.0</v>
      </c>
      <c r="S2170" s="20">
        <v>31.0</v>
      </c>
      <c r="T2170" s="20">
        <v>31.0</v>
      </c>
      <c r="U2170" s="20">
        <v>31.0</v>
      </c>
    </row>
    <row r="2171" ht="23.25" customHeight="1">
      <c r="A2171" s="24" t="str">
        <f>IF(COUNTIF('Icon Lookup'!C:C,B2171)&gt;0,LOOKUP(B2171,'Icon Lookup'!C:C,'Icon Lookup'!B:B),"")</f>
        <v/>
      </c>
      <c r="B2171" s="25" t="s">
        <v>879</v>
      </c>
      <c r="C2171" s="24" t="s">
        <v>804</v>
      </c>
      <c r="D2171" s="24">
        <v>64.0</v>
      </c>
      <c r="E2171" s="24" t="str">
        <f>IMAGE("https://www.serebii.net/itemdex/sprites/expertbelt.png")</f>
        <v/>
      </c>
      <c r="F2171" s="24" t="s">
        <v>145</v>
      </c>
      <c r="G2171" s="17" t="s">
        <v>907</v>
      </c>
      <c r="H2171" s="20" t="s">
        <v>2708</v>
      </c>
      <c r="I2171" s="24" t="s">
        <v>612</v>
      </c>
      <c r="J2171" s="24">
        <v>6.0</v>
      </c>
      <c r="K2171" s="24">
        <v>0.0</v>
      </c>
      <c r="L2171" s="24">
        <v>0.0</v>
      </c>
      <c r="M2171" s="24">
        <v>252.0</v>
      </c>
      <c r="N2171" s="24">
        <v>0.0</v>
      </c>
      <c r="O2171" s="24">
        <v>252.0</v>
      </c>
      <c r="P2171" s="24">
        <v>31.0</v>
      </c>
      <c r="Q2171" s="24">
        <v>31.0</v>
      </c>
      <c r="R2171" s="24">
        <v>31.0</v>
      </c>
      <c r="S2171" s="24">
        <v>31.0</v>
      </c>
      <c r="T2171" s="24">
        <v>31.0</v>
      </c>
      <c r="U2171" s="24">
        <v>31.0</v>
      </c>
    </row>
    <row r="2172" ht="23.25" customHeight="1">
      <c r="A2172" s="1" t="str">
        <f>IF(COUNTIF('Icon Lookup'!C:C,B2172)&gt;0,LOOKUP(B2172,'Icon Lookup'!C:C,'Icon Lookup'!B:B),"")</f>
        <v/>
      </c>
      <c r="B2172" s="15" t="s">
        <v>2611</v>
      </c>
      <c r="C2172" s="1" t="s">
        <v>17</v>
      </c>
      <c r="D2172" s="1" t="s">
        <v>2036</v>
      </c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</row>
    <row r="2173" ht="23.25" customHeight="1">
      <c r="A2173" s="20" t="str">
        <f>IF(COUNTIF('Icon Lookup'!C:C,B2173)&gt;0,LOOKUP(B2173,'Icon Lookup'!C:C,'Icon Lookup'!B:B),"")</f>
        <v/>
      </c>
      <c r="B2173" s="21" t="s">
        <v>1557</v>
      </c>
      <c r="C2173" s="20" t="s">
        <v>17</v>
      </c>
      <c r="D2173" s="20">
        <v>58.0</v>
      </c>
      <c r="E2173" s="20" t="str">
        <f>IMAGE("https://www.serebii.net/itemdex/sprites/whiteherb.png")</f>
        <v/>
      </c>
      <c r="F2173" s="20" t="s">
        <v>2612</v>
      </c>
      <c r="G2173" s="20" t="s">
        <v>2497</v>
      </c>
      <c r="H2173" s="23" t="s">
        <v>2613</v>
      </c>
      <c r="I2173" s="20" t="s">
        <v>612</v>
      </c>
      <c r="J2173" s="20">
        <v>252.0</v>
      </c>
      <c r="K2173" s="20">
        <v>0.0</v>
      </c>
      <c r="L2173" s="20">
        <v>0.0</v>
      </c>
      <c r="M2173" s="20">
        <v>252.0</v>
      </c>
      <c r="N2173" s="20">
        <v>0.0</v>
      </c>
      <c r="O2173" s="20">
        <v>6.0</v>
      </c>
      <c r="P2173" s="20">
        <v>31.0</v>
      </c>
      <c r="Q2173" s="20">
        <v>31.0</v>
      </c>
      <c r="R2173" s="20">
        <v>31.0</v>
      </c>
      <c r="S2173" s="20">
        <v>31.0</v>
      </c>
      <c r="T2173" s="20">
        <v>31.0</v>
      </c>
      <c r="U2173" s="20">
        <v>31.0</v>
      </c>
    </row>
    <row r="2174" ht="23.25" customHeight="1">
      <c r="A2174" s="17" t="str">
        <f>IF(COUNTIF('Icon Lookup'!C:C,B2174)&gt;0,LOOKUP(B2174,'Icon Lookup'!C:C,'Icon Lookup'!B:B),"")</f>
        <v/>
      </c>
      <c r="B2174" s="18" t="s">
        <v>2557</v>
      </c>
      <c r="C2174" s="17" t="s">
        <v>17</v>
      </c>
      <c r="D2174" s="17">
        <v>59.0</v>
      </c>
      <c r="E2174" s="17" t="str">
        <f>IMAGE("https://www.serebii.net/itemdex/sprites/choicespecs.png")</f>
        <v/>
      </c>
      <c r="F2174" s="17" t="s">
        <v>2558</v>
      </c>
      <c r="G2174" s="17" t="s">
        <v>2569</v>
      </c>
      <c r="H2174" s="20" t="s">
        <v>2609</v>
      </c>
      <c r="I2174" s="17" t="s">
        <v>612</v>
      </c>
      <c r="J2174" s="17">
        <v>252.0</v>
      </c>
      <c r="K2174" s="17">
        <v>0.0</v>
      </c>
      <c r="L2174" s="17">
        <v>0.0</v>
      </c>
      <c r="M2174" s="17">
        <v>252.0</v>
      </c>
      <c r="N2174" s="17">
        <v>0.0</v>
      </c>
      <c r="O2174" s="17">
        <v>6.0</v>
      </c>
      <c r="P2174" s="17">
        <v>31.0</v>
      </c>
      <c r="Q2174" s="17">
        <v>31.0</v>
      </c>
      <c r="R2174" s="17">
        <v>31.0</v>
      </c>
      <c r="S2174" s="17">
        <v>31.0</v>
      </c>
      <c r="T2174" s="17">
        <v>31.0</v>
      </c>
      <c r="U2174" s="17">
        <v>31.0</v>
      </c>
    </row>
    <row r="2175" ht="23.25" customHeight="1">
      <c r="A2175" s="20" t="str">
        <f>IF(COUNTIF('Icon Lookup'!C:C,B2175)&gt;0,LOOKUP(B2175,'Icon Lookup'!C:C,'Icon Lookup'!B:B),"")</f>
        <v/>
      </c>
      <c r="B2175" s="21" t="s">
        <v>2510</v>
      </c>
      <c r="C2175" s="20" t="s">
        <v>17</v>
      </c>
      <c r="D2175" s="20">
        <v>60.0</v>
      </c>
      <c r="E2175" s="20" t="str">
        <f>IMAGE("https://www.serebii.net/itemdex/sprites/focussash.png")</f>
        <v/>
      </c>
      <c r="F2175" s="20" t="s">
        <v>768</v>
      </c>
      <c r="G2175" s="20" t="s">
        <v>881</v>
      </c>
      <c r="H2175" s="23" t="s">
        <v>2602</v>
      </c>
      <c r="I2175" s="20" t="s">
        <v>52</v>
      </c>
      <c r="J2175" s="20">
        <v>6.0</v>
      </c>
      <c r="K2175" s="20">
        <v>0.0</v>
      </c>
      <c r="L2175" s="20">
        <v>0.0</v>
      </c>
      <c r="M2175" s="20">
        <v>252.0</v>
      </c>
      <c r="N2175" s="20">
        <v>0.0</v>
      </c>
      <c r="O2175" s="20">
        <v>252.0</v>
      </c>
      <c r="P2175" s="20">
        <v>31.0</v>
      </c>
      <c r="Q2175" s="20">
        <v>31.0</v>
      </c>
      <c r="R2175" s="20">
        <v>31.0</v>
      </c>
      <c r="S2175" s="20">
        <v>31.0</v>
      </c>
      <c r="T2175" s="20">
        <v>31.0</v>
      </c>
      <c r="U2175" s="20">
        <v>31.0</v>
      </c>
    </row>
    <row r="2176" ht="23.25" customHeight="1">
      <c r="A2176" s="17" t="str">
        <f>IF(COUNTIF('Icon Lookup'!C:C,B2176)&gt;0,LOOKUP(B2176,'Icon Lookup'!C:C,'Icon Lookup'!B:B),"")</f>
        <v/>
      </c>
      <c r="B2176" s="18" t="s">
        <v>2552</v>
      </c>
      <c r="C2176" s="17" t="s">
        <v>17</v>
      </c>
      <c r="D2176" s="17">
        <v>59.0</v>
      </c>
      <c r="E2176" s="17" t="str">
        <f>IMAGE("https://www.serebii.net/itemdex/sprites/expertbelt.png")</f>
        <v/>
      </c>
      <c r="F2176" s="17" t="s">
        <v>1802</v>
      </c>
      <c r="G2176" s="17" t="s">
        <v>907</v>
      </c>
      <c r="H2176" s="20" t="s">
        <v>2601</v>
      </c>
      <c r="I2176" s="17" t="s">
        <v>612</v>
      </c>
      <c r="J2176" s="17">
        <v>252.0</v>
      </c>
      <c r="K2176" s="17">
        <v>0.0</v>
      </c>
      <c r="L2176" s="17">
        <v>0.0</v>
      </c>
      <c r="M2176" s="17">
        <v>252.0</v>
      </c>
      <c r="N2176" s="17">
        <v>0.0</v>
      </c>
      <c r="O2176" s="17">
        <v>6.0</v>
      </c>
      <c r="P2176" s="17">
        <v>31.0</v>
      </c>
      <c r="Q2176" s="17">
        <v>31.0</v>
      </c>
      <c r="R2176" s="17">
        <v>31.0</v>
      </c>
      <c r="S2176" s="17">
        <v>31.0</v>
      </c>
      <c r="T2176" s="17">
        <v>31.0</v>
      </c>
      <c r="U2176" s="17">
        <v>31.0</v>
      </c>
    </row>
    <row r="2177" ht="23.25" customHeight="1">
      <c r="A2177" s="20" t="str">
        <f>IF(COUNTIF('Icon Lookup'!C:C,B2177)&gt;0,LOOKUP(B2177,'Icon Lookup'!C:C,'Icon Lookup'!B:B),"")</f>
        <v/>
      </c>
      <c r="B2177" s="21" t="s">
        <v>728</v>
      </c>
      <c r="C2177" s="20" t="s">
        <v>17</v>
      </c>
      <c r="D2177" s="20">
        <v>60.0</v>
      </c>
      <c r="E2177" s="20" t="str">
        <f>IMAGE("https://www.serebii.net/itemdex/sprites/sitrusberry.png")</f>
        <v/>
      </c>
      <c r="F2177" s="20" t="s">
        <v>31</v>
      </c>
      <c r="G2177" s="20" t="s">
        <v>824</v>
      </c>
      <c r="H2177" s="23" t="s">
        <v>2554</v>
      </c>
      <c r="I2177" s="20" t="s">
        <v>52</v>
      </c>
      <c r="J2177" s="20">
        <v>6.0</v>
      </c>
      <c r="K2177" s="20">
        <v>0.0</v>
      </c>
      <c r="L2177" s="20">
        <v>0.0</v>
      </c>
      <c r="M2177" s="20">
        <v>252.0</v>
      </c>
      <c r="N2177" s="20">
        <v>0.0</v>
      </c>
      <c r="O2177" s="20">
        <v>252.0</v>
      </c>
      <c r="P2177" s="20">
        <v>31.0</v>
      </c>
      <c r="Q2177" s="20">
        <v>31.0</v>
      </c>
      <c r="R2177" s="20">
        <v>31.0</v>
      </c>
      <c r="S2177" s="20">
        <v>31.0</v>
      </c>
      <c r="T2177" s="20">
        <v>31.0</v>
      </c>
      <c r="U2177" s="20">
        <v>31.0</v>
      </c>
    </row>
    <row r="2178" ht="23.25" customHeight="1">
      <c r="A2178" s="24" t="str">
        <f>IF(COUNTIF('Icon Lookup'!C:C,B2178)&gt;0,LOOKUP(B2178,'Icon Lookup'!C:C,'Icon Lookup'!B:B),"")</f>
        <v/>
      </c>
      <c r="B2178" s="25" t="s">
        <v>737</v>
      </c>
      <c r="C2178" s="24" t="s">
        <v>804</v>
      </c>
      <c r="D2178" s="24">
        <v>64.0</v>
      </c>
      <c r="E2178" s="24" t="str">
        <f>IMAGE("https://www.serebii.net/itemdex/sprites/leftovers.png")</f>
        <v/>
      </c>
      <c r="F2178" s="24" t="s">
        <v>374</v>
      </c>
      <c r="G2178" s="17" t="s">
        <v>859</v>
      </c>
      <c r="H2178" s="20" t="s">
        <v>2614</v>
      </c>
      <c r="I2178" s="24" t="s">
        <v>612</v>
      </c>
      <c r="J2178" s="24">
        <v>252.0</v>
      </c>
      <c r="K2178" s="24">
        <v>0.0</v>
      </c>
      <c r="L2178" s="24">
        <v>0.0</v>
      </c>
      <c r="M2178" s="24">
        <v>252.0</v>
      </c>
      <c r="N2178" s="24">
        <v>0.0</v>
      </c>
      <c r="O2178" s="24">
        <v>6.0</v>
      </c>
      <c r="P2178" s="24">
        <v>31.0</v>
      </c>
      <c r="Q2178" s="24">
        <v>31.0</v>
      </c>
      <c r="R2178" s="24">
        <v>31.0</v>
      </c>
      <c r="S2178" s="24">
        <v>31.0</v>
      </c>
      <c r="T2178" s="24">
        <v>31.0</v>
      </c>
      <c r="U2178" s="24">
        <v>31.0</v>
      </c>
    </row>
    <row r="2179" ht="23.25" customHeight="1">
      <c r="A2179" s="1" t="str">
        <f>IF(COUNTIF('Icon Lookup'!C:C,B2179)&gt;0,LOOKUP(B2179,'Icon Lookup'!C:C,'Icon Lookup'!B:B),"")</f>
        <v/>
      </c>
      <c r="B2179" s="15" t="s">
        <v>2615</v>
      </c>
      <c r="C2179" s="1" t="s">
        <v>17</v>
      </c>
      <c r="D2179" s="1" t="s">
        <v>2036</v>
      </c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</row>
    <row r="2180" ht="23.25" customHeight="1">
      <c r="A2180" s="20" t="str">
        <f>IF(COUNTIF('Icon Lookup'!C:C,B2180)&gt;0,LOOKUP(B2180,'Icon Lookup'!C:C,'Icon Lookup'!B:B),"")</f>
        <v/>
      </c>
      <c r="B2180" s="21" t="s">
        <v>1369</v>
      </c>
      <c r="C2180" s="20" t="s">
        <v>17</v>
      </c>
      <c r="D2180" s="20">
        <v>68.0</v>
      </c>
      <c r="E2180" s="20" t="str">
        <f>IMAGE("https://www.serebii.net/itemdex/sprites/sitrusberry.png")</f>
        <v/>
      </c>
      <c r="F2180" s="20" t="s">
        <v>38</v>
      </c>
      <c r="G2180" s="20" t="s">
        <v>824</v>
      </c>
      <c r="H2180" s="23" t="s">
        <v>2616</v>
      </c>
      <c r="I2180" s="20" t="s">
        <v>22</v>
      </c>
      <c r="J2180" s="20">
        <v>128.0</v>
      </c>
      <c r="K2180" s="20">
        <v>0.0</v>
      </c>
      <c r="L2180" s="20">
        <v>128.0</v>
      </c>
      <c r="M2180" s="20">
        <v>0.0</v>
      </c>
      <c r="N2180" s="20">
        <v>0.0</v>
      </c>
      <c r="O2180" s="20">
        <v>252.0</v>
      </c>
      <c r="P2180" s="20">
        <v>31.0</v>
      </c>
      <c r="Q2180" s="20">
        <v>31.0</v>
      </c>
      <c r="R2180" s="20">
        <v>31.0</v>
      </c>
      <c r="S2180" s="20">
        <v>31.0</v>
      </c>
      <c r="T2180" s="20">
        <v>31.0</v>
      </c>
      <c r="U2180" s="20">
        <v>31.0</v>
      </c>
    </row>
    <row r="2181" ht="23.25" customHeight="1">
      <c r="A2181" s="17" t="str">
        <f>IF(COUNTIF('Icon Lookup'!C:C,B2181)&gt;0,LOOKUP(B2181,'Icon Lookup'!C:C,'Icon Lookup'!B:B),"")</f>
        <v/>
      </c>
      <c r="B2181" s="18" t="s">
        <v>2020</v>
      </c>
      <c r="C2181" s="17" t="s">
        <v>17</v>
      </c>
      <c r="D2181" s="17">
        <v>69.0</v>
      </c>
      <c r="E2181" s="17" t="str">
        <f>IMAGE("https://www.serebii.net/itemdex/sprites/lifeorb.png")</f>
        <v/>
      </c>
      <c r="F2181" s="17" t="s">
        <v>26</v>
      </c>
      <c r="G2181" s="17" t="s">
        <v>873</v>
      </c>
      <c r="H2181" s="20" t="s">
        <v>2617</v>
      </c>
      <c r="I2181" s="17" t="s">
        <v>550</v>
      </c>
      <c r="J2181" s="17">
        <v>6.0</v>
      </c>
      <c r="K2181" s="17">
        <v>252.0</v>
      </c>
      <c r="L2181" s="17">
        <v>0.0</v>
      </c>
      <c r="M2181" s="17">
        <v>0.0</v>
      </c>
      <c r="N2181" s="17">
        <v>0.0</v>
      </c>
      <c r="O2181" s="17">
        <v>252.0</v>
      </c>
      <c r="P2181" s="17">
        <v>31.0</v>
      </c>
      <c r="Q2181" s="17">
        <v>31.0</v>
      </c>
      <c r="R2181" s="17">
        <v>31.0</v>
      </c>
      <c r="S2181" s="17">
        <v>31.0</v>
      </c>
      <c r="T2181" s="17">
        <v>31.0</v>
      </c>
      <c r="U2181" s="17">
        <v>31.0</v>
      </c>
    </row>
    <row r="2182" ht="23.25" customHeight="1">
      <c r="A2182" s="20" t="str">
        <f>IF(COUNTIF('Icon Lookup'!C:C,B2182)&gt;0,LOOKUP(B2182,'Icon Lookup'!C:C,'Icon Lookup'!B:B),"")</f>
        <v/>
      </c>
      <c r="B2182" s="21" t="s">
        <v>476</v>
      </c>
      <c r="C2182" s="20" t="s">
        <v>17</v>
      </c>
      <c r="D2182" s="20">
        <v>70.0</v>
      </c>
      <c r="E2182" s="20" t="str">
        <f>IMAGE("https://www.serebii.net/itemdex/sprites/leftovers.png")</f>
        <v/>
      </c>
      <c r="F2182" s="20" t="s">
        <v>203</v>
      </c>
      <c r="G2182" s="20" t="s">
        <v>859</v>
      </c>
      <c r="H2182" s="23" t="s">
        <v>2618</v>
      </c>
      <c r="I2182" s="20" t="s">
        <v>52</v>
      </c>
      <c r="J2182" s="20">
        <v>252.0</v>
      </c>
      <c r="K2182" s="20">
        <v>0.0</v>
      </c>
      <c r="L2182" s="20">
        <v>6.0</v>
      </c>
      <c r="M2182" s="20">
        <v>0.0</v>
      </c>
      <c r="N2182" s="20">
        <v>0.0</v>
      </c>
      <c r="O2182" s="20">
        <v>252.0</v>
      </c>
      <c r="P2182" s="20">
        <v>31.0</v>
      </c>
      <c r="Q2182" s="20">
        <v>0.0</v>
      </c>
      <c r="R2182" s="20">
        <v>31.0</v>
      </c>
      <c r="S2182" s="20">
        <v>31.0</v>
      </c>
      <c r="T2182" s="20">
        <v>31.0</v>
      </c>
      <c r="U2182" s="20">
        <v>31.0</v>
      </c>
    </row>
    <row r="2183" ht="23.25" customHeight="1">
      <c r="A2183" s="17" t="str">
        <f>IF(COUNTIF('Icon Lookup'!C:C,B2183)&gt;0,LOOKUP(B2183,'Icon Lookup'!C:C,'Icon Lookup'!B:B),"")</f>
        <v/>
      </c>
      <c r="B2183" s="18" t="s">
        <v>2619</v>
      </c>
      <c r="C2183" s="17" t="s">
        <v>17</v>
      </c>
      <c r="D2183" s="17">
        <v>69.0</v>
      </c>
      <c r="E2183" s="17" t="str">
        <f>IMAGE("https://www.serebii.net/itemdex/sprites/focussash.png")</f>
        <v/>
      </c>
      <c r="F2183" s="17" t="s">
        <v>374</v>
      </c>
      <c r="G2183" s="17" t="s">
        <v>881</v>
      </c>
      <c r="H2183" s="20" t="s">
        <v>2620</v>
      </c>
      <c r="I2183" s="17" t="s">
        <v>612</v>
      </c>
      <c r="J2183" s="17">
        <v>6.0</v>
      </c>
      <c r="K2183" s="17">
        <v>0.0</v>
      </c>
      <c r="L2183" s="17">
        <v>0.0</v>
      </c>
      <c r="M2183" s="17">
        <v>252.0</v>
      </c>
      <c r="N2183" s="17">
        <v>0.0</v>
      </c>
      <c r="O2183" s="17">
        <v>252.0</v>
      </c>
      <c r="P2183" s="17">
        <v>31.0</v>
      </c>
      <c r="Q2183" s="17">
        <v>31.0</v>
      </c>
      <c r="R2183" s="17">
        <v>31.0</v>
      </c>
      <c r="S2183" s="17">
        <v>31.0</v>
      </c>
      <c r="T2183" s="17">
        <v>31.0</v>
      </c>
      <c r="U2183" s="17">
        <v>31.0</v>
      </c>
    </row>
    <row r="2184" ht="23.25" customHeight="1">
      <c r="A2184" s="20" t="str">
        <f>IF(COUNTIF('Icon Lookup'!C:C,B2184)&gt;0,LOOKUP(B2184,'Icon Lookup'!C:C,'Icon Lookup'!B:B),"")</f>
        <v/>
      </c>
      <c r="B2184" s="21" t="s">
        <v>2621</v>
      </c>
      <c r="C2184" s="20" t="s">
        <v>17</v>
      </c>
      <c r="D2184" s="20">
        <v>70.0</v>
      </c>
      <c r="E2184" s="20" t="str">
        <f>IMAGE("https://www.serebii.net/itemdex/sprites/expertbelt.png")</f>
        <v/>
      </c>
      <c r="F2184" s="20" t="s">
        <v>1004</v>
      </c>
      <c r="G2184" s="20" t="s">
        <v>907</v>
      </c>
      <c r="H2184" s="23" t="s">
        <v>2622</v>
      </c>
      <c r="I2184" s="20" t="s">
        <v>612</v>
      </c>
      <c r="J2184" s="20">
        <v>252.0</v>
      </c>
      <c r="K2184" s="20">
        <v>0.0</v>
      </c>
      <c r="L2184" s="20">
        <v>0.0</v>
      </c>
      <c r="M2184" s="20">
        <v>252.0</v>
      </c>
      <c r="N2184" s="20">
        <v>0.0</v>
      </c>
      <c r="O2184" s="20">
        <v>6.0</v>
      </c>
      <c r="P2184" s="20">
        <v>31.0</v>
      </c>
      <c r="Q2184" s="20">
        <v>31.0</v>
      </c>
      <c r="R2184" s="20">
        <v>31.0</v>
      </c>
      <c r="S2184" s="20">
        <v>31.0</v>
      </c>
      <c r="T2184" s="20">
        <v>31.0</v>
      </c>
      <c r="U2184" s="20">
        <v>31.0</v>
      </c>
    </row>
    <row r="2185" ht="23.25" customHeight="1">
      <c r="A2185" s="24" t="str">
        <f>IF(COUNTIF('Icon Lookup'!C:C,B2185)&gt;0,LOOKUP(B2185,'Icon Lookup'!C:C,'Icon Lookup'!B:B),"")</f>
        <v/>
      </c>
      <c r="B2185" s="25" t="s">
        <v>730</v>
      </c>
      <c r="C2185" s="24" t="s">
        <v>804</v>
      </c>
      <c r="D2185" s="24">
        <v>74.0</v>
      </c>
      <c r="E2185" s="24" t="str">
        <f>IMAGE("https://www.serebii.net/itemdex/sprites/yacheberry.png")</f>
        <v/>
      </c>
      <c r="F2185" s="24" t="s">
        <v>267</v>
      </c>
      <c r="G2185" s="17" t="s">
        <v>917</v>
      </c>
      <c r="H2185" s="20" t="s">
        <v>2605</v>
      </c>
      <c r="I2185" s="24" t="s">
        <v>550</v>
      </c>
      <c r="J2185" s="24">
        <v>128.0</v>
      </c>
      <c r="K2185" s="24">
        <v>252.0</v>
      </c>
      <c r="L2185" s="24">
        <v>128.0</v>
      </c>
      <c r="M2185" s="24">
        <v>0.0</v>
      </c>
      <c r="N2185" s="24">
        <v>0.0</v>
      </c>
      <c r="O2185" s="24">
        <v>0.0</v>
      </c>
      <c r="P2185" s="24">
        <v>31.0</v>
      </c>
      <c r="Q2185" s="24">
        <v>31.0</v>
      </c>
      <c r="R2185" s="24">
        <v>31.0</v>
      </c>
      <c r="S2185" s="24">
        <v>31.0</v>
      </c>
      <c r="T2185" s="24">
        <v>31.0</v>
      </c>
      <c r="U2185" s="24">
        <v>31.0</v>
      </c>
    </row>
    <row r="2186" ht="23.25" customHeight="1">
      <c r="A2186" s="1" t="str">
        <f>IF(COUNTIF('Icon Lookup'!C:C,B2186)&gt;0,LOOKUP(B2186,'Icon Lookup'!C:C,'Icon Lookup'!B:B),"")</f>
        <v/>
      </c>
      <c r="B2186" s="15" t="s">
        <v>2623</v>
      </c>
      <c r="C2186" s="1" t="s">
        <v>17</v>
      </c>
      <c r="D2186" s="1" t="s">
        <v>2036</v>
      </c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</row>
    <row r="2187" ht="23.25" customHeight="1">
      <c r="A2187" s="20" t="str">
        <f>IF(COUNTIF('Icon Lookup'!C:C,B2187)&gt;0,LOOKUP(B2187,'Icon Lookup'!C:C,'Icon Lookup'!B:B),"")</f>
        <v/>
      </c>
      <c r="B2187" s="21" t="s">
        <v>718</v>
      </c>
      <c r="C2187" s="20" t="s">
        <v>17</v>
      </c>
      <c r="D2187" s="20">
        <v>68.0</v>
      </c>
      <c r="E2187" s="20" t="str">
        <f>IMAGE("https://www.serebii.net/itemdex/sprites/scopelens.png")</f>
        <v/>
      </c>
      <c r="F2187" s="20" t="s">
        <v>1367</v>
      </c>
      <c r="G2187" s="20" t="s">
        <v>855</v>
      </c>
      <c r="H2187" s="23" t="s">
        <v>2624</v>
      </c>
      <c r="I2187" s="20" t="s">
        <v>22</v>
      </c>
      <c r="J2187" s="20">
        <v>6.0</v>
      </c>
      <c r="K2187" s="20">
        <v>252.0</v>
      </c>
      <c r="L2187" s="20">
        <v>0.0</v>
      </c>
      <c r="M2187" s="20">
        <v>0.0</v>
      </c>
      <c r="N2187" s="20">
        <v>0.0</v>
      </c>
      <c r="O2187" s="20">
        <v>252.0</v>
      </c>
      <c r="P2187" s="20">
        <v>31.0</v>
      </c>
      <c r="Q2187" s="20">
        <v>31.0</v>
      </c>
      <c r="R2187" s="20">
        <v>31.0</v>
      </c>
      <c r="S2187" s="20">
        <v>31.0</v>
      </c>
      <c r="T2187" s="20">
        <v>31.0</v>
      </c>
      <c r="U2187" s="20">
        <v>31.0</v>
      </c>
    </row>
    <row r="2188" ht="23.25" customHeight="1">
      <c r="A2188" s="17" t="str">
        <f>IF(COUNTIF('Icon Lookup'!C:C,B2188)&gt;0,LOOKUP(B2188,'Icon Lookup'!C:C,'Icon Lookup'!B:B),"")</f>
        <v/>
      </c>
      <c r="B2188" s="18" t="s">
        <v>2625</v>
      </c>
      <c r="C2188" s="17" t="s">
        <v>17</v>
      </c>
      <c r="D2188" s="17">
        <v>69.0</v>
      </c>
      <c r="E2188" s="17" t="str">
        <f>IMAGE("https://www.serebii.net/itemdex/sprites/wikiberry.png")</f>
        <v/>
      </c>
      <c r="F2188" s="17" t="s">
        <v>44</v>
      </c>
      <c r="G2188" s="17" t="s">
        <v>2626</v>
      </c>
      <c r="H2188" s="20" t="s">
        <v>2627</v>
      </c>
      <c r="I2188" s="17" t="s">
        <v>612</v>
      </c>
      <c r="J2188" s="17">
        <v>252.0</v>
      </c>
      <c r="K2188" s="17">
        <v>0.0</v>
      </c>
      <c r="L2188" s="17">
        <v>0.0</v>
      </c>
      <c r="M2188" s="17">
        <v>252.0</v>
      </c>
      <c r="N2188" s="17">
        <v>0.0</v>
      </c>
      <c r="O2188" s="17">
        <v>6.0</v>
      </c>
      <c r="P2188" s="17">
        <v>31.0</v>
      </c>
      <c r="Q2188" s="17">
        <v>31.0</v>
      </c>
      <c r="R2188" s="17">
        <v>31.0</v>
      </c>
      <c r="S2188" s="17">
        <v>31.0</v>
      </c>
      <c r="T2188" s="17">
        <v>31.0</v>
      </c>
      <c r="U2188" s="17">
        <v>31.0</v>
      </c>
    </row>
    <row r="2189" ht="23.25" customHeight="1">
      <c r="A2189" s="20" t="str">
        <f>IF(COUNTIF('Icon Lookup'!C:C,B2189)&gt;0,LOOKUP(B2189,'Icon Lookup'!C:C,'Icon Lookup'!B:B),"")</f>
        <v/>
      </c>
      <c r="B2189" s="21" t="s">
        <v>2510</v>
      </c>
      <c r="C2189" s="20" t="s">
        <v>17</v>
      </c>
      <c r="D2189" s="20">
        <v>70.0</v>
      </c>
      <c r="E2189" s="20" t="str">
        <f>IMAGE("https://www.serebii.net/itemdex/sprites/focussash.png")</f>
        <v/>
      </c>
      <c r="F2189" s="20" t="s">
        <v>768</v>
      </c>
      <c r="G2189" s="20" t="s">
        <v>881</v>
      </c>
      <c r="H2189" s="23" t="s">
        <v>2602</v>
      </c>
      <c r="I2189" s="20" t="s">
        <v>52</v>
      </c>
      <c r="J2189" s="20">
        <v>6.0</v>
      </c>
      <c r="K2189" s="20">
        <v>0.0</v>
      </c>
      <c r="L2189" s="20">
        <v>0.0</v>
      </c>
      <c r="M2189" s="20">
        <v>252.0</v>
      </c>
      <c r="N2189" s="20">
        <v>0.0</v>
      </c>
      <c r="O2189" s="20">
        <v>252.0</v>
      </c>
      <c r="P2189" s="20">
        <v>31.0</v>
      </c>
      <c r="Q2189" s="20">
        <v>31.0</v>
      </c>
      <c r="R2189" s="20">
        <v>31.0</v>
      </c>
      <c r="S2189" s="20">
        <v>31.0</v>
      </c>
      <c r="T2189" s="20">
        <v>31.0</v>
      </c>
      <c r="U2189" s="20">
        <v>31.0</v>
      </c>
    </row>
    <row r="2190" ht="23.25" customHeight="1">
      <c r="A2190" s="17" t="str">
        <f>IF(COUNTIF('Icon Lookup'!C:C,B2190)&gt;0,LOOKUP(B2190,'Icon Lookup'!C:C,'Icon Lookup'!B:B),"")</f>
        <v/>
      </c>
      <c r="B2190" s="18" t="s">
        <v>2628</v>
      </c>
      <c r="C2190" s="17" t="s">
        <v>17</v>
      </c>
      <c r="D2190" s="17">
        <v>69.0</v>
      </c>
      <c r="E2190" s="17" t="str">
        <f>IMAGE("https://www.serebii.net/itemdex/sprites/whiteherb.png")</f>
        <v/>
      </c>
      <c r="F2190" s="17" t="s">
        <v>876</v>
      </c>
      <c r="G2190" s="17" t="s">
        <v>2497</v>
      </c>
      <c r="H2190" s="20" t="s">
        <v>2629</v>
      </c>
      <c r="I2190" s="17" t="s">
        <v>2499</v>
      </c>
      <c r="J2190" s="17">
        <v>252.0</v>
      </c>
      <c r="K2190" s="17">
        <v>252.0</v>
      </c>
      <c r="L2190" s="17">
        <v>0.0</v>
      </c>
      <c r="M2190" s="17">
        <v>0.0</v>
      </c>
      <c r="N2190" s="17">
        <v>0.0</v>
      </c>
      <c r="O2190" s="17">
        <v>6.0</v>
      </c>
      <c r="P2190" s="17">
        <v>31.0</v>
      </c>
      <c r="Q2190" s="17">
        <v>31.0</v>
      </c>
      <c r="R2190" s="17">
        <v>31.0</v>
      </c>
      <c r="S2190" s="17">
        <v>31.0</v>
      </c>
      <c r="T2190" s="17">
        <v>31.0</v>
      </c>
      <c r="U2190" s="17">
        <v>31.0</v>
      </c>
    </row>
    <row r="2191" ht="23.25" customHeight="1">
      <c r="A2191" s="20" t="str">
        <f>IF(COUNTIF('Icon Lookup'!C:C,B2191)&gt;0,LOOKUP(B2191,'Icon Lookup'!C:C,'Icon Lookup'!B:B),"")</f>
        <v/>
      </c>
      <c r="B2191" s="21" t="s">
        <v>471</v>
      </c>
      <c r="C2191" s="20" t="s">
        <v>17</v>
      </c>
      <c r="D2191" s="20">
        <v>70.0</v>
      </c>
      <c r="E2191" s="20" t="str">
        <f>IMAGE("https://www.serebii.net/itemdex/sprites/lifeorb.png")</f>
        <v/>
      </c>
      <c r="F2191" s="20" t="s">
        <v>1109</v>
      </c>
      <c r="G2191" s="20" t="s">
        <v>873</v>
      </c>
      <c r="H2191" s="23" t="s">
        <v>2630</v>
      </c>
      <c r="I2191" s="20" t="s">
        <v>22</v>
      </c>
      <c r="J2191" s="20">
        <v>6.0</v>
      </c>
      <c r="K2191" s="20">
        <v>252.0</v>
      </c>
      <c r="L2191" s="20">
        <v>0.0</v>
      </c>
      <c r="M2191" s="20">
        <v>0.0</v>
      </c>
      <c r="N2191" s="20">
        <v>0.0</v>
      </c>
      <c r="O2191" s="20">
        <v>252.0</v>
      </c>
      <c r="P2191" s="20">
        <v>31.0</v>
      </c>
      <c r="Q2191" s="20">
        <v>31.0</v>
      </c>
      <c r="R2191" s="20">
        <v>31.0</v>
      </c>
      <c r="S2191" s="20">
        <v>31.0</v>
      </c>
      <c r="T2191" s="20">
        <v>31.0</v>
      </c>
      <c r="U2191" s="20">
        <v>31.0</v>
      </c>
    </row>
    <row r="2192" ht="23.25" customHeight="1">
      <c r="A2192" s="24" t="str">
        <f>IF(COUNTIF('Icon Lookup'!C:C,B2192)&gt;0,LOOKUP(B2192,'Icon Lookup'!C:C,'Icon Lookup'!B:B),"")</f>
        <v/>
      </c>
      <c r="B2192" s="25" t="s">
        <v>879</v>
      </c>
      <c r="C2192" s="24" t="s">
        <v>804</v>
      </c>
      <c r="D2192" s="24">
        <v>74.0</v>
      </c>
      <c r="E2192" s="24" t="str">
        <f>IMAGE("https://www.serebii.net/itemdex/sprites/expertbelt.png")</f>
        <v/>
      </c>
      <c r="F2192" s="24" t="s">
        <v>145</v>
      </c>
      <c r="G2192" s="17" t="s">
        <v>907</v>
      </c>
      <c r="H2192" s="20" t="s">
        <v>2708</v>
      </c>
      <c r="I2192" s="24" t="s">
        <v>612</v>
      </c>
      <c r="J2192" s="24">
        <v>6.0</v>
      </c>
      <c r="K2192" s="24">
        <v>0.0</v>
      </c>
      <c r="L2192" s="24">
        <v>0.0</v>
      </c>
      <c r="M2192" s="24">
        <v>252.0</v>
      </c>
      <c r="N2192" s="24">
        <v>0.0</v>
      </c>
      <c r="O2192" s="24">
        <v>252.0</v>
      </c>
      <c r="P2192" s="24">
        <v>31.0</v>
      </c>
      <c r="Q2192" s="24">
        <v>31.0</v>
      </c>
      <c r="R2192" s="24">
        <v>31.0</v>
      </c>
      <c r="S2192" s="24">
        <v>31.0</v>
      </c>
      <c r="T2192" s="24">
        <v>31.0</v>
      </c>
      <c r="U2192" s="24">
        <v>31.0</v>
      </c>
    </row>
    <row r="2193" ht="23.25" customHeight="1">
      <c r="A2193" s="1" t="str">
        <f>IF(COUNTIF('Icon Lookup'!C:C,B2193)&gt;0,LOOKUP(B2193,'Icon Lookup'!C:C,'Icon Lookup'!B:B),"")</f>
        <v/>
      </c>
      <c r="B2193" s="15" t="s">
        <v>2631</v>
      </c>
      <c r="C2193" s="1" t="s">
        <v>17</v>
      </c>
      <c r="D2193" s="1" t="s">
        <v>2036</v>
      </c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</row>
    <row r="2194" ht="23.25" customHeight="1">
      <c r="A2194" s="20" t="str">
        <f>IF(COUNTIF('Icon Lookup'!C:C,B2194)&gt;0,LOOKUP(B2194,'Icon Lookup'!C:C,'Icon Lookup'!B:B),"")</f>
        <v/>
      </c>
      <c r="B2194" s="21" t="s">
        <v>2632</v>
      </c>
      <c r="C2194" s="20" t="s">
        <v>17</v>
      </c>
      <c r="D2194" s="20">
        <v>68.0</v>
      </c>
      <c r="E2194" s="20" t="str">
        <f>IMAGE("https://www.serebii.net/itemdex/sprites/lumberry.png")</f>
        <v/>
      </c>
      <c r="F2194" s="20" t="s">
        <v>240</v>
      </c>
      <c r="G2194" s="20" t="s">
        <v>2533</v>
      </c>
      <c r="H2194" s="23" t="s">
        <v>2633</v>
      </c>
      <c r="I2194" s="20" t="s">
        <v>52</v>
      </c>
      <c r="J2194" s="20">
        <v>52.0</v>
      </c>
      <c r="K2194" s="20">
        <v>0.0</v>
      </c>
      <c r="L2194" s="20">
        <v>0.0</v>
      </c>
      <c r="M2194" s="20">
        <v>252.0</v>
      </c>
      <c r="N2194" s="20">
        <v>0.0</v>
      </c>
      <c r="O2194" s="20">
        <v>204.0</v>
      </c>
      <c r="P2194" s="20">
        <v>31.0</v>
      </c>
      <c r="Q2194" s="20">
        <v>31.0</v>
      </c>
      <c r="R2194" s="20">
        <v>31.0</v>
      </c>
      <c r="S2194" s="20">
        <v>31.0</v>
      </c>
      <c r="T2194" s="20">
        <v>31.0</v>
      </c>
      <c r="U2194" s="20">
        <v>31.0</v>
      </c>
    </row>
    <row r="2195" ht="23.25" customHeight="1">
      <c r="A2195" s="17" t="str">
        <f>IF(COUNTIF('Icon Lookup'!C:C,B2195)&gt;0,LOOKUP(B2195,'Icon Lookup'!C:C,'Icon Lookup'!B:B),"")</f>
        <v/>
      </c>
      <c r="B2195" s="18" t="s">
        <v>2634</v>
      </c>
      <c r="C2195" s="17" t="s">
        <v>17</v>
      </c>
      <c r="D2195" s="17">
        <v>69.0</v>
      </c>
      <c r="E2195" s="17" t="str">
        <f>IMAGE("https://www.serebii.net/itemdex/sprites/persimberry.png")</f>
        <v/>
      </c>
      <c r="F2195" s="17" t="s">
        <v>66</v>
      </c>
      <c r="G2195" s="17" t="s">
        <v>2635</v>
      </c>
      <c r="H2195" s="20" t="s">
        <v>2636</v>
      </c>
      <c r="I2195" s="17" t="s">
        <v>612</v>
      </c>
      <c r="J2195" s="17">
        <v>6.0</v>
      </c>
      <c r="K2195" s="17">
        <v>0.0</v>
      </c>
      <c r="L2195" s="17">
        <v>0.0</v>
      </c>
      <c r="M2195" s="17">
        <v>252.0</v>
      </c>
      <c r="N2195" s="17">
        <v>0.0</v>
      </c>
      <c r="O2195" s="17">
        <v>252.0</v>
      </c>
      <c r="P2195" s="17">
        <v>31.0</v>
      </c>
      <c r="Q2195" s="17">
        <v>31.0</v>
      </c>
      <c r="R2195" s="17">
        <v>31.0</v>
      </c>
      <c r="S2195" s="17">
        <v>31.0</v>
      </c>
      <c r="T2195" s="17">
        <v>31.0</v>
      </c>
      <c r="U2195" s="17">
        <v>31.0</v>
      </c>
    </row>
    <row r="2196" ht="23.25" customHeight="1">
      <c r="A2196" s="20" t="str">
        <f>IF(COUNTIF('Icon Lookup'!C:C,B2196)&gt;0,LOOKUP(B2196,'Icon Lookup'!C:C,'Icon Lookup'!B:B),"")</f>
        <v/>
      </c>
      <c r="B2196" s="21" t="s">
        <v>2517</v>
      </c>
      <c r="C2196" s="20" t="s">
        <v>17</v>
      </c>
      <c r="D2196" s="20">
        <v>70.0</v>
      </c>
      <c r="E2196" s="20" t="str">
        <f>IMAGE("https://www.serebii.net/itemdex/sprites/lifeorb.png")</f>
        <v/>
      </c>
      <c r="F2196" s="20" t="s">
        <v>382</v>
      </c>
      <c r="G2196" s="20" t="s">
        <v>873</v>
      </c>
      <c r="H2196" s="23" t="s">
        <v>2637</v>
      </c>
      <c r="I2196" s="20" t="s">
        <v>550</v>
      </c>
      <c r="J2196" s="20">
        <v>128.0</v>
      </c>
      <c r="K2196" s="20">
        <v>252.0</v>
      </c>
      <c r="L2196" s="20">
        <v>128.0</v>
      </c>
      <c r="M2196" s="20">
        <v>0.0</v>
      </c>
      <c r="N2196" s="20">
        <v>0.0</v>
      </c>
      <c r="O2196" s="20">
        <v>0.0</v>
      </c>
      <c r="P2196" s="20">
        <v>31.0</v>
      </c>
      <c r="Q2196" s="20">
        <v>31.0</v>
      </c>
      <c r="R2196" s="20">
        <v>31.0</v>
      </c>
      <c r="S2196" s="20">
        <v>31.0</v>
      </c>
      <c r="T2196" s="20">
        <v>31.0</v>
      </c>
      <c r="U2196" s="20">
        <v>31.0</v>
      </c>
    </row>
    <row r="2197" ht="23.25" customHeight="1">
      <c r="A2197" s="17" t="str">
        <f>IF(COUNTIF('Icon Lookup'!C:C,B2197)&gt;0,LOOKUP(B2197,'Icon Lookup'!C:C,'Icon Lookup'!B:B),"")</f>
        <v/>
      </c>
      <c r="B2197" s="18" t="s">
        <v>2638</v>
      </c>
      <c r="C2197" s="17" t="s">
        <v>17</v>
      </c>
      <c r="D2197" s="17">
        <v>69.0</v>
      </c>
      <c r="E2197" s="17" t="str">
        <f>IMAGE("https://www.serebii.net/itemdex/sprites/choicescarf.png")</f>
        <v/>
      </c>
      <c r="F2197" s="17" t="s">
        <v>79</v>
      </c>
      <c r="G2197" s="17" t="s">
        <v>2472</v>
      </c>
      <c r="H2197" s="20" t="s">
        <v>2639</v>
      </c>
      <c r="I2197" s="17" t="s">
        <v>52</v>
      </c>
      <c r="J2197" s="17">
        <v>6.0</v>
      </c>
      <c r="K2197" s="17">
        <v>0.0</v>
      </c>
      <c r="L2197" s="17">
        <v>0.0</v>
      </c>
      <c r="M2197" s="17">
        <v>252.0</v>
      </c>
      <c r="N2197" s="17">
        <v>0.0</v>
      </c>
      <c r="O2197" s="17">
        <v>252.0</v>
      </c>
      <c r="P2197" s="17">
        <v>31.0</v>
      </c>
      <c r="Q2197" s="17">
        <v>31.0</v>
      </c>
      <c r="R2197" s="17">
        <v>31.0</v>
      </c>
      <c r="S2197" s="17">
        <v>31.0</v>
      </c>
      <c r="T2197" s="17">
        <v>31.0</v>
      </c>
      <c r="U2197" s="17">
        <v>31.0</v>
      </c>
    </row>
    <row r="2198" ht="23.25" customHeight="1">
      <c r="A2198" s="20" t="str">
        <f>IF(COUNTIF('Icon Lookup'!C:C,B2198)&gt;0,LOOKUP(B2198,'Icon Lookup'!C:C,'Icon Lookup'!B:B),"")</f>
        <v/>
      </c>
      <c r="B2198" s="21" t="s">
        <v>482</v>
      </c>
      <c r="C2198" s="20" t="s">
        <v>17</v>
      </c>
      <c r="D2198" s="20">
        <v>70.0</v>
      </c>
      <c r="E2198" s="20" t="str">
        <f>IMAGE("https://www.serebii.net/itemdex/sprites/laggingtail.png")</f>
        <v/>
      </c>
      <c r="F2198" s="20" t="s">
        <v>337</v>
      </c>
      <c r="G2198" s="20" t="s">
        <v>2640</v>
      </c>
      <c r="H2198" s="23" t="s">
        <v>2641</v>
      </c>
      <c r="I2198" s="20" t="s">
        <v>265</v>
      </c>
      <c r="J2198" s="20">
        <v>252.0</v>
      </c>
      <c r="K2198" s="20">
        <v>252.0</v>
      </c>
      <c r="L2198" s="20">
        <v>6.0</v>
      </c>
      <c r="M2198" s="20">
        <v>0.0</v>
      </c>
      <c r="N2198" s="20">
        <v>0.0</v>
      </c>
      <c r="O2198" s="20">
        <v>0.0</v>
      </c>
      <c r="P2198" s="20">
        <v>31.0</v>
      </c>
      <c r="Q2198" s="20">
        <v>31.0</v>
      </c>
      <c r="R2198" s="20">
        <v>31.0</v>
      </c>
      <c r="S2198" s="20">
        <v>31.0</v>
      </c>
      <c r="T2198" s="20">
        <v>31.0</v>
      </c>
      <c r="U2198" s="20">
        <v>31.0</v>
      </c>
    </row>
    <row r="2199" ht="23.25" customHeight="1">
      <c r="A2199" s="24" t="str">
        <f>IF(COUNTIF('Icon Lookup'!C:C,B2199)&gt;0,LOOKUP(B2199,'Icon Lookup'!C:C,'Icon Lookup'!B:B),"")</f>
        <v/>
      </c>
      <c r="B2199" s="25" t="s">
        <v>737</v>
      </c>
      <c r="C2199" s="24" t="s">
        <v>804</v>
      </c>
      <c r="D2199" s="24">
        <v>74.0</v>
      </c>
      <c r="E2199" s="24" t="str">
        <f>IMAGE("https://www.serebii.net/itemdex/sprites/leftovers.png")</f>
        <v/>
      </c>
      <c r="F2199" s="24" t="s">
        <v>374</v>
      </c>
      <c r="G2199" s="17" t="s">
        <v>859</v>
      </c>
      <c r="H2199" s="20" t="s">
        <v>2614</v>
      </c>
      <c r="I2199" s="24" t="s">
        <v>612</v>
      </c>
      <c r="J2199" s="24">
        <v>252.0</v>
      </c>
      <c r="K2199" s="24">
        <v>0.0</v>
      </c>
      <c r="L2199" s="24">
        <v>0.0</v>
      </c>
      <c r="M2199" s="24">
        <v>252.0</v>
      </c>
      <c r="N2199" s="24">
        <v>0.0</v>
      </c>
      <c r="O2199" s="24">
        <v>6.0</v>
      </c>
      <c r="P2199" s="24">
        <v>31.0</v>
      </c>
      <c r="Q2199" s="24">
        <v>31.0</v>
      </c>
      <c r="R2199" s="24">
        <v>31.0</v>
      </c>
      <c r="S2199" s="24">
        <v>31.0</v>
      </c>
      <c r="T2199" s="24">
        <v>31.0</v>
      </c>
      <c r="U2199" s="24">
        <v>31.0</v>
      </c>
    </row>
    <row r="2200" ht="23.25" customHeight="1">
      <c r="A2200" s="1" t="str">
        <f>IF(COUNTIF('Icon Lookup'!C:C,B2200)&gt;0,LOOKUP(B2200,'Icon Lookup'!C:C,'Icon Lookup'!B:B),"")</f>
        <v/>
      </c>
      <c r="B2200" s="15" t="s">
        <v>2642</v>
      </c>
      <c r="C2200" s="1" t="s">
        <v>17</v>
      </c>
      <c r="D2200" s="1" t="s">
        <v>843</v>
      </c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</row>
    <row r="2201" ht="23.25" customHeight="1">
      <c r="A2201" s="20" t="str">
        <f>IF(COUNTIF('Icon Lookup'!C:C,B2201)&gt;0,LOOKUP(B2201,'Icon Lookup'!C:C,'Icon Lookup'!B:B),"")</f>
        <v/>
      </c>
      <c r="B2201" s="21" t="s">
        <v>2643</v>
      </c>
      <c r="C2201" s="20" t="s">
        <v>17</v>
      </c>
      <c r="D2201" s="20">
        <v>65.0</v>
      </c>
      <c r="E2201" s="20" t="str">
        <f>IMAGE("https://www.serebii.net/itemdex/sprites/wiseglasses.png")</f>
        <v/>
      </c>
      <c r="F2201" s="20" t="s">
        <v>2644</v>
      </c>
      <c r="G2201" s="20" t="s">
        <v>846</v>
      </c>
      <c r="H2201" s="23" t="s">
        <v>2645</v>
      </c>
      <c r="I2201" s="20" t="s">
        <v>52</v>
      </c>
      <c r="J2201" s="20">
        <v>52.0</v>
      </c>
      <c r="K2201" s="20">
        <v>0.0</v>
      </c>
      <c r="L2201" s="20">
        <v>0.0</v>
      </c>
      <c r="M2201" s="20">
        <v>252.0</v>
      </c>
      <c r="N2201" s="20">
        <v>0.0</v>
      </c>
      <c r="O2201" s="20">
        <v>204.0</v>
      </c>
      <c r="P2201" s="20">
        <v>31.0</v>
      </c>
      <c r="Q2201" s="20">
        <v>0.0</v>
      </c>
      <c r="R2201" s="20">
        <v>31.0</v>
      </c>
      <c r="S2201" s="20">
        <v>31.0</v>
      </c>
      <c r="T2201" s="20">
        <v>31.0</v>
      </c>
      <c r="U2201" s="20">
        <v>31.0</v>
      </c>
    </row>
    <row r="2202" ht="23.25" customHeight="1">
      <c r="A2202" s="17" t="str">
        <f>IF(COUNTIF('Icon Lookup'!C:C,B2202)&gt;0,LOOKUP(B2202,'Icon Lookup'!C:C,'Icon Lookup'!B:B),"")</f>
        <v/>
      </c>
      <c r="B2202" s="18" t="s">
        <v>2646</v>
      </c>
      <c r="C2202" s="17" t="s">
        <v>17</v>
      </c>
      <c r="D2202" s="17">
        <v>65.0</v>
      </c>
      <c r="E2202" s="17" t="str">
        <f>IMAGE("https://www.serebii.net/itemdex/sprites/occaberry.png")</f>
        <v/>
      </c>
      <c r="F2202" s="17" t="s">
        <v>1109</v>
      </c>
      <c r="G2202" s="17" t="s">
        <v>2647</v>
      </c>
      <c r="H2202" s="20" t="s">
        <v>2648</v>
      </c>
      <c r="I2202" s="17" t="s">
        <v>550</v>
      </c>
      <c r="J2202" s="17">
        <v>252.0</v>
      </c>
      <c r="K2202" s="17">
        <v>252.0</v>
      </c>
      <c r="L2202" s="17">
        <v>0.0</v>
      </c>
      <c r="M2202" s="17">
        <v>0.0</v>
      </c>
      <c r="N2202" s="17">
        <v>0.0</v>
      </c>
      <c r="O2202" s="17">
        <v>0.0</v>
      </c>
      <c r="P2202" s="17">
        <v>31.0</v>
      </c>
      <c r="Q2202" s="17">
        <v>31.0</v>
      </c>
      <c r="R2202" s="17">
        <v>31.0</v>
      </c>
      <c r="S2202" s="17">
        <v>0.0</v>
      </c>
      <c r="T2202" s="17">
        <v>31.0</v>
      </c>
      <c r="U2202" s="17">
        <v>31.0</v>
      </c>
    </row>
    <row r="2203" ht="23.25" customHeight="1">
      <c r="A2203" s="20" t="str">
        <f>IF(COUNTIF('Icon Lookup'!C:C,B2203)&gt;0,LOOKUP(B2203,'Icon Lookup'!C:C,'Icon Lookup'!B:B),"")</f>
        <v/>
      </c>
      <c r="B2203" s="21" t="s">
        <v>848</v>
      </c>
      <c r="C2203" s="20" t="s">
        <v>17</v>
      </c>
      <c r="D2203" s="20">
        <v>66.0</v>
      </c>
      <c r="E2203" s="20" t="str">
        <f>IMAGE("https://www.serebii.net/itemdex/sprites/sitrusberry.png")</f>
        <v/>
      </c>
      <c r="F2203" s="20" t="s">
        <v>849</v>
      </c>
      <c r="G2203" s="20" t="s">
        <v>824</v>
      </c>
      <c r="H2203" s="23" t="s">
        <v>2649</v>
      </c>
      <c r="I2203" s="20" t="s">
        <v>550</v>
      </c>
      <c r="J2203" s="20">
        <v>252.0</v>
      </c>
      <c r="K2203" s="20">
        <v>252.0</v>
      </c>
      <c r="L2203" s="20">
        <v>0.0</v>
      </c>
      <c r="M2203" s="20">
        <v>0.0</v>
      </c>
      <c r="N2203" s="20">
        <v>0.0</v>
      </c>
      <c r="O2203" s="20">
        <v>0.0</v>
      </c>
      <c r="P2203" s="20">
        <v>31.0</v>
      </c>
      <c r="Q2203" s="20">
        <v>31.0</v>
      </c>
      <c r="R2203" s="20">
        <v>31.0</v>
      </c>
      <c r="S2203" s="20">
        <v>0.0</v>
      </c>
      <c r="T2203" s="20">
        <v>31.0</v>
      </c>
      <c r="U2203" s="20">
        <v>31.0</v>
      </c>
    </row>
    <row r="2204" ht="23.25" customHeight="1">
      <c r="A2204" s="17" t="str">
        <f>IF(COUNTIF('Icon Lookup'!C:C,B2204)&gt;0,LOOKUP(B2204,'Icon Lookup'!C:C,'Icon Lookup'!B:B),"")</f>
        <v/>
      </c>
      <c r="B2204" s="18" t="s">
        <v>851</v>
      </c>
      <c r="C2204" s="17" t="s">
        <v>17</v>
      </c>
      <c r="D2204" s="17">
        <v>67.0</v>
      </c>
      <c r="E2204" s="17" t="str">
        <f>IMAGE("https://www.serebii.net/itemdex/sprites/flameorb.png")</f>
        <v/>
      </c>
      <c r="F2204" s="17" t="s">
        <v>276</v>
      </c>
      <c r="G2204" s="17" t="s">
        <v>852</v>
      </c>
      <c r="H2204" s="20" t="s">
        <v>2650</v>
      </c>
      <c r="I2204" s="17" t="s">
        <v>22</v>
      </c>
      <c r="J2204" s="17">
        <v>52.0</v>
      </c>
      <c r="K2204" s="17">
        <v>252.0</v>
      </c>
      <c r="L2204" s="17">
        <v>0.0</v>
      </c>
      <c r="M2204" s="17">
        <v>0.0</v>
      </c>
      <c r="N2204" s="17">
        <v>0.0</v>
      </c>
      <c r="O2204" s="17">
        <v>204.0</v>
      </c>
      <c r="P2204" s="17">
        <v>31.0</v>
      </c>
      <c r="Q2204" s="17">
        <v>31.0</v>
      </c>
      <c r="R2204" s="17">
        <v>31.0</v>
      </c>
      <c r="S2204" s="17">
        <v>0.0</v>
      </c>
      <c r="T2204" s="17">
        <v>31.0</v>
      </c>
      <c r="U2204" s="17">
        <v>31.0</v>
      </c>
    </row>
    <row r="2205" ht="23.25" customHeight="1">
      <c r="A2205" s="24" t="str">
        <f>IF(COUNTIF('Icon Lookup'!C:C,B2205)&gt;0,LOOKUP(B2205,'Icon Lookup'!C:C,'Icon Lookup'!B:B),"")</f>
        <v/>
      </c>
      <c r="B2205" s="25" t="s">
        <v>854</v>
      </c>
      <c r="C2205" s="24" t="s">
        <v>804</v>
      </c>
      <c r="D2205" s="24">
        <v>69.0</v>
      </c>
      <c r="E2205" s="24" t="str">
        <f>IMAGE("https://www.serebii.net/itemdex/sprites/scopelens.png")</f>
        <v/>
      </c>
      <c r="F2205" s="24" t="s">
        <v>557</v>
      </c>
      <c r="G2205" s="20" t="s">
        <v>855</v>
      </c>
      <c r="H2205" s="23" t="s">
        <v>856</v>
      </c>
      <c r="I2205" s="24" t="s">
        <v>22</v>
      </c>
      <c r="J2205" s="24">
        <v>52.0</v>
      </c>
      <c r="K2205" s="24">
        <v>252.0</v>
      </c>
      <c r="L2205" s="24">
        <v>0.0</v>
      </c>
      <c r="M2205" s="24">
        <v>0.0</v>
      </c>
      <c r="N2205" s="24">
        <v>0.0</v>
      </c>
      <c r="O2205" s="24">
        <v>204.0</v>
      </c>
      <c r="P2205" s="24">
        <v>31.0</v>
      </c>
      <c r="Q2205" s="24">
        <v>31.0</v>
      </c>
      <c r="R2205" s="24">
        <v>31.0</v>
      </c>
      <c r="S2205" s="24">
        <v>0.0</v>
      </c>
      <c r="T2205" s="24">
        <v>31.0</v>
      </c>
      <c r="U2205" s="24">
        <v>31.0</v>
      </c>
    </row>
    <row r="2206" ht="23.25" customHeight="1">
      <c r="A2206" s="1" t="str">
        <f>IF(COUNTIF('Icon Lookup'!C:C,B2206)&gt;0,LOOKUP(B2206,'Icon Lookup'!C:C,'Icon Lookup'!B:B),"")</f>
        <v/>
      </c>
      <c r="B2206" s="15" t="s">
        <v>2651</v>
      </c>
      <c r="C2206" s="1" t="s">
        <v>17</v>
      </c>
      <c r="D2206" s="1" t="s">
        <v>858</v>
      </c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</row>
    <row r="2207" ht="23.25" customHeight="1">
      <c r="A2207" s="17" t="str">
        <f>IF(COUNTIF('Icon Lookup'!C:C,B2207)&gt;0,LOOKUP(B2207,'Icon Lookup'!C:C,'Icon Lookup'!B:B),"")</f>
        <v/>
      </c>
      <c r="B2207" s="18" t="s">
        <v>568</v>
      </c>
      <c r="C2207" s="17" t="s">
        <v>17</v>
      </c>
      <c r="D2207" s="17">
        <v>66.0</v>
      </c>
      <c r="E2207" s="17" t="str">
        <f>IMAGE("https://www.serebii.net/itemdex/sprites/rindoberry.png")</f>
        <v/>
      </c>
      <c r="F2207" s="17" t="s">
        <v>641</v>
      </c>
      <c r="G2207" s="17" t="s">
        <v>863</v>
      </c>
      <c r="H2207" s="20" t="s">
        <v>2652</v>
      </c>
      <c r="I2207" s="17" t="s">
        <v>822</v>
      </c>
      <c r="J2207" s="17">
        <v>0.0</v>
      </c>
      <c r="K2207" s="17">
        <v>252.0</v>
      </c>
      <c r="L2207" s="17">
        <v>0.0</v>
      </c>
      <c r="M2207" s="17">
        <v>252.0</v>
      </c>
      <c r="N2207" s="17">
        <v>0.0</v>
      </c>
      <c r="O2207" s="17">
        <v>0.0</v>
      </c>
      <c r="P2207" s="17">
        <v>31.0</v>
      </c>
      <c r="Q2207" s="17">
        <v>31.0</v>
      </c>
      <c r="R2207" s="17">
        <v>31.0</v>
      </c>
      <c r="S2207" s="17">
        <v>31.0</v>
      </c>
      <c r="T2207" s="17">
        <v>31.0</v>
      </c>
      <c r="U2207" s="17">
        <v>0.0</v>
      </c>
    </row>
    <row r="2208" ht="23.25" customHeight="1">
      <c r="A2208" s="20" t="str">
        <f>IF(COUNTIF('Icon Lookup'!C:C,B2208)&gt;0,LOOKUP(B2208,'Icon Lookup'!C:C,'Icon Lookup'!B:B),"")</f>
        <v/>
      </c>
      <c r="B2208" s="21" t="s">
        <v>2590</v>
      </c>
      <c r="C2208" s="20" t="s">
        <v>17</v>
      </c>
      <c r="D2208" s="20">
        <v>69.0</v>
      </c>
      <c r="E2208" s="20" t="str">
        <f>IMAGE("https://www.serebii.net/itemdex/sprites/sitrusberry.png")</f>
        <v/>
      </c>
      <c r="F2208" s="20" t="s">
        <v>1791</v>
      </c>
      <c r="G2208" s="20" t="s">
        <v>824</v>
      </c>
      <c r="H2208" s="23" t="s">
        <v>2653</v>
      </c>
      <c r="I2208" s="20" t="s">
        <v>550</v>
      </c>
      <c r="J2208" s="20">
        <v>252.0</v>
      </c>
      <c r="K2208" s="20">
        <v>252.0</v>
      </c>
      <c r="L2208" s="20">
        <v>0.0</v>
      </c>
      <c r="M2208" s="20">
        <v>0.0</v>
      </c>
      <c r="N2208" s="20">
        <v>0.0</v>
      </c>
      <c r="O2208" s="20">
        <v>0.0</v>
      </c>
      <c r="P2208" s="20">
        <v>31.0</v>
      </c>
      <c r="Q2208" s="20">
        <v>31.0</v>
      </c>
      <c r="R2208" s="20">
        <v>31.0</v>
      </c>
      <c r="S2208" s="20">
        <v>0.0</v>
      </c>
      <c r="T2208" s="20">
        <v>31.0</v>
      </c>
      <c r="U2208" s="20">
        <v>31.0</v>
      </c>
    </row>
    <row r="2209" ht="23.25" customHeight="1">
      <c r="A2209" s="17" t="str">
        <f>IF(COUNTIF('Icon Lookup'!C:C,B2209)&gt;0,LOOKUP(B2209,'Icon Lookup'!C:C,'Icon Lookup'!B:B),"")</f>
        <v/>
      </c>
      <c r="B2209" s="18" t="s">
        <v>735</v>
      </c>
      <c r="C2209" s="17" t="s">
        <v>17</v>
      </c>
      <c r="D2209" s="17">
        <v>68.0</v>
      </c>
      <c r="E2209" s="17" t="str">
        <f>IMAGE("https://www.serebii.net/itemdex/sprites/softsand.png")</f>
        <v/>
      </c>
      <c r="F2209" s="17" t="s">
        <v>98</v>
      </c>
      <c r="G2209" s="17" t="s">
        <v>820</v>
      </c>
      <c r="H2209" s="20" t="s">
        <v>862</v>
      </c>
      <c r="I2209" s="17" t="s">
        <v>22</v>
      </c>
      <c r="J2209" s="17">
        <v>52.0</v>
      </c>
      <c r="K2209" s="17">
        <v>0.0</v>
      </c>
      <c r="L2209" s="17">
        <v>0.0</v>
      </c>
      <c r="M2209" s="17">
        <v>0.0</v>
      </c>
      <c r="N2209" s="17">
        <v>0.0</v>
      </c>
      <c r="O2209" s="17">
        <v>204.0</v>
      </c>
      <c r="P2209" s="17">
        <v>31.0</v>
      </c>
      <c r="Q2209" s="17">
        <v>31.0</v>
      </c>
      <c r="R2209" s="17">
        <v>31.0</v>
      </c>
      <c r="S2209" s="17">
        <v>0.0</v>
      </c>
      <c r="T2209" s="17">
        <v>31.0</v>
      </c>
      <c r="U2209" s="17">
        <v>31.0</v>
      </c>
    </row>
    <row r="2210" ht="23.25" customHeight="1">
      <c r="A2210" s="20" t="str">
        <f>IF(COUNTIF('Icon Lookup'!C:C,B2210)&gt;0,LOOKUP(B2210,'Icon Lookup'!C:C,'Icon Lookup'!B:B),"")</f>
        <v/>
      </c>
      <c r="B2210" s="21" t="s">
        <v>743</v>
      </c>
      <c r="C2210" s="20" t="s">
        <v>17</v>
      </c>
      <c r="D2210" s="20">
        <v>68.0</v>
      </c>
      <c r="E2210" s="20" t="str">
        <f>IMAGE("https://www.serebii.net/itemdex/sprites/chestoberry.png")</f>
        <v/>
      </c>
      <c r="F2210" s="20" t="s">
        <v>511</v>
      </c>
      <c r="G2210" s="20" t="s">
        <v>865</v>
      </c>
      <c r="H2210" s="23" t="s">
        <v>866</v>
      </c>
      <c r="I2210" s="20" t="s">
        <v>550</v>
      </c>
      <c r="J2210" s="20">
        <v>252.0</v>
      </c>
      <c r="K2210" s="20">
        <v>252.0</v>
      </c>
      <c r="L2210" s="20">
        <v>0.0</v>
      </c>
      <c r="M2210" s="20">
        <v>0.0</v>
      </c>
      <c r="N2210" s="20">
        <v>0.0</v>
      </c>
      <c r="O2210" s="20">
        <v>0.0</v>
      </c>
      <c r="P2210" s="20">
        <v>31.0</v>
      </c>
      <c r="Q2210" s="20">
        <v>31.0</v>
      </c>
      <c r="R2210" s="20">
        <v>31.0</v>
      </c>
      <c r="S2210" s="20">
        <v>0.0</v>
      </c>
      <c r="T2210" s="20">
        <v>31.0</v>
      </c>
      <c r="U2210" s="20">
        <v>31.0</v>
      </c>
    </row>
    <row r="2211" ht="23.25" customHeight="1">
      <c r="A2211" s="24" t="str">
        <f>IF(COUNTIF('Icon Lookup'!C:C,B2211)&gt;0,LOOKUP(B2211,'Icon Lookup'!C:C,'Icon Lookup'!B:B),"")</f>
        <v/>
      </c>
      <c r="B2211" s="25" t="s">
        <v>2654</v>
      </c>
      <c r="C2211" s="24" t="s">
        <v>804</v>
      </c>
      <c r="D2211" s="24">
        <v>71.0</v>
      </c>
      <c r="E2211" s="24" t="str">
        <f>IMAGE("https://www.serebii.net/itemdex/sprites/muscleband.png")</f>
        <v/>
      </c>
      <c r="F2211" s="24" t="s">
        <v>2655</v>
      </c>
      <c r="G2211" s="17" t="s">
        <v>890</v>
      </c>
      <c r="H2211" s="20" t="s">
        <v>2656</v>
      </c>
      <c r="I2211" s="24" t="s">
        <v>550</v>
      </c>
      <c r="J2211" s="24">
        <v>252.0</v>
      </c>
      <c r="K2211" s="24">
        <v>252.0</v>
      </c>
      <c r="L2211" s="24">
        <v>0.0</v>
      </c>
      <c r="M2211" s="24">
        <v>0.0</v>
      </c>
      <c r="N2211" s="24">
        <v>0.0</v>
      </c>
      <c r="O2211" s="24">
        <v>0.0</v>
      </c>
      <c r="P2211" s="24">
        <v>31.0</v>
      </c>
      <c r="Q2211" s="24">
        <v>31.0</v>
      </c>
      <c r="R2211" s="24">
        <v>31.0</v>
      </c>
      <c r="S2211" s="24">
        <v>0.0</v>
      </c>
      <c r="T2211" s="24">
        <v>31.0</v>
      </c>
      <c r="U2211" s="24">
        <v>31.0</v>
      </c>
    </row>
    <row r="2212" ht="23.25" customHeight="1">
      <c r="A2212" s="1" t="str">
        <f>IF(COUNTIF('Icon Lookup'!C:C,B2212)&gt;0,LOOKUP(B2212,'Icon Lookup'!C:C,'Icon Lookup'!B:B),"")</f>
        <v/>
      </c>
      <c r="B2212" s="15" t="s">
        <v>2657</v>
      </c>
      <c r="C2212" s="1" t="s">
        <v>17</v>
      </c>
      <c r="D2212" s="1" t="s">
        <v>868</v>
      </c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</row>
    <row r="2213" ht="23.25" customHeight="1">
      <c r="A2213" s="20" t="str">
        <f>IF(COUNTIF('Icon Lookup'!C:C,B2213)&gt;0,LOOKUP(B2213,'Icon Lookup'!C:C,'Icon Lookup'!B:B),"")</f>
        <v/>
      </c>
      <c r="B2213" s="21" t="s">
        <v>2658</v>
      </c>
      <c r="C2213" s="20" t="s">
        <v>17</v>
      </c>
      <c r="D2213" s="20">
        <v>68.0</v>
      </c>
      <c r="E2213" s="20" t="str">
        <f>IMAGE("https://www.serebii.net/itemdex/sprites/wiseglasses.png")</f>
        <v/>
      </c>
      <c r="F2213" s="20" t="s">
        <v>849</v>
      </c>
      <c r="G2213" s="20" t="s">
        <v>846</v>
      </c>
      <c r="H2213" s="23" t="s">
        <v>2659</v>
      </c>
      <c r="I2213" s="20" t="s">
        <v>612</v>
      </c>
      <c r="J2213" s="20">
        <v>52.0</v>
      </c>
      <c r="K2213" s="20">
        <v>0.0</v>
      </c>
      <c r="L2213" s="20">
        <v>0.0</v>
      </c>
      <c r="M2213" s="20">
        <v>252.0</v>
      </c>
      <c r="N2213" s="20">
        <v>0.0</v>
      </c>
      <c r="O2213" s="20">
        <v>204.0</v>
      </c>
      <c r="P2213" s="20">
        <v>31.0</v>
      </c>
      <c r="Q2213" s="20">
        <v>0.0</v>
      </c>
      <c r="R2213" s="20">
        <v>31.0</v>
      </c>
      <c r="S2213" s="20">
        <v>31.0</v>
      </c>
      <c r="T2213" s="20">
        <v>31.0</v>
      </c>
      <c r="U2213" s="20">
        <v>31.0</v>
      </c>
    </row>
    <row r="2214" ht="23.25" customHeight="1">
      <c r="A2214" s="17" t="str">
        <f>IF(COUNTIF('Icon Lookup'!C:C,B2214)&gt;0,LOOKUP(B2214,'Icon Lookup'!C:C,'Icon Lookup'!B:B),"")</f>
        <v/>
      </c>
      <c r="B2214" s="18" t="s">
        <v>2565</v>
      </c>
      <c r="C2214" s="17" t="s">
        <v>17</v>
      </c>
      <c r="D2214" s="17">
        <v>71.0</v>
      </c>
      <c r="E2214" s="17" t="str">
        <f>IMAGE("https://www.serebii.net/itemdex/sprites/sitrusberry.png")</f>
        <v/>
      </c>
      <c r="F2214" s="17" t="s">
        <v>79</v>
      </c>
      <c r="G2214" s="17" t="s">
        <v>824</v>
      </c>
      <c r="H2214" s="20" t="s">
        <v>2660</v>
      </c>
      <c r="I2214" s="17" t="s">
        <v>550</v>
      </c>
      <c r="J2214" s="17">
        <v>252.0</v>
      </c>
      <c r="K2214" s="17">
        <v>252.0</v>
      </c>
      <c r="L2214" s="17">
        <v>0.0</v>
      </c>
      <c r="M2214" s="17">
        <v>0.0</v>
      </c>
      <c r="N2214" s="17">
        <v>0.0</v>
      </c>
      <c r="O2214" s="17">
        <v>0.0</v>
      </c>
      <c r="P2214" s="17">
        <v>31.0</v>
      </c>
      <c r="Q2214" s="17">
        <v>31.0</v>
      </c>
      <c r="R2214" s="17">
        <v>31.0</v>
      </c>
      <c r="S2214" s="17">
        <v>0.0</v>
      </c>
      <c r="T2214" s="17">
        <v>31.0</v>
      </c>
      <c r="U2214" s="17">
        <v>31.0</v>
      </c>
    </row>
    <row r="2215" ht="23.25" customHeight="1">
      <c r="A2215" s="20" t="str">
        <f>IF(COUNTIF('Icon Lookup'!C:C,B2215)&gt;0,LOOKUP(B2215,'Icon Lookup'!C:C,'Icon Lookup'!B:B),"")</f>
        <v/>
      </c>
      <c r="B2215" s="21" t="s">
        <v>710</v>
      </c>
      <c r="C2215" s="20" t="s">
        <v>17</v>
      </c>
      <c r="D2215" s="20">
        <v>69.0</v>
      </c>
      <c r="E2215" s="20" t="str">
        <f>IMAGE("https://www.serebii.net/itemdex/sprites/widelens.png")</f>
        <v/>
      </c>
      <c r="F2215" s="20" t="s">
        <v>869</v>
      </c>
      <c r="G2215" s="20" t="s">
        <v>870</v>
      </c>
      <c r="H2215" s="23" t="s">
        <v>2661</v>
      </c>
      <c r="I2215" s="20" t="s">
        <v>22</v>
      </c>
      <c r="J2215" s="20">
        <v>52.0</v>
      </c>
      <c r="K2215" s="20">
        <v>252.0</v>
      </c>
      <c r="L2215" s="20">
        <v>0.0</v>
      </c>
      <c r="M2215" s="20">
        <v>0.0</v>
      </c>
      <c r="N2215" s="20">
        <v>0.0</v>
      </c>
      <c r="O2215" s="20">
        <v>204.0</v>
      </c>
      <c r="P2215" s="20">
        <v>31.0</v>
      </c>
      <c r="Q2215" s="20">
        <v>31.0</v>
      </c>
      <c r="R2215" s="20">
        <v>31.0</v>
      </c>
      <c r="S2215" s="20">
        <v>0.0</v>
      </c>
      <c r="T2215" s="20">
        <v>31.0</v>
      </c>
      <c r="U2215" s="20">
        <v>31.0</v>
      </c>
    </row>
    <row r="2216" ht="23.25" customHeight="1">
      <c r="A2216" s="17" t="str">
        <f>IF(COUNTIF('Icon Lookup'!C:C,B2216)&gt;0,LOOKUP(B2216,'Icon Lookup'!C:C,'Icon Lookup'!B:B),"")</f>
        <v/>
      </c>
      <c r="B2216" s="18" t="s">
        <v>879</v>
      </c>
      <c r="C2216" s="17" t="s">
        <v>17</v>
      </c>
      <c r="D2216" s="17">
        <v>71.0</v>
      </c>
      <c r="E2216" s="17" t="str">
        <f>IMAGE("https://www.serebii.net/itemdex/sprites/focussash.png")</f>
        <v/>
      </c>
      <c r="F2216" s="17" t="s">
        <v>880</v>
      </c>
      <c r="G2216" s="17" t="s">
        <v>881</v>
      </c>
      <c r="H2216" s="20" t="s">
        <v>882</v>
      </c>
      <c r="I2216" s="17" t="s">
        <v>22</v>
      </c>
      <c r="J2216" s="17">
        <v>52.0</v>
      </c>
      <c r="K2216" s="17">
        <v>0.0</v>
      </c>
      <c r="L2216" s="17">
        <v>0.0</v>
      </c>
      <c r="M2216" s="17">
        <v>0.0</v>
      </c>
      <c r="N2216" s="17">
        <v>0.0</v>
      </c>
      <c r="O2216" s="17">
        <v>204.0</v>
      </c>
      <c r="P2216" s="17">
        <v>31.0</v>
      </c>
      <c r="Q2216" s="17">
        <v>31.0</v>
      </c>
      <c r="R2216" s="17">
        <v>31.0</v>
      </c>
      <c r="S2216" s="17">
        <v>0.0</v>
      </c>
      <c r="T2216" s="17">
        <v>31.0</v>
      </c>
      <c r="U2216" s="17">
        <v>31.0</v>
      </c>
    </row>
    <row r="2217" ht="23.25" customHeight="1">
      <c r="A2217" s="24" t="str">
        <f>IF(COUNTIF('Icon Lookup'!C:C,B2217)&gt;0,LOOKUP(B2217,'Icon Lookup'!C:C,'Icon Lookup'!B:B),"")</f>
        <v/>
      </c>
      <c r="B2217" s="25" t="s">
        <v>2552</v>
      </c>
      <c r="C2217" s="24" t="s">
        <v>804</v>
      </c>
      <c r="D2217" s="24">
        <v>73.0</v>
      </c>
      <c r="E2217" s="24" t="str">
        <f>IMAGE("https://www.serebii.net/itemdex/sprites/lumberry.png")</f>
        <v/>
      </c>
      <c r="F2217" s="24" t="s">
        <v>869</v>
      </c>
      <c r="G2217" s="20" t="s">
        <v>2533</v>
      </c>
      <c r="H2217" s="23" t="s">
        <v>2662</v>
      </c>
      <c r="I2217" s="24" t="s">
        <v>612</v>
      </c>
      <c r="J2217" s="24">
        <v>52.0</v>
      </c>
      <c r="K2217" s="24">
        <v>0.0</v>
      </c>
      <c r="L2217" s="24">
        <v>0.0</v>
      </c>
      <c r="M2217" s="24">
        <v>252.0</v>
      </c>
      <c r="N2217" s="24">
        <v>0.0</v>
      </c>
      <c r="O2217" s="24">
        <v>204.0</v>
      </c>
      <c r="P2217" s="24">
        <v>31.0</v>
      </c>
      <c r="Q2217" s="24">
        <v>0.0</v>
      </c>
      <c r="R2217" s="24">
        <v>31.0</v>
      </c>
      <c r="S2217" s="24">
        <v>31.0</v>
      </c>
      <c r="T2217" s="24">
        <v>31.0</v>
      </c>
      <c r="U2217" s="24">
        <v>31.0</v>
      </c>
    </row>
    <row r="2218" ht="23.25" customHeight="1">
      <c r="A2218" s="1" t="str">
        <f>IF(COUNTIF('Icon Lookup'!C:C,B2218)&gt;0,LOOKUP(B2218,'Icon Lookup'!C:C,'Icon Lookup'!B:B),"")</f>
        <v/>
      </c>
      <c r="B2218" s="15" t="s">
        <v>2663</v>
      </c>
      <c r="C2218" s="1" t="s">
        <v>17</v>
      </c>
      <c r="D2218" s="1" t="s">
        <v>884</v>
      </c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</row>
    <row r="2219" ht="23.25" customHeight="1">
      <c r="A2219" s="17" t="str">
        <f>IF(COUNTIF('Icon Lookup'!C:C,B2219)&gt;0,LOOKUP(B2219,'Icon Lookup'!C:C,'Icon Lookup'!B:B),"")</f>
        <v/>
      </c>
      <c r="B2219" s="18" t="s">
        <v>476</v>
      </c>
      <c r="C2219" s="17" t="s">
        <v>17</v>
      </c>
      <c r="D2219" s="17">
        <v>69.0</v>
      </c>
      <c r="E2219" s="17" t="str">
        <f>IMAGE("https://www.serebii.net/itemdex/sprites/lightclay.png")</f>
        <v/>
      </c>
      <c r="F2219" s="17" t="s">
        <v>203</v>
      </c>
      <c r="G2219" s="17" t="s">
        <v>885</v>
      </c>
      <c r="H2219" s="20" t="s">
        <v>886</v>
      </c>
      <c r="I2219" s="17" t="s">
        <v>205</v>
      </c>
      <c r="J2219" s="17">
        <v>252.0</v>
      </c>
      <c r="K2219" s="17">
        <v>0.0</v>
      </c>
      <c r="L2219" s="17">
        <v>0.0</v>
      </c>
      <c r="M2219" s="17">
        <v>52.0</v>
      </c>
      <c r="N2219" s="17">
        <v>0.0</v>
      </c>
      <c r="O2219" s="17">
        <v>204.0</v>
      </c>
      <c r="P2219" s="17">
        <v>31.0</v>
      </c>
      <c r="Q2219" s="17">
        <v>0.0</v>
      </c>
      <c r="R2219" s="17">
        <v>31.0</v>
      </c>
      <c r="S2219" s="17">
        <v>31.0</v>
      </c>
      <c r="T2219" s="17">
        <v>31.0</v>
      </c>
      <c r="U2219" s="17">
        <v>31.0</v>
      </c>
    </row>
    <row r="2220" ht="23.25" customHeight="1">
      <c r="A2220" s="20" t="str">
        <f>IF(COUNTIF('Icon Lookup'!C:C,B2220)&gt;0,LOOKUP(B2220,'Icon Lookup'!C:C,'Icon Lookup'!B:B),"")</f>
        <v/>
      </c>
      <c r="B2220" s="21" t="s">
        <v>2580</v>
      </c>
      <c r="C2220" s="20" t="s">
        <v>17</v>
      </c>
      <c r="D2220" s="20">
        <v>71.0</v>
      </c>
      <c r="E2220" s="20" t="str">
        <f>IMAGE("https://www.serebii.net/itemdex/sprites/mentalherb.png")</f>
        <v/>
      </c>
      <c r="F2220" s="20" t="s">
        <v>2581</v>
      </c>
      <c r="G2220" s="20" t="s">
        <v>888</v>
      </c>
      <c r="H2220" s="23" t="s">
        <v>2664</v>
      </c>
      <c r="I2220" s="20" t="s">
        <v>52</v>
      </c>
      <c r="J2220" s="20">
        <v>52.0</v>
      </c>
      <c r="K2220" s="20">
        <v>0.0</v>
      </c>
      <c r="L2220" s="20">
        <v>0.0</v>
      </c>
      <c r="M2220" s="20">
        <v>252.0</v>
      </c>
      <c r="N2220" s="20">
        <v>0.0</v>
      </c>
      <c r="O2220" s="20">
        <v>204.0</v>
      </c>
      <c r="P2220" s="20">
        <v>31.0</v>
      </c>
      <c r="Q2220" s="20">
        <v>0.0</v>
      </c>
      <c r="R2220" s="20">
        <v>31.0</v>
      </c>
      <c r="S2220" s="20">
        <v>31.0</v>
      </c>
      <c r="T2220" s="20">
        <v>31.0</v>
      </c>
      <c r="U2220" s="20">
        <v>31.0</v>
      </c>
    </row>
    <row r="2221" ht="23.25" customHeight="1">
      <c r="A2221" s="17" t="str">
        <f>IF(COUNTIF('Icon Lookup'!C:C,B2221)&gt;0,LOOKUP(B2221,'Icon Lookup'!C:C,'Icon Lookup'!B:B),"")</f>
        <v/>
      </c>
      <c r="B2221" s="18" t="s">
        <v>893</v>
      </c>
      <c r="C2221" s="17" t="s">
        <v>17</v>
      </c>
      <c r="D2221" s="17">
        <v>70.0</v>
      </c>
      <c r="E2221" s="17" t="str">
        <f>IMAGE("https://www.serebii.net/itemdex/sprites/muscleband.png")</f>
        <v/>
      </c>
      <c r="F2221" s="17" t="s">
        <v>161</v>
      </c>
      <c r="G2221" s="17" t="s">
        <v>890</v>
      </c>
      <c r="H2221" s="20" t="s">
        <v>2665</v>
      </c>
      <c r="I2221" s="17" t="s">
        <v>822</v>
      </c>
      <c r="J2221" s="17">
        <v>252.0</v>
      </c>
      <c r="K2221" s="17">
        <v>252.0</v>
      </c>
      <c r="L2221" s="17">
        <v>0.0</v>
      </c>
      <c r="M2221" s="17">
        <v>0.0</v>
      </c>
      <c r="N2221" s="17">
        <v>0.0</v>
      </c>
      <c r="O2221" s="17">
        <v>0.0</v>
      </c>
      <c r="P2221" s="17">
        <v>31.0</v>
      </c>
      <c r="Q2221" s="17">
        <v>31.0</v>
      </c>
      <c r="R2221" s="17">
        <v>31.0</v>
      </c>
      <c r="S2221" s="17">
        <v>0.0</v>
      </c>
      <c r="T2221" s="17">
        <v>31.0</v>
      </c>
      <c r="U2221" s="17">
        <v>0.0</v>
      </c>
    </row>
    <row r="2222" ht="23.25" customHeight="1">
      <c r="A2222" s="20" t="str">
        <f>IF(COUNTIF('Icon Lookup'!C:C,B2222)&gt;0,LOOKUP(B2222,'Icon Lookup'!C:C,'Icon Lookup'!B:B),"")</f>
        <v/>
      </c>
      <c r="B2222" s="21" t="s">
        <v>765</v>
      </c>
      <c r="C2222" s="20" t="s">
        <v>17</v>
      </c>
      <c r="D2222" s="20">
        <v>72.0</v>
      </c>
      <c r="E2222" s="20" t="str">
        <f>IMAGE("https://www.serebii.net/itemdex/sprites/lifeorb.png")</f>
        <v/>
      </c>
      <c r="F2222" s="20" t="s">
        <v>253</v>
      </c>
      <c r="G2222" s="20" t="s">
        <v>873</v>
      </c>
      <c r="H2222" s="23" t="s">
        <v>2666</v>
      </c>
      <c r="I2222" s="20" t="s">
        <v>52</v>
      </c>
      <c r="J2222" s="20">
        <v>52.0</v>
      </c>
      <c r="K2222" s="20">
        <v>0.0</v>
      </c>
      <c r="L2222" s="20">
        <v>0.0</v>
      </c>
      <c r="M2222" s="20">
        <v>252.0</v>
      </c>
      <c r="N2222" s="20">
        <v>0.0</v>
      </c>
      <c r="O2222" s="20">
        <v>204.0</v>
      </c>
      <c r="P2222" s="20">
        <v>31.0</v>
      </c>
      <c r="Q2222" s="20">
        <v>0.0</v>
      </c>
      <c r="R2222" s="20">
        <v>31.0</v>
      </c>
      <c r="S2222" s="20">
        <v>31.0</v>
      </c>
      <c r="T2222" s="20">
        <v>31.0</v>
      </c>
      <c r="U2222" s="20">
        <v>31.0</v>
      </c>
    </row>
    <row r="2223" ht="23.25" customHeight="1">
      <c r="A2223" s="24" t="str">
        <f>IF(COUNTIF('Icon Lookup'!C:C,B2223)&gt;0,LOOKUP(B2223,'Icon Lookup'!C:C,'Icon Lookup'!B:B),"")</f>
        <v/>
      </c>
      <c r="B2223" s="25" t="s">
        <v>2550</v>
      </c>
      <c r="C2223" s="24" t="s">
        <v>804</v>
      </c>
      <c r="D2223" s="24">
        <v>75.0</v>
      </c>
      <c r="E2223" s="24" t="str">
        <f>IMAGE("https://www.serebii.net/itemdex/sprites/sitrusberry.png")</f>
        <v/>
      </c>
      <c r="F2223" s="24" t="s">
        <v>2501</v>
      </c>
      <c r="G2223" s="17" t="s">
        <v>824</v>
      </c>
      <c r="H2223" s="20" t="s">
        <v>2667</v>
      </c>
      <c r="I2223" s="24" t="s">
        <v>22</v>
      </c>
      <c r="J2223" s="24">
        <v>52.0</v>
      </c>
      <c r="K2223" s="24">
        <v>252.0</v>
      </c>
      <c r="L2223" s="24">
        <v>0.0</v>
      </c>
      <c r="M2223" s="24">
        <v>0.0</v>
      </c>
      <c r="N2223" s="24">
        <v>0.0</v>
      </c>
      <c r="O2223" s="24">
        <v>204.0</v>
      </c>
      <c r="P2223" s="24">
        <v>31.0</v>
      </c>
      <c r="Q2223" s="24">
        <v>31.0</v>
      </c>
      <c r="R2223" s="24">
        <v>31.0</v>
      </c>
      <c r="S2223" s="24">
        <v>0.0</v>
      </c>
      <c r="T2223" s="24">
        <v>31.0</v>
      </c>
      <c r="U2223" s="24">
        <v>31.0</v>
      </c>
    </row>
    <row r="2224" ht="23.25" customHeight="1">
      <c r="A2224" s="1" t="str">
        <f>IF(COUNTIF('Icon Lookup'!C:C,B2224)&gt;0,LOOKUP(B2224,'Icon Lookup'!C:C,'Icon Lookup'!B:B),"")</f>
        <v/>
      </c>
      <c r="B2224" s="15" t="s">
        <v>2668</v>
      </c>
      <c r="C2224" s="1" t="s">
        <v>17</v>
      </c>
      <c r="D2224" s="1" t="s">
        <v>901</v>
      </c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</row>
    <row r="2225" ht="23.25" customHeight="1">
      <c r="A2225" s="20" t="str">
        <f>IF(COUNTIF('Icon Lookup'!C:C,B2225)&gt;0,LOOKUP(B2225,'Icon Lookup'!C:C,'Icon Lookup'!B:B),"")</f>
        <v/>
      </c>
      <c r="B2225" s="21" t="s">
        <v>902</v>
      </c>
      <c r="C2225" s="20" t="s">
        <v>17</v>
      </c>
      <c r="D2225" s="20">
        <v>74.0</v>
      </c>
      <c r="E2225" s="20" t="str">
        <f>IMAGE("https://www.serebii.net/itemdex/sprites/sitrusberry.png")</f>
        <v/>
      </c>
      <c r="F2225" s="20" t="s">
        <v>903</v>
      </c>
      <c r="G2225" s="20" t="s">
        <v>824</v>
      </c>
      <c r="H2225" s="23" t="s">
        <v>2669</v>
      </c>
      <c r="I2225" s="20" t="s">
        <v>905</v>
      </c>
      <c r="J2225" s="20">
        <v>252.0</v>
      </c>
      <c r="K2225" s="20">
        <v>6.0</v>
      </c>
      <c r="L2225" s="20">
        <v>0.0</v>
      </c>
      <c r="M2225" s="20">
        <v>252.0</v>
      </c>
      <c r="N2225" s="20">
        <v>0.0</v>
      </c>
      <c r="O2225" s="20">
        <v>0.0</v>
      </c>
      <c r="P2225" s="20">
        <v>31.0</v>
      </c>
      <c r="Q2225" s="20">
        <v>31.0</v>
      </c>
      <c r="R2225" s="20">
        <v>31.0</v>
      </c>
      <c r="S2225" s="20">
        <v>31.0</v>
      </c>
      <c r="T2225" s="20">
        <v>31.0</v>
      </c>
      <c r="U2225" s="20">
        <v>31.0</v>
      </c>
    </row>
    <row r="2226" ht="23.25" customHeight="1">
      <c r="A2226" s="17" t="str">
        <f>IF(COUNTIF('Icon Lookup'!C:C,B2226)&gt;0,LOOKUP(B2226,'Icon Lookup'!C:C,'Icon Lookup'!B:B),"")</f>
        <v/>
      </c>
      <c r="B2226" s="18" t="s">
        <v>906</v>
      </c>
      <c r="C2226" s="17" t="s">
        <v>17</v>
      </c>
      <c r="D2226" s="17">
        <v>74.0</v>
      </c>
      <c r="E2226" s="17" t="str">
        <f>IMAGE("https://www.serebii.net/itemdex/sprites/expertbelt.png")</f>
        <v/>
      </c>
      <c r="F2226" s="17" t="s">
        <v>50</v>
      </c>
      <c r="G2226" s="17" t="s">
        <v>907</v>
      </c>
      <c r="H2226" s="20" t="s">
        <v>908</v>
      </c>
      <c r="I2226" s="17" t="s">
        <v>52</v>
      </c>
      <c r="J2226" s="17">
        <v>52.0</v>
      </c>
      <c r="K2226" s="17">
        <v>0.0</v>
      </c>
      <c r="L2226" s="17">
        <v>0.0</v>
      </c>
      <c r="M2226" s="17">
        <v>252.0</v>
      </c>
      <c r="N2226" s="17">
        <v>0.0</v>
      </c>
      <c r="O2226" s="17">
        <v>204.0</v>
      </c>
      <c r="P2226" s="17">
        <v>31.0</v>
      </c>
      <c r="Q2226" s="17">
        <v>0.0</v>
      </c>
      <c r="R2226" s="17">
        <v>31.0</v>
      </c>
      <c r="S2226" s="17">
        <v>31.0</v>
      </c>
      <c r="T2226" s="17">
        <v>31.0</v>
      </c>
      <c r="U2226" s="17">
        <v>31.0</v>
      </c>
    </row>
    <row r="2227" ht="23.25" customHeight="1">
      <c r="A2227" s="20" t="str">
        <f>IF(COUNTIF('Icon Lookup'!C:C,B2227)&gt;0,LOOKUP(B2227,'Icon Lookup'!C:C,'Icon Lookup'!B:B),"")</f>
        <v/>
      </c>
      <c r="B2227" s="21" t="s">
        <v>2632</v>
      </c>
      <c r="C2227" s="20" t="s">
        <v>17</v>
      </c>
      <c r="D2227" s="20">
        <v>76.0</v>
      </c>
      <c r="E2227" s="20" t="str">
        <f>IMAGE("https://www.serebii.net/itemdex/sprites/leftovers.png")</f>
        <v/>
      </c>
      <c r="F2227" s="20" t="s">
        <v>240</v>
      </c>
      <c r="G2227" s="20" t="s">
        <v>859</v>
      </c>
      <c r="H2227" s="23" t="s">
        <v>2670</v>
      </c>
      <c r="I2227" s="20" t="s">
        <v>52</v>
      </c>
      <c r="J2227" s="20">
        <v>52.0</v>
      </c>
      <c r="K2227" s="20">
        <v>0.0</v>
      </c>
      <c r="L2227" s="20">
        <v>0.0</v>
      </c>
      <c r="M2227" s="20">
        <v>252.0</v>
      </c>
      <c r="N2227" s="20">
        <v>0.0</v>
      </c>
      <c r="O2227" s="20">
        <v>204.0</v>
      </c>
      <c r="P2227" s="20">
        <v>31.0</v>
      </c>
      <c r="Q2227" s="20">
        <v>0.0</v>
      </c>
      <c r="R2227" s="20">
        <v>31.0</v>
      </c>
      <c r="S2227" s="20">
        <v>31.0</v>
      </c>
      <c r="T2227" s="20">
        <v>31.0</v>
      </c>
      <c r="U2227" s="20">
        <v>31.0</v>
      </c>
    </row>
    <row r="2228" ht="23.25" customHeight="1">
      <c r="A2228" s="17" t="str">
        <f>IF(COUNTIF('Icon Lookup'!C:C,B2228)&gt;0,LOOKUP(B2228,'Icon Lookup'!C:C,'Icon Lookup'!B:B),"")</f>
        <v/>
      </c>
      <c r="B2228" s="18" t="s">
        <v>910</v>
      </c>
      <c r="C2228" s="17" t="s">
        <v>17</v>
      </c>
      <c r="D2228" s="17">
        <v>76.0</v>
      </c>
      <c r="E2228" s="17" t="str">
        <f>IMAGE("https://www.serebii.net/itemdex/sprites/wiseglasses.png")</f>
        <v/>
      </c>
      <c r="F2228" s="17" t="s">
        <v>38</v>
      </c>
      <c r="G2228" s="17" t="s">
        <v>846</v>
      </c>
      <c r="H2228" s="20" t="s">
        <v>2671</v>
      </c>
      <c r="I2228" s="17" t="s">
        <v>52</v>
      </c>
      <c r="J2228" s="17">
        <v>52.0</v>
      </c>
      <c r="K2228" s="17">
        <v>0.0</v>
      </c>
      <c r="L2228" s="17">
        <v>0.0</v>
      </c>
      <c r="M2228" s="17">
        <v>252.0</v>
      </c>
      <c r="N2228" s="17">
        <v>0.0</v>
      </c>
      <c r="O2228" s="17">
        <v>204.0</v>
      </c>
      <c r="P2228" s="17">
        <v>31.0</v>
      </c>
      <c r="Q2228" s="17">
        <v>0.0</v>
      </c>
      <c r="R2228" s="17">
        <v>31.0</v>
      </c>
      <c r="S2228" s="17">
        <v>31.0</v>
      </c>
      <c r="T2228" s="17">
        <v>31.0</v>
      </c>
      <c r="U2228" s="17">
        <v>31.0</v>
      </c>
    </row>
    <row r="2229" ht="23.25" customHeight="1">
      <c r="A2229" s="20" t="str">
        <f>IF(COUNTIF('Icon Lookup'!C:C,B2229)&gt;0,LOOKUP(B2229,'Icon Lookup'!C:C,'Icon Lookup'!B:B),"")</f>
        <v/>
      </c>
      <c r="B2229" s="21" t="s">
        <v>912</v>
      </c>
      <c r="C2229" s="20" t="s">
        <v>17</v>
      </c>
      <c r="D2229" s="20">
        <v>74.0</v>
      </c>
      <c r="E2229" s="20" t="str">
        <f>IMAGE("https://www.serebii.net/itemdex/sprites/flameorb.png")</f>
        <v/>
      </c>
      <c r="F2229" s="20" t="s">
        <v>913</v>
      </c>
      <c r="G2229" s="20" t="s">
        <v>852</v>
      </c>
      <c r="H2229" s="23" t="s">
        <v>914</v>
      </c>
      <c r="I2229" s="20" t="s">
        <v>205</v>
      </c>
      <c r="J2229" s="20">
        <v>252.0</v>
      </c>
      <c r="K2229" s="20">
        <v>0.0</v>
      </c>
      <c r="L2229" s="20">
        <v>252.0</v>
      </c>
      <c r="M2229" s="20">
        <v>6.0</v>
      </c>
      <c r="N2229" s="20">
        <v>0.0</v>
      </c>
      <c r="O2229" s="20">
        <v>0.0</v>
      </c>
      <c r="P2229" s="20">
        <v>31.0</v>
      </c>
      <c r="Q2229" s="20">
        <v>0.0</v>
      </c>
      <c r="R2229" s="20">
        <v>31.0</v>
      </c>
      <c r="S2229" s="20">
        <v>31.0</v>
      </c>
      <c r="T2229" s="20">
        <v>31.0</v>
      </c>
      <c r="U2229" s="20">
        <v>31.0</v>
      </c>
    </row>
    <row r="2230" ht="23.25" customHeight="1">
      <c r="A2230" s="24" t="str">
        <f>IF(COUNTIF('Icon Lookup'!C:C,B2230)&gt;0,LOOKUP(B2230,'Icon Lookup'!C:C,'Icon Lookup'!B:B),"")</f>
        <v/>
      </c>
      <c r="B2230" s="25" t="s">
        <v>915</v>
      </c>
      <c r="C2230" s="24" t="s">
        <v>804</v>
      </c>
      <c r="D2230" s="24">
        <v>78.0</v>
      </c>
      <c r="E2230" s="24" t="str">
        <f>IMAGE("https://www.serebii.net/itemdex/sprites/yacheberry.png")</f>
        <v/>
      </c>
      <c r="F2230" s="24" t="s">
        <v>916</v>
      </c>
      <c r="G2230" s="17" t="s">
        <v>917</v>
      </c>
      <c r="H2230" s="20" t="s">
        <v>918</v>
      </c>
      <c r="I2230" s="24" t="s">
        <v>22</v>
      </c>
      <c r="J2230" s="24">
        <v>52.0</v>
      </c>
      <c r="K2230" s="24">
        <v>252.0</v>
      </c>
      <c r="L2230" s="24">
        <v>0.0</v>
      </c>
      <c r="M2230" s="24">
        <v>0.0</v>
      </c>
      <c r="N2230" s="24">
        <v>0.0</v>
      </c>
      <c r="O2230" s="24">
        <v>204.0</v>
      </c>
      <c r="P2230" s="24">
        <v>31.0</v>
      </c>
      <c r="Q2230" s="24">
        <v>31.0</v>
      </c>
      <c r="R2230" s="24">
        <v>31.0</v>
      </c>
      <c r="S2230" s="24">
        <v>0.0</v>
      </c>
      <c r="T2230" s="24">
        <v>31.0</v>
      </c>
      <c r="U2230" s="24">
        <v>31.0</v>
      </c>
    </row>
    <row r="2231" ht="23.25" customHeight="1">
      <c r="A2231" s="1" t="str">
        <f>IF(COUNTIF('Icon Lookup'!C:C,B2231)&gt;0,LOOKUP(B2231,'Icon Lookup'!C:C,'Icon Lookup'!B:B),"")</f>
        <v/>
      </c>
      <c r="B2231" s="15" t="s">
        <v>2672</v>
      </c>
      <c r="C2231" s="1" t="s">
        <v>17</v>
      </c>
      <c r="D2231" s="1" t="s">
        <v>843</v>
      </c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</row>
    <row r="2232" ht="23.25" customHeight="1">
      <c r="A2232" s="20" t="str">
        <f>IF(COUNTIF('Icon Lookup'!C:C,B2232)&gt;0,LOOKUP(B2232,'Icon Lookup'!C:C,'Icon Lookup'!B:B),"")</f>
        <v/>
      </c>
      <c r="B2232" s="21" t="s">
        <v>2643</v>
      </c>
      <c r="C2232" s="20" t="s">
        <v>17</v>
      </c>
      <c r="D2232" s="20">
        <v>75.0</v>
      </c>
      <c r="E2232" s="20" t="str">
        <f>IMAGE("https://www.serebii.net/itemdex/sprites/wiseglasses.png")</f>
        <v/>
      </c>
      <c r="F2232" s="20" t="s">
        <v>2644</v>
      </c>
      <c r="G2232" s="20" t="s">
        <v>846</v>
      </c>
      <c r="H2232" s="23" t="s">
        <v>2645</v>
      </c>
      <c r="I2232" s="20" t="s">
        <v>52</v>
      </c>
      <c r="J2232" s="20">
        <v>0.0</v>
      </c>
      <c r="K2232" s="20">
        <v>0.0</v>
      </c>
      <c r="L2232" s="20">
        <v>0.0</v>
      </c>
      <c r="M2232" s="20">
        <v>252.0</v>
      </c>
      <c r="N2232" s="20">
        <v>0.0</v>
      </c>
      <c r="O2232" s="20">
        <v>252.0</v>
      </c>
      <c r="P2232" s="20">
        <v>31.0</v>
      </c>
      <c r="Q2232" s="20">
        <v>0.0</v>
      </c>
      <c r="R2232" s="20">
        <v>31.0</v>
      </c>
      <c r="S2232" s="20">
        <v>31.0</v>
      </c>
      <c r="T2232" s="20">
        <v>31.0</v>
      </c>
      <c r="U2232" s="20">
        <v>31.0</v>
      </c>
    </row>
    <row r="2233" ht="23.25" customHeight="1">
      <c r="A2233" s="17" t="str">
        <f>IF(COUNTIF('Icon Lookup'!C:C,B2233)&gt;0,LOOKUP(B2233,'Icon Lookup'!C:C,'Icon Lookup'!B:B),"")</f>
        <v/>
      </c>
      <c r="B2233" s="18" t="s">
        <v>2646</v>
      </c>
      <c r="C2233" s="17" t="s">
        <v>17</v>
      </c>
      <c r="D2233" s="17">
        <v>75.0</v>
      </c>
      <c r="E2233" s="17" t="str">
        <f>IMAGE("https://www.serebii.net/itemdex/sprites/occaberry.png")</f>
        <v/>
      </c>
      <c r="F2233" s="17" t="s">
        <v>1109</v>
      </c>
      <c r="G2233" s="17" t="s">
        <v>2647</v>
      </c>
      <c r="H2233" s="20" t="s">
        <v>2648</v>
      </c>
      <c r="I2233" s="17" t="s">
        <v>550</v>
      </c>
      <c r="J2233" s="17">
        <v>252.0</v>
      </c>
      <c r="K2233" s="17">
        <v>252.0</v>
      </c>
      <c r="L2233" s="17">
        <v>0.0</v>
      </c>
      <c r="M2233" s="17">
        <v>0.0</v>
      </c>
      <c r="N2233" s="17">
        <v>0.0</v>
      </c>
      <c r="O2233" s="17">
        <v>0.0</v>
      </c>
      <c r="P2233" s="17">
        <v>31.0</v>
      </c>
      <c r="Q2233" s="17">
        <v>31.0</v>
      </c>
      <c r="R2233" s="17">
        <v>31.0</v>
      </c>
      <c r="S2233" s="17">
        <v>0.0</v>
      </c>
      <c r="T2233" s="17">
        <v>31.0</v>
      </c>
      <c r="U2233" s="17">
        <v>31.0</v>
      </c>
    </row>
    <row r="2234" ht="23.25" customHeight="1">
      <c r="A2234" s="20" t="str">
        <f>IF(COUNTIF('Icon Lookup'!C:C,B2234)&gt;0,LOOKUP(B2234,'Icon Lookup'!C:C,'Icon Lookup'!B:B),"")</f>
        <v/>
      </c>
      <c r="B2234" s="21" t="s">
        <v>848</v>
      </c>
      <c r="C2234" s="20" t="s">
        <v>17</v>
      </c>
      <c r="D2234" s="20">
        <v>77.0</v>
      </c>
      <c r="E2234" s="20" t="str">
        <f>IMAGE("https://www.serebii.net/itemdex/sprites/sitrusberry.png")</f>
        <v/>
      </c>
      <c r="F2234" s="20" t="s">
        <v>849</v>
      </c>
      <c r="G2234" s="20" t="s">
        <v>824</v>
      </c>
      <c r="H2234" s="23" t="s">
        <v>2649</v>
      </c>
      <c r="I2234" s="20" t="s">
        <v>550</v>
      </c>
      <c r="J2234" s="20">
        <v>252.0</v>
      </c>
      <c r="K2234" s="20">
        <v>252.0</v>
      </c>
      <c r="L2234" s="20">
        <v>0.0</v>
      </c>
      <c r="M2234" s="20">
        <v>0.0</v>
      </c>
      <c r="N2234" s="20">
        <v>0.0</v>
      </c>
      <c r="O2234" s="20">
        <v>0.0</v>
      </c>
      <c r="P2234" s="20">
        <v>31.0</v>
      </c>
      <c r="Q2234" s="20">
        <v>31.0</v>
      </c>
      <c r="R2234" s="20">
        <v>31.0</v>
      </c>
      <c r="S2234" s="20">
        <v>0.0</v>
      </c>
      <c r="T2234" s="20">
        <v>31.0</v>
      </c>
      <c r="U2234" s="20">
        <v>31.0</v>
      </c>
    </row>
    <row r="2235" ht="23.25" customHeight="1">
      <c r="A2235" s="17" t="str">
        <f>IF(COUNTIF('Icon Lookup'!C:C,B2235)&gt;0,LOOKUP(B2235,'Icon Lookup'!C:C,'Icon Lookup'!B:B),"")</f>
        <v/>
      </c>
      <c r="B2235" s="18" t="s">
        <v>851</v>
      </c>
      <c r="C2235" s="17" t="s">
        <v>17</v>
      </c>
      <c r="D2235" s="17">
        <v>77.0</v>
      </c>
      <c r="E2235" s="17" t="str">
        <f>IMAGE("https://www.serebii.net/itemdex/sprites/flameorb.png")</f>
        <v/>
      </c>
      <c r="F2235" s="17" t="s">
        <v>276</v>
      </c>
      <c r="G2235" s="17" t="s">
        <v>852</v>
      </c>
      <c r="H2235" s="20" t="s">
        <v>2650</v>
      </c>
      <c r="I2235" s="17" t="s">
        <v>22</v>
      </c>
      <c r="J2235" s="17">
        <v>0.0</v>
      </c>
      <c r="K2235" s="17">
        <v>252.0</v>
      </c>
      <c r="L2235" s="17">
        <v>0.0</v>
      </c>
      <c r="M2235" s="17">
        <v>0.0</v>
      </c>
      <c r="N2235" s="17">
        <v>0.0</v>
      </c>
      <c r="O2235" s="17">
        <v>252.0</v>
      </c>
      <c r="P2235" s="17">
        <v>31.0</v>
      </c>
      <c r="Q2235" s="17">
        <v>31.0</v>
      </c>
      <c r="R2235" s="17">
        <v>31.0</v>
      </c>
      <c r="S2235" s="17">
        <v>0.0</v>
      </c>
      <c r="T2235" s="17">
        <v>31.0</v>
      </c>
      <c r="U2235" s="17">
        <v>31.0</v>
      </c>
    </row>
    <row r="2236" ht="23.25" customHeight="1">
      <c r="A2236" s="20" t="str">
        <f>IF(COUNTIF('Icon Lookup'!C:C,B2236)&gt;0,LOOKUP(B2236,'Icon Lookup'!C:C,'Icon Lookup'!B:B),"")</f>
        <v/>
      </c>
      <c r="B2236" s="21" t="s">
        <v>2673</v>
      </c>
      <c r="C2236" s="20" t="s">
        <v>17</v>
      </c>
      <c r="D2236" s="20">
        <v>75.0</v>
      </c>
      <c r="E2236" s="20" t="str">
        <f>IMAGE("https://www.serebii.net/itemdex/sprites/wiseglasses.png")</f>
        <v/>
      </c>
      <c r="F2236" s="20" t="s">
        <v>161</v>
      </c>
      <c r="G2236" s="20" t="s">
        <v>846</v>
      </c>
      <c r="H2236" s="23" t="s">
        <v>2674</v>
      </c>
      <c r="I2236" s="20" t="s">
        <v>612</v>
      </c>
      <c r="J2236" s="20">
        <v>6.0</v>
      </c>
      <c r="K2236" s="20">
        <v>0.0</v>
      </c>
      <c r="L2236" s="20">
        <v>0.0</v>
      </c>
      <c r="M2236" s="20">
        <v>252.0</v>
      </c>
      <c r="N2236" s="20">
        <v>0.0</v>
      </c>
      <c r="O2236" s="20">
        <v>252.0</v>
      </c>
      <c r="P2236" s="20">
        <v>31.0</v>
      </c>
      <c r="Q2236" s="20">
        <v>0.0</v>
      </c>
      <c r="R2236" s="20">
        <v>31.0</v>
      </c>
      <c r="S2236" s="20">
        <v>31.0</v>
      </c>
      <c r="T2236" s="20">
        <v>31.0</v>
      </c>
      <c r="U2236" s="20">
        <v>31.0</v>
      </c>
    </row>
    <row r="2237" ht="23.25" customHeight="1">
      <c r="A2237" s="24" t="str">
        <f>IF(COUNTIF('Icon Lookup'!C:C,B2237)&gt;0,LOOKUP(B2237,'Icon Lookup'!C:C,'Icon Lookup'!B:B),"")</f>
        <v/>
      </c>
      <c r="B2237" s="25" t="s">
        <v>854</v>
      </c>
      <c r="C2237" s="24" t="s">
        <v>804</v>
      </c>
      <c r="D2237" s="24">
        <v>79.0</v>
      </c>
      <c r="E2237" s="24" t="str">
        <f>IMAGE("https://www.serebii.net/itemdex/sprites/scopelens.png")</f>
        <v/>
      </c>
      <c r="F2237" s="24" t="s">
        <v>557</v>
      </c>
      <c r="G2237" s="17" t="s">
        <v>855</v>
      </c>
      <c r="H2237" s="20" t="s">
        <v>856</v>
      </c>
      <c r="I2237" s="24" t="s">
        <v>22</v>
      </c>
      <c r="J2237" s="24">
        <v>6.0</v>
      </c>
      <c r="K2237" s="24">
        <v>252.0</v>
      </c>
      <c r="L2237" s="24">
        <v>0.0</v>
      </c>
      <c r="M2237" s="24">
        <v>0.0</v>
      </c>
      <c r="N2237" s="24">
        <v>0.0</v>
      </c>
      <c r="O2237" s="24">
        <v>252.0</v>
      </c>
      <c r="P2237" s="24">
        <v>31.0</v>
      </c>
      <c r="Q2237" s="24">
        <v>31.0</v>
      </c>
      <c r="R2237" s="24">
        <v>31.0</v>
      </c>
      <c r="S2237" s="24">
        <v>0.0</v>
      </c>
      <c r="T2237" s="24">
        <v>31.0</v>
      </c>
      <c r="U2237" s="24">
        <v>31.0</v>
      </c>
    </row>
    <row r="2238" ht="23.25" customHeight="1">
      <c r="A2238" s="1" t="str">
        <f>IF(COUNTIF('Icon Lookup'!C:C,B2238)&gt;0,LOOKUP(B2238,'Icon Lookup'!C:C,'Icon Lookup'!B:B),"")</f>
        <v/>
      </c>
      <c r="B2238" s="15" t="s">
        <v>2675</v>
      </c>
      <c r="C2238" s="1" t="s">
        <v>17</v>
      </c>
      <c r="D2238" s="1" t="s">
        <v>858</v>
      </c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</row>
    <row r="2239" ht="23.25" customHeight="1">
      <c r="A2239" s="20" t="str">
        <f>IF(COUNTIF('Icon Lookup'!C:C,B2239)&gt;0,LOOKUP(B2239,'Icon Lookup'!C:C,'Icon Lookup'!B:B),"")</f>
        <v/>
      </c>
      <c r="B2239" s="21" t="s">
        <v>568</v>
      </c>
      <c r="C2239" s="20" t="s">
        <v>17</v>
      </c>
      <c r="D2239" s="20">
        <v>76.0</v>
      </c>
      <c r="E2239" s="20" t="str">
        <f>IMAGE("https://www.serebii.net/itemdex/sprites/rindoberry.png")</f>
        <v/>
      </c>
      <c r="F2239" s="20" t="s">
        <v>641</v>
      </c>
      <c r="G2239" s="20" t="s">
        <v>863</v>
      </c>
      <c r="H2239" s="23" t="s">
        <v>2652</v>
      </c>
      <c r="I2239" s="20" t="s">
        <v>822</v>
      </c>
      <c r="J2239" s="20">
        <v>0.0</v>
      </c>
      <c r="K2239" s="20">
        <v>252.0</v>
      </c>
      <c r="L2239" s="20">
        <v>0.0</v>
      </c>
      <c r="M2239" s="20">
        <v>252.0</v>
      </c>
      <c r="N2239" s="20">
        <v>0.0</v>
      </c>
      <c r="O2239" s="20">
        <v>0.0</v>
      </c>
      <c r="P2239" s="20">
        <v>31.0</v>
      </c>
      <c r="Q2239" s="20">
        <v>31.0</v>
      </c>
      <c r="R2239" s="20">
        <v>31.0</v>
      </c>
      <c r="S2239" s="20">
        <v>31.0</v>
      </c>
      <c r="T2239" s="20">
        <v>31.0</v>
      </c>
      <c r="U2239" s="20">
        <v>0.0</v>
      </c>
    </row>
    <row r="2240" ht="23.25" customHeight="1">
      <c r="A2240" s="17" t="str">
        <f>IF(COUNTIF('Icon Lookup'!C:C,B2240)&gt;0,LOOKUP(B2240,'Icon Lookup'!C:C,'Icon Lookup'!B:B),"")</f>
        <v/>
      </c>
      <c r="B2240" s="18" t="s">
        <v>2590</v>
      </c>
      <c r="C2240" s="17" t="s">
        <v>17</v>
      </c>
      <c r="D2240" s="17">
        <v>79.0</v>
      </c>
      <c r="E2240" s="17" t="str">
        <f>IMAGE("https://www.serebii.net/itemdex/sprites/sitrusberry.png")</f>
        <v/>
      </c>
      <c r="F2240" s="17" t="s">
        <v>1791</v>
      </c>
      <c r="G2240" s="17" t="s">
        <v>824</v>
      </c>
      <c r="H2240" s="20" t="s">
        <v>2653</v>
      </c>
      <c r="I2240" s="17" t="s">
        <v>550</v>
      </c>
      <c r="J2240" s="17">
        <v>252.0</v>
      </c>
      <c r="K2240" s="17">
        <v>252.0</v>
      </c>
      <c r="L2240" s="17">
        <v>0.0</v>
      </c>
      <c r="M2240" s="17">
        <v>0.0</v>
      </c>
      <c r="N2240" s="17">
        <v>0.0</v>
      </c>
      <c r="O2240" s="17">
        <v>0.0</v>
      </c>
      <c r="P2240" s="17">
        <v>31.0</v>
      </c>
      <c r="Q2240" s="17">
        <v>31.0</v>
      </c>
      <c r="R2240" s="17">
        <v>31.0</v>
      </c>
      <c r="S2240" s="17">
        <v>0.0</v>
      </c>
      <c r="T2240" s="17">
        <v>31.0</v>
      </c>
      <c r="U2240" s="17">
        <v>31.0</v>
      </c>
    </row>
    <row r="2241" ht="23.25" customHeight="1">
      <c r="A2241" s="20" t="str">
        <f>IF(COUNTIF('Icon Lookup'!C:C,B2241)&gt;0,LOOKUP(B2241,'Icon Lookup'!C:C,'Icon Lookup'!B:B),"")</f>
        <v/>
      </c>
      <c r="B2241" s="21" t="s">
        <v>2676</v>
      </c>
      <c r="C2241" s="20" t="s">
        <v>17</v>
      </c>
      <c r="D2241" s="20">
        <v>78.0</v>
      </c>
      <c r="E2241" s="20" t="str">
        <f>IMAGE("https://www.serebii.net/itemdex/sprites/lifeorb.png")</f>
        <v/>
      </c>
      <c r="F2241" s="20" t="s">
        <v>872</v>
      </c>
      <c r="G2241" s="20" t="s">
        <v>873</v>
      </c>
      <c r="H2241" s="23" t="s">
        <v>2677</v>
      </c>
      <c r="I2241" s="20" t="s">
        <v>612</v>
      </c>
      <c r="J2241" s="20">
        <v>252.0</v>
      </c>
      <c r="K2241" s="20">
        <v>0.0</v>
      </c>
      <c r="L2241" s="20">
        <v>0.0</v>
      </c>
      <c r="M2241" s="20">
        <v>252.0</v>
      </c>
      <c r="N2241" s="20">
        <v>4.0</v>
      </c>
      <c r="O2241" s="20">
        <v>0.0</v>
      </c>
      <c r="P2241" s="20">
        <v>31.0</v>
      </c>
      <c r="Q2241" s="20">
        <v>0.0</v>
      </c>
      <c r="R2241" s="20">
        <v>31.0</v>
      </c>
      <c r="S2241" s="20">
        <v>31.0</v>
      </c>
      <c r="T2241" s="20">
        <v>31.0</v>
      </c>
      <c r="U2241" s="20">
        <v>31.0</v>
      </c>
    </row>
    <row r="2242" ht="23.25" customHeight="1">
      <c r="A2242" s="17" t="str">
        <f>IF(COUNTIF('Icon Lookup'!C:C,B2242)&gt;0,LOOKUP(B2242,'Icon Lookup'!C:C,'Icon Lookup'!B:B),"")</f>
        <v/>
      </c>
      <c r="B2242" s="18" t="s">
        <v>743</v>
      </c>
      <c r="C2242" s="17" t="s">
        <v>17</v>
      </c>
      <c r="D2242" s="17">
        <v>78.0</v>
      </c>
      <c r="E2242" s="17" t="str">
        <f>IMAGE("https://www.serebii.net/itemdex/sprites/chestoberry.png")</f>
        <v/>
      </c>
      <c r="F2242" s="17" t="s">
        <v>511</v>
      </c>
      <c r="G2242" s="17" t="s">
        <v>865</v>
      </c>
      <c r="H2242" s="20" t="s">
        <v>866</v>
      </c>
      <c r="I2242" s="17" t="s">
        <v>550</v>
      </c>
      <c r="J2242" s="17">
        <v>252.0</v>
      </c>
      <c r="K2242" s="17">
        <v>252.0</v>
      </c>
      <c r="L2242" s="17">
        <v>0.0</v>
      </c>
      <c r="M2242" s="17">
        <v>0.0</v>
      </c>
      <c r="N2242" s="17">
        <v>0.0</v>
      </c>
      <c r="O2242" s="17">
        <v>0.0</v>
      </c>
      <c r="P2242" s="17">
        <v>31.0</v>
      </c>
      <c r="Q2242" s="17">
        <v>31.0</v>
      </c>
      <c r="R2242" s="17">
        <v>31.0</v>
      </c>
      <c r="S2242" s="17">
        <v>0.0</v>
      </c>
      <c r="T2242" s="17">
        <v>31.0</v>
      </c>
      <c r="U2242" s="17">
        <v>31.0</v>
      </c>
    </row>
    <row r="2243" ht="23.25" customHeight="1">
      <c r="A2243" s="20" t="str">
        <f>IF(COUNTIF('Icon Lookup'!C:C,B2243)&gt;0,LOOKUP(B2243,'Icon Lookup'!C:C,'Icon Lookup'!B:B),"")</f>
        <v/>
      </c>
      <c r="B2243" s="21" t="s">
        <v>2517</v>
      </c>
      <c r="C2243" s="20" t="s">
        <v>17</v>
      </c>
      <c r="D2243" s="20">
        <v>78.0</v>
      </c>
      <c r="E2243" s="20" t="str">
        <f>IMAGE("https://www.serebii.net/itemdex/sprites/never-meltice.png")</f>
        <v/>
      </c>
      <c r="F2243" s="20" t="s">
        <v>382</v>
      </c>
      <c r="G2243" s="20" t="s">
        <v>2678</v>
      </c>
      <c r="H2243" s="23" t="s">
        <v>2679</v>
      </c>
      <c r="I2243" s="20" t="s">
        <v>550</v>
      </c>
      <c r="J2243" s="20">
        <v>6.0</v>
      </c>
      <c r="K2243" s="20">
        <v>252.0</v>
      </c>
      <c r="L2243" s="20">
        <v>0.0</v>
      </c>
      <c r="M2243" s="20">
        <v>0.0</v>
      </c>
      <c r="N2243" s="20">
        <v>0.0</v>
      </c>
      <c r="O2243" s="20">
        <v>252.0</v>
      </c>
      <c r="P2243" s="20">
        <v>31.0</v>
      </c>
      <c r="Q2243" s="20">
        <v>31.0</v>
      </c>
      <c r="R2243" s="20">
        <v>31.0</v>
      </c>
      <c r="S2243" s="20">
        <v>0.0</v>
      </c>
      <c r="T2243" s="20">
        <v>31.0</v>
      </c>
      <c r="U2243" s="20">
        <v>31.0</v>
      </c>
    </row>
    <row r="2244" ht="23.25" customHeight="1">
      <c r="A2244" s="24" t="str">
        <f>IF(COUNTIF('Icon Lookup'!C:C,B2244)&gt;0,LOOKUP(B2244,'Icon Lookup'!C:C,'Icon Lookup'!B:B),"")</f>
        <v/>
      </c>
      <c r="B2244" s="25" t="s">
        <v>2654</v>
      </c>
      <c r="C2244" s="24" t="s">
        <v>804</v>
      </c>
      <c r="D2244" s="24">
        <v>81.0</v>
      </c>
      <c r="E2244" s="24" t="str">
        <f>IMAGE("https://www.serebii.net/itemdex/sprites/muscleband.png")</f>
        <v/>
      </c>
      <c r="F2244" s="24" t="s">
        <v>2655</v>
      </c>
      <c r="G2244" s="17" t="s">
        <v>890</v>
      </c>
      <c r="H2244" s="20" t="s">
        <v>2656</v>
      </c>
      <c r="I2244" s="24" t="s">
        <v>550</v>
      </c>
      <c r="J2244" s="24">
        <v>252.0</v>
      </c>
      <c r="K2244" s="24">
        <v>252.0</v>
      </c>
      <c r="L2244" s="24">
        <v>6.0</v>
      </c>
      <c r="M2244" s="24">
        <v>0.0</v>
      </c>
      <c r="N2244" s="24">
        <v>0.0</v>
      </c>
      <c r="O2244" s="24">
        <v>0.0</v>
      </c>
      <c r="P2244" s="24">
        <v>31.0</v>
      </c>
      <c r="Q2244" s="24">
        <v>31.0</v>
      </c>
      <c r="R2244" s="24">
        <v>31.0</v>
      </c>
      <c r="S2244" s="24">
        <v>0.0</v>
      </c>
      <c r="T2244" s="24">
        <v>31.0</v>
      </c>
      <c r="U2244" s="24">
        <v>31.0</v>
      </c>
    </row>
    <row r="2245" ht="23.25" customHeight="1">
      <c r="A2245" s="1" t="str">
        <f>IF(COUNTIF('Icon Lookup'!C:C,B2245)&gt;0,LOOKUP(B2245,'Icon Lookup'!C:C,'Icon Lookup'!B:B),"")</f>
        <v/>
      </c>
      <c r="B2245" s="15" t="s">
        <v>2680</v>
      </c>
      <c r="C2245" s="1" t="s">
        <v>17</v>
      </c>
      <c r="D2245" s="1" t="s">
        <v>868</v>
      </c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</row>
    <row r="2246" ht="23.25" customHeight="1">
      <c r="A2246" s="20" t="str">
        <f>IF(COUNTIF('Icon Lookup'!C:C,B2246)&gt;0,LOOKUP(B2246,'Icon Lookup'!C:C,'Icon Lookup'!B:B),"")</f>
        <v/>
      </c>
      <c r="B2246" s="21" t="s">
        <v>2681</v>
      </c>
      <c r="C2246" s="20" t="s">
        <v>17</v>
      </c>
      <c r="D2246" s="20">
        <v>78.0</v>
      </c>
      <c r="E2246" s="20" t="str">
        <f>IMAGE("https://www.serebii.net/itemdex/sprites/heatrock.png")</f>
        <v/>
      </c>
      <c r="F2246" s="20" t="s">
        <v>1805</v>
      </c>
      <c r="G2246" s="20" t="s">
        <v>2468</v>
      </c>
      <c r="H2246" s="23" t="s">
        <v>2682</v>
      </c>
      <c r="I2246" s="20" t="s">
        <v>52</v>
      </c>
      <c r="J2246" s="20">
        <v>0.0</v>
      </c>
      <c r="K2246" s="20">
        <v>0.0</v>
      </c>
      <c r="L2246" s="20">
        <v>0.0</v>
      </c>
      <c r="M2246" s="20">
        <v>252.0</v>
      </c>
      <c r="N2246" s="20">
        <v>0.0</v>
      </c>
      <c r="O2246" s="20">
        <v>252.0</v>
      </c>
      <c r="P2246" s="20">
        <v>31.0</v>
      </c>
      <c r="Q2246" s="20">
        <v>0.0</v>
      </c>
      <c r="R2246" s="20">
        <v>31.0</v>
      </c>
      <c r="S2246" s="20">
        <v>31.0</v>
      </c>
      <c r="T2246" s="20">
        <v>31.0</v>
      </c>
      <c r="U2246" s="20">
        <v>31.0</v>
      </c>
    </row>
    <row r="2247" ht="23.25" customHeight="1">
      <c r="A2247" s="17" t="str">
        <f>IF(COUNTIF('Icon Lookup'!C:C,B2247)&gt;0,LOOKUP(B2247,'Icon Lookup'!C:C,'Icon Lookup'!B:B),"")</f>
        <v/>
      </c>
      <c r="B2247" s="18" t="s">
        <v>2658</v>
      </c>
      <c r="C2247" s="17" t="s">
        <v>17</v>
      </c>
      <c r="D2247" s="17">
        <v>78.0</v>
      </c>
      <c r="E2247" s="17" t="str">
        <f>IMAGE("https://www.serebii.net/itemdex/sprites/wiseglasses.png")</f>
        <v/>
      </c>
      <c r="F2247" s="17" t="s">
        <v>849</v>
      </c>
      <c r="G2247" s="17" t="s">
        <v>846</v>
      </c>
      <c r="H2247" s="20" t="s">
        <v>2659</v>
      </c>
      <c r="I2247" s="17" t="s">
        <v>612</v>
      </c>
      <c r="J2247" s="17">
        <v>0.0</v>
      </c>
      <c r="K2247" s="17">
        <v>0.0</v>
      </c>
      <c r="L2247" s="17">
        <v>0.0</v>
      </c>
      <c r="M2247" s="17">
        <v>252.0</v>
      </c>
      <c r="N2247" s="17">
        <v>0.0</v>
      </c>
      <c r="O2247" s="17">
        <v>252.0</v>
      </c>
      <c r="P2247" s="17">
        <v>31.0</v>
      </c>
      <c r="Q2247" s="17">
        <v>0.0</v>
      </c>
      <c r="R2247" s="17">
        <v>31.0</v>
      </c>
      <c r="S2247" s="17">
        <v>31.0</v>
      </c>
      <c r="T2247" s="17">
        <v>31.0</v>
      </c>
      <c r="U2247" s="17">
        <v>31.0</v>
      </c>
    </row>
    <row r="2248" ht="23.25" customHeight="1">
      <c r="A2248" s="20" t="str">
        <f>IF(COUNTIF('Icon Lookup'!C:C,B2248)&gt;0,LOOKUP(B2248,'Icon Lookup'!C:C,'Icon Lookup'!B:B),"")</f>
        <v/>
      </c>
      <c r="B2248" s="21" t="s">
        <v>710</v>
      </c>
      <c r="C2248" s="20" t="s">
        <v>17</v>
      </c>
      <c r="D2248" s="20">
        <v>79.0</v>
      </c>
      <c r="E2248" s="20" t="str">
        <f>IMAGE("https://www.serebii.net/itemdex/sprites/widelens.png")</f>
        <v/>
      </c>
      <c r="F2248" s="20" t="s">
        <v>869</v>
      </c>
      <c r="G2248" s="20" t="s">
        <v>870</v>
      </c>
      <c r="H2248" s="23" t="s">
        <v>2661</v>
      </c>
      <c r="I2248" s="20" t="s">
        <v>22</v>
      </c>
      <c r="J2248" s="20">
        <v>0.0</v>
      </c>
      <c r="K2248" s="20">
        <v>252.0</v>
      </c>
      <c r="L2248" s="20">
        <v>0.0</v>
      </c>
      <c r="M2248" s="20">
        <v>0.0</v>
      </c>
      <c r="N2248" s="20">
        <v>0.0</v>
      </c>
      <c r="O2248" s="20">
        <v>252.0</v>
      </c>
      <c r="P2248" s="20">
        <v>31.0</v>
      </c>
      <c r="Q2248" s="20">
        <v>31.0</v>
      </c>
      <c r="R2248" s="20">
        <v>31.0</v>
      </c>
      <c r="S2248" s="20">
        <v>0.0</v>
      </c>
      <c r="T2248" s="20">
        <v>31.0</v>
      </c>
      <c r="U2248" s="20">
        <v>31.0</v>
      </c>
    </row>
    <row r="2249" ht="23.25" customHeight="1">
      <c r="A2249" s="17" t="str">
        <f>IF(COUNTIF('Icon Lookup'!C:C,B2249)&gt;0,LOOKUP(B2249,'Icon Lookup'!C:C,'Icon Lookup'!B:B),"")</f>
        <v/>
      </c>
      <c r="B2249" s="18" t="s">
        <v>879</v>
      </c>
      <c r="C2249" s="17" t="s">
        <v>17</v>
      </c>
      <c r="D2249" s="17">
        <v>81.0</v>
      </c>
      <c r="E2249" s="17" t="str">
        <f>IMAGE("https://www.serebii.net/itemdex/sprites/focussash.png")</f>
        <v/>
      </c>
      <c r="F2249" s="17" t="s">
        <v>880</v>
      </c>
      <c r="G2249" s="17" t="s">
        <v>881</v>
      </c>
      <c r="H2249" s="20" t="s">
        <v>882</v>
      </c>
      <c r="I2249" s="17" t="s">
        <v>22</v>
      </c>
      <c r="J2249" s="17">
        <v>0.0</v>
      </c>
      <c r="K2249" s="17">
        <v>0.0</v>
      </c>
      <c r="L2249" s="17">
        <v>0.0</v>
      </c>
      <c r="M2249" s="17">
        <v>0.0</v>
      </c>
      <c r="N2249" s="17">
        <v>0.0</v>
      </c>
      <c r="O2249" s="17">
        <v>252.0</v>
      </c>
      <c r="P2249" s="17">
        <v>31.0</v>
      </c>
      <c r="Q2249" s="17">
        <v>31.0</v>
      </c>
      <c r="R2249" s="17">
        <v>31.0</v>
      </c>
      <c r="S2249" s="17">
        <v>0.0</v>
      </c>
      <c r="T2249" s="17">
        <v>31.0</v>
      </c>
      <c r="U2249" s="17">
        <v>31.0</v>
      </c>
    </row>
    <row r="2250" ht="23.25" customHeight="1">
      <c r="A2250" s="20" t="str">
        <f>IF(COUNTIF('Icon Lookup'!C:C,B2250)&gt;0,LOOKUP(B2250,'Icon Lookup'!C:C,'Icon Lookup'!B:B),"")</f>
        <v/>
      </c>
      <c r="B2250" s="21" t="s">
        <v>2020</v>
      </c>
      <c r="C2250" s="20" t="s">
        <v>17</v>
      </c>
      <c r="D2250" s="20">
        <v>81.0</v>
      </c>
      <c r="E2250" s="20" t="str">
        <f>IMAGE("https://www.serebii.net/itemdex/sprites/shucaberry.png")</f>
        <v/>
      </c>
      <c r="F2250" s="20" t="s">
        <v>26</v>
      </c>
      <c r="G2250" s="20" t="s">
        <v>1145</v>
      </c>
      <c r="H2250" s="23" t="s">
        <v>2683</v>
      </c>
      <c r="I2250" s="20" t="s">
        <v>22</v>
      </c>
      <c r="J2250" s="20">
        <v>6.0</v>
      </c>
      <c r="K2250" s="20">
        <v>252.0</v>
      </c>
      <c r="L2250" s="20">
        <v>0.0</v>
      </c>
      <c r="M2250" s="20">
        <v>0.0</v>
      </c>
      <c r="N2250" s="20">
        <v>0.0</v>
      </c>
      <c r="O2250" s="20">
        <v>252.0</v>
      </c>
      <c r="P2250" s="20">
        <v>31.0</v>
      </c>
      <c r="Q2250" s="20">
        <v>31.0</v>
      </c>
      <c r="R2250" s="20">
        <v>31.0</v>
      </c>
      <c r="S2250" s="20">
        <v>0.0</v>
      </c>
      <c r="T2250" s="20">
        <v>31.0</v>
      </c>
      <c r="U2250" s="20">
        <v>31.0</v>
      </c>
    </row>
    <row r="2251" ht="23.25" customHeight="1">
      <c r="A2251" s="24" t="str">
        <f>IF(COUNTIF('Icon Lookup'!C:C,B2251)&gt;0,LOOKUP(B2251,'Icon Lookup'!C:C,'Icon Lookup'!B:B),"")</f>
        <v/>
      </c>
      <c r="B2251" s="25" t="s">
        <v>2552</v>
      </c>
      <c r="C2251" s="24" t="s">
        <v>804</v>
      </c>
      <c r="D2251" s="24">
        <v>83.0</v>
      </c>
      <c r="E2251" s="24" t="str">
        <f>IMAGE("https://www.serebii.net/itemdex/sprites/sitrusberry.png")</f>
        <v/>
      </c>
      <c r="F2251" s="24" t="s">
        <v>869</v>
      </c>
      <c r="G2251" s="17" t="s">
        <v>824</v>
      </c>
      <c r="H2251" s="20" t="s">
        <v>2662</v>
      </c>
      <c r="I2251" s="24" t="s">
        <v>612</v>
      </c>
      <c r="J2251" s="24">
        <v>0.0</v>
      </c>
      <c r="K2251" s="24">
        <v>0.0</v>
      </c>
      <c r="L2251" s="24">
        <v>0.0</v>
      </c>
      <c r="M2251" s="24">
        <v>252.0</v>
      </c>
      <c r="N2251" s="24">
        <v>0.0</v>
      </c>
      <c r="O2251" s="24">
        <v>252.0</v>
      </c>
      <c r="P2251" s="24">
        <v>31.0</v>
      </c>
      <c r="Q2251" s="24">
        <v>0.0</v>
      </c>
      <c r="R2251" s="24">
        <v>31.0</v>
      </c>
      <c r="S2251" s="24">
        <v>31.0</v>
      </c>
      <c r="T2251" s="24">
        <v>31.0</v>
      </c>
      <c r="U2251" s="24">
        <v>31.0</v>
      </c>
    </row>
    <row r="2252" ht="23.25" customHeight="1">
      <c r="A2252" s="1" t="str">
        <f>IF(COUNTIF('Icon Lookup'!C:C,B2252)&gt;0,LOOKUP(B2252,'Icon Lookup'!C:C,'Icon Lookup'!B:B),"")</f>
        <v/>
      </c>
      <c r="B2252" s="15" t="s">
        <v>2684</v>
      </c>
      <c r="C2252" s="1" t="s">
        <v>17</v>
      </c>
      <c r="D2252" s="1" t="s">
        <v>884</v>
      </c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</row>
    <row r="2253" ht="23.25" customHeight="1">
      <c r="A2253" s="20" t="str">
        <f>IF(COUNTIF('Icon Lookup'!C:C,B2253)&gt;0,LOOKUP(B2253,'Icon Lookup'!C:C,'Icon Lookup'!B:B),"")</f>
        <v/>
      </c>
      <c r="B2253" s="21" t="s">
        <v>476</v>
      </c>
      <c r="C2253" s="20" t="s">
        <v>17</v>
      </c>
      <c r="D2253" s="20">
        <v>79.0</v>
      </c>
      <c r="E2253" s="20" t="str">
        <f>IMAGE("https://www.serebii.net/itemdex/sprites/lightclay.png")</f>
        <v/>
      </c>
      <c r="F2253" s="20" t="s">
        <v>203</v>
      </c>
      <c r="G2253" s="20" t="s">
        <v>885</v>
      </c>
      <c r="H2253" s="23" t="s">
        <v>886</v>
      </c>
      <c r="I2253" s="20" t="s">
        <v>205</v>
      </c>
      <c r="J2253" s="20">
        <v>252.0</v>
      </c>
      <c r="K2253" s="20">
        <v>0.0</v>
      </c>
      <c r="L2253" s="20">
        <v>0.0</v>
      </c>
      <c r="M2253" s="20">
        <v>0.0</v>
      </c>
      <c r="N2253" s="20">
        <v>0.0</v>
      </c>
      <c r="O2253" s="20">
        <v>252.0</v>
      </c>
      <c r="P2253" s="20">
        <v>31.0</v>
      </c>
      <c r="Q2253" s="20">
        <v>0.0</v>
      </c>
      <c r="R2253" s="20">
        <v>31.0</v>
      </c>
      <c r="S2253" s="20">
        <v>31.0</v>
      </c>
      <c r="T2253" s="20">
        <v>31.0</v>
      </c>
      <c r="U2253" s="20">
        <v>31.0</v>
      </c>
    </row>
    <row r="2254" ht="23.25" customHeight="1">
      <c r="A2254" s="17" t="str">
        <f>IF(COUNTIF('Icon Lookup'!C:C,B2254)&gt;0,LOOKUP(B2254,'Icon Lookup'!C:C,'Icon Lookup'!B:B),"")</f>
        <v/>
      </c>
      <c r="B2254" s="18" t="s">
        <v>2580</v>
      </c>
      <c r="C2254" s="17" t="s">
        <v>17</v>
      </c>
      <c r="D2254" s="17">
        <v>81.0</v>
      </c>
      <c r="E2254" s="17" t="str">
        <f>IMAGE("https://www.serebii.net/itemdex/sprites/mentalherb.png")</f>
        <v/>
      </c>
      <c r="F2254" s="17" t="s">
        <v>2581</v>
      </c>
      <c r="G2254" s="17" t="s">
        <v>888</v>
      </c>
      <c r="H2254" s="20" t="s">
        <v>2664</v>
      </c>
      <c r="I2254" s="17" t="s">
        <v>52</v>
      </c>
      <c r="J2254" s="17">
        <v>0.0</v>
      </c>
      <c r="K2254" s="17">
        <v>0.0</v>
      </c>
      <c r="L2254" s="17">
        <v>0.0</v>
      </c>
      <c r="M2254" s="17">
        <v>252.0</v>
      </c>
      <c r="N2254" s="17">
        <v>0.0</v>
      </c>
      <c r="O2254" s="17">
        <v>252.0</v>
      </c>
      <c r="P2254" s="17">
        <v>31.0</v>
      </c>
      <c r="Q2254" s="17">
        <v>0.0</v>
      </c>
      <c r="R2254" s="17">
        <v>31.0</v>
      </c>
      <c r="S2254" s="17">
        <v>31.0</v>
      </c>
      <c r="T2254" s="17">
        <v>31.0</v>
      </c>
      <c r="U2254" s="17">
        <v>31.0</v>
      </c>
    </row>
    <row r="2255" ht="23.25" customHeight="1">
      <c r="A2255" s="20" t="str">
        <f>IF(COUNTIF('Icon Lookup'!C:C,B2255)&gt;0,LOOKUP(B2255,'Icon Lookup'!C:C,'Icon Lookup'!B:B),"")</f>
        <v/>
      </c>
      <c r="B2255" s="21" t="s">
        <v>893</v>
      </c>
      <c r="C2255" s="20" t="s">
        <v>17</v>
      </c>
      <c r="D2255" s="20">
        <v>80.0</v>
      </c>
      <c r="E2255" s="20" t="str">
        <f>IMAGE("https://www.serebii.net/itemdex/sprites/muscleband.png")</f>
        <v/>
      </c>
      <c r="F2255" s="20" t="s">
        <v>161</v>
      </c>
      <c r="G2255" s="20" t="s">
        <v>890</v>
      </c>
      <c r="H2255" s="23" t="s">
        <v>2665</v>
      </c>
      <c r="I2255" s="20" t="s">
        <v>822</v>
      </c>
      <c r="J2255" s="20">
        <v>252.0</v>
      </c>
      <c r="K2255" s="20">
        <v>252.0</v>
      </c>
      <c r="L2255" s="20">
        <v>0.0</v>
      </c>
      <c r="M2255" s="20">
        <v>0.0</v>
      </c>
      <c r="N2255" s="20">
        <v>0.0</v>
      </c>
      <c r="O2255" s="20">
        <v>0.0</v>
      </c>
      <c r="P2255" s="20">
        <v>31.0</v>
      </c>
      <c r="Q2255" s="20">
        <v>31.0</v>
      </c>
      <c r="R2255" s="20">
        <v>31.0</v>
      </c>
      <c r="S2255" s="20">
        <v>0.0</v>
      </c>
      <c r="T2255" s="20">
        <v>31.0</v>
      </c>
      <c r="U2255" s="20">
        <v>0.0</v>
      </c>
    </row>
    <row r="2256" ht="23.25" customHeight="1">
      <c r="A2256" s="17" t="str">
        <f>IF(COUNTIF('Icon Lookup'!C:C,B2256)&gt;0,LOOKUP(B2256,'Icon Lookup'!C:C,'Icon Lookup'!B:B),"")</f>
        <v/>
      </c>
      <c r="B2256" s="18" t="s">
        <v>765</v>
      </c>
      <c r="C2256" s="17" t="s">
        <v>17</v>
      </c>
      <c r="D2256" s="17">
        <v>82.0</v>
      </c>
      <c r="E2256" s="17" t="str">
        <f>IMAGE("https://www.serebii.net/itemdex/sprites/lifeorb.png")</f>
        <v/>
      </c>
      <c r="F2256" s="17" t="s">
        <v>253</v>
      </c>
      <c r="G2256" s="17" t="s">
        <v>873</v>
      </c>
      <c r="H2256" s="20" t="s">
        <v>2666</v>
      </c>
      <c r="I2256" s="17" t="s">
        <v>52</v>
      </c>
      <c r="J2256" s="17">
        <v>0.0</v>
      </c>
      <c r="K2256" s="17">
        <v>0.0</v>
      </c>
      <c r="L2256" s="17">
        <v>0.0</v>
      </c>
      <c r="M2256" s="17">
        <v>252.0</v>
      </c>
      <c r="N2256" s="17">
        <v>0.0</v>
      </c>
      <c r="O2256" s="17">
        <v>252.0</v>
      </c>
      <c r="P2256" s="17">
        <v>31.0</v>
      </c>
      <c r="Q2256" s="17">
        <v>0.0</v>
      </c>
      <c r="R2256" s="17">
        <v>31.0</v>
      </c>
      <c r="S2256" s="17">
        <v>31.0</v>
      </c>
      <c r="T2256" s="17">
        <v>31.0</v>
      </c>
      <c r="U2256" s="17">
        <v>31.0</v>
      </c>
    </row>
    <row r="2257" ht="23.25" customHeight="1">
      <c r="A2257" s="20" t="str">
        <f>IF(COUNTIF('Icon Lookup'!C:C,B2257)&gt;0,LOOKUP(B2257,'Icon Lookup'!C:C,'Icon Lookup'!B:B),"")</f>
        <v/>
      </c>
      <c r="B2257" s="21" t="s">
        <v>1897</v>
      </c>
      <c r="C2257" s="20" t="s">
        <v>17</v>
      </c>
      <c r="D2257" s="20">
        <v>82.0</v>
      </c>
      <c r="E2257" s="20" t="str">
        <f>IMAGE("https://www.serebii.net/itemdex/sprites/leftovers.png")</f>
        <v/>
      </c>
      <c r="F2257" s="20" t="s">
        <v>2558</v>
      </c>
      <c r="G2257" s="20" t="s">
        <v>859</v>
      </c>
      <c r="H2257" s="23" t="s">
        <v>2685</v>
      </c>
      <c r="I2257" s="20" t="s">
        <v>205</v>
      </c>
      <c r="J2257" s="20">
        <v>252.0</v>
      </c>
      <c r="K2257" s="20">
        <v>0.0</v>
      </c>
      <c r="L2257" s="20">
        <v>252.0</v>
      </c>
      <c r="M2257" s="20">
        <v>6.0</v>
      </c>
      <c r="N2257" s="20">
        <v>0.0</v>
      </c>
      <c r="O2257" s="20">
        <v>0.0</v>
      </c>
      <c r="P2257" s="20">
        <v>31.0</v>
      </c>
      <c r="Q2257" s="20">
        <v>31.0</v>
      </c>
      <c r="R2257" s="20">
        <v>31.0</v>
      </c>
      <c r="S2257" s="20">
        <v>0.0</v>
      </c>
      <c r="T2257" s="20">
        <v>31.0</v>
      </c>
      <c r="U2257" s="20">
        <v>0.0</v>
      </c>
    </row>
    <row r="2258" ht="23.25" customHeight="1">
      <c r="A2258" s="24" t="str">
        <f>IF(COUNTIF('Icon Lookup'!C:C,B2258)&gt;0,LOOKUP(B2258,'Icon Lookup'!C:C,'Icon Lookup'!B:B),"")</f>
        <v/>
      </c>
      <c r="B2258" s="25" t="s">
        <v>2550</v>
      </c>
      <c r="C2258" s="24" t="s">
        <v>804</v>
      </c>
      <c r="D2258" s="24">
        <v>85.0</v>
      </c>
      <c r="E2258" s="24" t="str">
        <f>IMAGE("https://www.serebii.net/itemdex/sprites/sitrusberry.png")</f>
        <v/>
      </c>
      <c r="F2258" s="24" t="s">
        <v>2501</v>
      </c>
      <c r="G2258" s="17" t="s">
        <v>824</v>
      </c>
      <c r="H2258" s="20" t="s">
        <v>2667</v>
      </c>
      <c r="I2258" s="24" t="s">
        <v>22</v>
      </c>
      <c r="J2258" s="24">
        <v>6.0</v>
      </c>
      <c r="K2258" s="24">
        <v>252.0</v>
      </c>
      <c r="L2258" s="24">
        <v>0.0</v>
      </c>
      <c r="M2258" s="24">
        <v>0.0</v>
      </c>
      <c r="N2258" s="24">
        <v>0.0</v>
      </c>
      <c r="O2258" s="24">
        <v>252.0</v>
      </c>
      <c r="P2258" s="24">
        <v>31.0</v>
      </c>
      <c r="Q2258" s="24">
        <v>31.0</v>
      </c>
      <c r="R2258" s="24">
        <v>31.0</v>
      </c>
      <c r="S2258" s="24">
        <v>0.0</v>
      </c>
      <c r="T2258" s="24">
        <v>31.0</v>
      </c>
      <c r="U2258" s="24">
        <v>31.0</v>
      </c>
    </row>
    <row r="2259" ht="23.25" customHeight="1">
      <c r="A2259" s="1" t="str">
        <f>IF(COUNTIF('Icon Lookup'!C:C,B2259)&gt;0,LOOKUP(B2259,'Icon Lookup'!C:C,'Icon Lookup'!B:B),"")</f>
        <v/>
      </c>
      <c r="B2259" s="15" t="s">
        <v>2686</v>
      </c>
      <c r="C2259" s="1" t="s">
        <v>17</v>
      </c>
      <c r="D2259" s="1" t="s">
        <v>901</v>
      </c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</row>
    <row r="2260" ht="23.25" customHeight="1">
      <c r="A2260" s="20" t="str">
        <f>IF(COUNTIF('Icon Lookup'!C:C,B2260)&gt;0,LOOKUP(B2260,'Icon Lookup'!C:C,'Icon Lookup'!B:B),"")</f>
        <v/>
      </c>
      <c r="B2260" s="21" t="s">
        <v>902</v>
      </c>
      <c r="C2260" s="20" t="s">
        <v>17</v>
      </c>
      <c r="D2260" s="20">
        <v>84.0</v>
      </c>
      <c r="E2260" s="20" t="str">
        <f>IMAGE("https://www.serebii.net/itemdex/sprites/sitrusberry.png")</f>
        <v/>
      </c>
      <c r="F2260" s="20" t="s">
        <v>903</v>
      </c>
      <c r="G2260" s="20" t="s">
        <v>824</v>
      </c>
      <c r="H2260" s="23" t="s">
        <v>2669</v>
      </c>
      <c r="I2260" s="20" t="s">
        <v>905</v>
      </c>
      <c r="J2260" s="20">
        <v>252.0</v>
      </c>
      <c r="K2260" s="20">
        <v>6.0</v>
      </c>
      <c r="L2260" s="20">
        <v>0.0</v>
      </c>
      <c r="M2260" s="20">
        <v>252.0</v>
      </c>
      <c r="N2260" s="20">
        <v>0.0</v>
      </c>
      <c r="O2260" s="20">
        <v>0.0</v>
      </c>
      <c r="P2260" s="20">
        <v>31.0</v>
      </c>
      <c r="Q2260" s="20">
        <v>31.0</v>
      </c>
      <c r="R2260" s="20">
        <v>31.0</v>
      </c>
      <c r="S2260" s="20">
        <v>31.0</v>
      </c>
      <c r="T2260" s="20">
        <v>31.0</v>
      </c>
      <c r="U2260" s="20">
        <v>31.0</v>
      </c>
    </row>
    <row r="2261" ht="23.25" customHeight="1">
      <c r="A2261" s="17" t="str">
        <f>IF(COUNTIF('Icon Lookup'!C:C,B2261)&gt;0,LOOKUP(B2261,'Icon Lookup'!C:C,'Icon Lookup'!B:B),"")</f>
        <v/>
      </c>
      <c r="B2261" s="18" t="s">
        <v>2585</v>
      </c>
      <c r="C2261" s="17" t="s">
        <v>17</v>
      </c>
      <c r="D2261" s="17">
        <v>85.0</v>
      </c>
      <c r="E2261" s="17" t="str">
        <f>IMAGE("https://www.serebii.net/itemdex/sprites/expertbelt.png")</f>
        <v/>
      </c>
      <c r="F2261" s="17" t="s">
        <v>2586</v>
      </c>
      <c r="G2261" s="17" t="s">
        <v>907</v>
      </c>
      <c r="H2261" s="20" t="s">
        <v>2687</v>
      </c>
      <c r="I2261" s="17" t="s">
        <v>52</v>
      </c>
      <c r="J2261" s="17">
        <v>6.0</v>
      </c>
      <c r="K2261" s="17">
        <v>0.0</v>
      </c>
      <c r="L2261" s="17">
        <v>0.0</v>
      </c>
      <c r="M2261" s="17">
        <v>252.0</v>
      </c>
      <c r="N2261" s="17">
        <v>0.0</v>
      </c>
      <c r="O2261" s="17">
        <v>252.0</v>
      </c>
      <c r="P2261" s="17">
        <v>31.0</v>
      </c>
      <c r="Q2261" s="17">
        <v>0.0</v>
      </c>
      <c r="R2261" s="17">
        <v>31.0</v>
      </c>
      <c r="S2261" s="17">
        <v>31.0</v>
      </c>
      <c r="T2261" s="17">
        <v>31.0</v>
      </c>
      <c r="U2261" s="17">
        <v>31.0</v>
      </c>
    </row>
    <row r="2262" ht="23.25" customHeight="1">
      <c r="A2262" s="20" t="str">
        <f>IF(COUNTIF('Icon Lookup'!C:C,B2262)&gt;0,LOOKUP(B2262,'Icon Lookup'!C:C,'Icon Lookup'!B:B),"")</f>
        <v/>
      </c>
      <c r="B2262" s="21" t="s">
        <v>2632</v>
      </c>
      <c r="C2262" s="20" t="s">
        <v>17</v>
      </c>
      <c r="D2262" s="20">
        <v>86.0</v>
      </c>
      <c r="E2262" s="20" t="str">
        <f>IMAGE("https://www.serebii.net/itemdex/sprites/leftovers.png")</f>
        <v/>
      </c>
      <c r="F2262" s="20" t="s">
        <v>240</v>
      </c>
      <c r="G2262" s="20" t="s">
        <v>859</v>
      </c>
      <c r="H2262" s="23" t="s">
        <v>2670</v>
      </c>
      <c r="I2262" s="20" t="s">
        <v>52</v>
      </c>
      <c r="J2262" s="20">
        <v>6.0</v>
      </c>
      <c r="K2262" s="20">
        <v>0.0</v>
      </c>
      <c r="L2262" s="20">
        <v>0.0</v>
      </c>
      <c r="M2262" s="20">
        <v>252.0</v>
      </c>
      <c r="N2262" s="20">
        <v>0.0</v>
      </c>
      <c r="O2262" s="20">
        <v>252.0</v>
      </c>
      <c r="P2262" s="20">
        <v>31.0</v>
      </c>
      <c r="Q2262" s="20">
        <v>0.0</v>
      </c>
      <c r="R2262" s="20">
        <v>31.0</v>
      </c>
      <c r="S2262" s="20">
        <v>31.0</v>
      </c>
      <c r="T2262" s="20">
        <v>31.0</v>
      </c>
      <c r="U2262" s="20">
        <v>31.0</v>
      </c>
    </row>
    <row r="2263" ht="23.25" customHeight="1">
      <c r="A2263" s="17" t="str">
        <f>IF(COUNTIF('Icon Lookup'!C:C,B2263)&gt;0,LOOKUP(B2263,'Icon Lookup'!C:C,'Icon Lookup'!B:B),"")</f>
        <v/>
      </c>
      <c r="B2263" s="18" t="s">
        <v>910</v>
      </c>
      <c r="C2263" s="17" t="s">
        <v>17</v>
      </c>
      <c r="D2263" s="17">
        <v>86.0</v>
      </c>
      <c r="E2263" s="17" t="str">
        <f>IMAGE("https://www.serebii.net/itemdex/sprites/focussash.png")</f>
        <v/>
      </c>
      <c r="F2263" s="17" t="s">
        <v>38</v>
      </c>
      <c r="G2263" s="17" t="s">
        <v>881</v>
      </c>
      <c r="H2263" s="20" t="s">
        <v>2688</v>
      </c>
      <c r="I2263" s="17" t="s">
        <v>22</v>
      </c>
      <c r="J2263" s="17">
        <v>6.0</v>
      </c>
      <c r="K2263" s="17">
        <v>252.0</v>
      </c>
      <c r="L2263" s="17">
        <v>0.0</v>
      </c>
      <c r="M2263" s="17">
        <v>0.0</v>
      </c>
      <c r="N2263" s="17">
        <v>0.0</v>
      </c>
      <c r="O2263" s="17">
        <v>252.0</v>
      </c>
      <c r="P2263" s="17">
        <v>31.0</v>
      </c>
      <c r="Q2263" s="17">
        <v>31.0</v>
      </c>
      <c r="R2263" s="17">
        <v>31.0</v>
      </c>
      <c r="S2263" s="17">
        <v>0.0</v>
      </c>
      <c r="T2263" s="17">
        <v>31.0</v>
      </c>
      <c r="U2263" s="17">
        <v>31.0</v>
      </c>
    </row>
    <row r="2264" ht="23.25" customHeight="1">
      <c r="A2264" s="20" t="str">
        <f>IF(COUNTIF('Icon Lookup'!C:C,B2264)&gt;0,LOOKUP(B2264,'Icon Lookup'!C:C,'Icon Lookup'!B:B),"")</f>
        <v/>
      </c>
      <c r="B2264" s="21" t="s">
        <v>912</v>
      </c>
      <c r="C2264" s="20" t="s">
        <v>17</v>
      </c>
      <c r="D2264" s="20">
        <v>84.0</v>
      </c>
      <c r="E2264" s="20" t="str">
        <f>IMAGE("https://www.serebii.net/itemdex/sprites/flameorb.png")</f>
        <v/>
      </c>
      <c r="F2264" s="20" t="s">
        <v>913</v>
      </c>
      <c r="G2264" s="20" t="s">
        <v>852</v>
      </c>
      <c r="H2264" s="23" t="s">
        <v>914</v>
      </c>
      <c r="I2264" s="20" t="s">
        <v>205</v>
      </c>
      <c r="J2264" s="20">
        <v>252.0</v>
      </c>
      <c r="K2264" s="20">
        <v>0.0</v>
      </c>
      <c r="L2264" s="20">
        <v>252.0</v>
      </c>
      <c r="M2264" s="20">
        <v>6.0</v>
      </c>
      <c r="N2264" s="20">
        <v>0.0</v>
      </c>
      <c r="O2264" s="20">
        <v>0.0</v>
      </c>
      <c r="P2264" s="20">
        <v>31.0</v>
      </c>
      <c r="Q2264" s="20">
        <v>0.0</v>
      </c>
      <c r="R2264" s="20">
        <v>31.0</v>
      </c>
      <c r="S2264" s="20">
        <v>31.0</v>
      </c>
      <c r="T2264" s="20">
        <v>31.0</v>
      </c>
      <c r="U2264" s="20">
        <v>31.0</v>
      </c>
    </row>
    <row r="2265" ht="23.25" customHeight="1">
      <c r="A2265" s="24" t="str">
        <f>IF(COUNTIF('Icon Lookup'!C:C,B2265)&gt;0,LOOKUP(B2265,'Icon Lookup'!C:C,'Icon Lookup'!B:B),"")</f>
        <v/>
      </c>
      <c r="B2265" s="25" t="s">
        <v>915</v>
      </c>
      <c r="C2265" s="24" t="s">
        <v>804</v>
      </c>
      <c r="D2265" s="24">
        <v>88.0</v>
      </c>
      <c r="E2265" s="24" t="str">
        <f>IMAGE("https://www.serebii.net/itemdex/sprites/yacheberry.png")</f>
        <v/>
      </c>
      <c r="F2265" s="24" t="s">
        <v>916</v>
      </c>
      <c r="G2265" s="17" t="s">
        <v>917</v>
      </c>
      <c r="H2265" s="20" t="s">
        <v>918</v>
      </c>
      <c r="I2265" s="24" t="s">
        <v>22</v>
      </c>
      <c r="J2265" s="24">
        <v>6.0</v>
      </c>
      <c r="K2265" s="24">
        <v>252.0</v>
      </c>
      <c r="L2265" s="24">
        <v>0.0</v>
      </c>
      <c r="M2265" s="24">
        <v>0.0</v>
      </c>
      <c r="N2265" s="24">
        <v>0.0</v>
      </c>
      <c r="O2265" s="24">
        <v>252.0</v>
      </c>
      <c r="P2265" s="24">
        <v>31.0</v>
      </c>
      <c r="Q2265" s="24">
        <v>31.0</v>
      </c>
      <c r="R2265" s="24">
        <v>31.0</v>
      </c>
      <c r="S2265" s="24">
        <v>0.0</v>
      </c>
      <c r="T2265" s="24">
        <v>31.0</v>
      </c>
      <c r="U2265" s="24">
        <v>31.0</v>
      </c>
    </row>
    <row r="2266" ht="23.25" customHeight="1">
      <c r="A2266" s="1" t="str">
        <f>IF(COUNTIF('Icon Lookup'!C:C,B2266)&gt;0,LOOKUP(B2266,'Icon Lookup'!C:C,'Icon Lookup'!B:B),"")</f>
        <v/>
      </c>
      <c r="B2266" s="15" t="s">
        <v>2689</v>
      </c>
      <c r="C2266" s="1" t="s">
        <v>17</v>
      </c>
      <c r="D2266" s="1" t="s">
        <v>2690</v>
      </c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</row>
    <row r="2267" ht="23.25" customHeight="1">
      <c r="A2267" s="20" t="str">
        <f>IF(COUNTIF('Icon Lookup'!C:C,B2267)&gt;0,LOOKUP(B2267,'Icon Lookup'!C:C,'Icon Lookup'!B:B),"")</f>
        <v/>
      </c>
      <c r="B2267" s="21" t="s">
        <v>902</v>
      </c>
      <c r="C2267" s="20" t="s">
        <v>17</v>
      </c>
      <c r="D2267" s="20">
        <v>63.0</v>
      </c>
      <c r="E2267" s="20" t="str">
        <f>IMAGE("https://www.serebii.net/itemdex/sprites/sitrusberry.png")</f>
        <v/>
      </c>
      <c r="F2267" s="20" t="s">
        <v>1370</v>
      </c>
      <c r="G2267" s="20" t="s">
        <v>824</v>
      </c>
      <c r="H2267" s="23" t="s">
        <v>2691</v>
      </c>
      <c r="I2267" s="20" t="s">
        <v>905</v>
      </c>
      <c r="J2267" s="20">
        <v>252.0</v>
      </c>
      <c r="K2267" s="20">
        <v>0.0</v>
      </c>
      <c r="L2267" s="20">
        <v>0.0</v>
      </c>
      <c r="M2267" s="20">
        <v>252.0</v>
      </c>
      <c r="N2267" s="20">
        <v>0.0</v>
      </c>
      <c r="O2267" s="20">
        <v>6.0</v>
      </c>
      <c r="P2267" s="20">
        <v>30.0</v>
      </c>
      <c r="Q2267" s="20">
        <v>30.0</v>
      </c>
      <c r="R2267" s="20">
        <v>30.0</v>
      </c>
      <c r="S2267" s="20">
        <v>30.0</v>
      </c>
      <c r="T2267" s="20">
        <v>30.0</v>
      </c>
      <c r="U2267" s="20">
        <v>30.0</v>
      </c>
    </row>
    <row r="2268" ht="23.25" customHeight="1">
      <c r="A2268" s="17" t="str">
        <f>IF(COUNTIF('Icon Lookup'!C:C,B2268)&gt;0,LOOKUP(B2268,'Icon Lookup'!C:C,'Icon Lookup'!B:B),"")</f>
        <v/>
      </c>
      <c r="B2268" s="18" t="s">
        <v>471</v>
      </c>
      <c r="C2268" s="17" t="s">
        <v>17</v>
      </c>
      <c r="D2268" s="17">
        <v>64.0</v>
      </c>
      <c r="E2268" s="17" t="str">
        <f>IMAGE("https://www.serebii.net/itemdex/sprites/kingsrock.png")</f>
        <v/>
      </c>
      <c r="F2268" s="17" t="s">
        <v>1109</v>
      </c>
      <c r="G2268" s="17" t="s">
        <v>2571</v>
      </c>
      <c r="H2268" s="20" t="s">
        <v>2692</v>
      </c>
      <c r="I2268" s="17" t="s">
        <v>22</v>
      </c>
      <c r="J2268" s="17">
        <v>6.0</v>
      </c>
      <c r="K2268" s="17">
        <v>252.0</v>
      </c>
      <c r="L2268" s="17">
        <v>0.0</v>
      </c>
      <c r="M2268" s="17">
        <v>0.0</v>
      </c>
      <c r="N2268" s="17">
        <v>0.0</v>
      </c>
      <c r="O2268" s="17">
        <v>252.0</v>
      </c>
      <c r="P2268" s="17">
        <v>30.0</v>
      </c>
      <c r="Q2268" s="17">
        <v>30.0</v>
      </c>
      <c r="R2268" s="17">
        <v>30.0</v>
      </c>
      <c r="S2268" s="17">
        <v>30.0</v>
      </c>
      <c r="T2268" s="17">
        <v>30.0</v>
      </c>
      <c r="U2268" s="17">
        <v>30.0</v>
      </c>
    </row>
    <row r="2269" ht="23.25" customHeight="1">
      <c r="A2269" s="20" t="str">
        <f>IF(COUNTIF('Icon Lookup'!C:C,B2269)&gt;0,LOOKUP(B2269,'Icon Lookup'!C:C,'Icon Lookup'!B:B),"")</f>
        <v/>
      </c>
      <c r="B2269" s="21" t="s">
        <v>743</v>
      </c>
      <c r="C2269" s="20" t="s">
        <v>17</v>
      </c>
      <c r="D2269" s="20">
        <v>64.0</v>
      </c>
      <c r="E2269" s="20" t="str">
        <f>IMAGE("https://www.serebii.net/itemdex/sprites/leftovers.png")</f>
        <v/>
      </c>
      <c r="F2269" s="20" t="s">
        <v>511</v>
      </c>
      <c r="G2269" s="20" t="s">
        <v>859</v>
      </c>
      <c r="H2269" s="23" t="s">
        <v>2693</v>
      </c>
      <c r="I2269" s="20" t="s">
        <v>211</v>
      </c>
      <c r="J2269" s="20">
        <v>252.0</v>
      </c>
      <c r="K2269" s="20">
        <v>6.0</v>
      </c>
      <c r="L2269" s="20">
        <v>252.0</v>
      </c>
      <c r="M2269" s="20">
        <v>0.0</v>
      </c>
      <c r="N2269" s="20">
        <v>0.0</v>
      </c>
      <c r="O2269" s="20">
        <v>0.0</v>
      </c>
      <c r="P2269" s="20">
        <v>30.0</v>
      </c>
      <c r="Q2269" s="20">
        <v>30.0</v>
      </c>
      <c r="R2269" s="20">
        <v>30.0</v>
      </c>
      <c r="S2269" s="20">
        <v>30.0</v>
      </c>
      <c r="T2269" s="20">
        <v>30.0</v>
      </c>
      <c r="U2269" s="20">
        <v>30.0</v>
      </c>
    </row>
    <row r="2270" ht="23.25" customHeight="1">
      <c r="A2270" s="24" t="str">
        <f>IF(COUNTIF('Icon Lookup'!C:C,B2270)&gt;0,LOOKUP(B2270,'Icon Lookup'!C:C,'Icon Lookup'!B:B),"")</f>
        <v/>
      </c>
      <c r="B2270" s="25" t="s">
        <v>2694</v>
      </c>
      <c r="C2270" s="24" t="s">
        <v>804</v>
      </c>
      <c r="D2270" s="24">
        <v>65.0</v>
      </c>
      <c r="E2270" s="24" t="str">
        <f>IMAGE("https://www.serebii.net/itemdex/sprites/wikiberry.png")</f>
        <v/>
      </c>
      <c r="F2270" s="24" t="s">
        <v>525</v>
      </c>
      <c r="G2270" s="17" t="s">
        <v>2626</v>
      </c>
      <c r="H2270" s="20" t="s">
        <v>2695</v>
      </c>
      <c r="I2270" s="24" t="s">
        <v>105</v>
      </c>
      <c r="J2270" s="24">
        <v>6.0</v>
      </c>
      <c r="K2270" s="24">
        <v>0.0</v>
      </c>
      <c r="L2270" s="24">
        <v>0.0</v>
      </c>
      <c r="M2270" s="24">
        <v>252.0</v>
      </c>
      <c r="N2270" s="24">
        <v>252.0</v>
      </c>
      <c r="O2270" s="24">
        <v>0.0</v>
      </c>
      <c r="P2270" s="24">
        <v>30.0</v>
      </c>
      <c r="Q2270" s="24">
        <v>30.0</v>
      </c>
      <c r="R2270" s="24">
        <v>30.0</v>
      </c>
      <c r="S2270" s="24">
        <v>30.0</v>
      </c>
      <c r="T2270" s="24">
        <v>30.0</v>
      </c>
      <c r="U2270" s="24">
        <v>30.0</v>
      </c>
    </row>
    <row r="2271" ht="23.25" customHeight="1">
      <c r="A2271" s="24" t="str">
        <f>IF(COUNTIF('Icon Lookup'!C:C,B2271)&gt;0,LOOKUP(B2271,'Icon Lookup'!C:C,'Icon Lookup'!B:B),"")</f>
        <v/>
      </c>
      <c r="B2271" s="25" t="s">
        <v>2541</v>
      </c>
      <c r="C2271" s="24" t="s">
        <v>804</v>
      </c>
      <c r="D2271" s="24">
        <v>65.0</v>
      </c>
      <c r="E2271" s="24" t="str">
        <f>IMAGE("https://www.serebii.net/itemdex/sprites/lumberry.png")</f>
        <v/>
      </c>
      <c r="F2271" s="24" t="s">
        <v>1970</v>
      </c>
      <c r="G2271" s="20" t="s">
        <v>2533</v>
      </c>
      <c r="H2271" s="23" t="s">
        <v>2696</v>
      </c>
      <c r="I2271" s="24" t="s">
        <v>52</v>
      </c>
      <c r="J2271" s="24">
        <v>6.0</v>
      </c>
      <c r="K2271" s="24">
        <v>0.0</v>
      </c>
      <c r="L2271" s="24">
        <v>0.0</v>
      </c>
      <c r="M2271" s="24">
        <v>252.0</v>
      </c>
      <c r="N2271" s="24">
        <v>0.0</v>
      </c>
      <c r="O2271" s="24">
        <v>252.0</v>
      </c>
      <c r="P2271" s="24">
        <v>30.0</v>
      </c>
      <c r="Q2271" s="24">
        <v>30.0</v>
      </c>
      <c r="R2271" s="24">
        <v>30.0</v>
      </c>
      <c r="S2271" s="24">
        <v>30.0</v>
      </c>
      <c r="T2271" s="24">
        <v>30.0</v>
      </c>
      <c r="U2271" s="24">
        <v>30.0</v>
      </c>
    </row>
    <row r="2272" ht="23.25" customHeight="1">
      <c r="A2272" s="24" t="str">
        <f>IF(COUNTIF('Icon Lookup'!C:C,B2272)&gt;0,LOOKUP(B2272,'Icon Lookup'!C:C,'Icon Lookup'!B:B),"")</f>
        <v/>
      </c>
      <c r="B2272" s="25" t="s">
        <v>2565</v>
      </c>
      <c r="C2272" s="24" t="s">
        <v>804</v>
      </c>
      <c r="D2272" s="24">
        <v>65.0</v>
      </c>
      <c r="E2272" s="24" t="str">
        <f>IMAGE("https://www.serebii.net/itemdex/sprites/iapapaberry.png")</f>
        <v/>
      </c>
      <c r="F2272" s="24" t="s">
        <v>79</v>
      </c>
      <c r="G2272" s="17" t="s">
        <v>2697</v>
      </c>
      <c r="H2272" s="20" t="s">
        <v>2698</v>
      </c>
      <c r="I2272" s="24" t="s">
        <v>550</v>
      </c>
      <c r="J2272" s="24">
        <v>6.0</v>
      </c>
      <c r="K2272" s="24">
        <v>252.0</v>
      </c>
      <c r="L2272" s="24">
        <v>0.0</v>
      </c>
      <c r="M2272" s="24">
        <v>0.0</v>
      </c>
      <c r="N2272" s="24">
        <v>0.0</v>
      </c>
      <c r="O2272" s="24">
        <v>252.0</v>
      </c>
      <c r="P2272" s="24">
        <v>30.0</v>
      </c>
      <c r="Q2272" s="24">
        <v>30.0</v>
      </c>
      <c r="R2272" s="24">
        <v>30.0</v>
      </c>
      <c r="S2272" s="24">
        <v>30.0</v>
      </c>
      <c r="T2272" s="24">
        <v>30.0</v>
      </c>
      <c r="U2272" s="24">
        <v>30.0</v>
      </c>
    </row>
  </sheetData>
  <mergeCells count="1966">
    <mergeCell ref="I2:I3"/>
    <mergeCell ref="J2:O2"/>
    <mergeCell ref="A1:U1"/>
    <mergeCell ref="A2:B3"/>
    <mergeCell ref="C2:C3"/>
    <mergeCell ref="D2:D3"/>
    <mergeCell ref="G2:G3"/>
    <mergeCell ref="H2:H3"/>
    <mergeCell ref="P2:U2"/>
    <mergeCell ref="E2:F3"/>
    <mergeCell ref="D4:F4"/>
    <mergeCell ref="E5:F5"/>
    <mergeCell ref="D6:F6"/>
    <mergeCell ref="E7:F7"/>
    <mergeCell ref="D8:F8"/>
    <mergeCell ref="E9:F9"/>
    <mergeCell ref="E10:F10"/>
    <mergeCell ref="D11:F11"/>
    <mergeCell ref="E12:F12"/>
    <mergeCell ref="E13:F13"/>
    <mergeCell ref="D14:F14"/>
    <mergeCell ref="E15:F15"/>
    <mergeCell ref="E16:F16"/>
    <mergeCell ref="D17:F17"/>
    <mergeCell ref="E18:F18"/>
    <mergeCell ref="D19:F19"/>
    <mergeCell ref="E20:F20"/>
    <mergeCell ref="D21:F21"/>
    <mergeCell ref="E22:F22"/>
    <mergeCell ref="E23:F23"/>
    <mergeCell ref="D24:F24"/>
    <mergeCell ref="E25:F25"/>
    <mergeCell ref="E26:F26"/>
    <mergeCell ref="D27:F27"/>
    <mergeCell ref="E28:F28"/>
    <mergeCell ref="D29:F29"/>
    <mergeCell ref="E30:F30"/>
    <mergeCell ref="D31:F31"/>
    <mergeCell ref="E32:F32"/>
    <mergeCell ref="D33:F33"/>
    <mergeCell ref="E34:F34"/>
    <mergeCell ref="E35:F35"/>
    <mergeCell ref="D36:F36"/>
    <mergeCell ref="E37:F37"/>
    <mergeCell ref="E38:F38"/>
    <mergeCell ref="E39:F39"/>
    <mergeCell ref="E40:F40"/>
    <mergeCell ref="D41:F41"/>
    <mergeCell ref="E42:F42"/>
    <mergeCell ref="D43:F43"/>
    <mergeCell ref="E44:F44"/>
    <mergeCell ref="D45:F45"/>
    <mergeCell ref="E46:F46"/>
    <mergeCell ref="D47:F47"/>
    <mergeCell ref="E48:F48"/>
    <mergeCell ref="E49:F49"/>
    <mergeCell ref="E50:F50"/>
    <mergeCell ref="E51:F51"/>
    <mergeCell ref="E52:F52"/>
    <mergeCell ref="E53:F53"/>
    <mergeCell ref="D54:F54"/>
    <mergeCell ref="E55:F55"/>
    <mergeCell ref="D56:F56"/>
    <mergeCell ref="E57:F57"/>
    <mergeCell ref="E58:F58"/>
    <mergeCell ref="E59:F59"/>
    <mergeCell ref="D60:F60"/>
    <mergeCell ref="E61:F61"/>
    <mergeCell ref="D62:F62"/>
    <mergeCell ref="E63:F63"/>
    <mergeCell ref="D64:F64"/>
    <mergeCell ref="E65:F65"/>
    <mergeCell ref="E66:F66"/>
    <mergeCell ref="D67:F67"/>
    <mergeCell ref="E68:F68"/>
    <mergeCell ref="D69:F69"/>
    <mergeCell ref="E70:F70"/>
    <mergeCell ref="D71:F71"/>
    <mergeCell ref="E72:F72"/>
    <mergeCell ref="E73:F73"/>
    <mergeCell ref="D74:F74"/>
    <mergeCell ref="E75:F75"/>
    <mergeCell ref="D76:F76"/>
    <mergeCell ref="E77:F77"/>
    <mergeCell ref="E78:F78"/>
    <mergeCell ref="D79:F79"/>
    <mergeCell ref="E80:F80"/>
    <mergeCell ref="E81:F81"/>
    <mergeCell ref="E82:F82"/>
    <mergeCell ref="D83:F83"/>
    <mergeCell ref="E84:F84"/>
    <mergeCell ref="D85:F85"/>
    <mergeCell ref="E86:F86"/>
    <mergeCell ref="D87:F87"/>
    <mergeCell ref="E88:F88"/>
    <mergeCell ref="E89:F89"/>
    <mergeCell ref="E90:F90"/>
    <mergeCell ref="E91:F91"/>
    <mergeCell ref="D92:F92"/>
    <mergeCell ref="E93:F93"/>
    <mergeCell ref="E94:F94"/>
    <mergeCell ref="D95:F95"/>
    <mergeCell ref="E96:F96"/>
    <mergeCell ref="E97:F97"/>
    <mergeCell ref="D98:F98"/>
    <mergeCell ref="E99:F99"/>
    <mergeCell ref="E100:F100"/>
    <mergeCell ref="D101:F101"/>
    <mergeCell ref="E102:F102"/>
    <mergeCell ref="E103:F103"/>
    <mergeCell ref="E104:F104"/>
    <mergeCell ref="D105:F105"/>
    <mergeCell ref="E106:F106"/>
    <mergeCell ref="D107:F107"/>
    <mergeCell ref="E108:F108"/>
    <mergeCell ref="D109:F109"/>
    <mergeCell ref="E110:F110"/>
    <mergeCell ref="E111:F111"/>
    <mergeCell ref="D112:F112"/>
    <mergeCell ref="E113:F113"/>
    <mergeCell ref="E114:F114"/>
    <mergeCell ref="D115:F115"/>
    <mergeCell ref="E116:F116"/>
    <mergeCell ref="E117:F117"/>
    <mergeCell ref="D118:F118"/>
    <mergeCell ref="E119:F119"/>
    <mergeCell ref="E120:F120"/>
    <mergeCell ref="E121:F121"/>
    <mergeCell ref="D122:F122"/>
    <mergeCell ref="E123:F123"/>
    <mergeCell ref="E124:F124"/>
    <mergeCell ref="E125:F125"/>
    <mergeCell ref="D126:F126"/>
    <mergeCell ref="E127:F127"/>
    <mergeCell ref="E128:F128"/>
    <mergeCell ref="E129:F129"/>
    <mergeCell ref="E130:F130"/>
    <mergeCell ref="E131:F131"/>
    <mergeCell ref="D132:F132"/>
    <mergeCell ref="E133:F133"/>
    <mergeCell ref="D134:F134"/>
    <mergeCell ref="E135:F135"/>
    <mergeCell ref="E178:F178"/>
    <mergeCell ref="E179:F179"/>
    <mergeCell ref="D180:F180"/>
    <mergeCell ref="E181:F181"/>
    <mergeCell ref="D182:F182"/>
    <mergeCell ref="E183:F183"/>
    <mergeCell ref="D184:F184"/>
    <mergeCell ref="E185:F185"/>
    <mergeCell ref="D186:F186"/>
    <mergeCell ref="E187:F187"/>
    <mergeCell ref="E188:F188"/>
    <mergeCell ref="E189:F189"/>
    <mergeCell ref="D190:F190"/>
    <mergeCell ref="E191:F191"/>
    <mergeCell ref="D136:F136"/>
    <mergeCell ref="E137:F137"/>
    <mergeCell ref="D138:F138"/>
    <mergeCell ref="E139:F139"/>
    <mergeCell ref="D140:F140"/>
    <mergeCell ref="E141:F141"/>
    <mergeCell ref="E142:F142"/>
    <mergeCell ref="E143:F143"/>
    <mergeCell ref="D144:F144"/>
    <mergeCell ref="E145:F145"/>
    <mergeCell ref="E146:F146"/>
    <mergeCell ref="E147:F147"/>
    <mergeCell ref="D148:F148"/>
    <mergeCell ref="E149:F149"/>
    <mergeCell ref="D150:F150"/>
    <mergeCell ref="E151:F151"/>
    <mergeCell ref="D152:F152"/>
    <mergeCell ref="E153:F153"/>
    <mergeCell ref="E154:F154"/>
    <mergeCell ref="E155:F155"/>
    <mergeCell ref="D156:F156"/>
    <mergeCell ref="E157:F157"/>
    <mergeCell ref="E158:F158"/>
    <mergeCell ref="D159:F159"/>
    <mergeCell ref="E160:F160"/>
    <mergeCell ref="E161:F161"/>
    <mergeCell ref="E162:F162"/>
    <mergeCell ref="D163:F163"/>
    <mergeCell ref="E164:F164"/>
    <mergeCell ref="D165:F165"/>
    <mergeCell ref="E166:F166"/>
    <mergeCell ref="E167:F167"/>
    <mergeCell ref="E168:F168"/>
    <mergeCell ref="E169:F169"/>
    <mergeCell ref="D170:F170"/>
    <mergeCell ref="E171:F171"/>
    <mergeCell ref="E172:F172"/>
    <mergeCell ref="D173:F173"/>
    <mergeCell ref="E174:F174"/>
    <mergeCell ref="D175:F175"/>
    <mergeCell ref="E176:F176"/>
    <mergeCell ref="D177:F177"/>
    <mergeCell ref="E192:F192"/>
    <mergeCell ref="E193:F193"/>
    <mergeCell ref="D194:F194"/>
    <mergeCell ref="E195:F195"/>
    <mergeCell ref="E196:F196"/>
    <mergeCell ref="D197:F197"/>
    <mergeCell ref="E198:F198"/>
    <mergeCell ref="E241:F241"/>
    <mergeCell ref="E242:F242"/>
    <mergeCell ref="E243:F243"/>
    <mergeCell ref="D244:F244"/>
    <mergeCell ref="E245:F245"/>
    <mergeCell ref="E246:F246"/>
    <mergeCell ref="D247:F247"/>
    <mergeCell ref="E248:F248"/>
    <mergeCell ref="E249:F249"/>
    <mergeCell ref="D250:F250"/>
    <mergeCell ref="E251:F251"/>
    <mergeCell ref="E252:F252"/>
    <mergeCell ref="D253:F253"/>
    <mergeCell ref="E254:F254"/>
    <mergeCell ref="D199:F199"/>
    <mergeCell ref="E200:F200"/>
    <mergeCell ref="D201:F201"/>
    <mergeCell ref="E202:F202"/>
    <mergeCell ref="D203:F203"/>
    <mergeCell ref="E204:F204"/>
    <mergeCell ref="D205:F205"/>
    <mergeCell ref="E206:F206"/>
    <mergeCell ref="D207:F207"/>
    <mergeCell ref="E208:F208"/>
    <mergeCell ref="E209:F209"/>
    <mergeCell ref="D210:F210"/>
    <mergeCell ref="E211:F211"/>
    <mergeCell ref="E212:F212"/>
    <mergeCell ref="D213:F213"/>
    <mergeCell ref="E214:F214"/>
    <mergeCell ref="E215:F215"/>
    <mergeCell ref="D216:F216"/>
    <mergeCell ref="E217:F217"/>
    <mergeCell ref="D218:F218"/>
    <mergeCell ref="E219:F219"/>
    <mergeCell ref="E220:F220"/>
    <mergeCell ref="D221:F221"/>
    <mergeCell ref="E222:F222"/>
    <mergeCell ref="E223:F223"/>
    <mergeCell ref="E224:F224"/>
    <mergeCell ref="E225:F225"/>
    <mergeCell ref="D226:F226"/>
    <mergeCell ref="E227:F227"/>
    <mergeCell ref="E228:F228"/>
    <mergeCell ref="D229:F229"/>
    <mergeCell ref="E230:F230"/>
    <mergeCell ref="E231:F231"/>
    <mergeCell ref="D232:F232"/>
    <mergeCell ref="E233:F233"/>
    <mergeCell ref="E234:F234"/>
    <mergeCell ref="D235:F235"/>
    <mergeCell ref="E236:F236"/>
    <mergeCell ref="D237:F237"/>
    <mergeCell ref="E238:F238"/>
    <mergeCell ref="E239:F239"/>
    <mergeCell ref="D240:F240"/>
    <mergeCell ref="E255:F255"/>
    <mergeCell ref="E256:F256"/>
    <mergeCell ref="D257:F257"/>
    <mergeCell ref="E258:F258"/>
    <mergeCell ref="D259:F259"/>
    <mergeCell ref="E260:F260"/>
    <mergeCell ref="E261:F261"/>
    <mergeCell ref="D262:F262"/>
    <mergeCell ref="E263:F263"/>
    <mergeCell ref="E264:F264"/>
    <mergeCell ref="E265:F265"/>
    <mergeCell ref="D266:F266"/>
    <mergeCell ref="E267:F267"/>
    <mergeCell ref="E268:F268"/>
    <mergeCell ref="E269:F269"/>
    <mergeCell ref="D270:F270"/>
    <mergeCell ref="E271:F271"/>
    <mergeCell ref="D272:F272"/>
    <mergeCell ref="E273:F273"/>
    <mergeCell ref="E274:F274"/>
    <mergeCell ref="D275:F275"/>
    <mergeCell ref="E276:F276"/>
    <mergeCell ref="E277:F277"/>
    <mergeCell ref="E278:F278"/>
    <mergeCell ref="D279:F279"/>
    <mergeCell ref="E280:F280"/>
    <mergeCell ref="E281:F281"/>
    <mergeCell ref="E282:F282"/>
    <mergeCell ref="D283:F283"/>
    <mergeCell ref="E284:F284"/>
    <mergeCell ref="E285:F285"/>
    <mergeCell ref="E286:F286"/>
    <mergeCell ref="D287:F287"/>
    <mergeCell ref="E288:F288"/>
    <mergeCell ref="D289:F289"/>
    <mergeCell ref="E290:F290"/>
    <mergeCell ref="E291:F291"/>
    <mergeCell ref="E292:F292"/>
    <mergeCell ref="D293:F293"/>
    <mergeCell ref="E294:F294"/>
    <mergeCell ref="D295:F295"/>
    <mergeCell ref="E296:F296"/>
    <mergeCell ref="E297:F297"/>
    <mergeCell ref="D298:F298"/>
    <mergeCell ref="E299:F299"/>
    <mergeCell ref="E300:F300"/>
    <mergeCell ref="E301:F301"/>
    <mergeCell ref="D302:F302"/>
    <mergeCell ref="E303:F303"/>
    <mergeCell ref="D304:F304"/>
    <mergeCell ref="E305:F305"/>
    <mergeCell ref="E306:F306"/>
    <mergeCell ref="E307:F307"/>
    <mergeCell ref="D308:F308"/>
    <mergeCell ref="E309:F309"/>
    <mergeCell ref="E310:F310"/>
    <mergeCell ref="E353:F353"/>
    <mergeCell ref="D354:F354"/>
    <mergeCell ref="E355:F355"/>
    <mergeCell ref="E356:F356"/>
    <mergeCell ref="E357:F357"/>
    <mergeCell ref="E358:F358"/>
    <mergeCell ref="E359:F359"/>
    <mergeCell ref="D360:F360"/>
    <mergeCell ref="E361:F361"/>
    <mergeCell ref="E362:F362"/>
    <mergeCell ref="E363:F363"/>
    <mergeCell ref="D364:F364"/>
    <mergeCell ref="E365:F365"/>
    <mergeCell ref="D366:F366"/>
    <mergeCell ref="E311:F311"/>
    <mergeCell ref="D312:F312"/>
    <mergeCell ref="E313:F313"/>
    <mergeCell ref="D314:F314"/>
    <mergeCell ref="E315:F315"/>
    <mergeCell ref="E316:F316"/>
    <mergeCell ref="D317:F317"/>
    <mergeCell ref="E318:F318"/>
    <mergeCell ref="D319:F319"/>
    <mergeCell ref="E320:F320"/>
    <mergeCell ref="E321:F321"/>
    <mergeCell ref="E322:F322"/>
    <mergeCell ref="D323:F323"/>
    <mergeCell ref="E324:F324"/>
    <mergeCell ref="E325:F325"/>
    <mergeCell ref="D326:F326"/>
    <mergeCell ref="E327:F327"/>
    <mergeCell ref="E328:F328"/>
    <mergeCell ref="E329:F329"/>
    <mergeCell ref="E330:F330"/>
    <mergeCell ref="D331:F331"/>
    <mergeCell ref="E332:F332"/>
    <mergeCell ref="E333:F333"/>
    <mergeCell ref="D334:F334"/>
    <mergeCell ref="E335:F335"/>
    <mergeCell ref="E336:F336"/>
    <mergeCell ref="D337:F337"/>
    <mergeCell ref="E338:F338"/>
    <mergeCell ref="D339:F339"/>
    <mergeCell ref="E340:F340"/>
    <mergeCell ref="E341:F341"/>
    <mergeCell ref="E342:F342"/>
    <mergeCell ref="E343:F343"/>
    <mergeCell ref="D344:F344"/>
    <mergeCell ref="E345:F345"/>
    <mergeCell ref="E346:F346"/>
    <mergeCell ref="D347:F347"/>
    <mergeCell ref="E348:F348"/>
    <mergeCell ref="E349:F349"/>
    <mergeCell ref="E350:F350"/>
    <mergeCell ref="D351:F351"/>
    <mergeCell ref="E352:F352"/>
    <mergeCell ref="E367:F367"/>
    <mergeCell ref="E368:F368"/>
    <mergeCell ref="D369:F369"/>
    <mergeCell ref="E370:F370"/>
    <mergeCell ref="E371:F371"/>
    <mergeCell ref="E372:F372"/>
    <mergeCell ref="E373:F373"/>
    <mergeCell ref="D374:F374"/>
    <mergeCell ref="E375:F375"/>
    <mergeCell ref="E376:F376"/>
    <mergeCell ref="D377:F377"/>
    <mergeCell ref="E378:F378"/>
    <mergeCell ref="E379:F379"/>
    <mergeCell ref="E380:F380"/>
    <mergeCell ref="D381:F381"/>
    <mergeCell ref="E382:F382"/>
    <mergeCell ref="E383:F383"/>
    <mergeCell ref="D384:F384"/>
    <mergeCell ref="E385:F385"/>
    <mergeCell ref="D386:F386"/>
    <mergeCell ref="E387:F387"/>
    <mergeCell ref="E388:F388"/>
    <mergeCell ref="E389:F389"/>
    <mergeCell ref="D390:F390"/>
    <mergeCell ref="E391:F391"/>
    <mergeCell ref="E392:F392"/>
    <mergeCell ref="D393:F393"/>
    <mergeCell ref="E394:F394"/>
    <mergeCell ref="E395:F395"/>
    <mergeCell ref="E396:F396"/>
    <mergeCell ref="D397:F397"/>
    <mergeCell ref="E398:F398"/>
    <mergeCell ref="E399:F399"/>
    <mergeCell ref="E400:F400"/>
    <mergeCell ref="D401:F401"/>
    <mergeCell ref="E402:F402"/>
    <mergeCell ref="E403:F403"/>
    <mergeCell ref="D404:F404"/>
    <mergeCell ref="E405:F405"/>
    <mergeCell ref="E406:F406"/>
    <mergeCell ref="E407:F407"/>
    <mergeCell ref="E408:F408"/>
    <mergeCell ref="D409:F409"/>
    <mergeCell ref="E410:F410"/>
    <mergeCell ref="E411:F411"/>
    <mergeCell ref="E412:F412"/>
    <mergeCell ref="D413:F413"/>
    <mergeCell ref="E414:F414"/>
    <mergeCell ref="E415:F415"/>
    <mergeCell ref="E416:F416"/>
    <mergeCell ref="D417:F417"/>
    <mergeCell ref="E418:F418"/>
    <mergeCell ref="E419:F419"/>
    <mergeCell ref="D420:F420"/>
    <mergeCell ref="E421:F421"/>
    <mergeCell ref="D422:F422"/>
    <mergeCell ref="E423:F423"/>
    <mergeCell ref="E424:F424"/>
    <mergeCell ref="D425:F425"/>
    <mergeCell ref="E426:F426"/>
    <mergeCell ref="E427:F427"/>
    <mergeCell ref="E428:F428"/>
    <mergeCell ref="D429:F429"/>
    <mergeCell ref="E430:F430"/>
    <mergeCell ref="D431:F431"/>
    <mergeCell ref="E432:F432"/>
    <mergeCell ref="E433:F433"/>
    <mergeCell ref="E434:F434"/>
    <mergeCell ref="D435:F435"/>
    <mergeCell ref="E436:F436"/>
    <mergeCell ref="D437:F437"/>
    <mergeCell ref="E438:F438"/>
    <mergeCell ref="E439:F439"/>
    <mergeCell ref="D440:F440"/>
    <mergeCell ref="E441:F441"/>
    <mergeCell ref="E442:F442"/>
    <mergeCell ref="E443:F443"/>
    <mergeCell ref="D444:F444"/>
    <mergeCell ref="E445:F445"/>
    <mergeCell ref="E446:F446"/>
    <mergeCell ref="D447:F447"/>
    <mergeCell ref="E448:F448"/>
    <mergeCell ref="E449:F449"/>
    <mergeCell ref="D450:F450"/>
    <mergeCell ref="E451:F451"/>
    <mergeCell ref="D452:F452"/>
    <mergeCell ref="E453:F453"/>
    <mergeCell ref="E454:F454"/>
    <mergeCell ref="D455:F455"/>
    <mergeCell ref="E456:F456"/>
    <mergeCell ref="D457:F457"/>
    <mergeCell ref="E458:F458"/>
    <mergeCell ref="E459:F459"/>
    <mergeCell ref="E460:F460"/>
    <mergeCell ref="D461:F461"/>
    <mergeCell ref="E462:F462"/>
    <mergeCell ref="E463:F463"/>
    <mergeCell ref="E464:F464"/>
    <mergeCell ref="D465:F465"/>
    <mergeCell ref="E466:F466"/>
    <mergeCell ref="E467:F467"/>
    <mergeCell ref="D468:F468"/>
    <mergeCell ref="E469:F469"/>
    <mergeCell ref="D470:F470"/>
    <mergeCell ref="E471:F471"/>
    <mergeCell ref="D472:F472"/>
    <mergeCell ref="E473:F473"/>
    <mergeCell ref="D474:F474"/>
    <mergeCell ref="E475:F475"/>
    <mergeCell ref="E476:F476"/>
    <mergeCell ref="E477:F477"/>
    <mergeCell ref="D478:F478"/>
    <mergeCell ref="E479:F479"/>
    <mergeCell ref="D480:F480"/>
    <mergeCell ref="E481:F481"/>
    <mergeCell ref="E482:F482"/>
    <mergeCell ref="D483:F483"/>
    <mergeCell ref="E484:F484"/>
    <mergeCell ref="E485:F485"/>
    <mergeCell ref="D486:F486"/>
    <mergeCell ref="E487:F487"/>
    <mergeCell ref="E488:F488"/>
    <mergeCell ref="E489:F489"/>
    <mergeCell ref="D490:F490"/>
    <mergeCell ref="E491:F491"/>
    <mergeCell ref="E492:F492"/>
    <mergeCell ref="D493:F493"/>
    <mergeCell ref="E494:F494"/>
    <mergeCell ref="D495:F495"/>
    <mergeCell ref="E496:F496"/>
    <mergeCell ref="E497:F497"/>
    <mergeCell ref="E498:F498"/>
    <mergeCell ref="D499:F499"/>
    <mergeCell ref="E500:F500"/>
    <mergeCell ref="E501:F501"/>
    <mergeCell ref="D502:F502"/>
    <mergeCell ref="E503:F503"/>
    <mergeCell ref="E504:F504"/>
    <mergeCell ref="D505:F505"/>
    <mergeCell ref="E506:F506"/>
    <mergeCell ref="E507:F507"/>
    <mergeCell ref="E508:F508"/>
    <mergeCell ref="D509:F509"/>
    <mergeCell ref="E510:F510"/>
    <mergeCell ref="E511:F511"/>
    <mergeCell ref="D512:F512"/>
    <mergeCell ref="E513:F513"/>
    <mergeCell ref="D514:F514"/>
    <mergeCell ref="E515:F515"/>
    <mergeCell ref="D516:F516"/>
    <mergeCell ref="E517:F517"/>
    <mergeCell ref="D518:F518"/>
    <mergeCell ref="E519:F519"/>
    <mergeCell ref="D520:F520"/>
    <mergeCell ref="E521:F521"/>
    <mergeCell ref="E522:F522"/>
    <mergeCell ref="E523:F523"/>
    <mergeCell ref="D524:F524"/>
    <mergeCell ref="E525:F525"/>
    <mergeCell ref="D526:F526"/>
    <mergeCell ref="E527:F527"/>
    <mergeCell ref="E528:F528"/>
    <mergeCell ref="D529:F529"/>
    <mergeCell ref="E530:F530"/>
    <mergeCell ref="E531:F531"/>
    <mergeCell ref="E532:F532"/>
    <mergeCell ref="D533:F533"/>
    <mergeCell ref="E534:F534"/>
    <mergeCell ref="E535:F535"/>
    <mergeCell ref="D536:F536"/>
    <mergeCell ref="E537:F537"/>
    <mergeCell ref="E538:F538"/>
    <mergeCell ref="D539:F539"/>
    <mergeCell ref="E540:F540"/>
    <mergeCell ref="E541:F541"/>
    <mergeCell ref="D542:F542"/>
    <mergeCell ref="E543:F543"/>
    <mergeCell ref="D546:F546"/>
    <mergeCell ref="E547:F547"/>
    <mergeCell ref="E548:F548"/>
    <mergeCell ref="E549:F549"/>
    <mergeCell ref="D550:F550"/>
    <mergeCell ref="E551:F551"/>
    <mergeCell ref="D552:F552"/>
    <mergeCell ref="E553:F553"/>
    <mergeCell ref="D554:F554"/>
    <mergeCell ref="E555:F555"/>
    <mergeCell ref="E556:F556"/>
    <mergeCell ref="E557:F557"/>
    <mergeCell ref="D558:F558"/>
    <mergeCell ref="E559:F559"/>
    <mergeCell ref="D560:F560"/>
    <mergeCell ref="D566:F566"/>
    <mergeCell ref="D572:F572"/>
    <mergeCell ref="D578:F578"/>
    <mergeCell ref="D584:F584"/>
    <mergeCell ref="E585:F585"/>
    <mergeCell ref="D586:F586"/>
    <mergeCell ref="E587:F587"/>
    <mergeCell ref="E588:F588"/>
    <mergeCell ref="E589:F589"/>
    <mergeCell ref="D590:F590"/>
    <mergeCell ref="D597:F597"/>
    <mergeCell ref="E640:F640"/>
    <mergeCell ref="E641:F641"/>
    <mergeCell ref="D642:F642"/>
    <mergeCell ref="E643:F643"/>
    <mergeCell ref="E644:F644"/>
    <mergeCell ref="D645:F645"/>
    <mergeCell ref="E646:F646"/>
    <mergeCell ref="E647:F647"/>
    <mergeCell ref="D648:F648"/>
    <mergeCell ref="E649:F649"/>
    <mergeCell ref="D650:F650"/>
    <mergeCell ref="E651:F651"/>
    <mergeCell ref="E652:F652"/>
    <mergeCell ref="D653:F653"/>
    <mergeCell ref="E598:F598"/>
    <mergeCell ref="E599:F599"/>
    <mergeCell ref="D600:F600"/>
    <mergeCell ref="E601:F601"/>
    <mergeCell ref="D602:F602"/>
    <mergeCell ref="E603:F603"/>
    <mergeCell ref="E604:F604"/>
    <mergeCell ref="E605:F605"/>
    <mergeCell ref="D606:F606"/>
    <mergeCell ref="E607:F607"/>
    <mergeCell ref="E608:F608"/>
    <mergeCell ref="D609:F609"/>
    <mergeCell ref="E610:F610"/>
    <mergeCell ref="E611:F611"/>
    <mergeCell ref="E612:F612"/>
    <mergeCell ref="D613:F613"/>
    <mergeCell ref="E614:F614"/>
    <mergeCell ref="E615:F615"/>
    <mergeCell ref="E616:F616"/>
    <mergeCell ref="D617:F617"/>
    <mergeCell ref="E618:F618"/>
    <mergeCell ref="E619:F619"/>
    <mergeCell ref="E620:F620"/>
    <mergeCell ref="D621:F621"/>
    <mergeCell ref="E622:F622"/>
    <mergeCell ref="E623:F623"/>
    <mergeCell ref="E624:F624"/>
    <mergeCell ref="D625:F625"/>
    <mergeCell ref="E626:F626"/>
    <mergeCell ref="E627:F627"/>
    <mergeCell ref="E628:F628"/>
    <mergeCell ref="D629:F629"/>
    <mergeCell ref="E630:F630"/>
    <mergeCell ref="E631:F631"/>
    <mergeCell ref="D632:F632"/>
    <mergeCell ref="E633:F633"/>
    <mergeCell ref="E634:F634"/>
    <mergeCell ref="D635:F635"/>
    <mergeCell ref="E636:F636"/>
    <mergeCell ref="E637:F637"/>
    <mergeCell ref="D638:F638"/>
    <mergeCell ref="E639:F639"/>
    <mergeCell ref="E654:F654"/>
    <mergeCell ref="E655:F655"/>
    <mergeCell ref="D656:F656"/>
    <mergeCell ref="E657:F657"/>
    <mergeCell ref="D658:F658"/>
    <mergeCell ref="E659:F659"/>
    <mergeCell ref="E660:F660"/>
    <mergeCell ref="D661:F661"/>
    <mergeCell ref="E662:F662"/>
    <mergeCell ref="E663:F663"/>
    <mergeCell ref="D664:F664"/>
    <mergeCell ref="E665:F665"/>
    <mergeCell ref="E666:F666"/>
    <mergeCell ref="D667:F667"/>
    <mergeCell ref="E668:F668"/>
    <mergeCell ref="D669:F669"/>
    <mergeCell ref="E670:F670"/>
    <mergeCell ref="D671:F671"/>
    <mergeCell ref="E672:F672"/>
    <mergeCell ref="E673:F673"/>
    <mergeCell ref="E674:F674"/>
    <mergeCell ref="D675:F675"/>
    <mergeCell ref="E676:F676"/>
    <mergeCell ref="E677:F677"/>
    <mergeCell ref="E678:F678"/>
    <mergeCell ref="D679:F679"/>
    <mergeCell ref="E680:F680"/>
    <mergeCell ref="D681:F681"/>
    <mergeCell ref="E682:F682"/>
    <mergeCell ref="D683:F683"/>
    <mergeCell ref="E684:F684"/>
    <mergeCell ref="D686:F686"/>
    <mergeCell ref="E687:F687"/>
    <mergeCell ref="E688:F688"/>
    <mergeCell ref="D689:F689"/>
    <mergeCell ref="E690:F690"/>
    <mergeCell ref="D691:F691"/>
    <mergeCell ref="E692:F692"/>
    <mergeCell ref="D693:F693"/>
    <mergeCell ref="E694:F694"/>
    <mergeCell ref="E695:F695"/>
    <mergeCell ref="D696:F696"/>
    <mergeCell ref="E697:F697"/>
    <mergeCell ref="D698:F698"/>
    <mergeCell ref="E699:F699"/>
    <mergeCell ref="D700:F700"/>
    <mergeCell ref="E701:F701"/>
    <mergeCell ref="E702:F702"/>
    <mergeCell ref="D703:F703"/>
    <mergeCell ref="E704:F704"/>
    <mergeCell ref="D705:F705"/>
    <mergeCell ref="E706:F706"/>
    <mergeCell ref="E707:F707"/>
    <mergeCell ref="D708:F708"/>
    <mergeCell ref="E709:F709"/>
    <mergeCell ref="D710:F710"/>
    <mergeCell ref="D772:F772"/>
    <mergeCell ref="E773:F773"/>
    <mergeCell ref="D774:F774"/>
    <mergeCell ref="E775:F775"/>
    <mergeCell ref="E776:F776"/>
    <mergeCell ref="D777:F777"/>
    <mergeCell ref="E778:F778"/>
    <mergeCell ref="E779:F779"/>
    <mergeCell ref="D780:F780"/>
    <mergeCell ref="E781:F781"/>
    <mergeCell ref="D782:F782"/>
    <mergeCell ref="E783:F783"/>
    <mergeCell ref="E784:F784"/>
    <mergeCell ref="D785:F785"/>
    <mergeCell ref="E711:F711"/>
    <mergeCell ref="D712:F712"/>
    <mergeCell ref="E713:F713"/>
    <mergeCell ref="E714:F714"/>
    <mergeCell ref="E715:F715"/>
    <mergeCell ref="D716:F716"/>
    <mergeCell ref="E717:F717"/>
    <mergeCell ref="D718:F718"/>
    <mergeCell ref="E719:F719"/>
    <mergeCell ref="E720:F720"/>
    <mergeCell ref="E721:F721"/>
    <mergeCell ref="D722:F722"/>
    <mergeCell ref="E723:F723"/>
    <mergeCell ref="E724:F724"/>
    <mergeCell ref="E725:F725"/>
    <mergeCell ref="D726:F726"/>
    <mergeCell ref="E727:F727"/>
    <mergeCell ref="D728:F728"/>
    <mergeCell ref="E729:F729"/>
    <mergeCell ref="E730:F730"/>
    <mergeCell ref="D731:F731"/>
    <mergeCell ref="E732:F732"/>
    <mergeCell ref="E733:F733"/>
    <mergeCell ref="D734:F734"/>
    <mergeCell ref="E735:F735"/>
    <mergeCell ref="D736:F736"/>
    <mergeCell ref="E737:F737"/>
    <mergeCell ref="D740:F740"/>
    <mergeCell ref="D744:F744"/>
    <mergeCell ref="D748:F748"/>
    <mergeCell ref="D752:F752"/>
    <mergeCell ref="D757:F757"/>
    <mergeCell ref="D762:F762"/>
    <mergeCell ref="E763:F763"/>
    <mergeCell ref="E764:F764"/>
    <mergeCell ref="D765:F765"/>
    <mergeCell ref="E766:F766"/>
    <mergeCell ref="E767:F767"/>
    <mergeCell ref="E768:F768"/>
    <mergeCell ref="D769:F769"/>
    <mergeCell ref="E770:F770"/>
    <mergeCell ref="E771:F771"/>
    <mergeCell ref="E786:F786"/>
    <mergeCell ref="E787:F787"/>
    <mergeCell ref="D788:F788"/>
    <mergeCell ref="E789:F789"/>
    <mergeCell ref="E790:F790"/>
    <mergeCell ref="E791:F791"/>
    <mergeCell ref="E792:F792"/>
    <mergeCell ref="D793:F793"/>
    <mergeCell ref="E794:F794"/>
    <mergeCell ref="E795:F795"/>
    <mergeCell ref="D796:F796"/>
    <mergeCell ref="E797:F797"/>
    <mergeCell ref="E798:F798"/>
    <mergeCell ref="D799:F799"/>
    <mergeCell ref="E800:F800"/>
    <mergeCell ref="D801:F801"/>
    <mergeCell ref="E802:F802"/>
    <mergeCell ref="D803:F803"/>
    <mergeCell ref="E804:F804"/>
    <mergeCell ref="E805:F805"/>
    <mergeCell ref="D806:F806"/>
    <mergeCell ref="E807:F807"/>
    <mergeCell ref="E808:F808"/>
    <mergeCell ref="D809:F809"/>
    <mergeCell ref="E810:F810"/>
    <mergeCell ref="D811:F811"/>
    <mergeCell ref="E812:F812"/>
    <mergeCell ref="D813:F813"/>
    <mergeCell ref="E814:F814"/>
    <mergeCell ref="D815:F815"/>
    <mergeCell ref="E816:F816"/>
    <mergeCell ref="E817:F817"/>
    <mergeCell ref="D818:F818"/>
    <mergeCell ref="E819:F819"/>
    <mergeCell ref="D820:F820"/>
    <mergeCell ref="E821:F821"/>
    <mergeCell ref="D822:F822"/>
    <mergeCell ref="E823:F823"/>
    <mergeCell ref="D824:F824"/>
    <mergeCell ref="E825:F825"/>
    <mergeCell ref="D826:F826"/>
    <mergeCell ref="E827:F827"/>
    <mergeCell ref="D828:F828"/>
    <mergeCell ref="E829:F829"/>
    <mergeCell ref="D830:F830"/>
    <mergeCell ref="E831:F831"/>
    <mergeCell ref="E832:F832"/>
    <mergeCell ref="D833:F833"/>
    <mergeCell ref="E834:F834"/>
    <mergeCell ref="E835:F835"/>
    <mergeCell ref="D836:F836"/>
    <mergeCell ref="E837:F837"/>
    <mergeCell ref="D838:F838"/>
    <mergeCell ref="E839:F839"/>
    <mergeCell ref="E840:F840"/>
    <mergeCell ref="D841:F841"/>
    <mergeCell ref="E842:F842"/>
    <mergeCell ref="D843:F843"/>
    <mergeCell ref="E844:F844"/>
    <mergeCell ref="E845:F845"/>
    <mergeCell ref="E846:F846"/>
    <mergeCell ref="D847:F847"/>
    <mergeCell ref="E848:F848"/>
    <mergeCell ref="D849:F849"/>
    <mergeCell ref="E850:F850"/>
    <mergeCell ref="E851:F851"/>
    <mergeCell ref="D852:F852"/>
    <mergeCell ref="E853:F853"/>
    <mergeCell ref="D854:F854"/>
    <mergeCell ref="E855:F855"/>
    <mergeCell ref="D856:F856"/>
    <mergeCell ref="E857:F857"/>
    <mergeCell ref="D858:F858"/>
    <mergeCell ref="E859:F859"/>
    <mergeCell ref="D860:F860"/>
    <mergeCell ref="E861:F861"/>
    <mergeCell ref="E862:F862"/>
    <mergeCell ref="D863:F863"/>
    <mergeCell ref="E864:F864"/>
    <mergeCell ref="D865:F865"/>
    <mergeCell ref="E866:F866"/>
    <mergeCell ref="E867:F867"/>
    <mergeCell ref="D868:F868"/>
    <mergeCell ref="E869:F869"/>
    <mergeCell ref="D870:F870"/>
    <mergeCell ref="E871:F871"/>
    <mergeCell ref="E872:F872"/>
    <mergeCell ref="D873:F873"/>
    <mergeCell ref="E874:F874"/>
    <mergeCell ref="E875:F875"/>
    <mergeCell ref="D876:F876"/>
    <mergeCell ref="E877:F877"/>
    <mergeCell ref="E878:F878"/>
    <mergeCell ref="D879:F879"/>
    <mergeCell ref="E880:F880"/>
    <mergeCell ref="E881:F881"/>
    <mergeCell ref="E882:F882"/>
    <mergeCell ref="D883:F883"/>
    <mergeCell ref="E884:F884"/>
    <mergeCell ref="E885:F885"/>
    <mergeCell ref="E886:F886"/>
    <mergeCell ref="D887:F887"/>
    <mergeCell ref="E888:F888"/>
    <mergeCell ref="E889:F889"/>
    <mergeCell ref="E890:F890"/>
    <mergeCell ref="D891:F891"/>
    <mergeCell ref="E892:F892"/>
    <mergeCell ref="E893:F893"/>
    <mergeCell ref="D894:F894"/>
    <mergeCell ref="E895:F895"/>
    <mergeCell ref="E896:F896"/>
    <mergeCell ref="E897:F897"/>
    <mergeCell ref="D898:F898"/>
    <mergeCell ref="E899:F899"/>
    <mergeCell ref="E900:F900"/>
    <mergeCell ref="E901:F901"/>
    <mergeCell ref="D902:F902"/>
    <mergeCell ref="E903:F903"/>
    <mergeCell ref="E904:F904"/>
    <mergeCell ref="D905:F905"/>
    <mergeCell ref="E906:F906"/>
    <mergeCell ref="E907:F907"/>
    <mergeCell ref="D908:F908"/>
    <mergeCell ref="E909:F909"/>
    <mergeCell ref="E910:F910"/>
    <mergeCell ref="E911:F911"/>
    <mergeCell ref="D912:F912"/>
    <mergeCell ref="E913:F913"/>
    <mergeCell ref="E914:F914"/>
    <mergeCell ref="E915:F915"/>
    <mergeCell ref="D916:F916"/>
    <mergeCell ref="E917:F917"/>
    <mergeCell ref="D918:F918"/>
    <mergeCell ref="E919:F919"/>
    <mergeCell ref="D920:F920"/>
    <mergeCell ref="E921:F921"/>
    <mergeCell ref="D922:F922"/>
    <mergeCell ref="E923:F923"/>
    <mergeCell ref="D924:F924"/>
    <mergeCell ref="E925:F925"/>
    <mergeCell ref="E926:F926"/>
    <mergeCell ref="D927:F927"/>
    <mergeCell ref="E928:F928"/>
    <mergeCell ref="E929:F929"/>
    <mergeCell ref="D930:F930"/>
    <mergeCell ref="E931:F931"/>
    <mergeCell ref="D932:F932"/>
    <mergeCell ref="E933:F933"/>
    <mergeCell ref="E934:F934"/>
    <mergeCell ref="D936:F936"/>
    <mergeCell ref="D941:F941"/>
    <mergeCell ref="E942:F942"/>
    <mergeCell ref="E943:F943"/>
    <mergeCell ref="D945:F945"/>
    <mergeCell ref="E946:F946"/>
    <mergeCell ref="D948:F948"/>
    <mergeCell ref="E949:F949"/>
    <mergeCell ref="E950:F950"/>
    <mergeCell ref="D952:F952"/>
    <mergeCell ref="E954:F954"/>
    <mergeCell ref="E955:F955"/>
    <mergeCell ref="D956:F956"/>
    <mergeCell ref="E958:F958"/>
    <mergeCell ref="E959:F959"/>
    <mergeCell ref="D960:F960"/>
    <mergeCell ref="E961:F961"/>
    <mergeCell ref="E962:F962"/>
    <mergeCell ref="D963:F963"/>
    <mergeCell ref="E964:F964"/>
    <mergeCell ref="E965:F965"/>
    <mergeCell ref="D966:F966"/>
    <mergeCell ref="E967:F967"/>
    <mergeCell ref="D968:F968"/>
    <mergeCell ref="E969:F969"/>
    <mergeCell ref="D970:F970"/>
    <mergeCell ref="E971:F971"/>
    <mergeCell ref="E972:F972"/>
    <mergeCell ref="D973:F973"/>
    <mergeCell ref="E974:F974"/>
    <mergeCell ref="E975:F975"/>
    <mergeCell ref="D976:F976"/>
    <mergeCell ref="E977:F977"/>
    <mergeCell ref="E978:F978"/>
    <mergeCell ref="E979:F979"/>
    <mergeCell ref="D980:F980"/>
    <mergeCell ref="E981:F981"/>
    <mergeCell ref="E982:F982"/>
    <mergeCell ref="E983:F983"/>
    <mergeCell ref="D984:F984"/>
    <mergeCell ref="E985:F985"/>
    <mergeCell ref="E986:F986"/>
    <mergeCell ref="D987:F987"/>
    <mergeCell ref="E988:F988"/>
    <mergeCell ref="E989:F989"/>
    <mergeCell ref="D990:F990"/>
    <mergeCell ref="E991:F991"/>
    <mergeCell ref="D992:F992"/>
    <mergeCell ref="E993:F993"/>
    <mergeCell ref="E994:F994"/>
    <mergeCell ref="E995:F995"/>
    <mergeCell ref="D996:F996"/>
    <mergeCell ref="E997:F997"/>
    <mergeCell ref="E998:F998"/>
    <mergeCell ref="D999:F999"/>
    <mergeCell ref="E1000:F1000"/>
    <mergeCell ref="E1001:F1001"/>
    <mergeCell ref="E1002:F1002"/>
    <mergeCell ref="D1003:F1003"/>
    <mergeCell ref="E1004:F1004"/>
    <mergeCell ref="E1005:F1005"/>
    <mergeCell ref="D1006:F1006"/>
    <mergeCell ref="E1007:F1007"/>
    <mergeCell ref="D1008:F1008"/>
    <mergeCell ref="E1009:F1009"/>
    <mergeCell ref="E1010:F1010"/>
    <mergeCell ref="D1011:F1011"/>
    <mergeCell ref="E1012:F1012"/>
    <mergeCell ref="E1013:F1013"/>
    <mergeCell ref="D1014:F1014"/>
    <mergeCell ref="E1015:F1015"/>
    <mergeCell ref="D1016:F1016"/>
    <mergeCell ref="E1017:F1017"/>
    <mergeCell ref="E1018:F1018"/>
    <mergeCell ref="D1019:F1019"/>
    <mergeCell ref="E1020:F1020"/>
    <mergeCell ref="D1021:F1021"/>
    <mergeCell ref="E1022:F1022"/>
    <mergeCell ref="D1023:F1023"/>
    <mergeCell ref="E1024:F1024"/>
    <mergeCell ref="E1025:F1025"/>
    <mergeCell ref="D1026:F1026"/>
    <mergeCell ref="E1027:F1027"/>
    <mergeCell ref="E1028:F1028"/>
    <mergeCell ref="D1029:F1029"/>
    <mergeCell ref="E1030:F1030"/>
    <mergeCell ref="D1031:F1031"/>
    <mergeCell ref="E1032:F1032"/>
    <mergeCell ref="E1033:F1033"/>
    <mergeCell ref="D1034:F1034"/>
    <mergeCell ref="E1035:F1035"/>
    <mergeCell ref="E1036:F1036"/>
    <mergeCell ref="E1037:F1037"/>
    <mergeCell ref="D1038:F1038"/>
    <mergeCell ref="E1039:F1039"/>
    <mergeCell ref="E1040:F1040"/>
    <mergeCell ref="D1041:F1041"/>
    <mergeCell ref="E1042:F1042"/>
    <mergeCell ref="E1043:F1043"/>
    <mergeCell ref="D1044:F1044"/>
    <mergeCell ref="E1045:F1045"/>
    <mergeCell ref="D1046:F1046"/>
    <mergeCell ref="E1047:F1047"/>
    <mergeCell ref="D1048:F1048"/>
    <mergeCell ref="E1049:F1049"/>
    <mergeCell ref="E1050:F1050"/>
    <mergeCell ref="D1051:F1051"/>
    <mergeCell ref="E1052:F1052"/>
    <mergeCell ref="E1053:F1053"/>
    <mergeCell ref="D1054:F1054"/>
    <mergeCell ref="E1055:F1055"/>
    <mergeCell ref="D1056:F1056"/>
    <mergeCell ref="E1057:F1057"/>
    <mergeCell ref="D1058:F1058"/>
    <mergeCell ref="E1059:F1059"/>
    <mergeCell ref="E1060:F1060"/>
    <mergeCell ref="D1061:F1061"/>
    <mergeCell ref="E1062:F1062"/>
    <mergeCell ref="E1063:F1063"/>
    <mergeCell ref="E1064:F1064"/>
    <mergeCell ref="E1065:F1065"/>
    <mergeCell ref="D1066:F1066"/>
    <mergeCell ref="E1067:F1067"/>
    <mergeCell ref="E1068:F1068"/>
    <mergeCell ref="E1069:F1069"/>
    <mergeCell ref="E1070:F1070"/>
    <mergeCell ref="D1071:F1071"/>
    <mergeCell ref="E1072:F1072"/>
    <mergeCell ref="E1073:F1073"/>
    <mergeCell ref="E1074:F1074"/>
    <mergeCell ref="E1075:F1075"/>
    <mergeCell ref="D1076:F1076"/>
    <mergeCell ref="D1081:F1081"/>
    <mergeCell ref="D1086:F1086"/>
    <mergeCell ref="D1091:F1091"/>
    <mergeCell ref="E1094:F1094"/>
    <mergeCell ref="D1097:F1097"/>
    <mergeCell ref="E1100:F1100"/>
    <mergeCell ref="D1103:F1103"/>
    <mergeCell ref="E1106:F1106"/>
    <mergeCell ref="D1109:F1109"/>
    <mergeCell ref="E1112:F1112"/>
    <mergeCell ref="E1114:F1114"/>
    <mergeCell ref="D1116:F1116"/>
    <mergeCell ref="E1119:F1119"/>
    <mergeCell ref="E1121:F1121"/>
    <mergeCell ref="D1123:F1123"/>
    <mergeCell ref="E1126:F1126"/>
    <mergeCell ref="E1128:F1128"/>
    <mergeCell ref="D1130:F1130"/>
    <mergeCell ref="E1131:F1131"/>
    <mergeCell ref="E1132:F1132"/>
    <mergeCell ref="E1133:F1133"/>
    <mergeCell ref="D1134:F1134"/>
    <mergeCell ref="E1135:F1135"/>
    <mergeCell ref="E1136:F1136"/>
    <mergeCell ref="E1137:F1137"/>
    <mergeCell ref="D1138:F1138"/>
    <mergeCell ref="E1139:F1139"/>
    <mergeCell ref="E1140:F1140"/>
    <mergeCell ref="D1141:F1141"/>
    <mergeCell ref="E1142:F1142"/>
    <mergeCell ref="E1143:F1143"/>
    <mergeCell ref="E1144:F1144"/>
    <mergeCell ref="D1145:F1145"/>
    <mergeCell ref="E1146:F1146"/>
    <mergeCell ref="E1147:F1147"/>
    <mergeCell ref="D1148:F1148"/>
    <mergeCell ref="E1149:F1149"/>
    <mergeCell ref="D1150:F1150"/>
    <mergeCell ref="E1151:F1151"/>
    <mergeCell ref="D1152:F1152"/>
    <mergeCell ref="E1153:F1153"/>
    <mergeCell ref="D1154:F1154"/>
    <mergeCell ref="E1155:F1155"/>
    <mergeCell ref="D1156:F1156"/>
    <mergeCell ref="E1157:F1157"/>
    <mergeCell ref="E1158:F1158"/>
    <mergeCell ref="E1159:F1159"/>
    <mergeCell ref="D1160:F1160"/>
    <mergeCell ref="E1161:F1161"/>
    <mergeCell ref="D1162:F1162"/>
    <mergeCell ref="E1163:F1163"/>
    <mergeCell ref="E1164:F1164"/>
    <mergeCell ref="D1165:F1165"/>
    <mergeCell ref="E1166:F1166"/>
    <mergeCell ref="E1167:F1167"/>
    <mergeCell ref="E1168:F1168"/>
    <mergeCell ref="D1169:F1169"/>
    <mergeCell ref="E1170:F1170"/>
    <mergeCell ref="E1171:F1171"/>
    <mergeCell ref="E1172:F1172"/>
    <mergeCell ref="D1173:F1173"/>
    <mergeCell ref="E1174:F1174"/>
    <mergeCell ref="E1175:F1175"/>
    <mergeCell ref="D1176:F1176"/>
    <mergeCell ref="E1177:F1177"/>
    <mergeCell ref="D1178:F1178"/>
    <mergeCell ref="E1179:F1179"/>
    <mergeCell ref="E1180:F1180"/>
    <mergeCell ref="D1181:F1181"/>
    <mergeCell ref="E1182:F1182"/>
    <mergeCell ref="E1183:F1183"/>
    <mergeCell ref="E1184:F1184"/>
    <mergeCell ref="D1185:F1185"/>
    <mergeCell ref="E1186:F1186"/>
    <mergeCell ref="D1187:F1187"/>
    <mergeCell ref="E1188:F1188"/>
    <mergeCell ref="E1189:F1189"/>
    <mergeCell ref="D1190:F1190"/>
    <mergeCell ref="E1191:F1191"/>
    <mergeCell ref="D1192:F1192"/>
    <mergeCell ref="E1193:F1193"/>
    <mergeCell ref="E1194:F1194"/>
    <mergeCell ref="E1195:F1195"/>
    <mergeCell ref="D1196:F1196"/>
    <mergeCell ref="E1197:F1197"/>
    <mergeCell ref="E1198:F1198"/>
    <mergeCell ref="D1199:F1199"/>
    <mergeCell ref="E1200:F1200"/>
    <mergeCell ref="E1201:F1201"/>
    <mergeCell ref="D1202:F1202"/>
    <mergeCell ref="E1203:F1203"/>
    <mergeCell ref="E1204:F1204"/>
    <mergeCell ref="D1205:F1205"/>
    <mergeCell ref="E1206:F1206"/>
    <mergeCell ref="D1207:F1207"/>
    <mergeCell ref="E1208:F1208"/>
    <mergeCell ref="E1209:F1209"/>
    <mergeCell ref="E1210:F1210"/>
    <mergeCell ref="D1211:F1211"/>
    <mergeCell ref="E1212:F1212"/>
    <mergeCell ref="E1213:F1213"/>
    <mergeCell ref="D1214:F1214"/>
    <mergeCell ref="E1215:F1215"/>
    <mergeCell ref="E1216:F1216"/>
    <mergeCell ref="E1217:F1217"/>
    <mergeCell ref="D1218:F1218"/>
    <mergeCell ref="E1219:F1219"/>
    <mergeCell ref="D1220:F1220"/>
    <mergeCell ref="E1221:F1221"/>
    <mergeCell ref="E1222:F1222"/>
    <mergeCell ref="D1223:F1223"/>
    <mergeCell ref="E1224:F1224"/>
    <mergeCell ref="E1225:F1225"/>
    <mergeCell ref="D1226:F1226"/>
    <mergeCell ref="E1227:F1227"/>
    <mergeCell ref="E1228:F1228"/>
    <mergeCell ref="E1229:F1229"/>
    <mergeCell ref="D1230:F1230"/>
    <mergeCell ref="D1274:F1274"/>
    <mergeCell ref="E1275:F1275"/>
    <mergeCell ref="E1276:F1276"/>
    <mergeCell ref="D1277:F1277"/>
    <mergeCell ref="E1278:F1278"/>
    <mergeCell ref="E1279:F1279"/>
    <mergeCell ref="D1280:F1280"/>
    <mergeCell ref="E1281:F1281"/>
    <mergeCell ref="E1282:F1282"/>
    <mergeCell ref="E1283:F1283"/>
    <mergeCell ref="D1284:F1284"/>
    <mergeCell ref="E1285:F1285"/>
    <mergeCell ref="E1286:F1286"/>
    <mergeCell ref="D1287:F1287"/>
    <mergeCell ref="E1288:F1288"/>
    <mergeCell ref="E1289:F1289"/>
    <mergeCell ref="D1290:F1290"/>
    <mergeCell ref="E1291:F1291"/>
    <mergeCell ref="E1292:F1292"/>
    <mergeCell ref="D1293:F1293"/>
    <mergeCell ref="E1294:F1294"/>
    <mergeCell ref="E1295:F1295"/>
    <mergeCell ref="D1296:F1296"/>
    <mergeCell ref="E1297:F1297"/>
    <mergeCell ref="E1298:F1298"/>
    <mergeCell ref="D1299:F1299"/>
    <mergeCell ref="E1300:F1300"/>
    <mergeCell ref="D1301:F1301"/>
    <mergeCell ref="E1231:F1231"/>
    <mergeCell ref="D1232:F1232"/>
    <mergeCell ref="E1233:F1233"/>
    <mergeCell ref="E1234:F1234"/>
    <mergeCell ref="E1235:F1235"/>
    <mergeCell ref="D1236:F1236"/>
    <mergeCell ref="E1237:F1237"/>
    <mergeCell ref="E1238:F1238"/>
    <mergeCell ref="D1239:F1239"/>
    <mergeCell ref="E1240:F1240"/>
    <mergeCell ref="E1241:F1241"/>
    <mergeCell ref="E1242:F1242"/>
    <mergeCell ref="D1243:F1243"/>
    <mergeCell ref="E1244:F1244"/>
    <mergeCell ref="E1245:F1245"/>
    <mergeCell ref="D1246:F1246"/>
    <mergeCell ref="E1247:F1247"/>
    <mergeCell ref="E1248:F1248"/>
    <mergeCell ref="D1250:F1250"/>
    <mergeCell ref="E1251:F1251"/>
    <mergeCell ref="D1252:F1252"/>
    <mergeCell ref="E1253:F1253"/>
    <mergeCell ref="E1254:F1254"/>
    <mergeCell ref="E1255:F1255"/>
    <mergeCell ref="D1256:F1256"/>
    <mergeCell ref="E1257:F1257"/>
    <mergeCell ref="D1258:F1258"/>
    <mergeCell ref="E1259:F1259"/>
    <mergeCell ref="E1260:F1260"/>
    <mergeCell ref="E1261:F1261"/>
    <mergeCell ref="D1262:F1262"/>
    <mergeCell ref="E1263:F1263"/>
    <mergeCell ref="D1264:F1264"/>
    <mergeCell ref="E1265:F1265"/>
    <mergeCell ref="D1266:F1266"/>
    <mergeCell ref="E1267:F1267"/>
    <mergeCell ref="D1268:F1268"/>
    <mergeCell ref="E1269:F1269"/>
    <mergeCell ref="D1270:F1270"/>
    <mergeCell ref="E1271:F1271"/>
    <mergeCell ref="D1272:F1272"/>
    <mergeCell ref="E1273:F1273"/>
    <mergeCell ref="E1302:F1302"/>
    <mergeCell ref="E1303:F1303"/>
    <mergeCell ref="D1304:F1304"/>
    <mergeCell ref="E1305:F1305"/>
    <mergeCell ref="D1306:F1306"/>
    <mergeCell ref="E1307:F1307"/>
    <mergeCell ref="D1308:F1308"/>
    <mergeCell ref="D1351:F1351"/>
    <mergeCell ref="E1352:F1352"/>
    <mergeCell ref="D1353:F1353"/>
    <mergeCell ref="E1354:F1354"/>
    <mergeCell ref="E1355:F1355"/>
    <mergeCell ref="D1356:F1356"/>
    <mergeCell ref="E1357:F1357"/>
    <mergeCell ref="E1358:F1358"/>
    <mergeCell ref="D1359:F1359"/>
    <mergeCell ref="E1360:F1360"/>
    <mergeCell ref="E1361:F1361"/>
    <mergeCell ref="D1362:F1362"/>
    <mergeCell ref="E1363:F1363"/>
    <mergeCell ref="D1364:F1364"/>
    <mergeCell ref="E1365:F1365"/>
    <mergeCell ref="E1366:F1366"/>
    <mergeCell ref="D1367:F1367"/>
    <mergeCell ref="E1368:F1368"/>
    <mergeCell ref="E1369:F1369"/>
    <mergeCell ref="D1370:F1370"/>
    <mergeCell ref="E1371:F1371"/>
    <mergeCell ref="E1372:F1372"/>
    <mergeCell ref="D1373:F1373"/>
    <mergeCell ref="E1374:F1374"/>
    <mergeCell ref="D1375:F1375"/>
    <mergeCell ref="E1376:F1376"/>
    <mergeCell ref="E1377:F1377"/>
    <mergeCell ref="D1378:F1378"/>
    <mergeCell ref="E1309:F1309"/>
    <mergeCell ref="D1310:F1310"/>
    <mergeCell ref="E1311:F1311"/>
    <mergeCell ref="D1312:F1312"/>
    <mergeCell ref="E1313:F1313"/>
    <mergeCell ref="D1314:F1314"/>
    <mergeCell ref="E1315:F1315"/>
    <mergeCell ref="E1316:F1316"/>
    <mergeCell ref="D1317:F1317"/>
    <mergeCell ref="E1318:F1318"/>
    <mergeCell ref="E1319:F1319"/>
    <mergeCell ref="E1320:F1320"/>
    <mergeCell ref="D1321:F1321"/>
    <mergeCell ref="E1322:F1322"/>
    <mergeCell ref="E1323:F1323"/>
    <mergeCell ref="D1324:F1324"/>
    <mergeCell ref="E1325:F1325"/>
    <mergeCell ref="E1326:F1326"/>
    <mergeCell ref="D1327:F1327"/>
    <mergeCell ref="E1328:F1328"/>
    <mergeCell ref="E1329:F1329"/>
    <mergeCell ref="E1330:F1330"/>
    <mergeCell ref="D1331:F1331"/>
    <mergeCell ref="E1332:F1332"/>
    <mergeCell ref="E1333:F1333"/>
    <mergeCell ref="D1334:F1334"/>
    <mergeCell ref="E1335:F1335"/>
    <mergeCell ref="D1336:F1336"/>
    <mergeCell ref="E1337:F1337"/>
    <mergeCell ref="D1338:F1338"/>
    <mergeCell ref="E1339:F1339"/>
    <mergeCell ref="E1340:F1340"/>
    <mergeCell ref="D1341:F1341"/>
    <mergeCell ref="E1342:F1342"/>
    <mergeCell ref="E1343:F1343"/>
    <mergeCell ref="E1344:F1344"/>
    <mergeCell ref="D1345:F1345"/>
    <mergeCell ref="E1346:F1346"/>
    <mergeCell ref="E1347:F1347"/>
    <mergeCell ref="D1348:F1348"/>
    <mergeCell ref="E1349:F1349"/>
    <mergeCell ref="E1350:F1350"/>
    <mergeCell ref="E1379:F1379"/>
    <mergeCell ref="E1380:F1380"/>
    <mergeCell ref="E1381:F1381"/>
    <mergeCell ref="D1382:F1382"/>
    <mergeCell ref="E1383:F1383"/>
    <mergeCell ref="E1384:F1384"/>
    <mergeCell ref="D1385:F1385"/>
    <mergeCell ref="E1386:F1386"/>
    <mergeCell ref="E1387:F1387"/>
    <mergeCell ref="E1388:F1388"/>
    <mergeCell ref="D1389:F1389"/>
    <mergeCell ref="E1390:F1390"/>
    <mergeCell ref="E1391:F1391"/>
    <mergeCell ref="D1392:F1392"/>
    <mergeCell ref="E1393:F1393"/>
    <mergeCell ref="D1394:F1394"/>
    <mergeCell ref="E1395:F1395"/>
    <mergeCell ref="E1396:F1396"/>
    <mergeCell ref="D1397:F1397"/>
    <mergeCell ref="E1398:F1398"/>
    <mergeCell ref="D1399:F1399"/>
    <mergeCell ref="E1400:F1400"/>
    <mergeCell ref="E1401:F1401"/>
    <mergeCell ref="E1402:F1402"/>
    <mergeCell ref="D1403:F1403"/>
    <mergeCell ref="E1404:F1404"/>
    <mergeCell ref="E1405:F1405"/>
    <mergeCell ref="D1406:F1406"/>
    <mergeCell ref="E1407:F1407"/>
    <mergeCell ref="E1408:F1408"/>
    <mergeCell ref="D1409:F1409"/>
    <mergeCell ref="E1410:F1410"/>
    <mergeCell ref="E1411:F1411"/>
    <mergeCell ref="D1412:F1412"/>
    <mergeCell ref="E1413:F1413"/>
    <mergeCell ref="E1414:F1414"/>
    <mergeCell ref="D1415:F1415"/>
    <mergeCell ref="E1416:F1416"/>
    <mergeCell ref="E1417:F1417"/>
    <mergeCell ref="D1418:F1418"/>
    <mergeCell ref="E1419:F1419"/>
    <mergeCell ref="E1420:F1420"/>
    <mergeCell ref="E1421:F1421"/>
    <mergeCell ref="D1422:F1422"/>
    <mergeCell ref="E1423:F1423"/>
    <mergeCell ref="E1424:F1424"/>
    <mergeCell ref="D1425:F1425"/>
    <mergeCell ref="E1426:F1426"/>
    <mergeCell ref="E1427:F1427"/>
    <mergeCell ref="E1428:F1428"/>
    <mergeCell ref="D1429:F1429"/>
    <mergeCell ref="E1430:F1430"/>
    <mergeCell ref="D1431:F1431"/>
    <mergeCell ref="E1432:F1432"/>
    <mergeCell ref="E1433:F1433"/>
    <mergeCell ref="D1434:F1434"/>
    <mergeCell ref="E1435:F1435"/>
    <mergeCell ref="E1436:F1436"/>
    <mergeCell ref="D1437:F1437"/>
    <mergeCell ref="E1438:F1438"/>
    <mergeCell ref="D1439:F1439"/>
    <mergeCell ref="E1440:F1440"/>
    <mergeCell ref="E1441:F1441"/>
    <mergeCell ref="D1442:F1442"/>
    <mergeCell ref="E1443:F1443"/>
    <mergeCell ref="E1444:F1444"/>
    <mergeCell ref="D1445:F1445"/>
    <mergeCell ref="E1446:F1446"/>
    <mergeCell ref="E1447:F1447"/>
    <mergeCell ref="D1448:F1448"/>
    <mergeCell ref="E1449:F1449"/>
    <mergeCell ref="E1450:F1450"/>
    <mergeCell ref="D1451:F1451"/>
    <mergeCell ref="E1452:F1452"/>
    <mergeCell ref="D1453:F1453"/>
    <mergeCell ref="E1454:F1454"/>
    <mergeCell ref="E1455:F1455"/>
    <mergeCell ref="D1456:F1456"/>
    <mergeCell ref="E1457:F1457"/>
    <mergeCell ref="E1458:F1458"/>
    <mergeCell ref="E1459:F1459"/>
    <mergeCell ref="D1460:F1460"/>
    <mergeCell ref="E1461:F1461"/>
    <mergeCell ref="E1462:F1462"/>
    <mergeCell ref="D1463:F1463"/>
    <mergeCell ref="E1464:F1464"/>
    <mergeCell ref="E1465:F1465"/>
    <mergeCell ref="D1466:F1466"/>
    <mergeCell ref="E1467:F1467"/>
    <mergeCell ref="E1468:F1468"/>
    <mergeCell ref="D1469:F1469"/>
    <mergeCell ref="E1470:F1470"/>
    <mergeCell ref="E1471:F1471"/>
    <mergeCell ref="E1472:F1472"/>
    <mergeCell ref="D1473:F1473"/>
    <mergeCell ref="E1474:F1474"/>
    <mergeCell ref="E1475:F1475"/>
    <mergeCell ref="E1476:F1476"/>
    <mergeCell ref="D1477:F1477"/>
    <mergeCell ref="E1478:F1478"/>
    <mergeCell ref="E1481:F1481"/>
    <mergeCell ref="D1484:F1484"/>
    <mergeCell ref="E1485:F1485"/>
    <mergeCell ref="D1486:F1486"/>
    <mergeCell ref="E1487:F1487"/>
    <mergeCell ref="E1804:F1804"/>
    <mergeCell ref="D1805:F1805"/>
    <mergeCell ref="E1806:F1806"/>
    <mergeCell ref="E1807:F1807"/>
    <mergeCell ref="D1808:F1808"/>
    <mergeCell ref="E1809:F1809"/>
    <mergeCell ref="D1810:F1810"/>
    <mergeCell ref="E1811:F1811"/>
    <mergeCell ref="D1812:F1812"/>
    <mergeCell ref="E1813:F1813"/>
    <mergeCell ref="D1814:F1814"/>
    <mergeCell ref="E1815:F1815"/>
    <mergeCell ref="D1816:F1816"/>
    <mergeCell ref="E1817:F1817"/>
    <mergeCell ref="D1818:F1818"/>
    <mergeCell ref="E1819:F1819"/>
    <mergeCell ref="D1820:F1820"/>
    <mergeCell ref="E1821:F1821"/>
    <mergeCell ref="E1822:F1822"/>
    <mergeCell ref="D1823:F1823"/>
    <mergeCell ref="E1824:F1824"/>
    <mergeCell ref="E1825:F1825"/>
    <mergeCell ref="D1826:F1826"/>
    <mergeCell ref="E1827:F1827"/>
    <mergeCell ref="E1828:F1828"/>
    <mergeCell ref="D1829:F1829"/>
    <mergeCell ref="E1830:F1830"/>
    <mergeCell ref="D1831:F1831"/>
    <mergeCell ref="E1832:F1832"/>
    <mergeCell ref="D1833:F1833"/>
    <mergeCell ref="E1834:F1834"/>
    <mergeCell ref="D1835:F1835"/>
    <mergeCell ref="E1836:F1836"/>
    <mergeCell ref="D1837:F1837"/>
    <mergeCell ref="E1838:F1838"/>
    <mergeCell ref="D1839:F1839"/>
    <mergeCell ref="E1840:F1840"/>
    <mergeCell ref="E1841:F1841"/>
    <mergeCell ref="D1842:F1842"/>
    <mergeCell ref="E1843:F1843"/>
    <mergeCell ref="E1844:F1844"/>
    <mergeCell ref="D1845:F1845"/>
    <mergeCell ref="E1846:F1846"/>
    <mergeCell ref="E1847:F1847"/>
    <mergeCell ref="D1848:F1848"/>
    <mergeCell ref="E1849:F1849"/>
    <mergeCell ref="E1850:F1850"/>
    <mergeCell ref="D1851:F1851"/>
    <mergeCell ref="E1852:F1852"/>
    <mergeCell ref="E1853:F1853"/>
    <mergeCell ref="D1854:F1854"/>
    <mergeCell ref="E1855:F1855"/>
    <mergeCell ref="E1856:F1856"/>
    <mergeCell ref="D1857:F1857"/>
    <mergeCell ref="E1858:F1858"/>
    <mergeCell ref="E1859:F1859"/>
    <mergeCell ref="D1860:F1860"/>
    <mergeCell ref="E1861:F1861"/>
    <mergeCell ref="E1862:F1862"/>
    <mergeCell ref="D1863:F1863"/>
    <mergeCell ref="E1864:F1864"/>
    <mergeCell ref="E1865:F1865"/>
    <mergeCell ref="D1866:F1866"/>
    <mergeCell ref="E1867:F1867"/>
    <mergeCell ref="E1868:F1868"/>
    <mergeCell ref="D1869:F1869"/>
    <mergeCell ref="E1870:F1870"/>
    <mergeCell ref="E1871:F1871"/>
    <mergeCell ref="E1872:F1872"/>
    <mergeCell ref="D1873:F1873"/>
    <mergeCell ref="E1874:F1874"/>
    <mergeCell ref="E1875:F1875"/>
    <mergeCell ref="D1876:F1876"/>
    <mergeCell ref="E1877:F1877"/>
    <mergeCell ref="E1878:F1878"/>
    <mergeCell ref="D1879:F1879"/>
    <mergeCell ref="E1880:F1880"/>
    <mergeCell ref="E1881:F1881"/>
    <mergeCell ref="D1882:F1882"/>
    <mergeCell ref="E1883:F1883"/>
    <mergeCell ref="E1884:F1884"/>
    <mergeCell ref="E1885:F1885"/>
    <mergeCell ref="D1886:F1886"/>
    <mergeCell ref="E1887:F1887"/>
    <mergeCell ref="E1888:F1888"/>
    <mergeCell ref="E1889:F1889"/>
    <mergeCell ref="D1890:F1890"/>
    <mergeCell ref="E1891:F1891"/>
    <mergeCell ref="E1892:F1892"/>
    <mergeCell ref="E1893:F1893"/>
    <mergeCell ref="D1894:F1894"/>
    <mergeCell ref="E1895:F1895"/>
    <mergeCell ref="D1896:F1896"/>
    <mergeCell ref="E1897:F1897"/>
    <mergeCell ref="D1898:F1898"/>
    <mergeCell ref="E1899:F1899"/>
    <mergeCell ref="D1900:F1900"/>
    <mergeCell ref="E1901:F1901"/>
    <mergeCell ref="D1902:F1902"/>
    <mergeCell ref="E1903:F1903"/>
    <mergeCell ref="E1904:F1904"/>
    <mergeCell ref="D1905:F1905"/>
    <mergeCell ref="E1906:F1906"/>
    <mergeCell ref="E1907:F1907"/>
    <mergeCell ref="D1908:F1908"/>
    <mergeCell ref="E1909:F1909"/>
    <mergeCell ref="D1910:F1910"/>
    <mergeCell ref="E1911:F1911"/>
    <mergeCell ref="D1912:F1912"/>
    <mergeCell ref="E1913:F1913"/>
    <mergeCell ref="D1914:F1914"/>
    <mergeCell ref="E1915:F1915"/>
    <mergeCell ref="D1916:F1916"/>
    <mergeCell ref="E1917:F1917"/>
    <mergeCell ref="E1918:F1918"/>
    <mergeCell ref="D1919:F1919"/>
    <mergeCell ref="E1920:F1920"/>
    <mergeCell ref="E1921:F1921"/>
    <mergeCell ref="D1922:F1922"/>
    <mergeCell ref="E1923:F1923"/>
    <mergeCell ref="E1924:F1924"/>
    <mergeCell ref="D1925:F1925"/>
    <mergeCell ref="E1926:F1926"/>
    <mergeCell ref="D1927:F1927"/>
    <mergeCell ref="E1928:F1928"/>
    <mergeCell ref="E1929:F1929"/>
    <mergeCell ref="D1930:F1930"/>
    <mergeCell ref="E1931:F1931"/>
    <mergeCell ref="E1932:F1932"/>
    <mergeCell ref="D1933:F1933"/>
    <mergeCell ref="E1934:F1934"/>
    <mergeCell ref="D1935:F1935"/>
    <mergeCell ref="E1936:F1936"/>
    <mergeCell ref="D1937:F1937"/>
    <mergeCell ref="E1938:F1938"/>
    <mergeCell ref="D1939:F1939"/>
    <mergeCell ref="E1940:F1940"/>
    <mergeCell ref="D1941:F1941"/>
    <mergeCell ref="E1942:F1942"/>
    <mergeCell ref="D1943:F1943"/>
    <mergeCell ref="E1944:F1944"/>
    <mergeCell ref="D1945:F1945"/>
    <mergeCell ref="E1946:F1946"/>
    <mergeCell ref="E1947:F1947"/>
    <mergeCell ref="E1948:F1948"/>
    <mergeCell ref="D1949:F1949"/>
    <mergeCell ref="E1950:F1950"/>
    <mergeCell ref="D1993:F1993"/>
    <mergeCell ref="E1994:F1994"/>
    <mergeCell ref="E1995:F1995"/>
    <mergeCell ref="E1996:F1996"/>
    <mergeCell ref="D1997:F1997"/>
    <mergeCell ref="E1998:F1998"/>
    <mergeCell ref="E1999:F1999"/>
    <mergeCell ref="E2000:F2000"/>
    <mergeCell ref="D2001:F2001"/>
    <mergeCell ref="E2004:F2004"/>
    <mergeCell ref="E2006:F2006"/>
    <mergeCell ref="D2008:F2008"/>
    <mergeCell ref="E2011:F2011"/>
    <mergeCell ref="E2013:F2013"/>
    <mergeCell ref="E2032:F2032"/>
    <mergeCell ref="E2034:F2034"/>
    <mergeCell ref="D2036:F2036"/>
    <mergeCell ref="E2039:F2039"/>
    <mergeCell ref="E2041:F2041"/>
    <mergeCell ref="D2043:F2043"/>
    <mergeCell ref="E2044:F2044"/>
    <mergeCell ref="D2045:F2045"/>
    <mergeCell ref="E2046:F2046"/>
    <mergeCell ref="E2047:F2047"/>
    <mergeCell ref="D2048:F2048"/>
    <mergeCell ref="E2049:F2049"/>
    <mergeCell ref="D2050:F2050"/>
    <mergeCell ref="E2051:F2051"/>
    <mergeCell ref="D2052:F2052"/>
    <mergeCell ref="E2053:F2053"/>
    <mergeCell ref="D2054:F2054"/>
    <mergeCell ref="E2055:F2055"/>
    <mergeCell ref="E2056:F2056"/>
    <mergeCell ref="D2057:F2057"/>
    <mergeCell ref="E2058:F2058"/>
    <mergeCell ref="E2059:F2059"/>
    <mergeCell ref="D2060:F2060"/>
    <mergeCell ref="D2067:F2067"/>
    <mergeCell ref="D2074:F2074"/>
    <mergeCell ref="D2081:F2081"/>
    <mergeCell ref="D2088:F2088"/>
    <mergeCell ref="D2095:F2095"/>
    <mergeCell ref="D2102:F2102"/>
    <mergeCell ref="D2109:F2109"/>
    <mergeCell ref="D2116:F2116"/>
    <mergeCell ref="D2123:F2123"/>
    <mergeCell ref="D2130:F2130"/>
    <mergeCell ref="D2137:F2137"/>
    <mergeCell ref="D2144:F2144"/>
    <mergeCell ref="D2151:F2151"/>
    <mergeCell ref="D2158:F2158"/>
    <mergeCell ref="D2165:F2165"/>
    <mergeCell ref="D2172:F2172"/>
    <mergeCell ref="D2179:F2179"/>
    <mergeCell ref="D2186:F2186"/>
    <mergeCell ref="D2193:F2193"/>
    <mergeCell ref="D2245:F2245"/>
    <mergeCell ref="D2252:F2252"/>
    <mergeCell ref="D2259:F2259"/>
    <mergeCell ref="D2266:F2266"/>
    <mergeCell ref="D2200:F2200"/>
    <mergeCell ref="D2206:F2206"/>
    <mergeCell ref="D2212:F2212"/>
    <mergeCell ref="D2218:F2218"/>
    <mergeCell ref="D2224:F2224"/>
    <mergeCell ref="D2231:F2231"/>
    <mergeCell ref="D2238:F2238"/>
    <mergeCell ref="E1951:F1951"/>
    <mergeCell ref="E1952:F1952"/>
    <mergeCell ref="D1953:F1953"/>
    <mergeCell ref="E1954:F1954"/>
    <mergeCell ref="D1955:F1955"/>
    <mergeCell ref="E1956:F1956"/>
    <mergeCell ref="E1957:F1957"/>
    <mergeCell ref="E1958:F1958"/>
    <mergeCell ref="D1959:F1959"/>
    <mergeCell ref="E1960:F1960"/>
    <mergeCell ref="D1961:F1961"/>
    <mergeCell ref="E1962:F1962"/>
    <mergeCell ref="E1963:F1963"/>
    <mergeCell ref="E1964:F1964"/>
    <mergeCell ref="D1965:F1965"/>
    <mergeCell ref="E1966:F1966"/>
    <mergeCell ref="E1967:F1967"/>
    <mergeCell ref="E1968:F1968"/>
    <mergeCell ref="D1969:F1969"/>
    <mergeCell ref="E1970:F1970"/>
    <mergeCell ref="D1971:F1971"/>
    <mergeCell ref="E1972:F1972"/>
    <mergeCell ref="D1973:F1973"/>
    <mergeCell ref="E1974:F1974"/>
    <mergeCell ref="D1975:F1975"/>
    <mergeCell ref="E1976:F1976"/>
    <mergeCell ref="D1977:F1977"/>
    <mergeCell ref="E1978:F1978"/>
    <mergeCell ref="E1979:F1979"/>
    <mergeCell ref="D1980:F1980"/>
    <mergeCell ref="E1981:F1981"/>
    <mergeCell ref="D1982:F1982"/>
    <mergeCell ref="E1983:F1983"/>
    <mergeCell ref="E1984:F1984"/>
    <mergeCell ref="D1985:F1985"/>
    <mergeCell ref="E1986:F1986"/>
    <mergeCell ref="E1987:F1987"/>
    <mergeCell ref="E1988:F1988"/>
    <mergeCell ref="D1989:F1989"/>
    <mergeCell ref="E1990:F1990"/>
    <mergeCell ref="E1991:F1991"/>
    <mergeCell ref="E1992:F1992"/>
    <mergeCell ref="D2015:F2015"/>
    <mergeCell ref="E2018:F2018"/>
    <mergeCell ref="E2020:F2020"/>
    <mergeCell ref="D2022:F2022"/>
    <mergeCell ref="E2025:F2025"/>
    <mergeCell ref="E2027:F2027"/>
    <mergeCell ref="D2029:F2029"/>
    <mergeCell ref="D1488:F1488"/>
    <mergeCell ref="E1489:F1489"/>
    <mergeCell ref="D1490:F1490"/>
    <mergeCell ref="E1491:F1491"/>
    <mergeCell ref="D1492:F1492"/>
    <mergeCell ref="E1493:F1493"/>
    <mergeCell ref="D1494:F1494"/>
    <mergeCell ref="E1495:F1495"/>
    <mergeCell ref="D1496:F1496"/>
    <mergeCell ref="E1497:F1497"/>
    <mergeCell ref="D1498:F1498"/>
    <mergeCell ref="E1499:F1499"/>
    <mergeCell ref="D1500:F1500"/>
    <mergeCell ref="E1501:F1501"/>
    <mergeCell ref="D1502:F1502"/>
    <mergeCell ref="E1503:F1503"/>
    <mergeCell ref="D1504:F1504"/>
    <mergeCell ref="E1505:F1505"/>
    <mergeCell ref="D1506:F1506"/>
    <mergeCell ref="E1507:F1507"/>
    <mergeCell ref="E1510:F1510"/>
    <mergeCell ref="D1513:F1513"/>
    <mergeCell ref="E1514:F1514"/>
    <mergeCell ref="E1517:F1517"/>
    <mergeCell ref="D1520:F1520"/>
    <mergeCell ref="E1521:F1521"/>
    <mergeCell ref="E1522:F1522"/>
    <mergeCell ref="E1523:F1523"/>
    <mergeCell ref="D1524:F1524"/>
    <mergeCell ref="E1525:F1525"/>
    <mergeCell ref="E1526:F1526"/>
    <mergeCell ref="E1527:F1527"/>
    <mergeCell ref="D1528:F1528"/>
    <mergeCell ref="E1529:F1529"/>
    <mergeCell ref="E1530:F1530"/>
    <mergeCell ref="E1531:F1531"/>
    <mergeCell ref="D1532:F1532"/>
    <mergeCell ref="E1533:F1533"/>
    <mergeCell ref="E1534:F1534"/>
    <mergeCell ref="E1535:F1535"/>
    <mergeCell ref="D1536:F1536"/>
    <mergeCell ref="E1537:F1537"/>
    <mergeCell ref="E1538:F1538"/>
    <mergeCell ref="E1539:F1539"/>
    <mergeCell ref="D1540:F1540"/>
    <mergeCell ref="E1541:F1541"/>
    <mergeCell ref="E1542:F1542"/>
    <mergeCell ref="E1543:F1543"/>
    <mergeCell ref="D1544:F1544"/>
    <mergeCell ref="E1545:F1545"/>
    <mergeCell ref="D1546:F1546"/>
    <mergeCell ref="E1547:F1547"/>
    <mergeCell ref="D1548:F1548"/>
    <mergeCell ref="E1549:F1549"/>
    <mergeCell ref="D1550:F1550"/>
    <mergeCell ref="E1551:F1551"/>
    <mergeCell ref="E1552:F1552"/>
    <mergeCell ref="D1553:F1553"/>
    <mergeCell ref="E1554:F1554"/>
    <mergeCell ref="E1555:F1555"/>
    <mergeCell ref="D1556:F1556"/>
    <mergeCell ref="E1557:F1557"/>
    <mergeCell ref="E1558:F1558"/>
    <mergeCell ref="D1559:F1559"/>
    <mergeCell ref="E1560:F1560"/>
    <mergeCell ref="E1561:F1561"/>
    <mergeCell ref="D1562:F1562"/>
    <mergeCell ref="E1563:F1563"/>
    <mergeCell ref="E1564:F1564"/>
    <mergeCell ref="D1565:F1565"/>
    <mergeCell ref="E1566:F1566"/>
    <mergeCell ref="E1567:F1567"/>
    <mergeCell ref="D1568:F1568"/>
    <mergeCell ref="E1569:F1569"/>
    <mergeCell ref="E1570:F1570"/>
    <mergeCell ref="D1571:F1571"/>
    <mergeCell ref="E1572:F1572"/>
    <mergeCell ref="E1573:F1573"/>
    <mergeCell ref="D1574:F1574"/>
    <mergeCell ref="E1575:F1575"/>
    <mergeCell ref="E1576:F1576"/>
    <mergeCell ref="D1577:F1577"/>
    <mergeCell ref="E1578:F1578"/>
    <mergeCell ref="E1579:F1579"/>
    <mergeCell ref="E1580:F1580"/>
    <mergeCell ref="D1581:F1581"/>
    <mergeCell ref="E1582:F1582"/>
    <mergeCell ref="E1583:F1583"/>
    <mergeCell ref="E1584:F1584"/>
    <mergeCell ref="D1585:F1585"/>
    <mergeCell ref="E1586:F1586"/>
    <mergeCell ref="E1587:F1587"/>
    <mergeCell ref="E1588:F1588"/>
    <mergeCell ref="D1589:F1589"/>
    <mergeCell ref="E1590:F1590"/>
    <mergeCell ref="E1591:F1591"/>
    <mergeCell ref="E1592:F1592"/>
    <mergeCell ref="D1593:F1593"/>
    <mergeCell ref="E1594:F1594"/>
    <mergeCell ref="E1595:F1595"/>
    <mergeCell ref="E1596:F1596"/>
    <mergeCell ref="D1597:F1597"/>
    <mergeCell ref="E1598:F1598"/>
    <mergeCell ref="E1599:F1599"/>
    <mergeCell ref="E1600:F1600"/>
    <mergeCell ref="D1601:F1601"/>
    <mergeCell ref="E1602:F1602"/>
    <mergeCell ref="D1603:F1603"/>
    <mergeCell ref="E1604:F1604"/>
    <mergeCell ref="D1605:F1605"/>
    <mergeCell ref="E1606:F1606"/>
    <mergeCell ref="D1607:F1607"/>
    <mergeCell ref="E1608:F1608"/>
    <mergeCell ref="E1609:F1609"/>
    <mergeCell ref="E1610:F1610"/>
    <mergeCell ref="D1611:F1611"/>
    <mergeCell ref="E1612:F1612"/>
    <mergeCell ref="E1613:F1613"/>
    <mergeCell ref="D1614:F1614"/>
    <mergeCell ref="E1615:F1615"/>
    <mergeCell ref="E1616:F1616"/>
    <mergeCell ref="E1617:F1617"/>
    <mergeCell ref="D1618:F1618"/>
    <mergeCell ref="E1619:F1619"/>
    <mergeCell ref="E1620:F1620"/>
    <mergeCell ref="D1621:F1621"/>
    <mergeCell ref="E1622:F1622"/>
    <mergeCell ref="E1623:F1623"/>
    <mergeCell ref="D1624:F1624"/>
    <mergeCell ref="E1625:F1625"/>
    <mergeCell ref="E1626:F1626"/>
    <mergeCell ref="D1627:F1627"/>
    <mergeCell ref="E1628:F1628"/>
    <mergeCell ref="D1629:F1629"/>
    <mergeCell ref="E1630:F1630"/>
    <mergeCell ref="D1631:F1631"/>
    <mergeCell ref="E1632:F1632"/>
    <mergeCell ref="D1633:F1633"/>
    <mergeCell ref="E1634:F1634"/>
    <mergeCell ref="D1635:F1635"/>
    <mergeCell ref="E1636:F1636"/>
    <mergeCell ref="D1637:F1637"/>
    <mergeCell ref="E1638:F1638"/>
    <mergeCell ref="E1639:F1639"/>
    <mergeCell ref="D1640:F1640"/>
    <mergeCell ref="E1641:F1641"/>
    <mergeCell ref="E1642:F1642"/>
    <mergeCell ref="D1643:F1643"/>
    <mergeCell ref="E1644:F1644"/>
    <mergeCell ref="E1645:F1645"/>
    <mergeCell ref="D1646:F1646"/>
    <mergeCell ref="E1647:F1647"/>
    <mergeCell ref="E1648:F1648"/>
    <mergeCell ref="E1649:F1649"/>
    <mergeCell ref="D1650:F1650"/>
    <mergeCell ref="E1651:F1651"/>
    <mergeCell ref="E1652:F1652"/>
    <mergeCell ref="E1653:F1653"/>
    <mergeCell ref="D1654:F1654"/>
    <mergeCell ref="E1655:F1655"/>
    <mergeCell ref="E1656:F1656"/>
    <mergeCell ref="D1657:F1657"/>
    <mergeCell ref="E1658:F1658"/>
    <mergeCell ref="D1659:F1659"/>
    <mergeCell ref="E1660:F1660"/>
    <mergeCell ref="E1661:F1661"/>
    <mergeCell ref="E1662:F1662"/>
    <mergeCell ref="D1663:F1663"/>
    <mergeCell ref="E1664:F1664"/>
    <mergeCell ref="E1665:F1665"/>
    <mergeCell ref="D1666:F1666"/>
    <mergeCell ref="E1667:F1667"/>
    <mergeCell ref="E1668:F1668"/>
    <mergeCell ref="D1669:F1669"/>
    <mergeCell ref="E1670:F1670"/>
    <mergeCell ref="E1671:F1671"/>
    <mergeCell ref="D1672:F1672"/>
    <mergeCell ref="E1673:F1673"/>
    <mergeCell ref="E1674:F1674"/>
    <mergeCell ref="E1675:F1675"/>
    <mergeCell ref="D1676:F1676"/>
    <mergeCell ref="E1677:F1677"/>
    <mergeCell ref="E1678:F1678"/>
    <mergeCell ref="D1679:F1679"/>
    <mergeCell ref="E1680:F1680"/>
    <mergeCell ref="E1681:F1681"/>
    <mergeCell ref="D1682:F1682"/>
    <mergeCell ref="E1683:F1683"/>
    <mergeCell ref="E1684:F1684"/>
    <mergeCell ref="D1685:F1685"/>
    <mergeCell ref="E1686:F1686"/>
    <mergeCell ref="E1687:F1687"/>
    <mergeCell ref="D1688:F1688"/>
    <mergeCell ref="E1689:F1689"/>
    <mergeCell ref="E1690:F1690"/>
    <mergeCell ref="E1691:F1691"/>
    <mergeCell ref="D1692:F1692"/>
    <mergeCell ref="E1693:F1693"/>
    <mergeCell ref="E1694:F1694"/>
    <mergeCell ref="E1695:F1695"/>
    <mergeCell ref="D1696:F1696"/>
    <mergeCell ref="E1697:F1697"/>
    <mergeCell ref="E1698:F1698"/>
    <mergeCell ref="D1699:F1699"/>
    <mergeCell ref="E1700:F1700"/>
    <mergeCell ref="E1701:F1701"/>
    <mergeCell ref="D1702:F1702"/>
    <mergeCell ref="E1703:F1703"/>
    <mergeCell ref="E1704:F1704"/>
    <mergeCell ref="E1705:F1705"/>
    <mergeCell ref="D1706:F1706"/>
    <mergeCell ref="E1707:F1707"/>
    <mergeCell ref="E1708:F1708"/>
    <mergeCell ref="E1709:F1709"/>
    <mergeCell ref="D1710:F1710"/>
    <mergeCell ref="E1711:F1711"/>
    <mergeCell ref="D1712:F1712"/>
    <mergeCell ref="E1713:F1713"/>
    <mergeCell ref="D1714:F1714"/>
    <mergeCell ref="E1715:F1715"/>
    <mergeCell ref="E1716:F1716"/>
    <mergeCell ref="D1717:F1717"/>
    <mergeCell ref="E1718:F1718"/>
    <mergeCell ref="E1719:F1719"/>
    <mergeCell ref="D1720:F1720"/>
    <mergeCell ref="E1721:F1721"/>
    <mergeCell ref="D1722:F1722"/>
    <mergeCell ref="E1723:F1723"/>
    <mergeCell ref="D1724:F1724"/>
    <mergeCell ref="E1725:F1725"/>
    <mergeCell ref="D1726:F1726"/>
    <mergeCell ref="E1727:F1727"/>
    <mergeCell ref="D1728:F1728"/>
    <mergeCell ref="E1729:F1729"/>
    <mergeCell ref="E1730:F1730"/>
    <mergeCell ref="E1731:F1731"/>
    <mergeCell ref="D1732:F1732"/>
    <mergeCell ref="E1733:F1733"/>
    <mergeCell ref="E1734:F1734"/>
    <mergeCell ref="E1735:F1735"/>
    <mergeCell ref="D1736:F1736"/>
    <mergeCell ref="E1737:F1737"/>
    <mergeCell ref="D1738:F1738"/>
    <mergeCell ref="E1739:F1739"/>
    <mergeCell ref="D1740:F1740"/>
    <mergeCell ref="E1783:F1783"/>
    <mergeCell ref="D1784:F1784"/>
    <mergeCell ref="E1785:F1785"/>
    <mergeCell ref="E1786:F1786"/>
    <mergeCell ref="D1787:F1787"/>
    <mergeCell ref="E1788:F1788"/>
    <mergeCell ref="E1789:F1789"/>
    <mergeCell ref="D1790:F1790"/>
    <mergeCell ref="E1791:F1791"/>
    <mergeCell ref="E1792:F1792"/>
    <mergeCell ref="D1793:F1793"/>
    <mergeCell ref="E1794:F1794"/>
    <mergeCell ref="E1795:F1795"/>
    <mergeCell ref="D1796:F1796"/>
    <mergeCell ref="E1741:F1741"/>
    <mergeCell ref="D1742:F1742"/>
    <mergeCell ref="E1743:F1743"/>
    <mergeCell ref="D1744:F1744"/>
    <mergeCell ref="E1745:F1745"/>
    <mergeCell ref="D1746:F1746"/>
    <mergeCell ref="E1747:F1747"/>
    <mergeCell ref="D1748:F1748"/>
    <mergeCell ref="E1749:F1749"/>
    <mergeCell ref="E1750:F1750"/>
    <mergeCell ref="E1751:F1751"/>
    <mergeCell ref="D1752:F1752"/>
    <mergeCell ref="E1753:F1753"/>
    <mergeCell ref="E1754:F1754"/>
    <mergeCell ref="E1755:F1755"/>
    <mergeCell ref="D1756:F1756"/>
    <mergeCell ref="E1757:F1757"/>
    <mergeCell ref="D1758:F1758"/>
    <mergeCell ref="E1759:F1759"/>
    <mergeCell ref="E1760:F1760"/>
    <mergeCell ref="E1761:F1761"/>
    <mergeCell ref="D1762:F1762"/>
    <mergeCell ref="E1763:F1763"/>
    <mergeCell ref="D1764:F1764"/>
    <mergeCell ref="E1765:F1765"/>
    <mergeCell ref="D1766:F1766"/>
    <mergeCell ref="E1767:F1767"/>
    <mergeCell ref="D1768:F1768"/>
    <mergeCell ref="E1769:F1769"/>
    <mergeCell ref="D1770:F1770"/>
    <mergeCell ref="E1771:F1771"/>
    <mergeCell ref="D1772:F1772"/>
    <mergeCell ref="E1773:F1773"/>
    <mergeCell ref="E1774:F1774"/>
    <mergeCell ref="D1775:F1775"/>
    <mergeCell ref="E1776:F1776"/>
    <mergeCell ref="E1777:F1777"/>
    <mergeCell ref="D1778:F1778"/>
    <mergeCell ref="E1779:F1779"/>
    <mergeCell ref="E1780:F1780"/>
    <mergeCell ref="D1781:F1781"/>
    <mergeCell ref="E1782:F1782"/>
    <mergeCell ref="E1797:F1797"/>
    <mergeCell ref="E1798:F1798"/>
    <mergeCell ref="D1799:F1799"/>
    <mergeCell ref="E1800:F1800"/>
    <mergeCell ref="E1801:F1801"/>
    <mergeCell ref="D1802:F1802"/>
    <mergeCell ref="E1803:F1803"/>
  </mergeCells>
  <conditionalFormatting sqref="P2:P2272 J3">
    <cfRule type="colorScale" priority="1">
      <colorScale>
        <cfvo type="formula" val="0"/>
        <cfvo type="formula" val="31"/>
        <color rgb="FFFFFFFF"/>
        <color rgb="FFE06666"/>
      </colorScale>
    </cfRule>
  </conditionalFormatting>
  <conditionalFormatting sqref="J2:J2272">
    <cfRule type="colorScale" priority="2">
      <colorScale>
        <cfvo type="formula" val="0"/>
        <cfvo type="formula" val="252"/>
        <color rgb="FFFFFFFF"/>
        <color rgb="FFE06666"/>
      </colorScale>
    </cfRule>
  </conditionalFormatting>
  <conditionalFormatting sqref="Q2:Q2272 K3">
    <cfRule type="colorScale" priority="3">
      <colorScale>
        <cfvo type="formula" val="0"/>
        <cfvo type="formula" val="31"/>
        <color rgb="FFFFFFFF"/>
        <color rgb="FFF6B26B"/>
      </colorScale>
    </cfRule>
  </conditionalFormatting>
  <conditionalFormatting sqref="K3:K2272">
    <cfRule type="colorScale" priority="4">
      <colorScale>
        <cfvo type="formula" val="0"/>
        <cfvo type="formula" val="252"/>
        <color rgb="FFFFFFFF"/>
        <color rgb="FFF6B26B"/>
      </colorScale>
    </cfRule>
  </conditionalFormatting>
  <conditionalFormatting sqref="R2:R2272 L3">
    <cfRule type="colorScale" priority="5">
      <colorScale>
        <cfvo type="formula" val="0"/>
        <cfvo type="formula" val="31"/>
        <color rgb="FFFFFFFF"/>
        <color rgb="FFFFD966"/>
      </colorScale>
    </cfRule>
  </conditionalFormatting>
  <conditionalFormatting sqref="L3:L2272">
    <cfRule type="colorScale" priority="6">
      <colorScale>
        <cfvo type="formula" val="0"/>
        <cfvo type="formula" val="252"/>
        <color rgb="FFFFFFFF"/>
        <color rgb="FFFFD966"/>
      </colorScale>
    </cfRule>
  </conditionalFormatting>
  <conditionalFormatting sqref="S2:S2272 M3">
    <cfRule type="colorScale" priority="7">
      <colorScale>
        <cfvo type="formula" val="0"/>
        <cfvo type="formula" val="31"/>
        <color rgb="FFFFFFFF"/>
        <color rgb="FF6D9EEB"/>
      </colorScale>
    </cfRule>
  </conditionalFormatting>
  <conditionalFormatting sqref="M3:M2272">
    <cfRule type="colorScale" priority="8">
      <colorScale>
        <cfvo type="formula" val="0"/>
        <cfvo type="formula" val="252"/>
        <color rgb="FFFFFFFF"/>
        <color rgb="FF6D9EEB"/>
      </colorScale>
    </cfRule>
  </conditionalFormatting>
  <conditionalFormatting sqref="T2:T2272 N3">
    <cfRule type="colorScale" priority="9">
      <colorScale>
        <cfvo type="formula" val="0"/>
        <cfvo type="formula" val="31"/>
        <color rgb="FFFFFFFF"/>
        <color rgb="FF93C47D"/>
      </colorScale>
    </cfRule>
  </conditionalFormatting>
  <conditionalFormatting sqref="N3:N2272">
    <cfRule type="colorScale" priority="10">
      <colorScale>
        <cfvo type="formula" val="0"/>
        <cfvo type="formula" val="252"/>
        <color rgb="FFFFFFFF"/>
        <color rgb="FF93C47D"/>
      </colorScale>
    </cfRule>
  </conditionalFormatting>
  <conditionalFormatting sqref="U2:U2272 O3">
    <cfRule type="colorScale" priority="11">
      <colorScale>
        <cfvo type="formula" val="0"/>
        <cfvo type="formula" val="31"/>
        <color rgb="FFFFFFFF"/>
        <color rgb="FFC27BA0"/>
      </colorScale>
    </cfRule>
  </conditionalFormatting>
  <conditionalFormatting sqref="O3:O2272">
    <cfRule type="colorScale" priority="12">
      <colorScale>
        <cfvo type="formula" val="0"/>
        <cfvo type="formula" val="252"/>
        <color rgb="FFFFFFFF"/>
        <color rgb="FFC27BA0"/>
      </colorScale>
    </cfRule>
  </conditionalFormatting>
  <conditionalFormatting sqref="J2:U2272">
    <cfRule type="cellIs" dxfId="0" priority="13" operator="equal">
      <formula>0</formula>
    </cfRule>
  </conditionalFormatting>
  <conditionalFormatting sqref="D2:D2265 D2267:D2272">
    <cfRule type="colorScale" priority="14">
      <colorScale>
        <cfvo type="formula" val="1"/>
        <cfvo type="formula" val="100"/>
        <color rgb="FFFFFFFF"/>
        <color rgb="FF8E7CC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2709</v>
      </c>
    </row>
    <row r="543">
      <c r="B543" s="28" t="str">
        <f>IMAGE("https://www.serebii.net/itemdex/sprites/softsand.png")</f>
        <v/>
      </c>
    </row>
    <row r="544">
      <c r="B544" s="28" t="str">
        <f>IMAGE("https://www.serebii.net/itemdex/sprites/sitrusberry.png")</f>
        <v/>
      </c>
    </row>
    <row r="560">
      <c r="B560" s="28" t="str">
        <f>IMAGE("https://www.serebii.net/itemdex/sprites/blacksludge.png")</f>
        <v/>
      </c>
    </row>
    <row r="561">
      <c r="B561" s="28" t="str">
        <f>IMAGE("https://www.serebii.net/itemdex/sprites/wiseglasses.png")</f>
        <v/>
      </c>
    </row>
    <row r="562">
      <c r="B562" s="28" t="str">
        <f>IMAGE("https://www.serebii.net/itemdex/sprites/sitrusberry.png")</f>
        <v/>
      </c>
    </row>
    <row r="563">
      <c r="B563" s="28" t="str">
        <f>IMAGE("https://www.serebii.net/itemdex/sprites/flameorb.png")</f>
        <v/>
      </c>
    </row>
    <row r="564">
      <c r="B564" s="28" t="str">
        <f>IMAGE("https://www.serebii.net/itemdex/sprites/scopelens.png")</f>
        <v/>
      </c>
    </row>
    <row r="566">
      <c r="B566" s="28" t="str">
        <f>IMAGE("https://www.serebii.net/itemdex/sprites/leftovers.png")</f>
        <v/>
      </c>
    </row>
    <row r="567">
      <c r="B567" s="28" t="str">
        <f>IMAGE("https://www.serebii.net/itemdex/sprites/sitrusberry.png")</f>
        <v/>
      </c>
    </row>
    <row r="568">
      <c r="B568" s="28" t="str">
        <f>IMAGE("https://www.serebii.net/itemdex/sprites/softsand.png")</f>
        <v/>
      </c>
    </row>
    <row r="569">
      <c r="B569" s="28" t="str">
        <f>IMAGE("https://www.serebii.net/itemdex/sprites/rindoberry.png")</f>
        <v/>
      </c>
    </row>
    <row r="570">
      <c r="B570" s="28" t="str">
        <f>IMAGE("https://www.serebii.net/itemdex/sprites/chestoberry.png")</f>
        <v/>
      </c>
    </row>
    <row r="572">
      <c r="B572" s="28" t="str">
        <f>IMAGE("https://www.serebii.net/itemdex/sprites/widelens.png")</f>
        <v/>
      </c>
    </row>
    <row r="573">
      <c r="B573" s="28" t="str">
        <f>IMAGE("https://www.serebii.net/itemdex/sprites/lifeorb.png")</f>
        <v/>
      </c>
    </row>
    <row r="574">
      <c r="B574" s="28" t="str">
        <f>IMAGE("https://www.serebii.net/itemdex/sprites/sitrusberry.png")</f>
        <v/>
      </c>
    </row>
    <row r="575">
      <c r="B575" s="28" t="str">
        <f>IMAGE("https://www.serebii.net/itemdex/sprites/leftovers.png")</f>
        <v/>
      </c>
    </row>
    <row r="576">
      <c r="B576" s="28" t="str">
        <f>IMAGE("https://www.serebii.net/itemdex/sprites/focussash.png")</f>
        <v/>
      </c>
    </row>
    <row r="578">
      <c r="B578" s="28" t="str">
        <f>IMAGE("https://www.serebii.net/itemdex/sprites/lightclay.png")</f>
        <v/>
      </c>
    </row>
    <row r="579">
      <c r="B579" s="28" t="str">
        <f>IMAGE("https://www.serebii.net/itemdex/sprites/mentalherb.png")</f>
        <v/>
      </c>
    </row>
    <row r="580">
      <c r="B580" s="28" t="str">
        <f>IMAGE("https://www.serebii.net/itemdex/sprites/muscleband.png")</f>
        <v/>
      </c>
    </row>
    <row r="581">
      <c r="B581" s="28" t="str">
        <f>IMAGE("https://www.serebii.net/itemdex/sprites/lifeorb.png")</f>
        <v/>
      </c>
    </row>
    <row r="582">
      <c r="B582" s="28" t="str">
        <f>IMAGE("https://www.serebii.net/itemdex/sprites/sitrusberry.png")</f>
        <v/>
      </c>
    </row>
    <row r="590">
      <c r="B590" s="28" t="str">
        <f>IMAGE("https://www.serebii.net/itemdex/sprites/sitrusberry.png")</f>
        <v/>
      </c>
    </row>
    <row r="591">
      <c r="B591" s="28" t="str">
        <f>IMAGE("https://www.serebii.net/itemdex/sprites/expertbelt.png")</f>
        <v/>
      </c>
    </row>
    <row r="592">
      <c r="B592" s="28" t="str">
        <f>IMAGE("https://www.serebii.net/itemdex/sprites/leftovers.png")</f>
        <v/>
      </c>
    </row>
    <row r="593">
      <c r="B593" s="28" t="str">
        <f>IMAGE("https://www.serebii.net/itemdex/sprites/wiseglasses.png")</f>
        <v/>
      </c>
    </row>
    <row r="594">
      <c r="B594" s="28" t="str">
        <f>IMAGE("https://www.serebii.net/itemdex/sprites/flameorb.png")</f>
        <v/>
      </c>
    </row>
    <row r="595">
      <c r="B595" s="28" t="str">
        <f>IMAGE("https://www.serebii.net/itemdex/sprites/yacheberry.png")</f>
        <v/>
      </c>
    </row>
    <row r="684">
      <c r="B684" s="28" t="str">
        <f>IMAGE("https://www.serebii.net/itemdex/sprites/oranberry.png")</f>
        <v/>
      </c>
    </row>
    <row r="737">
      <c r="B737" s="28" t="str">
        <f>IMAGE("https://www.serebii.net/itemdex/sprites/miracleseed.png")</f>
        <v/>
      </c>
    </row>
    <row r="738">
      <c r="B738" s="28" t="str">
        <f>IMAGE("https://www.serebii.net/itemdex/sprites/sitrusberry.png")</f>
        <v/>
      </c>
    </row>
    <row r="740">
      <c r="B740" s="28" t="str">
        <f>IMAGE("https://www.serebii.net/itemdex/sprites/widelens.png")</f>
        <v/>
      </c>
    </row>
    <row r="741">
      <c r="B741" s="28" t="str">
        <f>IMAGE("https://www.serebii.net/itemdex/sprites/damprock.png")</f>
        <v/>
      </c>
    </row>
    <row r="742">
      <c r="B742" s="28" t="str">
        <f>IMAGE("https://www.serebii.net/itemdex/sprites/sitrusberry.png")</f>
        <v/>
      </c>
    </row>
    <row r="744">
      <c r="B744" s="28" t="str">
        <f>IMAGE("https://www.serebii.net/itemdex/sprites/lightclay.png")</f>
        <v/>
      </c>
    </row>
    <row r="745">
      <c r="B745" s="28" t="str">
        <f>IMAGE("https://www.serebii.net/itemdex/sprites/expertbelt.png")</f>
        <v/>
      </c>
    </row>
    <row r="746">
      <c r="B746" s="28" t="str">
        <f>IMAGE("https://www.serebii.net/itemdex/sprites/bigroot.png")</f>
        <v/>
      </c>
    </row>
    <row r="748">
      <c r="B748" s="28" t="str">
        <f>IMAGE("https://www.serebii.net/itemdex/sprites/zoomlens.png")</f>
        <v/>
      </c>
    </row>
    <row r="749">
      <c r="B749" s="28" t="str">
        <f>IMAGE("https://www.serebii.net/itemdex/sprites/colburberry.png")</f>
        <v/>
      </c>
    </row>
    <row r="750">
      <c r="B750" s="28" t="str">
        <f>IMAGE("https://www.serebii.net/itemdex/sprites/expertbelt.png")</f>
        <v/>
      </c>
    </row>
    <row r="752">
      <c r="B752" s="28" t="str">
        <f>IMAGE("https://www.serebii.net/itemdex/sprites/icyrock.png")</f>
        <v/>
      </c>
    </row>
    <row r="753">
      <c r="B753" s="28" t="str">
        <f>IMAGE("https://www.serebii.net/itemdex/sprites/chopleberry.png")</f>
        <v/>
      </c>
    </row>
    <row r="754">
      <c r="B754" s="28" t="str">
        <f>IMAGE("https://www.serebii.net/itemdex/sprites/expertbelt.png")</f>
        <v/>
      </c>
    </row>
    <row r="755">
      <c r="B755" s="28" t="str">
        <f>IMAGE("https://www.serebii.net/itemdex/sprites/sitrusberry.png")</f>
        <v/>
      </c>
    </row>
    <row r="757">
      <c r="B757" s="28" t="str">
        <f>IMAGE("https://www.serebii.net/itemdex/sprites/shucaberry.png")</f>
        <v/>
      </c>
    </row>
    <row r="758">
      <c r="B758" s="28" t="str">
        <f>IMAGE("https://www.serebii.net/itemdex/sprites/chopleberry.png")</f>
        <v/>
      </c>
    </row>
    <row r="759">
      <c r="B759" s="28" t="str">
        <f>IMAGE("https://www.serebii.net/itemdex/sprites/expertbelt.png")</f>
        <v/>
      </c>
    </row>
    <row r="760">
      <c r="B760" s="28" t="str">
        <f>IMAGE("https://www.serebii.net/itemdex/sprites/sitrusberry.png")</f>
        <v/>
      </c>
    </row>
    <row r="934">
      <c r="B934" s="28" t="str">
        <f>IMAGE("https://www.serebii.net/itemdex/sprites/sitrusberry.png")</f>
        <v/>
      </c>
    </row>
    <row r="936">
      <c r="B936" s="28" t="str">
        <f>IMAGE("https://www.serebii.net/itemdex/sprites/scopelens.png")</f>
        <v/>
      </c>
    </row>
    <row r="937">
      <c r="B937" s="28" t="str">
        <f>IMAGE("https://www.serebii.net/itemdex/sprites/quickclaw.png")</f>
        <v/>
      </c>
    </row>
    <row r="938">
      <c r="B938" s="28" t="str">
        <f>IMAGE("https://www.serebii.net/itemdex/sprites/wacanberry.png")</f>
        <v/>
      </c>
    </row>
    <row r="939">
      <c r="B939" s="28" t="str">
        <f>IMAGE("https://www.serebii.net/itemdex/sprites/chopleberry.png")</f>
        <v/>
      </c>
    </row>
    <row r="943">
      <c r="B943" s="28" t="str">
        <f>IMAGE("https://www.serebii.net/itemdex/sprites/sitrusberry.png")</f>
        <v/>
      </c>
    </row>
    <row r="946">
      <c r="B946" s="28" t="str">
        <f>IMAGE("https://www.serebii.net/itemdex/sprites/sitrusberry.png")</f>
        <v/>
      </c>
    </row>
    <row r="950">
      <c r="B950" s="28" t="str">
        <f>IMAGE("https://www.serebii.net/itemdex/sprites/sitrusberry.png")</f>
        <v/>
      </c>
    </row>
    <row r="952">
      <c r="B952" s="28" t="str">
        <f>IMAGE("https://www.serebii.net/itemdex/sprites/damprock.png")</f>
        <v/>
      </c>
    </row>
    <row r="956">
      <c r="B956" s="28" t="str">
        <f>IMAGE("https://www.serebii.net/itemdex/sprites/damprock.png")</f>
        <v/>
      </c>
    </row>
    <row r="1076">
      <c r="B1076" s="28" t="str">
        <f>IMAGE("https://www.serebii.net/itemdex/sprites/quickclaw.png")</f>
        <v/>
      </c>
    </row>
    <row r="1077">
      <c r="B1077" s="28" t="str">
        <f>IMAGE("https://www.serebii.net/itemdex/sprites/seaincense.png")</f>
        <v/>
      </c>
    </row>
    <row r="1078">
      <c r="B1078" s="28" t="str">
        <f>IMAGE("https://www.serebii.net/itemdex/sprites/shellbell.png")</f>
        <v/>
      </c>
    </row>
    <row r="1079">
      <c r="B1079" s="28" t="str">
        <f>IMAGE("https://www.serebii.net/itemdex/sprites/miracleseed.png")</f>
        <v/>
      </c>
    </row>
    <row r="1081">
      <c r="B1081" s="28" t="str">
        <f>IMAGE("https://www.serebii.net/itemdex/sprites/quickclaw.png")</f>
        <v/>
      </c>
    </row>
    <row r="1082">
      <c r="B1082" s="28" t="str">
        <f>IMAGE("https://www.serebii.net/itemdex/sprites/seaincense.png")</f>
        <v/>
      </c>
    </row>
    <row r="1083">
      <c r="B1083" s="28" t="str">
        <f>IMAGE("https://www.serebii.net/itemdex/sprites/miracleseed.png")</f>
        <v/>
      </c>
    </row>
    <row r="1084">
      <c r="B1084" s="28" t="str">
        <f>IMAGE("https://www.serebii.net/itemdex/sprites/shellbell.png")</f>
        <v/>
      </c>
    </row>
    <row r="1086">
      <c r="B1086" s="28" t="str">
        <f>IMAGE("https://www.serebii.net/itemdex/sprites/quickclaw.png")</f>
        <v/>
      </c>
    </row>
    <row r="1087">
      <c r="B1087" s="28" t="str">
        <f>IMAGE("https://www.serebii.net/itemdex/sprites/miracleseed.png")</f>
        <v/>
      </c>
    </row>
    <row r="1088">
      <c r="B1088" s="28" t="str">
        <f>IMAGE("https://www.serebii.net/itemdex/sprites/shellbell.png")</f>
        <v/>
      </c>
    </row>
    <row r="1089">
      <c r="B1089" s="28" t="str">
        <f>IMAGE("https://www.serebii.net/itemdex/sprites/seaincense.png")</f>
        <v/>
      </c>
    </row>
    <row r="1091">
      <c r="B1091" s="28" t="str">
        <f>IMAGE("https://www.serebii.net/itemdex/sprites/quickclaw.png")</f>
        <v/>
      </c>
    </row>
    <row r="1092">
      <c r="B1092" s="28" t="str">
        <f>IMAGE("https://www.serebii.net/itemdex/sprites/seaincense.png")</f>
        <v/>
      </c>
    </row>
    <row r="1094">
      <c r="B1094" s="28" t="str">
        <f>IMAGE("https://www.serebii.net/itemdex/sprites/shellbell.png")</f>
        <v/>
      </c>
    </row>
    <row r="1095">
      <c r="B1095" s="28" t="str">
        <f>IMAGE("https://www.serebii.net/itemdex/sprites/bigroot.png")</f>
        <v/>
      </c>
    </row>
    <row r="1097">
      <c r="B1097" s="28" t="str">
        <f>IMAGE("https://www.serebii.net/itemdex/sprites/quickclaw.png")</f>
        <v/>
      </c>
    </row>
    <row r="1098">
      <c r="B1098" s="28" t="str">
        <f>IMAGE("https://www.serebii.net/itemdex/sprites/seaincense.png")</f>
        <v/>
      </c>
    </row>
    <row r="1100">
      <c r="B1100" s="28" t="str">
        <f>IMAGE("https://www.serebii.net/itemdex/sprites/bigroot.png")</f>
        <v/>
      </c>
    </row>
    <row r="1101">
      <c r="B1101" s="28" t="str">
        <f>IMAGE("https://www.serebii.net/itemdex/sprites/shellbell.png")</f>
        <v/>
      </c>
    </row>
    <row r="1103">
      <c r="B1103" s="28" t="str">
        <f>IMAGE("https://www.serebii.net/itemdex/sprites/quickclaw.png")</f>
        <v/>
      </c>
    </row>
    <row r="1104">
      <c r="B1104" s="28" t="str">
        <f>IMAGE("https://www.serebii.net/itemdex/sprites/bigroot.png")</f>
        <v/>
      </c>
    </row>
    <row r="1106">
      <c r="B1106" s="28" t="str">
        <f>IMAGE("https://www.serebii.net/itemdex/sprites/shellbell.png")</f>
        <v/>
      </c>
    </row>
    <row r="1107">
      <c r="B1107" s="28" t="str">
        <f>IMAGE("https://www.serebii.net/itemdex/sprites/seaincense.png")</f>
        <v/>
      </c>
    </row>
    <row r="1109">
      <c r="B1109" s="28" t="str">
        <f>IMAGE("https://www.serebii.net/itemdex/sprites/focussash.png")</f>
        <v/>
      </c>
    </row>
    <row r="1110">
      <c r="B1110" s="28" t="str">
        <f>IMAGE("https://www.serebii.net/itemdex/sprites/quickclaw.png")</f>
        <v/>
      </c>
    </row>
    <row r="1112">
      <c r="B1112" s="28" t="str">
        <f>IMAGE("https://www.serebii.net/itemdex/sprites/expertbelt.png")</f>
        <v/>
      </c>
    </row>
    <row r="1114">
      <c r="B1114" s="28" t="str">
        <f>IMAGE("https://www.serebii.net/itemdex/sprites/leftovers.png")</f>
        <v/>
      </c>
    </row>
    <row r="1116">
      <c r="B1116" s="28" t="str">
        <f>IMAGE("https://www.serebii.net/itemdex/sprites/focussash.png")</f>
        <v/>
      </c>
    </row>
    <row r="1117">
      <c r="B1117" s="28" t="str">
        <f>IMAGE("https://www.serebii.net/itemdex/sprites/quickclaw.png")</f>
        <v/>
      </c>
    </row>
    <row r="1119">
      <c r="B1119" s="28" t="str">
        <f>IMAGE("https://www.serebii.net/itemdex/sprites/bigroot.png")</f>
        <v/>
      </c>
    </row>
    <row r="1121">
      <c r="B1121" s="28" t="str">
        <f>IMAGE("https://www.serebii.net/itemdex/sprites/expertbelt.png")</f>
        <v/>
      </c>
    </row>
    <row r="1123">
      <c r="B1123" s="28" t="str">
        <f>IMAGE("https://www.serebii.net/itemdex/sprites/focussash.png")</f>
        <v/>
      </c>
    </row>
    <row r="1124">
      <c r="B1124" s="28" t="str">
        <f>IMAGE("https://www.serebii.net/itemdex/sprites/blacksludge.png")</f>
        <v/>
      </c>
    </row>
    <row r="1126">
      <c r="B1126" s="28" t="str">
        <f>IMAGE("https://www.serebii.net/itemdex/sprites/expertbelt.png")</f>
        <v/>
      </c>
    </row>
    <row r="1128">
      <c r="B1128" s="28" t="str">
        <f>IMAGE("https://www.serebii.net/itemdex/sprites/quickclaw.png")</f>
        <v/>
      </c>
    </row>
    <row r="1248">
      <c r="B1248" s="28" t="str">
        <f>IMAGE("https://www.serebii.net/itemdex/sprites/sitrusberry.png")</f>
        <v/>
      </c>
    </row>
    <row r="1478">
      <c r="B1478" s="28" t="str">
        <f>IMAGE("https://www.serebii.net/itemdex/sprites/quickclaw.png")</f>
        <v/>
      </c>
    </row>
    <row r="1479">
      <c r="B1479" s="28" t="str">
        <f>IMAGE("https://www.serebii.net/itemdex/sprites/seaincense.png")</f>
        <v/>
      </c>
    </row>
    <row r="1481">
      <c r="B1481" s="28" t="str">
        <f>IMAGE("https://www.serebii.net/itemdex/sprites/shellbell.png")</f>
        <v/>
      </c>
    </row>
    <row r="1482">
      <c r="B1482" s="28" t="str">
        <f>IMAGE("https://www.serebii.net/itemdex/sprites/leftovers.png")</f>
        <v/>
      </c>
    </row>
    <row r="1507">
      <c r="B1507" s="28" t="str">
        <f>IMAGE("https://www.serebii.net/itemdex/sprites/quickclaw.png")</f>
        <v/>
      </c>
    </row>
    <row r="1508">
      <c r="B1508" s="28" t="str">
        <f>IMAGE("https://www.serebii.net/itemdex/sprites/seaincense.png")</f>
        <v/>
      </c>
    </row>
    <row r="1510">
      <c r="B1510" s="28" t="str">
        <f>IMAGE("https://www.serebii.net/itemdex/sprites/bigroot.png")</f>
        <v/>
      </c>
    </row>
    <row r="1511">
      <c r="B1511" s="28" t="str">
        <f>IMAGE("https://www.serebii.net/itemdex/sprites/shellbell.png")</f>
        <v/>
      </c>
    </row>
    <row r="1514">
      <c r="B1514" s="28" t="str">
        <f>IMAGE("https://www.serebii.net/itemdex/sprites/quickclaw.png")</f>
        <v/>
      </c>
    </row>
    <row r="1515">
      <c r="B1515" s="28" t="str">
        <f>IMAGE("https://www.serebii.net/itemdex/sprites/bigroot.png")</f>
        <v/>
      </c>
    </row>
    <row r="1517">
      <c r="B1517" s="28" t="str">
        <f>IMAGE("https://www.serebii.net/itemdex/sprites/shellbell.png")</f>
        <v/>
      </c>
    </row>
    <row r="1518">
      <c r="B1518" s="28" t="str">
        <f>IMAGE("https://www.serebii.net/itemdex/sprites/seaincense.png")</f>
        <v/>
      </c>
    </row>
    <row r="2001">
      <c r="B2001" s="28" t="str">
        <f>IMAGE("https://www.serebii.net/itemdex/sprites/focussash.png")</f>
        <v/>
      </c>
    </row>
    <row r="2002">
      <c r="B2002" s="28" t="str">
        <f>IMAGE("https://www.serebii.net/itemdex/sprites/quickclaw.png")</f>
        <v/>
      </c>
    </row>
    <row r="2004">
      <c r="B2004" s="28" t="str">
        <f>IMAGE("https://www.serebii.net/itemdex/sprites/expertbelt.png")</f>
        <v/>
      </c>
    </row>
    <row r="2006">
      <c r="B2006" s="28" t="str">
        <f>IMAGE("https://www.serebii.net/itemdex/sprites/leftovers.png")</f>
        <v/>
      </c>
    </row>
    <row r="2008">
      <c r="B2008" s="28" t="str">
        <f>IMAGE("https://www.serebii.net/itemdex/sprites/focussash.png")</f>
        <v/>
      </c>
    </row>
    <row r="2009">
      <c r="B2009" s="28" t="str">
        <f>IMAGE("https://www.serebii.net/itemdex/sprites/quickclaw.png")</f>
        <v/>
      </c>
    </row>
    <row r="2011">
      <c r="B2011" s="28" t="str">
        <f>IMAGE("https://www.serebii.net/itemdex/sprites/blacksludge.png")</f>
        <v/>
      </c>
    </row>
    <row r="2013">
      <c r="B2013" s="28" t="str">
        <f>IMAGE("https://www.serebii.net/itemdex/sprites/expertbelt.png")</f>
        <v/>
      </c>
    </row>
    <row r="2015">
      <c r="B2015" s="28" t="str">
        <f>IMAGE("https://www.serebii.net/itemdex/sprites/focussash.png")</f>
        <v/>
      </c>
    </row>
    <row r="2016">
      <c r="B2016" s="28" t="str">
        <f>IMAGE("https://www.serebii.net/itemdex/sprites/blacksludge.png")</f>
        <v/>
      </c>
    </row>
    <row r="2018">
      <c r="B2018" s="28" t="str">
        <f>IMAGE("https://www.serebii.net/itemdex/sprites/expertbelt.png")</f>
        <v/>
      </c>
    </row>
    <row r="2020">
      <c r="B2020" s="28" t="str">
        <f>IMAGE("https://www.serebii.net/itemdex/sprites/quickclaw.png")</f>
        <v/>
      </c>
    </row>
    <row r="2022">
      <c r="B2022" s="28" t="str">
        <f>IMAGE("https://www.serebii.net/itemdex/sprites/focussash.png")</f>
        <v/>
      </c>
    </row>
    <row r="2023">
      <c r="B2023" s="28" t="str">
        <f>IMAGE("https://www.serebii.net/itemdex/sprites/quickclaw.png")</f>
        <v/>
      </c>
    </row>
    <row r="2025">
      <c r="B2025" s="28" t="str">
        <f>IMAGE("https://www.serebii.net/itemdex/sprites/expertbelt.png")</f>
        <v/>
      </c>
    </row>
    <row r="2027">
      <c r="B2027" s="28" t="str">
        <f>IMAGE("https://www.serebii.net/itemdex/sprites/leftovers.png")</f>
        <v/>
      </c>
    </row>
    <row r="2029">
      <c r="B2029" s="28" t="str">
        <f>IMAGE("https://www.serebii.net/itemdex/sprites/focussash.png")</f>
        <v/>
      </c>
    </row>
    <row r="2030">
      <c r="B2030" s="28" t="str">
        <f>IMAGE("https://www.serebii.net/itemdex/sprites/quickclaw.png")</f>
        <v/>
      </c>
    </row>
    <row r="2032">
      <c r="B2032" s="28" t="str">
        <f>IMAGE("https://www.serebii.net/itemdex/sprites/blacksludge.png")</f>
        <v/>
      </c>
    </row>
    <row r="2034">
      <c r="B2034" s="28" t="str">
        <f>IMAGE("https://www.serebii.net/itemdex/sprites/expertbelt.png")</f>
        <v/>
      </c>
    </row>
    <row r="2036">
      <c r="B2036" s="28" t="str">
        <f>IMAGE("https://www.serebii.net/itemdex/sprites/focussash.png")</f>
        <v/>
      </c>
    </row>
    <row r="2037">
      <c r="B2037" s="28" t="str">
        <f>IMAGE("https://www.serebii.net/itemdex/sprites/blacksludge.png")</f>
        <v/>
      </c>
    </row>
    <row r="2039">
      <c r="B2039" s="28" t="str">
        <f>IMAGE("https://www.serebii.net/itemdex/sprites/expertbelt.png")</f>
        <v/>
      </c>
    </row>
    <row r="2041">
      <c r="B2041" s="28" t="str">
        <f>IMAGE("https://www.serebii.net/itemdex/sprites/quickclaw.png")</f>
        <v/>
      </c>
    </row>
    <row r="2060">
      <c r="B2060" s="28" t="str">
        <f>IMAGE("https://www.serebii.net/itemdex/sprites/smoothrock.png")</f>
        <v/>
      </c>
    </row>
    <row r="2061">
      <c r="B2061" s="28" t="str">
        <f>IMAGE("https://www.serebii.net/itemdex/sprites/scopelens.png")</f>
        <v/>
      </c>
    </row>
    <row r="2062">
      <c r="B2062" s="28" t="str">
        <f>IMAGE("https://www.serebii.net/itemdex/sprites/sitrusberry.png")</f>
        <v/>
      </c>
    </row>
    <row r="2063">
      <c r="B2063" s="28" t="str">
        <f>IMAGE("https://www.serebii.net/itemdex/sprites/focussash.png")</f>
        <v/>
      </c>
    </row>
    <row r="2064">
      <c r="B2064" s="28" t="str">
        <f>IMAGE("https://www.serebii.net/itemdex/sprites/choiceband.png")</f>
        <v/>
      </c>
    </row>
    <row r="2065">
      <c r="B2065" s="28" t="str">
        <f>IMAGE("https://www.serebii.net/itemdex/sprites/lifeorb.png")</f>
        <v/>
      </c>
    </row>
    <row r="2067">
      <c r="B2067" s="28" t="str">
        <f>IMAGE("https://www.serebii.net/itemdex/sprites/heatrock.png")</f>
        <v/>
      </c>
    </row>
    <row r="2068">
      <c r="B2068" s="28" t="str">
        <f>IMAGE("https://www.serebii.net/itemdex/sprites/choicescarf.png")</f>
        <v/>
      </c>
    </row>
    <row r="2069">
      <c r="B2069" s="28" t="str">
        <f>IMAGE("https://www.serebii.net/itemdex/sprites/focussash.png")</f>
        <v/>
      </c>
    </row>
    <row r="2070">
      <c r="B2070" s="28" t="str">
        <f>IMAGE("https://www.serebii.net/itemdex/sprites/toxicorb.png")</f>
        <v/>
      </c>
    </row>
    <row r="2071">
      <c r="B2071" s="28" t="str">
        <f>IMAGE("https://www.serebii.net/itemdex/sprites/lifeorb.png")</f>
        <v/>
      </c>
    </row>
    <row r="2072">
      <c r="B2072" s="28" t="str">
        <f>IMAGE("https://www.serebii.net/itemdex/sprites/powerherb.png")</f>
        <v/>
      </c>
    </row>
    <row r="2074">
      <c r="B2074" s="28" t="str">
        <f>IMAGE("https://www.serebii.net/itemdex/sprites/damprock.png")</f>
        <v/>
      </c>
    </row>
    <row r="2075">
      <c r="B2075" s="28" t="str">
        <f>IMAGE("https://www.serebii.net/itemdex/sprites/chestoberry.png")</f>
        <v/>
      </c>
    </row>
    <row r="2076">
      <c r="B2076" s="28" t="str">
        <f>IMAGE("https://www.serebii.net/itemdex/sprites/sitrusberry.png")</f>
        <v/>
      </c>
    </row>
    <row r="2077">
      <c r="B2077" s="28" t="str">
        <f>IMAGE("https://www.serebii.net/itemdex/sprites/focussash.png")</f>
        <v/>
      </c>
    </row>
    <row r="2078">
      <c r="B2078" s="28" t="str">
        <f>IMAGE("https://www.serebii.net/itemdex/sprites/wacanberry.png")</f>
        <v/>
      </c>
    </row>
    <row r="2079">
      <c r="B2079" s="28" t="str">
        <f>IMAGE("https://www.serebii.net/itemdex/sprites/lifeorb.png")</f>
        <v/>
      </c>
    </row>
    <row r="2081">
      <c r="B2081" s="28" t="str">
        <f>IMAGE("https://www.serebii.net/itemdex/sprites/expertbelt.png")</f>
        <v/>
      </c>
    </row>
    <row r="2082">
      <c r="B2082" s="28" t="str">
        <f>IMAGE("https://www.serebii.net/itemdex/sprites/lifeorb.png")</f>
        <v/>
      </c>
    </row>
    <row r="2083">
      <c r="B2083" s="28" t="str">
        <f>IMAGE("https://www.serebii.net/itemdex/sprites/flameorb.png")</f>
        <v/>
      </c>
    </row>
    <row r="2084">
      <c r="B2084" s="28" t="str">
        <f>IMAGE("https://www.serebii.net/itemdex/sprites/whiteherb.png")</f>
        <v/>
      </c>
    </row>
    <row r="2085">
      <c r="B2085" s="28" t="str">
        <f>IMAGE("https://www.serebii.net/itemdex/sprites/choiceband.png")</f>
        <v/>
      </c>
    </row>
    <row r="2086">
      <c r="B2086" s="28" t="str">
        <f>IMAGE("https://www.serebii.net/itemdex/sprites/focussash.png")</f>
        <v/>
      </c>
    </row>
    <row r="2088">
      <c r="B2088" s="28" t="str">
        <f>IMAGE("https://www.serebii.net/itemdex/sprites/flameorb.png")</f>
        <v/>
      </c>
    </row>
    <row r="2089">
      <c r="B2089" s="28" t="str">
        <f>IMAGE("https://www.serebii.net/itemdex/sprites/ironball.png")</f>
        <v/>
      </c>
    </row>
    <row r="2090">
      <c r="B2090" s="28" t="str">
        <f>IMAGE("https://www.serebii.net/itemdex/sprites/sitrusberry.png")</f>
        <v/>
      </c>
    </row>
    <row r="2091">
      <c r="B2091" s="28" t="str">
        <f>IMAGE("https://www.serebii.net/itemdex/sprites/expertbelt.png")</f>
        <v/>
      </c>
    </row>
    <row r="2092">
      <c r="B2092" s="28" t="str">
        <f>IMAGE("https://www.serebii.net/itemdex/sprites/focussash.png")</f>
        <v/>
      </c>
    </row>
    <row r="2093">
      <c r="B2093" s="28" t="str">
        <f>IMAGE("https://www.serebii.net/itemdex/sprites/lifeorb.png")</f>
        <v/>
      </c>
    </row>
    <row r="2095">
      <c r="B2095" s="28" t="str">
        <f>IMAGE("https://www.serebii.net/itemdex/sprites/icyrock.png")</f>
        <v/>
      </c>
    </row>
    <row r="2096">
      <c r="B2096" s="28" t="str">
        <f>IMAGE("https://www.serebii.net/itemdex/sprites/focussash.png")</f>
        <v/>
      </c>
    </row>
    <row r="2097">
      <c r="B2097" s="28" t="str">
        <f>IMAGE("https://www.serebii.net/itemdex/sprites/expertbelt.png")</f>
        <v/>
      </c>
    </row>
    <row r="2098">
      <c r="B2098" s="28" t="str">
        <f>IMAGE("https://www.serebii.net/itemdex/sprites/sitrusberry.png")</f>
        <v/>
      </c>
    </row>
    <row r="2099">
      <c r="B2099" s="28" t="str">
        <f>IMAGE("https://www.serebii.net/itemdex/sprites/leftovers.png")</f>
        <v/>
      </c>
    </row>
    <row r="2100">
      <c r="B2100" s="28" t="str">
        <f>IMAGE("https://www.serebii.net/itemdex/sprites/lifeorb.png")</f>
        <v/>
      </c>
    </row>
    <row r="2102">
      <c r="B2102" s="28" t="str">
        <f>IMAGE("https://www.serebii.net/itemdex/sprites/leftovers.png")</f>
        <v/>
      </c>
    </row>
    <row r="2103">
      <c r="B2103" s="28" t="str">
        <f>IMAGE("https://www.serebii.net/itemdex/sprites/lifeorb.png")</f>
        <v/>
      </c>
    </row>
    <row r="2104">
      <c r="B2104" s="28" t="str">
        <f>IMAGE("https://www.serebii.net/itemdex/sprites/focussash.png")</f>
        <v/>
      </c>
    </row>
    <row r="2105">
      <c r="B2105" s="28" t="str">
        <f>IMAGE("https://www.serebii.net/itemdex/sprites/expertbelt.png")</f>
        <v/>
      </c>
    </row>
    <row r="2106">
      <c r="B2106" s="28" t="str">
        <f>IMAGE("https://www.serebii.net/itemdex/sprites/choicescarf.png")</f>
        <v/>
      </c>
    </row>
    <row r="2107">
      <c r="B2107" s="28" t="str">
        <f>IMAGE("https://www.serebii.net/itemdex/sprites/lumberry.png")</f>
        <v/>
      </c>
    </row>
    <row r="2109">
      <c r="B2109" s="28" t="str">
        <f>IMAGE("https://www.serebii.net/itemdex/sprites/damprock.png")</f>
        <v/>
      </c>
    </row>
    <row r="2110">
      <c r="B2110" s="28" t="str">
        <f>IMAGE("https://www.serebii.net/itemdex/sprites/choicescarf.png")</f>
        <v/>
      </c>
    </row>
    <row r="2111">
      <c r="B2111" s="28" t="str">
        <f>IMAGE("https://www.serebii.net/itemdex/sprites/focussash.png")</f>
        <v/>
      </c>
    </row>
    <row r="2112">
      <c r="B2112" s="28" t="str">
        <f>IMAGE("https://www.serebii.net/itemdex/sprites/expertbelt.png")</f>
        <v/>
      </c>
    </row>
    <row r="2113">
      <c r="B2113" s="28" t="str">
        <f>IMAGE("https://www.serebii.net/itemdex/sprites/toxicorb.png")</f>
        <v/>
      </c>
    </row>
    <row r="2114">
      <c r="B2114" s="28" t="str">
        <f>IMAGE("https://www.serebii.net/itemdex/sprites/lifeorb.png")</f>
        <v/>
      </c>
    </row>
    <row r="2116">
      <c r="B2116" s="28" t="str">
        <f>IMAGE("https://www.serebii.net/itemdex/sprites/focussash.png")</f>
        <v/>
      </c>
    </row>
    <row r="2117">
      <c r="B2117" s="28" t="str">
        <f>IMAGE("https://www.serebii.net/itemdex/sprites/flameorb.png")</f>
        <v/>
      </c>
    </row>
    <row r="2118">
      <c r="B2118" s="28" t="str">
        <f>IMAGE("https://www.serebii.net/itemdex/sprites/lifeorb.png")</f>
        <v/>
      </c>
    </row>
    <row r="2119">
      <c r="B2119" s="28" t="str">
        <f>IMAGE("https://www.serebii.net/itemdex/sprites/expertbelt.png")</f>
        <v/>
      </c>
    </row>
    <row r="2120">
      <c r="B2120" s="28" t="str">
        <f>IMAGE("https://www.serebii.net/itemdex/sprites/sitrusberry.png")</f>
        <v/>
      </c>
    </row>
    <row r="2121">
      <c r="B2121" s="28" t="str">
        <f>IMAGE("https://www.serebii.net/itemdex/sprites/leftovers.png")</f>
        <v/>
      </c>
    </row>
    <row r="2123">
      <c r="B2123" s="28" t="str">
        <f>IMAGE("https://www.serebii.net/itemdex/sprites/focussash.png")</f>
        <v/>
      </c>
    </row>
    <row r="2124">
      <c r="B2124" s="28" t="str">
        <f>IMAGE("https://www.serebii.net/itemdex/sprites/lumberry.png")</f>
        <v/>
      </c>
    </row>
    <row r="2125">
      <c r="B2125" s="28" t="str">
        <f>IMAGE("https://www.serebii.net/itemdex/sprites/lifeorb.png")</f>
        <v/>
      </c>
    </row>
    <row r="2126">
      <c r="B2126" s="28" t="str">
        <f>IMAGE("https://www.serebii.net/itemdex/sprites/flameorb.png")</f>
        <v/>
      </c>
    </row>
    <row r="2127">
      <c r="B2127" s="28" t="str">
        <f>IMAGE("https://www.serebii.net/itemdex/sprites/sitrusberry.png")</f>
        <v/>
      </c>
    </row>
    <row r="2128">
      <c r="B2128" s="28" t="str">
        <f>IMAGE("https://www.serebii.net/itemdex/sprites/choicescarf.png")</f>
        <v/>
      </c>
    </row>
    <row r="2130">
      <c r="B2130" s="28" t="str">
        <f>IMAGE("https://www.serebii.net/itemdex/sprites/focussash.png")</f>
        <v/>
      </c>
    </row>
    <row r="2131">
      <c r="B2131" s="28" t="str">
        <f>IMAGE("https://www.serebii.net/itemdex/sprites/expertbelt.png")</f>
        <v/>
      </c>
    </row>
    <row r="2132">
      <c r="B2132" s="28" t="str">
        <f>IMAGE("https://www.serebii.net/itemdex/sprites/lifeorb.png")</f>
        <v/>
      </c>
    </row>
    <row r="2133">
      <c r="B2133" s="28" t="str">
        <f>IMAGE("https://www.serebii.net/itemdex/sprites/lumberry.png")</f>
        <v/>
      </c>
    </row>
    <row r="2134">
      <c r="B2134" s="28" t="str">
        <f>IMAGE("https://www.serebii.net/itemdex/sprites/sitrusberry.png")</f>
        <v/>
      </c>
    </row>
    <row r="2135">
      <c r="B2135" s="28" t="str">
        <f>IMAGE("https://www.serebii.net/itemdex/sprites/choiceband.png")</f>
        <v/>
      </c>
    </row>
    <row r="2137">
      <c r="B2137" s="28" t="str">
        <f>IMAGE("https://www.serebii.net/itemdex/sprites/lumberry.png")</f>
        <v/>
      </c>
    </row>
    <row r="2138">
      <c r="B2138" s="28" t="str">
        <f>IMAGE("https://www.serebii.net/itemdex/sprites/toxicorb.png")</f>
        <v/>
      </c>
    </row>
    <row r="2139">
      <c r="B2139" s="28" t="str">
        <f>IMAGE("https://www.serebii.net/itemdex/sprites/focussash.png")</f>
        <v/>
      </c>
    </row>
    <row r="2140">
      <c r="B2140" s="28" t="str">
        <f>IMAGE("https://www.serebii.net/itemdex/sprites/choicespecs.png")</f>
        <v/>
      </c>
    </row>
    <row r="2141">
      <c r="B2141" s="28" t="str">
        <f>IMAGE("https://www.serebii.net/itemdex/sprites/kingsrock.png")</f>
        <v/>
      </c>
    </row>
    <row r="2142">
      <c r="B2142" s="28" t="str">
        <f>IMAGE("https://www.serebii.net/itemdex/sprites/leftovers.png")</f>
        <v/>
      </c>
    </row>
    <row r="2144">
      <c r="B2144" s="28" t="str">
        <f>IMAGE("https://www.serebii.net/itemdex/sprites/razorclaw.png")</f>
        <v/>
      </c>
    </row>
    <row r="2145">
      <c r="B2145" s="28" t="str">
        <f>IMAGE("https://www.serebii.net/itemdex/sprites/focussash.png")</f>
        <v/>
      </c>
    </row>
    <row r="2146">
      <c r="B2146" s="28" t="str">
        <f>IMAGE("https://www.serebii.net/itemdex/sprites/lifeorb.png")</f>
        <v/>
      </c>
    </row>
    <row r="2147">
      <c r="B2147" s="28" t="str">
        <f>IMAGE("https://www.serebii.net/itemdex/sprites/choicespecs.png")</f>
        <v/>
      </c>
    </row>
    <row r="2148">
      <c r="B2148" s="28" t="str">
        <f>IMAGE("https://www.serebii.net/itemdex/sprites/silkscarf.png")</f>
        <v/>
      </c>
    </row>
    <row r="2149">
      <c r="B2149" s="28" t="str">
        <f>IMAGE("https://www.serebii.net/itemdex/sprites/choicescarf.png")</f>
        <v/>
      </c>
    </row>
    <row r="2151">
      <c r="B2151" s="28" t="str">
        <f>IMAGE("https://www.serebii.net/itemdex/sprites/toxicorb.png")</f>
        <v/>
      </c>
    </row>
    <row r="2152">
      <c r="B2152" s="28" t="str">
        <f>IMAGE("https://www.serebii.net/itemdex/sprites/bigroot.png")</f>
        <v/>
      </c>
    </row>
    <row r="2153">
      <c r="B2153" s="28" t="str">
        <f>IMAGE("https://www.serebii.net/itemdex/sprites/leftovers.png")</f>
        <v/>
      </c>
    </row>
    <row r="2154">
      <c r="B2154" s="28" t="str">
        <f>IMAGE("https://www.serebii.net/itemdex/sprites/choicespecs.png")</f>
        <v/>
      </c>
    </row>
    <row r="2155">
      <c r="B2155" s="28" t="str">
        <f>IMAGE("https://www.serebii.net/itemdex/sprites/lifeorb.png")</f>
        <v/>
      </c>
    </row>
    <row r="2156">
      <c r="B2156" s="28" t="str">
        <f>IMAGE("https://www.serebii.net/itemdex/sprites/choiceband.png")</f>
        <v/>
      </c>
    </row>
    <row r="2158">
      <c r="B2158" s="28" t="str">
        <f>IMAGE("https://www.serebii.net/itemdex/sprites/leftovers.png")</f>
        <v/>
      </c>
    </row>
    <row r="2159">
      <c r="B2159" s="28" t="str">
        <f>IMAGE("https://www.serebii.net/itemdex/sprites/expertbelt.png")</f>
        <v/>
      </c>
    </row>
    <row r="2160">
      <c r="B2160" s="28" t="str">
        <f>IMAGE("https://www.serebii.net/itemdex/sprites/focussash.png")</f>
        <v/>
      </c>
    </row>
    <row r="2161">
      <c r="B2161" s="28" t="str">
        <f>IMAGE("https://www.serebii.net/itemdex/sprites/lifeorb.png")</f>
        <v/>
      </c>
    </row>
    <row r="2162">
      <c r="B2162" s="28" t="str">
        <f>IMAGE("https://www.serebii.net/itemdex/sprites/sitrusberry.png")</f>
        <v/>
      </c>
    </row>
    <row r="2163">
      <c r="B2163" s="28" t="str">
        <f>IMAGE("https://www.serebii.net/itemdex/sprites/yacheberry.png")</f>
        <v/>
      </c>
    </row>
    <row r="2165">
      <c r="B2165" s="28" t="str">
        <f>IMAGE("https://www.serebii.net/itemdex/sprites/leftovers.png")</f>
        <v/>
      </c>
    </row>
    <row r="2166">
      <c r="B2166" s="28" t="str">
        <f>IMAGE("https://www.serebii.net/itemdex/sprites/lifeorb.png")</f>
        <v/>
      </c>
    </row>
    <row r="2167">
      <c r="B2167" s="28" t="str">
        <f>IMAGE("https://www.serebii.net/itemdex/sprites/focussash.png")</f>
        <v/>
      </c>
    </row>
    <row r="2168">
      <c r="B2168" s="28" t="str">
        <f>IMAGE("https://www.serebii.net/itemdex/sprites/choicespecs.png")</f>
        <v/>
      </c>
    </row>
    <row r="2169">
      <c r="B2169" s="28" t="str">
        <f>IMAGE("https://www.serebii.net/itemdex/sprites/sitrusberry.png")</f>
        <v/>
      </c>
    </row>
    <row r="2170">
      <c r="B2170" s="28" t="str">
        <f>IMAGE("https://www.serebii.net/itemdex/sprites/expertbelt.png")</f>
        <v/>
      </c>
    </row>
    <row r="2172">
      <c r="B2172" s="28" t="str">
        <f>IMAGE("https://www.serebii.net/itemdex/sprites/whiteherb.png")</f>
        <v/>
      </c>
    </row>
    <row r="2173">
      <c r="B2173" s="28" t="str">
        <f>IMAGE("https://www.serebii.net/itemdex/sprites/choicespecs.png")</f>
        <v/>
      </c>
    </row>
    <row r="2174">
      <c r="B2174" s="28" t="str">
        <f>IMAGE("https://www.serebii.net/itemdex/sprites/focussash.png")</f>
        <v/>
      </c>
    </row>
    <row r="2175">
      <c r="B2175" s="28" t="str">
        <f>IMAGE("https://www.serebii.net/itemdex/sprites/expertbelt.png")</f>
        <v/>
      </c>
    </row>
    <row r="2176">
      <c r="B2176" s="28" t="str">
        <f>IMAGE("https://www.serebii.net/itemdex/sprites/sitrusberry.png")</f>
        <v/>
      </c>
    </row>
    <row r="2177">
      <c r="B2177" s="28" t="str">
        <f>IMAGE("https://www.serebii.net/itemdex/sprites/leftovers.png")</f>
        <v/>
      </c>
    </row>
    <row r="2179">
      <c r="B2179" s="28" t="str">
        <f>IMAGE("https://www.serebii.net/itemdex/sprites/sitrusberry.png")</f>
        <v/>
      </c>
    </row>
    <row r="2180">
      <c r="B2180" s="28" t="str">
        <f>IMAGE("https://www.serebii.net/itemdex/sprites/lifeorb.png")</f>
        <v/>
      </c>
    </row>
    <row r="2181">
      <c r="B2181" s="28" t="str">
        <f>IMAGE("https://www.serebii.net/itemdex/sprites/leftovers.png")</f>
        <v/>
      </c>
    </row>
    <row r="2182">
      <c r="B2182" s="28" t="str">
        <f>IMAGE("https://www.serebii.net/itemdex/sprites/focussash.png")</f>
        <v/>
      </c>
    </row>
    <row r="2183">
      <c r="B2183" s="28" t="str">
        <f>IMAGE("https://www.serebii.net/itemdex/sprites/expertbelt.png")</f>
        <v/>
      </c>
    </row>
    <row r="2184">
      <c r="B2184" s="28" t="str">
        <f>IMAGE("https://www.serebii.net/itemdex/sprites/yacheberry.png")</f>
        <v/>
      </c>
    </row>
    <row r="2186">
      <c r="B2186" s="28" t="str">
        <f>IMAGE("https://www.serebii.net/itemdex/sprites/scopelens.png")</f>
        <v/>
      </c>
    </row>
    <row r="2187">
      <c r="B2187" s="28" t="str">
        <f>IMAGE("https://www.serebii.net/itemdex/sprites/wikiberry.png")</f>
        <v/>
      </c>
    </row>
    <row r="2188">
      <c r="B2188" s="28" t="str">
        <f>IMAGE("https://www.serebii.net/itemdex/sprites/focussash.png")</f>
        <v/>
      </c>
    </row>
    <row r="2189">
      <c r="B2189" s="28" t="str">
        <f>IMAGE("https://www.serebii.net/itemdex/sprites/whiteherb.png")</f>
        <v/>
      </c>
    </row>
    <row r="2190">
      <c r="B2190" s="28" t="str">
        <f>IMAGE("https://www.serebii.net/itemdex/sprites/lifeorb.png")</f>
        <v/>
      </c>
    </row>
    <row r="2191">
      <c r="B2191" s="28" t="str">
        <f>IMAGE("https://www.serebii.net/itemdex/sprites/expertbelt.png")</f>
        <v/>
      </c>
    </row>
    <row r="2193">
      <c r="B2193" s="28" t="str">
        <f>IMAGE("https://www.serebii.net/itemdex/sprites/lumberry.png")</f>
        <v/>
      </c>
    </row>
    <row r="2194">
      <c r="B2194" s="28" t="str">
        <f>IMAGE("https://www.serebii.net/itemdex/sprites/persimberry.png")</f>
        <v/>
      </c>
    </row>
    <row r="2195">
      <c r="B2195" s="28" t="str">
        <f>IMAGE("https://www.serebii.net/itemdex/sprites/lifeorb.png")</f>
        <v/>
      </c>
    </row>
    <row r="2196">
      <c r="B2196" s="28" t="str">
        <f>IMAGE("https://www.serebii.net/itemdex/sprites/choicescarf.png")</f>
        <v/>
      </c>
    </row>
    <row r="2197">
      <c r="B2197" s="28" t="str">
        <f>IMAGE("https://www.serebii.net/itemdex/sprites/laggingtail.png")</f>
        <v/>
      </c>
    </row>
    <row r="2198">
      <c r="B2198" s="28" t="str">
        <f>IMAGE("https://www.serebii.net/itemdex/sprites/leftovers.png")</f>
        <v/>
      </c>
    </row>
    <row r="2200">
      <c r="B2200" s="28" t="str">
        <f>IMAGE("https://www.serebii.net/itemdex/sprites/wiseglasses.png")</f>
        <v/>
      </c>
    </row>
    <row r="2201">
      <c r="B2201" s="28" t="str">
        <f>IMAGE("https://www.serebii.net/itemdex/sprites/occaberry.png")</f>
        <v/>
      </c>
    </row>
    <row r="2202">
      <c r="B2202" s="28" t="str">
        <f>IMAGE("https://www.serebii.net/itemdex/sprites/sitrusberry.png")</f>
        <v/>
      </c>
    </row>
    <row r="2203">
      <c r="B2203" s="28" t="str">
        <f>IMAGE("https://www.serebii.net/itemdex/sprites/flameorb.png")</f>
        <v/>
      </c>
    </row>
    <row r="2204">
      <c r="B2204" s="28" t="str">
        <f>IMAGE("https://www.serebii.net/itemdex/sprites/scopelens.png")</f>
        <v/>
      </c>
    </row>
    <row r="2206">
      <c r="B2206" s="28" t="str">
        <f>IMAGE("https://www.serebii.net/itemdex/sprites/rindoberry.png")</f>
        <v/>
      </c>
    </row>
    <row r="2207">
      <c r="B2207" s="28" t="str">
        <f>IMAGE("https://www.serebii.net/itemdex/sprites/sitrusberry.png")</f>
        <v/>
      </c>
    </row>
    <row r="2208">
      <c r="B2208" s="28" t="str">
        <f>IMAGE("https://www.serebii.net/itemdex/sprites/softsand.png")</f>
        <v/>
      </c>
    </row>
    <row r="2209">
      <c r="B2209" s="28" t="str">
        <f>IMAGE("https://www.serebii.net/itemdex/sprites/chestoberry.png")</f>
        <v/>
      </c>
    </row>
    <row r="2210">
      <c r="B2210" s="28" t="str">
        <f>IMAGE("https://www.serebii.net/itemdex/sprites/muscleband.png")</f>
        <v/>
      </c>
    </row>
    <row r="2212">
      <c r="B2212" s="28" t="str">
        <f>IMAGE("https://www.serebii.net/itemdex/sprites/wiseglasses.png")</f>
        <v/>
      </c>
    </row>
    <row r="2213">
      <c r="B2213" s="28" t="str">
        <f>IMAGE("https://www.serebii.net/itemdex/sprites/sitrusberry.png")</f>
        <v/>
      </c>
    </row>
    <row r="2214">
      <c r="B2214" s="28" t="str">
        <f>IMAGE("https://www.serebii.net/itemdex/sprites/widelens.png")</f>
        <v/>
      </c>
    </row>
    <row r="2215">
      <c r="B2215" s="28" t="str">
        <f>IMAGE("https://www.serebii.net/itemdex/sprites/focussash.png")</f>
        <v/>
      </c>
    </row>
    <row r="2216">
      <c r="B2216" s="28" t="str">
        <f>IMAGE("https://www.serebii.net/itemdex/sprites/lumberry.png")</f>
        <v/>
      </c>
    </row>
    <row r="2218">
      <c r="B2218" s="28" t="str">
        <f>IMAGE("https://www.serebii.net/itemdex/sprites/lightclay.png")</f>
        <v/>
      </c>
    </row>
    <row r="2219">
      <c r="B2219" s="28" t="str">
        <f>IMAGE("https://www.serebii.net/itemdex/sprites/mentalherb.png")</f>
        <v/>
      </c>
    </row>
    <row r="2220">
      <c r="B2220" s="28" t="str">
        <f>IMAGE("https://www.serebii.net/itemdex/sprites/muscleband.png")</f>
        <v/>
      </c>
    </row>
    <row r="2221">
      <c r="B2221" s="28" t="str">
        <f>IMAGE("https://www.serebii.net/itemdex/sprites/lifeorb.png")</f>
        <v/>
      </c>
    </row>
    <row r="2222">
      <c r="B2222" s="28" t="str">
        <f>IMAGE("https://www.serebii.net/itemdex/sprites/sitrusberry.png")</f>
        <v/>
      </c>
    </row>
    <row r="2224">
      <c r="B2224" s="28" t="str">
        <f>IMAGE("https://www.serebii.net/itemdex/sprites/sitrusberry.png")</f>
        <v/>
      </c>
    </row>
    <row r="2225">
      <c r="B2225" s="28" t="str">
        <f>IMAGE("https://www.serebii.net/itemdex/sprites/expertbelt.png")</f>
        <v/>
      </c>
    </row>
    <row r="2226">
      <c r="B2226" s="28" t="str">
        <f>IMAGE("https://www.serebii.net/itemdex/sprites/leftovers.png")</f>
        <v/>
      </c>
    </row>
    <row r="2227">
      <c r="B2227" s="28" t="str">
        <f>IMAGE("https://www.serebii.net/itemdex/sprites/wiseglasses.png")</f>
        <v/>
      </c>
    </row>
    <row r="2228">
      <c r="B2228" s="28" t="str">
        <f>IMAGE("https://www.serebii.net/itemdex/sprites/flameorb.png")</f>
        <v/>
      </c>
    </row>
    <row r="2229">
      <c r="B2229" s="28" t="str">
        <f>IMAGE("https://www.serebii.net/itemdex/sprites/yacheberry.png")</f>
        <v/>
      </c>
    </row>
    <row r="2231">
      <c r="B2231" s="28" t="str">
        <f>IMAGE("https://www.serebii.net/itemdex/sprites/wiseglasses.png")</f>
        <v/>
      </c>
    </row>
    <row r="2232">
      <c r="B2232" s="28" t="str">
        <f>IMAGE("https://www.serebii.net/itemdex/sprites/occaberry.png")</f>
        <v/>
      </c>
    </row>
    <row r="2233">
      <c r="B2233" s="28" t="str">
        <f>IMAGE("https://www.serebii.net/itemdex/sprites/sitrusberry.png")</f>
        <v/>
      </c>
    </row>
    <row r="2234">
      <c r="B2234" s="28" t="str">
        <f>IMAGE("https://www.serebii.net/itemdex/sprites/flameorb.png")</f>
        <v/>
      </c>
    </row>
    <row r="2235">
      <c r="B2235" s="28" t="str">
        <f>IMAGE("https://www.serebii.net/itemdex/sprites/wiseglasses.png")</f>
        <v/>
      </c>
    </row>
    <row r="2236">
      <c r="B2236" s="28" t="str">
        <f>IMAGE("https://www.serebii.net/itemdex/sprites/scopelens.png")</f>
        <v/>
      </c>
    </row>
    <row r="2238">
      <c r="B2238" s="28" t="str">
        <f>IMAGE("https://www.serebii.net/itemdex/sprites/rindoberry.png")</f>
        <v/>
      </c>
    </row>
    <row r="2239">
      <c r="B2239" s="28" t="str">
        <f>IMAGE("https://www.serebii.net/itemdex/sprites/sitrusberry.png")</f>
        <v/>
      </c>
    </row>
    <row r="2240">
      <c r="B2240" s="28" t="str">
        <f>IMAGE("https://www.serebii.net/itemdex/sprites/lifeorb.png")</f>
        <v/>
      </c>
    </row>
    <row r="2241">
      <c r="B2241" s="28" t="str">
        <f>IMAGE("https://www.serebii.net/itemdex/sprites/chestoberry.png")</f>
        <v/>
      </c>
    </row>
    <row r="2242">
      <c r="B2242" s="28" t="str">
        <f>IMAGE("https://www.serebii.net/itemdex/sprites/never-meltice.png")</f>
        <v/>
      </c>
    </row>
    <row r="2243">
      <c r="B2243" s="28" t="str">
        <f>IMAGE("https://www.serebii.net/itemdex/sprites/muscleband.png")</f>
        <v/>
      </c>
    </row>
    <row r="2245">
      <c r="B2245" s="28" t="str">
        <f>IMAGE("https://www.serebii.net/itemdex/sprites/heatrock.png")</f>
        <v/>
      </c>
    </row>
    <row r="2246">
      <c r="B2246" s="28" t="str">
        <f>IMAGE("https://www.serebii.net/itemdex/sprites/wiseglasses.png")</f>
        <v/>
      </c>
    </row>
    <row r="2247">
      <c r="B2247" s="28" t="str">
        <f>IMAGE("https://www.serebii.net/itemdex/sprites/widelens.png")</f>
        <v/>
      </c>
    </row>
    <row r="2248">
      <c r="B2248" s="28" t="str">
        <f>IMAGE("https://www.serebii.net/itemdex/sprites/focussash.png")</f>
        <v/>
      </c>
    </row>
    <row r="2249">
      <c r="B2249" s="28" t="str">
        <f>IMAGE("https://www.serebii.net/itemdex/sprites/shucaberry.png")</f>
        <v/>
      </c>
    </row>
    <row r="2250">
      <c r="B2250" s="28" t="str">
        <f>IMAGE("https://www.serebii.net/itemdex/sprites/sitrusberry.png")</f>
        <v/>
      </c>
    </row>
    <row r="2252">
      <c r="B2252" s="28" t="str">
        <f>IMAGE("https://www.serebii.net/itemdex/sprites/lightclay.png")</f>
        <v/>
      </c>
    </row>
    <row r="2253">
      <c r="B2253" s="28" t="str">
        <f>IMAGE("https://www.serebii.net/itemdex/sprites/mentalherb.png")</f>
        <v/>
      </c>
    </row>
    <row r="2254">
      <c r="B2254" s="28" t="str">
        <f>IMAGE("https://www.serebii.net/itemdex/sprites/muscleband.png")</f>
        <v/>
      </c>
    </row>
    <row r="2255">
      <c r="B2255" s="28" t="str">
        <f>IMAGE("https://www.serebii.net/itemdex/sprites/lifeorb.png")</f>
        <v/>
      </c>
    </row>
    <row r="2256">
      <c r="B2256" s="28" t="str">
        <f>IMAGE("https://www.serebii.net/itemdex/sprites/leftovers.png")</f>
        <v/>
      </c>
    </row>
    <row r="2257">
      <c r="B2257" s="28" t="str">
        <f>IMAGE("https://www.serebii.net/itemdex/sprites/sitrusberry.png")</f>
        <v/>
      </c>
    </row>
    <row r="2259">
      <c r="B2259" s="28" t="str">
        <f>IMAGE("https://www.serebii.net/itemdex/sprites/sitrusberry.png")</f>
        <v/>
      </c>
    </row>
    <row r="2260">
      <c r="B2260" s="28" t="str">
        <f>IMAGE("https://www.serebii.net/itemdex/sprites/expertbelt.png")</f>
        <v/>
      </c>
    </row>
    <row r="2261">
      <c r="B2261" s="28" t="str">
        <f>IMAGE("https://www.serebii.net/itemdex/sprites/leftovers.png")</f>
        <v/>
      </c>
    </row>
    <row r="2262">
      <c r="B2262" s="28" t="str">
        <f>IMAGE("https://www.serebii.net/itemdex/sprites/focussash.png")</f>
        <v/>
      </c>
    </row>
    <row r="2263">
      <c r="B2263" s="28" t="str">
        <f>IMAGE("https://www.serebii.net/itemdex/sprites/flameorb.png")</f>
        <v/>
      </c>
    </row>
    <row r="2264">
      <c r="B2264" s="28" t="str">
        <f>IMAGE("https://www.serebii.net/itemdex/sprites/yacheberry.png")</f>
        <v/>
      </c>
    </row>
    <row r="2266">
      <c r="B2266" s="28" t="str">
        <f>IMAGE("https://www.serebii.net/itemdex/sprites/sitrusberry.png")</f>
        <v/>
      </c>
    </row>
    <row r="2267">
      <c r="B2267" s="28" t="str">
        <f>IMAGE("https://www.serebii.net/itemdex/sprites/kingsrock.png")</f>
        <v/>
      </c>
    </row>
    <row r="2268">
      <c r="B2268" s="28" t="str">
        <f>IMAGE("https://www.serebii.net/itemdex/sprites/leftovers.png")</f>
        <v/>
      </c>
    </row>
    <row r="2269">
      <c r="B2269" s="28" t="str">
        <f>IMAGE("https://www.serebii.net/itemdex/sprites/wikiberry.png")</f>
        <v/>
      </c>
    </row>
    <row r="2270">
      <c r="B2270" s="28" t="str">
        <f>IMAGE("https://www.serebii.net/itemdex/sprites/lumberry.png")</f>
        <v/>
      </c>
    </row>
    <row r="2271">
      <c r="B2271" s="28" t="str">
        <f>IMAGE("https://www.serebii.net/itemdex/sprites/iapapaberry.png")</f>
        <v/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1.0"/>
    <col customWidth="1" min="2" max="2" width="5.13"/>
    <col customWidth="1" min="3" max="3" width="21.0"/>
    <col customWidth="1" min="4" max="5" width="7.13"/>
    <col customWidth="1" min="6" max="12" width="4.13"/>
  </cols>
  <sheetData>
    <row r="1" ht="23.25" customHeight="1">
      <c r="A1" s="17" t="s">
        <v>2710</v>
      </c>
      <c r="B1" s="17" t="str">
        <f t="shared" ref="B1:B973" si="1">IMAGE("https://www.smogon.com/forums//media/minisprites/"&amp;A1&amp;".png",3)</f>
        <v/>
      </c>
      <c r="C1" s="17" t="s">
        <v>1141</v>
      </c>
      <c r="D1" s="17" t="s">
        <v>2711</v>
      </c>
      <c r="E1" s="17" t="s">
        <v>2712</v>
      </c>
      <c r="F1" s="17">
        <v>90.0</v>
      </c>
      <c r="G1" s="17">
        <v>92.0</v>
      </c>
      <c r="H1" s="17">
        <v>75.0</v>
      </c>
      <c r="I1" s="17">
        <v>92.0</v>
      </c>
      <c r="J1" s="17">
        <v>85.0</v>
      </c>
      <c r="K1" s="17">
        <v>60.0</v>
      </c>
      <c r="L1" s="29">
        <f t="shared" ref="L1:L973" si="2">SUM(F1:K1)</f>
        <v>494</v>
      </c>
    </row>
    <row r="2" ht="23.25" customHeight="1">
      <c r="A2" s="17" t="s">
        <v>2713</v>
      </c>
      <c r="B2" s="17" t="str">
        <f t="shared" si="1"/>
        <v/>
      </c>
      <c r="C2" s="17" t="s">
        <v>704</v>
      </c>
      <c r="D2" s="17" t="s">
        <v>2714</v>
      </c>
      <c r="E2" s="17"/>
      <c r="F2" s="17">
        <v>25.0</v>
      </c>
      <c r="G2" s="17">
        <v>20.0</v>
      </c>
      <c r="H2" s="17">
        <v>15.0</v>
      </c>
      <c r="I2" s="17">
        <v>105.0</v>
      </c>
      <c r="J2" s="17">
        <v>55.0</v>
      </c>
      <c r="K2" s="17">
        <v>90.0</v>
      </c>
      <c r="L2" s="29">
        <f t="shared" si="2"/>
        <v>310</v>
      </c>
    </row>
    <row r="3" ht="23.25" customHeight="1">
      <c r="A3" s="17" t="s">
        <v>2715</v>
      </c>
      <c r="B3" s="17" t="str">
        <f t="shared" si="1"/>
        <v/>
      </c>
      <c r="C3" s="17" t="s">
        <v>2574</v>
      </c>
      <c r="D3" s="17" t="s">
        <v>2716</v>
      </c>
      <c r="E3" s="17"/>
      <c r="F3" s="17">
        <v>65.0</v>
      </c>
      <c r="G3" s="17">
        <v>130.0</v>
      </c>
      <c r="H3" s="17">
        <v>60.0</v>
      </c>
      <c r="I3" s="17">
        <v>75.0</v>
      </c>
      <c r="J3" s="17">
        <v>60.0</v>
      </c>
      <c r="K3" s="17">
        <v>75.0</v>
      </c>
      <c r="L3" s="29">
        <f t="shared" si="2"/>
        <v>465</v>
      </c>
    </row>
    <row r="4" ht="23.25" customHeight="1">
      <c r="A4" s="17" t="s">
        <v>2717</v>
      </c>
      <c r="B4" s="17" t="str">
        <f t="shared" si="1"/>
        <v/>
      </c>
      <c r="C4" s="17" t="s">
        <v>2718</v>
      </c>
      <c r="D4" s="17" t="s">
        <v>2719</v>
      </c>
      <c r="E4" s="17"/>
      <c r="F4" s="17">
        <v>80.0</v>
      </c>
      <c r="G4" s="17">
        <v>70.0</v>
      </c>
      <c r="H4" s="17">
        <v>40.0</v>
      </c>
      <c r="I4" s="17">
        <v>100.0</v>
      </c>
      <c r="J4" s="17">
        <v>60.0</v>
      </c>
      <c r="K4" s="17">
        <v>145.0</v>
      </c>
      <c r="L4" s="29">
        <f t="shared" si="2"/>
        <v>495</v>
      </c>
    </row>
    <row r="5" ht="23.25" customHeight="1">
      <c r="A5" s="17" t="s">
        <v>2720</v>
      </c>
      <c r="B5" s="17" t="str">
        <f t="shared" si="1"/>
        <v/>
      </c>
      <c r="C5" s="17" t="s">
        <v>2721</v>
      </c>
      <c r="D5" s="17" t="s">
        <v>2722</v>
      </c>
      <c r="E5" s="17" t="s">
        <v>2723</v>
      </c>
      <c r="F5" s="17">
        <v>60.0</v>
      </c>
      <c r="G5" s="17">
        <v>50.0</v>
      </c>
      <c r="H5" s="17">
        <v>140.0</v>
      </c>
      <c r="I5" s="17">
        <v>50.0</v>
      </c>
      <c r="J5" s="17">
        <v>140.0</v>
      </c>
      <c r="K5" s="17">
        <v>60.0</v>
      </c>
      <c r="L5" s="29">
        <f t="shared" si="2"/>
        <v>500</v>
      </c>
    </row>
    <row r="6" ht="23.25" customHeight="1">
      <c r="A6" s="17" t="s">
        <v>2724</v>
      </c>
      <c r="B6" s="17" t="str">
        <f t="shared" si="1"/>
        <v/>
      </c>
      <c r="C6" s="17" t="s">
        <v>1820</v>
      </c>
      <c r="D6" s="17" t="s">
        <v>2725</v>
      </c>
      <c r="E6" s="17" t="s">
        <v>2726</v>
      </c>
      <c r="F6" s="17">
        <v>80.0</v>
      </c>
      <c r="G6" s="17">
        <v>105.0</v>
      </c>
      <c r="H6" s="17">
        <v>65.0</v>
      </c>
      <c r="I6" s="17">
        <v>60.0</v>
      </c>
      <c r="J6" s="17">
        <v>75.0</v>
      </c>
      <c r="K6" s="17">
        <v>130.0</v>
      </c>
      <c r="L6" s="29">
        <f t="shared" si="2"/>
        <v>515</v>
      </c>
    </row>
    <row r="7" ht="23.25" customHeight="1">
      <c r="A7" s="17" t="s">
        <v>2727</v>
      </c>
      <c r="B7" s="17" t="str">
        <f t="shared" si="1"/>
        <v/>
      </c>
      <c r="C7" s="17" t="s">
        <v>2532</v>
      </c>
      <c r="D7" s="17" t="s">
        <v>2722</v>
      </c>
      <c r="E7" s="17" t="s">
        <v>2725</v>
      </c>
      <c r="F7" s="17">
        <v>70.0</v>
      </c>
      <c r="G7" s="17">
        <v>110.0</v>
      </c>
      <c r="H7" s="17">
        <v>180.0</v>
      </c>
      <c r="I7" s="17">
        <v>60.0</v>
      </c>
      <c r="J7" s="17">
        <v>60.0</v>
      </c>
      <c r="K7" s="17">
        <v>50.0</v>
      </c>
      <c r="L7" s="29">
        <f t="shared" si="2"/>
        <v>530</v>
      </c>
    </row>
    <row r="8" ht="23.25" customHeight="1">
      <c r="A8" s="17" t="s">
        <v>2728</v>
      </c>
      <c r="B8" s="17" t="str">
        <f t="shared" si="1"/>
        <v/>
      </c>
      <c r="C8" s="17" t="s">
        <v>379</v>
      </c>
      <c r="D8" s="17" t="s">
        <v>2729</v>
      </c>
      <c r="E8" s="17"/>
      <c r="F8" s="17">
        <v>55.0</v>
      </c>
      <c r="G8" s="17">
        <v>70.0</v>
      </c>
      <c r="H8" s="17">
        <v>55.0</v>
      </c>
      <c r="I8" s="17">
        <v>40.0</v>
      </c>
      <c r="J8" s="17">
        <v>55.0</v>
      </c>
      <c r="K8" s="17">
        <v>85.0</v>
      </c>
      <c r="L8" s="29">
        <f t="shared" si="2"/>
        <v>360</v>
      </c>
    </row>
    <row r="9" ht="23.25" customHeight="1">
      <c r="A9" s="17" t="s">
        <v>2730</v>
      </c>
      <c r="B9" s="17" t="str">
        <f t="shared" si="1"/>
        <v/>
      </c>
      <c r="C9" s="17" t="s">
        <v>765</v>
      </c>
      <c r="D9" s="17" t="s">
        <v>2714</v>
      </c>
      <c r="E9" s="17"/>
      <c r="F9" s="17">
        <v>55.0</v>
      </c>
      <c r="G9" s="17">
        <v>50.0</v>
      </c>
      <c r="H9" s="17">
        <v>45.0</v>
      </c>
      <c r="I9" s="17">
        <v>135.0</v>
      </c>
      <c r="J9" s="17">
        <v>95.0</v>
      </c>
      <c r="K9" s="17">
        <v>120.0</v>
      </c>
      <c r="L9" s="29">
        <f t="shared" si="2"/>
        <v>500</v>
      </c>
    </row>
    <row r="10" ht="23.25" customHeight="1">
      <c r="A10" s="17" t="s">
        <v>2731</v>
      </c>
      <c r="B10" s="17" t="str">
        <f t="shared" si="1"/>
        <v/>
      </c>
      <c r="C10" s="17" t="s">
        <v>2732</v>
      </c>
      <c r="D10" s="17" t="s">
        <v>2733</v>
      </c>
      <c r="E10" s="17"/>
      <c r="F10" s="17">
        <v>65.0</v>
      </c>
      <c r="G10" s="17">
        <v>60.0</v>
      </c>
      <c r="H10" s="17">
        <v>75.0</v>
      </c>
      <c r="I10" s="17">
        <v>110.0</v>
      </c>
      <c r="J10" s="17">
        <v>121.0</v>
      </c>
      <c r="K10" s="17">
        <v>64.0</v>
      </c>
      <c r="L10" s="29">
        <f t="shared" si="2"/>
        <v>495</v>
      </c>
    </row>
    <row r="11" ht="23.25" customHeight="1">
      <c r="A11" s="17" t="s">
        <v>2734</v>
      </c>
      <c r="B11" s="17" t="str">
        <f t="shared" si="1"/>
        <v/>
      </c>
      <c r="C11" s="17" t="s">
        <v>2735</v>
      </c>
      <c r="D11" s="17" t="s">
        <v>2736</v>
      </c>
      <c r="E11" s="17"/>
      <c r="F11" s="17">
        <v>165.0</v>
      </c>
      <c r="G11" s="17">
        <v>75.0</v>
      </c>
      <c r="H11" s="17">
        <v>80.0</v>
      </c>
      <c r="I11" s="17">
        <v>40.0</v>
      </c>
      <c r="J11" s="17">
        <v>45.0</v>
      </c>
      <c r="K11" s="17">
        <v>65.0</v>
      </c>
      <c r="L11" s="29">
        <f t="shared" si="2"/>
        <v>470</v>
      </c>
    </row>
    <row r="12" ht="23.25" customHeight="1">
      <c r="A12" s="17" t="s">
        <v>2737</v>
      </c>
      <c r="B12" s="17" t="str">
        <f t="shared" si="1"/>
        <v/>
      </c>
      <c r="C12" s="17" t="s">
        <v>961</v>
      </c>
      <c r="D12" s="17" t="s">
        <v>2738</v>
      </c>
      <c r="E12" s="17" t="s">
        <v>2726</v>
      </c>
      <c r="F12" s="17">
        <v>75.0</v>
      </c>
      <c r="G12" s="17">
        <v>70.0</v>
      </c>
      <c r="H12" s="17">
        <v>90.0</v>
      </c>
      <c r="I12" s="17">
        <v>70.0</v>
      </c>
      <c r="J12" s="17">
        <v>105.0</v>
      </c>
      <c r="K12" s="17">
        <v>80.0</v>
      </c>
      <c r="L12" s="29">
        <f t="shared" si="2"/>
        <v>490</v>
      </c>
    </row>
    <row r="13" ht="23.25" customHeight="1">
      <c r="A13" s="17" t="s">
        <v>2739</v>
      </c>
      <c r="B13" s="17" t="str">
        <f t="shared" si="1"/>
        <v/>
      </c>
      <c r="C13" s="17" t="s">
        <v>2740</v>
      </c>
      <c r="D13" s="17" t="s">
        <v>2725</v>
      </c>
      <c r="E13" s="17" t="s">
        <v>2712</v>
      </c>
      <c r="F13" s="17">
        <v>77.0</v>
      </c>
      <c r="G13" s="17">
        <v>59.0</v>
      </c>
      <c r="H13" s="17">
        <v>50.0</v>
      </c>
      <c r="I13" s="17">
        <v>67.0</v>
      </c>
      <c r="J13" s="17">
        <v>63.0</v>
      </c>
      <c r="K13" s="17">
        <v>46.0</v>
      </c>
      <c r="L13" s="29">
        <f t="shared" si="2"/>
        <v>362</v>
      </c>
    </row>
    <row r="14" ht="23.25" customHeight="1">
      <c r="A14" s="17" t="s">
        <v>2741</v>
      </c>
      <c r="B14" s="17" t="str">
        <f t="shared" si="1"/>
        <v/>
      </c>
      <c r="C14" s="17" t="s">
        <v>471</v>
      </c>
      <c r="D14" s="17" t="s">
        <v>2729</v>
      </c>
      <c r="E14" s="17"/>
      <c r="F14" s="17">
        <v>75.0</v>
      </c>
      <c r="G14" s="17">
        <v>100.0</v>
      </c>
      <c r="H14" s="17">
        <v>66.0</v>
      </c>
      <c r="I14" s="17">
        <v>60.0</v>
      </c>
      <c r="J14" s="17">
        <v>66.0</v>
      </c>
      <c r="K14" s="17">
        <v>115.0</v>
      </c>
      <c r="L14" s="29">
        <f t="shared" si="2"/>
        <v>482</v>
      </c>
    </row>
    <row r="15" ht="23.25" customHeight="1">
      <c r="A15" s="17" t="s">
        <v>2742</v>
      </c>
      <c r="B15" s="17" t="str">
        <f t="shared" si="1"/>
        <v/>
      </c>
      <c r="C15" s="17" t="s">
        <v>2743</v>
      </c>
      <c r="D15" s="17" t="s">
        <v>2711</v>
      </c>
      <c r="E15" s="17" t="s">
        <v>2744</v>
      </c>
      <c r="F15" s="17">
        <v>114.0</v>
      </c>
      <c r="G15" s="17">
        <v>85.0</v>
      </c>
      <c r="H15" s="17">
        <v>70.0</v>
      </c>
      <c r="I15" s="17">
        <v>85.0</v>
      </c>
      <c r="J15" s="17">
        <v>80.0</v>
      </c>
      <c r="K15" s="17">
        <v>30.0</v>
      </c>
      <c r="L15" s="29">
        <f t="shared" si="2"/>
        <v>464</v>
      </c>
    </row>
    <row r="16" ht="23.25" customHeight="1">
      <c r="A16" s="17" t="s">
        <v>2745</v>
      </c>
      <c r="B16" s="17" t="str">
        <f t="shared" si="1"/>
        <v/>
      </c>
      <c r="C16" s="17" t="s">
        <v>2158</v>
      </c>
      <c r="D16" s="17" t="s">
        <v>2746</v>
      </c>
      <c r="E16" s="17"/>
      <c r="F16" s="17">
        <v>90.0</v>
      </c>
      <c r="G16" s="17">
        <v>75.0</v>
      </c>
      <c r="H16" s="17">
        <v>85.0</v>
      </c>
      <c r="I16" s="17">
        <v>115.0</v>
      </c>
      <c r="J16" s="17">
        <v>90.0</v>
      </c>
      <c r="K16" s="17">
        <v>55.0</v>
      </c>
      <c r="L16" s="29">
        <f t="shared" si="2"/>
        <v>510</v>
      </c>
    </row>
    <row r="17" ht="23.25" customHeight="1">
      <c r="A17" s="17" t="s">
        <v>2747</v>
      </c>
      <c r="B17" s="17" t="str">
        <f t="shared" si="1"/>
        <v/>
      </c>
      <c r="C17" s="17" t="s">
        <v>2748</v>
      </c>
      <c r="D17" s="17" t="s">
        <v>2725</v>
      </c>
      <c r="E17" s="17" t="s">
        <v>2719</v>
      </c>
      <c r="F17" s="17">
        <v>45.0</v>
      </c>
      <c r="G17" s="17">
        <v>95.0</v>
      </c>
      <c r="H17" s="17">
        <v>50.0</v>
      </c>
      <c r="I17" s="17">
        <v>40.0</v>
      </c>
      <c r="J17" s="17">
        <v>50.0</v>
      </c>
      <c r="K17" s="17">
        <v>75.0</v>
      </c>
      <c r="L17" s="29">
        <f t="shared" si="2"/>
        <v>355</v>
      </c>
    </row>
    <row r="18" ht="23.25" customHeight="1">
      <c r="A18" s="17" t="s">
        <v>2749</v>
      </c>
      <c r="B18" s="17" t="str">
        <f t="shared" si="1"/>
        <v/>
      </c>
      <c r="C18" s="17" t="s">
        <v>2750</v>
      </c>
      <c r="D18" s="17" t="s">
        <v>2711</v>
      </c>
      <c r="E18" s="17" t="s">
        <v>2738</v>
      </c>
      <c r="F18" s="17">
        <v>110.0</v>
      </c>
      <c r="G18" s="17">
        <v>85.0</v>
      </c>
      <c r="H18" s="17">
        <v>80.0</v>
      </c>
      <c r="I18" s="17">
        <v>100.0</v>
      </c>
      <c r="J18" s="17">
        <v>80.0</v>
      </c>
      <c r="K18" s="17">
        <v>30.0</v>
      </c>
      <c r="L18" s="29">
        <f t="shared" si="2"/>
        <v>485</v>
      </c>
    </row>
    <row r="19" ht="23.25" customHeight="1">
      <c r="A19" s="17" t="s">
        <v>2751</v>
      </c>
      <c r="B19" s="17" t="str">
        <f t="shared" si="1"/>
        <v/>
      </c>
      <c r="C19" s="17" t="s">
        <v>2752</v>
      </c>
      <c r="D19" s="17" t="s">
        <v>2711</v>
      </c>
      <c r="E19" s="17" t="s">
        <v>2738</v>
      </c>
      <c r="F19" s="17">
        <v>40.0</v>
      </c>
      <c r="G19" s="17">
        <v>40.0</v>
      </c>
      <c r="H19" s="17">
        <v>80.0</v>
      </c>
      <c r="I19" s="17">
        <v>40.0</v>
      </c>
      <c r="J19" s="17">
        <v>40.0</v>
      </c>
      <c r="K19" s="17">
        <v>20.0</v>
      </c>
      <c r="L19" s="29">
        <f t="shared" si="2"/>
        <v>260</v>
      </c>
    </row>
    <row r="20" ht="23.25" customHeight="1">
      <c r="A20" s="17" t="s">
        <v>2753</v>
      </c>
      <c r="B20" s="17" t="str">
        <f t="shared" si="1"/>
        <v/>
      </c>
      <c r="C20" s="17" t="s">
        <v>2754</v>
      </c>
      <c r="D20" s="17" t="s">
        <v>2736</v>
      </c>
      <c r="E20" s="17" t="s">
        <v>2719</v>
      </c>
      <c r="F20" s="17">
        <v>68.0</v>
      </c>
      <c r="G20" s="17">
        <v>70.0</v>
      </c>
      <c r="H20" s="17">
        <v>92.0</v>
      </c>
      <c r="I20" s="17">
        <v>50.0</v>
      </c>
      <c r="J20" s="17">
        <v>132.0</v>
      </c>
      <c r="K20" s="17">
        <v>42.0</v>
      </c>
      <c r="L20" s="29">
        <f t="shared" si="2"/>
        <v>454</v>
      </c>
    </row>
    <row r="21" ht="23.25" customHeight="1">
      <c r="A21" s="17" t="s">
        <v>2755</v>
      </c>
      <c r="B21" s="17" t="str">
        <f t="shared" si="1"/>
        <v/>
      </c>
      <c r="C21" s="17" t="s">
        <v>2756</v>
      </c>
      <c r="D21" s="17" t="s">
        <v>2744</v>
      </c>
      <c r="E21" s="17"/>
      <c r="F21" s="17">
        <v>60.0</v>
      </c>
      <c r="G21" s="17">
        <v>95.0</v>
      </c>
      <c r="H21" s="17">
        <v>69.0</v>
      </c>
      <c r="I21" s="17">
        <v>65.0</v>
      </c>
      <c r="J21" s="17">
        <v>79.0</v>
      </c>
      <c r="K21" s="17">
        <v>80.0</v>
      </c>
      <c r="L21" s="29">
        <f t="shared" si="2"/>
        <v>448</v>
      </c>
    </row>
    <row r="22" ht="23.25" customHeight="1">
      <c r="A22" s="17" t="s">
        <v>2757</v>
      </c>
      <c r="B22" s="17" t="str">
        <f t="shared" si="1"/>
        <v/>
      </c>
      <c r="C22" s="17" t="s">
        <v>2020</v>
      </c>
      <c r="D22" s="17" t="s">
        <v>2758</v>
      </c>
      <c r="E22" s="17"/>
      <c r="F22" s="17">
        <v>90.0</v>
      </c>
      <c r="G22" s="17">
        <v>110.0</v>
      </c>
      <c r="H22" s="17">
        <v>80.0</v>
      </c>
      <c r="I22" s="17">
        <v>100.0</v>
      </c>
      <c r="J22" s="17">
        <v>80.0</v>
      </c>
      <c r="K22" s="17">
        <v>95.0</v>
      </c>
      <c r="L22" s="29">
        <f t="shared" si="2"/>
        <v>555</v>
      </c>
    </row>
    <row r="23" ht="23.25" customHeight="1">
      <c r="A23" s="17" t="s">
        <v>2759</v>
      </c>
      <c r="B23" s="17" t="str">
        <f t="shared" si="1"/>
        <v/>
      </c>
      <c r="C23" s="17" t="s">
        <v>2760</v>
      </c>
      <c r="D23" s="17" t="s">
        <v>2729</v>
      </c>
      <c r="E23" s="17"/>
      <c r="F23" s="17">
        <v>120.0</v>
      </c>
      <c r="G23" s="17">
        <v>120.0</v>
      </c>
      <c r="H23" s="17">
        <v>120.0</v>
      </c>
      <c r="I23" s="17">
        <v>120.0</v>
      </c>
      <c r="J23" s="17">
        <v>120.0</v>
      </c>
      <c r="K23" s="17">
        <v>120.0</v>
      </c>
      <c r="L23" s="29">
        <f t="shared" si="2"/>
        <v>720</v>
      </c>
    </row>
    <row r="24" ht="23.25" customHeight="1">
      <c r="A24" s="17" t="s">
        <v>2761</v>
      </c>
      <c r="B24" s="17" t="str">
        <f t="shared" si="1"/>
        <v/>
      </c>
      <c r="C24" s="17" t="s">
        <v>2762</v>
      </c>
      <c r="D24" s="17" t="s">
        <v>2725</v>
      </c>
      <c r="E24" s="17" t="s">
        <v>2726</v>
      </c>
      <c r="F24" s="17">
        <v>55.0</v>
      </c>
      <c r="G24" s="17">
        <v>112.0</v>
      </c>
      <c r="H24" s="17">
        <v>45.0</v>
      </c>
      <c r="I24" s="17">
        <v>74.0</v>
      </c>
      <c r="J24" s="17">
        <v>45.0</v>
      </c>
      <c r="K24" s="17">
        <v>70.0</v>
      </c>
      <c r="L24" s="29">
        <f t="shared" si="2"/>
        <v>401</v>
      </c>
    </row>
    <row r="25" ht="23.25" customHeight="1">
      <c r="A25" s="17" t="s">
        <v>2763</v>
      </c>
      <c r="B25" s="17" t="str">
        <f t="shared" si="1"/>
        <v/>
      </c>
      <c r="C25" s="17" t="s">
        <v>2764</v>
      </c>
      <c r="D25" s="17" t="s">
        <v>2725</v>
      </c>
      <c r="E25" s="17" t="s">
        <v>2726</v>
      </c>
      <c r="F25" s="17">
        <v>75.0</v>
      </c>
      <c r="G25" s="17">
        <v>140.0</v>
      </c>
      <c r="H25" s="17">
        <v>65.0</v>
      </c>
      <c r="I25" s="17">
        <v>112.0</v>
      </c>
      <c r="J25" s="17">
        <v>65.0</v>
      </c>
      <c r="K25" s="17">
        <v>110.0</v>
      </c>
      <c r="L25" s="29">
        <f t="shared" si="2"/>
        <v>567</v>
      </c>
    </row>
    <row r="26" ht="23.25" customHeight="1">
      <c r="A26" s="17" t="s">
        <v>2765</v>
      </c>
      <c r="B26" s="17" t="str">
        <f t="shared" si="1"/>
        <v/>
      </c>
      <c r="C26" s="17" t="s">
        <v>2766</v>
      </c>
      <c r="D26" s="17" t="s">
        <v>2736</v>
      </c>
      <c r="E26" s="17" t="s">
        <v>2712</v>
      </c>
      <c r="F26" s="17">
        <v>90.0</v>
      </c>
      <c r="G26" s="17">
        <v>90.0</v>
      </c>
      <c r="H26" s="17">
        <v>100.0</v>
      </c>
      <c r="I26" s="17">
        <v>80.0</v>
      </c>
      <c r="J26" s="17">
        <v>90.0</v>
      </c>
      <c r="K26" s="17">
        <v>55.0</v>
      </c>
      <c r="L26" s="29">
        <f t="shared" si="2"/>
        <v>505</v>
      </c>
    </row>
    <row r="27" ht="23.25" customHeight="1">
      <c r="A27" s="17" t="s">
        <v>2767</v>
      </c>
      <c r="B27" s="17" t="str">
        <f t="shared" si="1"/>
        <v/>
      </c>
      <c r="C27" s="17" t="s">
        <v>2768</v>
      </c>
      <c r="D27" s="17" t="s">
        <v>2746</v>
      </c>
      <c r="E27" s="17" t="s">
        <v>2712</v>
      </c>
      <c r="F27" s="17">
        <v>90.0</v>
      </c>
      <c r="G27" s="17">
        <v>100.0</v>
      </c>
      <c r="H27" s="17">
        <v>90.0</v>
      </c>
      <c r="I27" s="17">
        <v>90.0</v>
      </c>
      <c r="J27" s="17">
        <v>80.0</v>
      </c>
      <c r="K27" s="17">
        <v>55.0</v>
      </c>
      <c r="L27" s="29">
        <f t="shared" si="2"/>
        <v>505</v>
      </c>
    </row>
    <row r="28" ht="23.25" customHeight="1">
      <c r="A28" s="17" t="s">
        <v>2769</v>
      </c>
      <c r="B28" s="17" t="str">
        <f t="shared" si="1"/>
        <v/>
      </c>
      <c r="C28" s="17" t="s">
        <v>2770</v>
      </c>
      <c r="D28" s="17" t="s">
        <v>2719</v>
      </c>
      <c r="E28" s="17" t="s">
        <v>2714</v>
      </c>
      <c r="F28" s="17">
        <v>60.0</v>
      </c>
      <c r="G28" s="17">
        <v>90.0</v>
      </c>
      <c r="H28" s="17">
        <v>89.0</v>
      </c>
      <c r="I28" s="17">
        <v>87.0</v>
      </c>
      <c r="J28" s="17">
        <v>40.0</v>
      </c>
      <c r="K28" s="17">
        <v>54.0</v>
      </c>
      <c r="L28" s="29">
        <f t="shared" si="2"/>
        <v>420</v>
      </c>
    </row>
    <row r="29" ht="23.25" customHeight="1">
      <c r="A29" s="17" t="s">
        <v>2771</v>
      </c>
      <c r="B29" s="17" t="str">
        <f t="shared" si="1"/>
        <v/>
      </c>
      <c r="C29" s="17" t="s">
        <v>2772</v>
      </c>
      <c r="D29" s="17" t="s">
        <v>2736</v>
      </c>
      <c r="E29" s="17" t="s">
        <v>2773</v>
      </c>
      <c r="F29" s="17">
        <v>105.0</v>
      </c>
      <c r="G29" s="17">
        <v>110.0</v>
      </c>
      <c r="H29" s="17">
        <v>95.0</v>
      </c>
      <c r="I29" s="17">
        <v>70.0</v>
      </c>
      <c r="J29" s="17">
        <v>100.0</v>
      </c>
      <c r="K29" s="17">
        <v>75.0</v>
      </c>
      <c r="L29" s="29">
        <f t="shared" si="2"/>
        <v>555</v>
      </c>
    </row>
    <row r="30" ht="23.25" customHeight="1">
      <c r="A30" s="17" t="s">
        <v>2774</v>
      </c>
      <c r="B30" s="17" t="str">
        <f t="shared" si="1"/>
        <v/>
      </c>
      <c r="C30" s="17" t="s">
        <v>2775</v>
      </c>
      <c r="D30" s="17" t="s">
        <v>2719</v>
      </c>
      <c r="E30" s="17" t="s">
        <v>2744</v>
      </c>
      <c r="F30" s="17">
        <v>70.0</v>
      </c>
      <c r="G30" s="17">
        <v>90.0</v>
      </c>
      <c r="H30" s="17">
        <v>70.0</v>
      </c>
      <c r="I30" s="17">
        <v>60.0</v>
      </c>
      <c r="J30" s="17">
        <v>70.0</v>
      </c>
      <c r="K30" s="17">
        <v>40.0</v>
      </c>
      <c r="L30" s="29">
        <f t="shared" si="2"/>
        <v>400</v>
      </c>
    </row>
    <row r="31" ht="23.25" customHeight="1">
      <c r="A31" s="17" t="s">
        <v>2776</v>
      </c>
      <c r="B31" s="17" t="str">
        <f t="shared" si="1"/>
        <v/>
      </c>
      <c r="C31" s="17" t="s">
        <v>2457</v>
      </c>
      <c r="D31" s="17" t="s">
        <v>2725</v>
      </c>
      <c r="E31" s="17" t="s">
        <v>2719</v>
      </c>
      <c r="F31" s="17">
        <v>75.0</v>
      </c>
      <c r="G31" s="17">
        <v>125.0</v>
      </c>
      <c r="H31" s="17">
        <v>100.0</v>
      </c>
      <c r="I31" s="17">
        <v>70.0</v>
      </c>
      <c r="J31" s="17">
        <v>80.0</v>
      </c>
      <c r="K31" s="17">
        <v>45.0</v>
      </c>
      <c r="L31" s="29">
        <f t="shared" si="2"/>
        <v>495</v>
      </c>
    </row>
    <row r="32" ht="23.25" customHeight="1">
      <c r="A32" s="17" t="s">
        <v>2777</v>
      </c>
      <c r="B32" s="17" t="str">
        <f t="shared" si="1"/>
        <v/>
      </c>
      <c r="C32" s="17" t="s">
        <v>2778</v>
      </c>
      <c r="D32" s="17" t="s">
        <v>2733</v>
      </c>
      <c r="E32" s="17"/>
      <c r="F32" s="17">
        <v>101.0</v>
      </c>
      <c r="G32" s="17">
        <v>72.0</v>
      </c>
      <c r="H32" s="17">
        <v>72.0</v>
      </c>
      <c r="I32" s="17">
        <v>99.0</v>
      </c>
      <c r="J32" s="17">
        <v>89.0</v>
      </c>
      <c r="K32" s="17">
        <v>29.0</v>
      </c>
      <c r="L32" s="29">
        <f t="shared" si="2"/>
        <v>462</v>
      </c>
    </row>
    <row r="33" ht="23.25" customHeight="1">
      <c r="A33" s="17" t="s">
        <v>2779</v>
      </c>
      <c r="B33" s="17" t="str">
        <f t="shared" si="1"/>
        <v/>
      </c>
      <c r="C33" s="17" t="s">
        <v>2780</v>
      </c>
      <c r="D33" s="17" t="s">
        <v>2722</v>
      </c>
      <c r="E33" s="17" t="s">
        <v>2725</v>
      </c>
      <c r="F33" s="17">
        <v>50.0</v>
      </c>
      <c r="G33" s="17">
        <v>70.0</v>
      </c>
      <c r="H33" s="17">
        <v>100.0</v>
      </c>
      <c r="I33" s="17">
        <v>40.0</v>
      </c>
      <c r="J33" s="17">
        <v>40.0</v>
      </c>
      <c r="K33" s="17">
        <v>30.0</v>
      </c>
      <c r="L33" s="29">
        <f t="shared" si="2"/>
        <v>330</v>
      </c>
    </row>
    <row r="34" ht="23.25" customHeight="1">
      <c r="A34" s="17" t="s">
        <v>2781</v>
      </c>
      <c r="B34" s="17" t="str">
        <f t="shared" si="1"/>
        <v/>
      </c>
      <c r="C34" s="17" t="s">
        <v>2782</v>
      </c>
      <c r="D34" s="17" t="s">
        <v>2736</v>
      </c>
      <c r="E34" s="17"/>
      <c r="F34" s="17">
        <v>41.0</v>
      </c>
      <c r="G34" s="17">
        <v>63.0</v>
      </c>
      <c r="H34" s="17">
        <v>40.0</v>
      </c>
      <c r="I34" s="17">
        <v>40.0</v>
      </c>
      <c r="J34" s="17">
        <v>30.0</v>
      </c>
      <c r="K34" s="17">
        <v>66.0</v>
      </c>
      <c r="L34" s="29">
        <f t="shared" si="2"/>
        <v>280</v>
      </c>
    </row>
    <row r="35" ht="23.25" customHeight="1">
      <c r="A35" s="17" t="s">
        <v>2783</v>
      </c>
      <c r="B35" s="17" t="str">
        <f t="shared" si="1"/>
        <v/>
      </c>
      <c r="C35" s="17" t="s">
        <v>2784</v>
      </c>
      <c r="D35" s="17" t="s">
        <v>2712</v>
      </c>
      <c r="E35" s="17" t="s">
        <v>2726</v>
      </c>
      <c r="F35" s="17">
        <v>90.0</v>
      </c>
      <c r="G35" s="17">
        <v>85.0</v>
      </c>
      <c r="H35" s="17">
        <v>100.0</v>
      </c>
      <c r="I35" s="17">
        <v>95.0</v>
      </c>
      <c r="J35" s="17">
        <v>125.0</v>
      </c>
      <c r="K35" s="17">
        <v>85.0</v>
      </c>
      <c r="L35" s="29">
        <f t="shared" si="2"/>
        <v>580</v>
      </c>
    </row>
    <row r="36" ht="23.25" customHeight="1">
      <c r="A36" s="17" t="s">
        <v>2785</v>
      </c>
      <c r="B36" s="17" t="str">
        <f t="shared" si="1"/>
        <v/>
      </c>
      <c r="C36" s="17" t="s">
        <v>2786</v>
      </c>
      <c r="D36" s="17" t="s">
        <v>2758</v>
      </c>
      <c r="E36" s="17" t="s">
        <v>2738</v>
      </c>
      <c r="F36" s="17">
        <v>108.0</v>
      </c>
      <c r="G36" s="17">
        <v>108.0</v>
      </c>
      <c r="H36" s="17">
        <v>74.0</v>
      </c>
      <c r="I36" s="17">
        <v>92.0</v>
      </c>
      <c r="J36" s="17">
        <v>64.0</v>
      </c>
      <c r="K36" s="17">
        <v>114.0</v>
      </c>
      <c r="L36" s="29">
        <f t="shared" si="2"/>
        <v>560</v>
      </c>
    </row>
    <row r="37" ht="23.25" customHeight="1">
      <c r="A37" s="17" t="s">
        <v>2787</v>
      </c>
      <c r="B37" s="17" t="str">
        <f t="shared" si="1"/>
        <v/>
      </c>
      <c r="C37" s="17" t="s">
        <v>2788</v>
      </c>
      <c r="D37" s="17" t="s">
        <v>2729</v>
      </c>
      <c r="E37" s="17"/>
      <c r="F37" s="17">
        <v>103.0</v>
      </c>
      <c r="G37" s="17">
        <v>60.0</v>
      </c>
      <c r="H37" s="17">
        <v>86.0</v>
      </c>
      <c r="I37" s="17">
        <v>60.0</v>
      </c>
      <c r="J37" s="17">
        <v>86.0</v>
      </c>
      <c r="K37" s="17">
        <v>50.0</v>
      </c>
      <c r="L37" s="29">
        <f t="shared" si="2"/>
        <v>445</v>
      </c>
    </row>
    <row r="38" ht="23.25" customHeight="1">
      <c r="A38" s="17" t="s">
        <v>2789</v>
      </c>
      <c r="B38" s="17" t="str">
        <f t="shared" si="1"/>
        <v/>
      </c>
      <c r="C38" s="17" t="s">
        <v>2790</v>
      </c>
      <c r="D38" s="17" t="s">
        <v>2725</v>
      </c>
      <c r="E38" s="17" t="s">
        <v>2712</v>
      </c>
      <c r="F38" s="17">
        <v>123.0</v>
      </c>
      <c r="G38" s="17">
        <v>77.0</v>
      </c>
      <c r="H38" s="17">
        <v>72.0</v>
      </c>
      <c r="I38" s="17">
        <v>99.0</v>
      </c>
      <c r="J38" s="17">
        <v>92.0</v>
      </c>
      <c r="K38" s="17">
        <v>58.0</v>
      </c>
      <c r="L38" s="29">
        <f t="shared" si="2"/>
        <v>521</v>
      </c>
    </row>
    <row r="39" ht="23.25" customHeight="1">
      <c r="A39" s="17" t="s">
        <v>2791</v>
      </c>
      <c r="B39" s="17" t="str">
        <f t="shared" si="1"/>
        <v/>
      </c>
      <c r="C39" s="17" t="s">
        <v>2792</v>
      </c>
      <c r="D39" s="17" t="s">
        <v>2719</v>
      </c>
      <c r="E39" s="17" t="s">
        <v>2714</v>
      </c>
      <c r="F39" s="17">
        <v>110.0</v>
      </c>
      <c r="G39" s="17">
        <v>120.0</v>
      </c>
      <c r="H39" s="17">
        <v>99.0</v>
      </c>
      <c r="I39" s="17">
        <v>117.0</v>
      </c>
      <c r="J39" s="17">
        <v>60.0</v>
      </c>
      <c r="K39" s="17">
        <v>94.0</v>
      </c>
      <c r="L39" s="29">
        <f t="shared" si="2"/>
        <v>600</v>
      </c>
    </row>
    <row r="40" ht="23.25" customHeight="1">
      <c r="A40" s="17" t="s">
        <v>2793</v>
      </c>
      <c r="B40" s="17" t="str">
        <f t="shared" si="1"/>
        <v/>
      </c>
      <c r="C40" s="17" t="s">
        <v>2794</v>
      </c>
      <c r="D40" s="17" t="s">
        <v>2712</v>
      </c>
      <c r="E40" s="17"/>
      <c r="F40" s="17">
        <v>95.0</v>
      </c>
      <c r="G40" s="17">
        <v>117.0</v>
      </c>
      <c r="H40" s="17">
        <v>184.0</v>
      </c>
      <c r="I40" s="17">
        <v>44.0</v>
      </c>
      <c r="J40" s="17">
        <v>46.0</v>
      </c>
      <c r="K40" s="17">
        <v>28.0</v>
      </c>
      <c r="L40" s="29">
        <f t="shared" si="2"/>
        <v>514</v>
      </c>
    </row>
    <row r="41" ht="23.25" customHeight="1">
      <c r="A41" s="17" t="s">
        <v>2795</v>
      </c>
      <c r="B41" s="17" t="str">
        <f t="shared" si="1"/>
        <v/>
      </c>
      <c r="C41" s="17" t="s">
        <v>2796</v>
      </c>
      <c r="D41" s="17" t="s">
        <v>2738</v>
      </c>
      <c r="E41" s="17"/>
      <c r="F41" s="17">
        <v>46.0</v>
      </c>
      <c r="G41" s="17">
        <v>87.0</v>
      </c>
      <c r="H41" s="17">
        <v>60.0</v>
      </c>
      <c r="I41" s="17">
        <v>30.0</v>
      </c>
      <c r="J41" s="17">
        <v>40.0</v>
      </c>
      <c r="K41" s="17">
        <v>57.0</v>
      </c>
      <c r="L41" s="29">
        <f t="shared" si="2"/>
        <v>320</v>
      </c>
    </row>
    <row r="42" ht="23.25" customHeight="1">
      <c r="A42" s="17" t="s">
        <v>2797</v>
      </c>
      <c r="B42" s="17" t="str">
        <f t="shared" si="1"/>
        <v/>
      </c>
      <c r="C42" s="17" t="s">
        <v>2798</v>
      </c>
      <c r="D42" s="17" t="s">
        <v>2714</v>
      </c>
      <c r="E42" s="17"/>
      <c r="F42" s="17">
        <v>75.0</v>
      </c>
      <c r="G42" s="17">
        <v>125.0</v>
      </c>
      <c r="H42" s="17">
        <v>70.0</v>
      </c>
      <c r="I42" s="17">
        <v>125.0</v>
      </c>
      <c r="J42" s="17">
        <v>70.0</v>
      </c>
      <c r="K42" s="17">
        <v>115.0</v>
      </c>
      <c r="L42" s="29">
        <f t="shared" si="2"/>
        <v>580</v>
      </c>
    </row>
    <row r="43" ht="23.25" customHeight="1">
      <c r="A43" s="17" t="s">
        <v>2799</v>
      </c>
      <c r="B43" s="17" t="str">
        <f t="shared" si="1"/>
        <v/>
      </c>
      <c r="C43" s="17" t="s">
        <v>405</v>
      </c>
      <c r="D43" s="17" t="s">
        <v>2736</v>
      </c>
      <c r="E43" s="17" t="s">
        <v>2733</v>
      </c>
      <c r="F43" s="17">
        <v>100.0</v>
      </c>
      <c r="G43" s="17">
        <v>50.0</v>
      </c>
      <c r="H43" s="17">
        <v>80.0</v>
      </c>
      <c r="I43" s="17">
        <v>60.0</v>
      </c>
      <c r="J43" s="17">
        <v>80.0</v>
      </c>
      <c r="K43" s="17">
        <v>50.0</v>
      </c>
      <c r="L43" s="29">
        <f t="shared" si="2"/>
        <v>420</v>
      </c>
    </row>
    <row r="44" ht="23.25" customHeight="1">
      <c r="A44" s="17" t="s">
        <v>2800</v>
      </c>
      <c r="B44" s="17" t="str">
        <f t="shared" si="1"/>
        <v/>
      </c>
      <c r="C44" s="17" t="s">
        <v>661</v>
      </c>
      <c r="D44" s="17" t="s">
        <v>2729</v>
      </c>
      <c r="E44" s="17" t="s">
        <v>2733</v>
      </c>
      <c r="F44" s="17">
        <v>50.0</v>
      </c>
      <c r="G44" s="17">
        <v>20.0</v>
      </c>
      <c r="H44" s="17">
        <v>40.0</v>
      </c>
      <c r="I44" s="17">
        <v>20.0</v>
      </c>
      <c r="J44" s="17">
        <v>40.0</v>
      </c>
      <c r="K44" s="17">
        <v>20.0</v>
      </c>
      <c r="L44" s="29">
        <f t="shared" si="2"/>
        <v>190</v>
      </c>
    </row>
    <row r="45" ht="23.25" customHeight="1">
      <c r="A45" s="17" t="s">
        <v>2801</v>
      </c>
      <c r="B45" s="17" t="str">
        <f t="shared" si="1"/>
        <v/>
      </c>
      <c r="C45" s="17" t="s">
        <v>1762</v>
      </c>
      <c r="D45" s="17" t="s">
        <v>2738</v>
      </c>
      <c r="E45" s="17"/>
      <c r="F45" s="17">
        <v>45.0</v>
      </c>
      <c r="G45" s="17">
        <v>75.0</v>
      </c>
      <c r="H45" s="17">
        <v>60.0</v>
      </c>
      <c r="I45" s="17">
        <v>40.0</v>
      </c>
      <c r="J45" s="17">
        <v>30.0</v>
      </c>
      <c r="K45" s="17">
        <v>50.0</v>
      </c>
      <c r="L45" s="29">
        <f t="shared" si="2"/>
        <v>300</v>
      </c>
    </row>
    <row r="46" ht="23.25" customHeight="1">
      <c r="A46" s="17" t="s">
        <v>2802</v>
      </c>
      <c r="B46" s="17" t="str">
        <f t="shared" si="1"/>
        <v/>
      </c>
      <c r="C46" s="17" t="s">
        <v>1889</v>
      </c>
      <c r="D46" s="17" t="s">
        <v>2803</v>
      </c>
      <c r="E46" s="17" t="s">
        <v>2714</v>
      </c>
      <c r="F46" s="17">
        <v>40.0</v>
      </c>
      <c r="G46" s="17">
        <v>40.0</v>
      </c>
      <c r="H46" s="17">
        <v>55.0</v>
      </c>
      <c r="I46" s="17">
        <v>40.0</v>
      </c>
      <c r="J46" s="17">
        <v>70.0</v>
      </c>
      <c r="K46" s="17">
        <v>55.0</v>
      </c>
      <c r="L46" s="29">
        <f t="shared" si="2"/>
        <v>300</v>
      </c>
    </row>
    <row r="47" ht="23.25" customHeight="1">
      <c r="A47" s="17" t="s">
        <v>2804</v>
      </c>
      <c r="B47" s="17" t="str">
        <f t="shared" si="1"/>
        <v/>
      </c>
      <c r="C47" s="17" t="s">
        <v>2170</v>
      </c>
      <c r="D47" s="17" t="s">
        <v>2723</v>
      </c>
      <c r="E47" s="17"/>
      <c r="F47" s="17">
        <v>64.0</v>
      </c>
      <c r="G47" s="17">
        <v>115.0</v>
      </c>
      <c r="H47" s="17">
        <v>65.0</v>
      </c>
      <c r="I47" s="17">
        <v>83.0</v>
      </c>
      <c r="J47" s="17">
        <v>63.0</v>
      </c>
      <c r="K47" s="17">
        <v>65.0</v>
      </c>
      <c r="L47" s="29">
        <f t="shared" si="2"/>
        <v>455</v>
      </c>
    </row>
    <row r="48" ht="23.25" customHeight="1">
      <c r="A48" s="17" t="s">
        <v>2805</v>
      </c>
      <c r="B48" s="17" t="str">
        <f t="shared" si="1"/>
        <v/>
      </c>
      <c r="C48" s="17" t="s">
        <v>2806</v>
      </c>
      <c r="D48" s="17" t="s">
        <v>2725</v>
      </c>
      <c r="E48" s="17" t="s">
        <v>2736</v>
      </c>
      <c r="F48" s="17">
        <v>72.0</v>
      </c>
      <c r="G48" s="17">
        <v>105.0</v>
      </c>
      <c r="H48" s="17">
        <v>115.0</v>
      </c>
      <c r="I48" s="17">
        <v>54.0</v>
      </c>
      <c r="J48" s="17">
        <v>86.0</v>
      </c>
      <c r="K48" s="17">
        <v>68.0</v>
      </c>
      <c r="L48" s="29">
        <f t="shared" si="2"/>
        <v>500</v>
      </c>
    </row>
    <row r="49" ht="23.25" customHeight="1">
      <c r="A49" s="17" t="s">
        <v>2807</v>
      </c>
      <c r="B49" s="17" t="str">
        <f t="shared" si="1"/>
        <v/>
      </c>
      <c r="C49" s="17" t="s">
        <v>187</v>
      </c>
      <c r="D49" s="17" t="s">
        <v>2736</v>
      </c>
      <c r="E49" s="17" t="s">
        <v>2803</v>
      </c>
      <c r="F49" s="17">
        <v>50.0</v>
      </c>
      <c r="G49" s="17">
        <v>48.0</v>
      </c>
      <c r="H49" s="17">
        <v>43.0</v>
      </c>
      <c r="I49" s="17">
        <v>46.0</v>
      </c>
      <c r="J49" s="17">
        <v>41.0</v>
      </c>
      <c r="K49" s="17">
        <v>60.0</v>
      </c>
      <c r="L49" s="29">
        <f t="shared" si="2"/>
        <v>288</v>
      </c>
    </row>
    <row r="50" ht="23.25" customHeight="1">
      <c r="A50" s="17" t="s">
        <v>2808</v>
      </c>
      <c r="B50" s="17" t="str">
        <f t="shared" si="1"/>
        <v/>
      </c>
      <c r="C50" s="17" t="s">
        <v>2809</v>
      </c>
      <c r="D50" s="17" t="s">
        <v>2736</v>
      </c>
      <c r="E50" s="17"/>
      <c r="F50" s="17">
        <v>61.0</v>
      </c>
      <c r="G50" s="17">
        <v>123.0</v>
      </c>
      <c r="H50" s="17">
        <v>60.0</v>
      </c>
      <c r="I50" s="17">
        <v>60.0</v>
      </c>
      <c r="J50" s="17">
        <v>50.0</v>
      </c>
      <c r="K50" s="17">
        <v>136.0</v>
      </c>
      <c r="L50" s="29">
        <f t="shared" si="2"/>
        <v>490</v>
      </c>
    </row>
    <row r="51" ht="23.25" customHeight="1">
      <c r="A51" s="17" t="s">
        <v>2810</v>
      </c>
      <c r="B51" s="17" t="str">
        <f t="shared" si="1"/>
        <v/>
      </c>
      <c r="C51" s="17" t="s">
        <v>2811</v>
      </c>
      <c r="D51" s="17" t="s">
        <v>2736</v>
      </c>
      <c r="E51" s="17"/>
      <c r="F51" s="17">
        <v>70.0</v>
      </c>
      <c r="G51" s="17">
        <v>92.0</v>
      </c>
      <c r="H51" s="17">
        <v>65.0</v>
      </c>
      <c r="I51" s="17">
        <v>80.0</v>
      </c>
      <c r="J51" s="17">
        <v>55.0</v>
      </c>
      <c r="K51" s="17">
        <v>98.0</v>
      </c>
      <c r="L51" s="29">
        <f t="shared" si="2"/>
        <v>460</v>
      </c>
    </row>
    <row r="52" ht="23.25" customHeight="1">
      <c r="A52" s="17" t="s">
        <v>2812</v>
      </c>
      <c r="B52" s="17" t="str">
        <f t="shared" si="1"/>
        <v/>
      </c>
      <c r="C52" s="17" t="s">
        <v>823</v>
      </c>
      <c r="D52" s="17" t="s">
        <v>2725</v>
      </c>
      <c r="E52" s="17" t="s">
        <v>2722</v>
      </c>
      <c r="F52" s="17">
        <v>60.0</v>
      </c>
      <c r="G52" s="17">
        <v>52.0</v>
      </c>
      <c r="H52" s="17">
        <v>168.0</v>
      </c>
      <c r="I52" s="17">
        <v>47.0</v>
      </c>
      <c r="J52" s="17">
        <v>138.0</v>
      </c>
      <c r="K52" s="17">
        <v>30.0</v>
      </c>
      <c r="L52" s="29">
        <f t="shared" si="2"/>
        <v>495</v>
      </c>
    </row>
    <row r="53" ht="23.25" customHeight="1">
      <c r="A53" s="17" t="s">
        <v>2813</v>
      </c>
      <c r="B53" s="17" t="str">
        <f t="shared" si="1"/>
        <v/>
      </c>
      <c r="C53" s="17" t="s">
        <v>2814</v>
      </c>
      <c r="D53" s="17" t="s">
        <v>2711</v>
      </c>
      <c r="E53" s="17"/>
      <c r="F53" s="17">
        <v>60.0</v>
      </c>
      <c r="G53" s="17">
        <v>62.0</v>
      </c>
      <c r="H53" s="17">
        <v>80.0</v>
      </c>
      <c r="I53" s="17">
        <v>63.0</v>
      </c>
      <c r="J53" s="17">
        <v>80.0</v>
      </c>
      <c r="K53" s="17">
        <v>60.0</v>
      </c>
      <c r="L53" s="29">
        <f t="shared" si="2"/>
        <v>405</v>
      </c>
    </row>
    <row r="54" ht="23.25" customHeight="1">
      <c r="A54" s="17" t="s">
        <v>2815</v>
      </c>
      <c r="B54" s="17" t="str">
        <f t="shared" si="1"/>
        <v/>
      </c>
      <c r="C54" s="17" t="s">
        <v>2816</v>
      </c>
      <c r="D54" s="17" t="s">
        <v>2712</v>
      </c>
      <c r="E54" s="17"/>
      <c r="F54" s="17">
        <v>95.0</v>
      </c>
      <c r="G54" s="17">
        <v>130.0</v>
      </c>
      <c r="H54" s="17">
        <v>80.0</v>
      </c>
      <c r="I54" s="17">
        <v>70.0</v>
      </c>
      <c r="J54" s="17">
        <v>80.0</v>
      </c>
      <c r="K54" s="17">
        <v>50.0</v>
      </c>
      <c r="L54" s="29">
        <f t="shared" si="2"/>
        <v>505</v>
      </c>
    </row>
    <row r="55" ht="23.25" customHeight="1">
      <c r="A55" s="17" t="s">
        <v>2817</v>
      </c>
      <c r="B55" s="17" t="str">
        <f t="shared" si="1"/>
        <v/>
      </c>
      <c r="C55" s="17" t="s">
        <v>687</v>
      </c>
      <c r="D55" s="17" t="s">
        <v>2719</v>
      </c>
      <c r="E55" s="17" t="s">
        <v>2726</v>
      </c>
      <c r="F55" s="17">
        <v>60.0</v>
      </c>
      <c r="G55" s="17">
        <v>70.0</v>
      </c>
      <c r="H55" s="17">
        <v>50.0</v>
      </c>
      <c r="I55" s="17">
        <v>100.0</v>
      </c>
      <c r="J55" s="17">
        <v>50.0</v>
      </c>
      <c r="K55" s="17">
        <v>65.0</v>
      </c>
      <c r="L55" s="29">
        <f t="shared" si="2"/>
        <v>395</v>
      </c>
    </row>
    <row r="56" ht="23.25" customHeight="1">
      <c r="A56" s="17" t="s">
        <v>2818</v>
      </c>
      <c r="B56" s="17" t="str">
        <f t="shared" si="1"/>
        <v/>
      </c>
      <c r="C56" s="17" t="s">
        <v>2819</v>
      </c>
      <c r="D56" s="17" t="s">
        <v>2719</v>
      </c>
      <c r="E56" s="17" t="s">
        <v>2744</v>
      </c>
      <c r="F56" s="17">
        <v>65.0</v>
      </c>
      <c r="G56" s="17">
        <v>90.0</v>
      </c>
      <c r="H56" s="17">
        <v>40.0</v>
      </c>
      <c r="I56" s="17">
        <v>45.0</v>
      </c>
      <c r="J56" s="17">
        <v>80.0</v>
      </c>
      <c r="K56" s="17">
        <v>75.0</v>
      </c>
      <c r="L56" s="29">
        <f t="shared" si="2"/>
        <v>395</v>
      </c>
    </row>
    <row r="57" ht="23.25" customHeight="1">
      <c r="A57" s="17" t="s">
        <v>2820</v>
      </c>
      <c r="B57" s="17" t="str">
        <f t="shared" si="1"/>
        <v/>
      </c>
      <c r="C57" s="17" t="s">
        <v>2821</v>
      </c>
      <c r="D57" s="17" t="s">
        <v>2714</v>
      </c>
      <c r="E57" s="17"/>
      <c r="F57" s="17">
        <v>75.0</v>
      </c>
      <c r="G57" s="17">
        <v>75.0</v>
      </c>
      <c r="H57" s="17">
        <v>75.0</v>
      </c>
      <c r="I57" s="17">
        <v>125.0</v>
      </c>
      <c r="J57" s="17">
        <v>95.0</v>
      </c>
      <c r="K57" s="17">
        <v>40.0</v>
      </c>
      <c r="L57" s="29">
        <f t="shared" si="2"/>
        <v>485</v>
      </c>
    </row>
    <row r="58" ht="23.25" customHeight="1">
      <c r="A58" s="17" t="s">
        <v>2822</v>
      </c>
      <c r="B58" s="17" t="str">
        <f t="shared" si="1"/>
        <v/>
      </c>
      <c r="C58" s="17" t="s">
        <v>2823</v>
      </c>
      <c r="D58" s="17" t="s">
        <v>2722</v>
      </c>
      <c r="E58" s="17" t="s">
        <v>2714</v>
      </c>
      <c r="F58" s="17">
        <v>40.0</v>
      </c>
      <c r="G58" s="17">
        <v>55.0</v>
      </c>
      <c r="H58" s="17">
        <v>80.0</v>
      </c>
      <c r="I58" s="17">
        <v>35.0</v>
      </c>
      <c r="J58" s="17">
        <v>60.0</v>
      </c>
      <c r="K58" s="17">
        <v>30.0</v>
      </c>
      <c r="L58" s="29">
        <f t="shared" si="2"/>
        <v>300</v>
      </c>
    </row>
    <row r="59" ht="23.25" customHeight="1">
      <c r="A59" s="17" t="s">
        <v>2824</v>
      </c>
      <c r="B59" s="17" t="str">
        <f t="shared" si="1"/>
        <v/>
      </c>
      <c r="C59" s="17" t="s">
        <v>2634</v>
      </c>
      <c r="D59" s="17" t="s">
        <v>2711</v>
      </c>
      <c r="E59" s="17"/>
      <c r="F59" s="17">
        <v>75.0</v>
      </c>
      <c r="G59" s="17">
        <v>80.0</v>
      </c>
      <c r="H59" s="17">
        <v>95.0</v>
      </c>
      <c r="I59" s="17">
        <v>90.0</v>
      </c>
      <c r="J59" s="17">
        <v>100.0</v>
      </c>
      <c r="K59" s="17">
        <v>50.0</v>
      </c>
      <c r="L59" s="29">
        <f t="shared" si="2"/>
        <v>490</v>
      </c>
    </row>
    <row r="60" ht="23.25" customHeight="1">
      <c r="A60" s="17" t="s">
        <v>2825</v>
      </c>
      <c r="B60" s="17" t="str">
        <f t="shared" si="1"/>
        <v/>
      </c>
      <c r="C60" s="17" t="s">
        <v>2826</v>
      </c>
      <c r="D60" s="17" t="s">
        <v>2711</v>
      </c>
      <c r="E60" s="17" t="s">
        <v>2744</v>
      </c>
      <c r="F60" s="17">
        <v>50.0</v>
      </c>
      <c r="G60" s="17">
        <v>75.0</v>
      </c>
      <c r="H60" s="17">
        <v>35.0</v>
      </c>
      <c r="I60" s="17">
        <v>70.0</v>
      </c>
      <c r="J60" s="17">
        <v>30.0</v>
      </c>
      <c r="K60" s="17">
        <v>40.0</v>
      </c>
      <c r="L60" s="29">
        <f t="shared" si="2"/>
        <v>300</v>
      </c>
    </row>
    <row r="61" ht="23.25" customHeight="1">
      <c r="A61" s="17" t="s">
        <v>2827</v>
      </c>
      <c r="B61" s="17" t="str">
        <f t="shared" si="1"/>
        <v/>
      </c>
      <c r="C61" s="17" t="s">
        <v>2828</v>
      </c>
      <c r="D61" s="17" t="s">
        <v>2712</v>
      </c>
      <c r="E61" s="17"/>
      <c r="F61" s="17">
        <v>55.0</v>
      </c>
      <c r="G61" s="17">
        <v>69.0</v>
      </c>
      <c r="H61" s="17">
        <v>85.0</v>
      </c>
      <c r="I61" s="17">
        <v>32.0</v>
      </c>
      <c r="J61" s="17">
        <v>35.0</v>
      </c>
      <c r="K61" s="17">
        <v>28.0</v>
      </c>
      <c r="L61" s="29">
        <f t="shared" si="2"/>
        <v>304</v>
      </c>
    </row>
    <row r="62" ht="23.25" customHeight="1">
      <c r="A62" s="17" t="s">
        <v>2829</v>
      </c>
      <c r="B62" s="17" t="str">
        <f t="shared" si="1"/>
        <v/>
      </c>
      <c r="C62" s="17" t="s">
        <v>2830</v>
      </c>
      <c r="D62" s="17" t="s">
        <v>2729</v>
      </c>
      <c r="E62" s="17" t="s">
        <v>2773</v>
      </c>
      <c r="F62" s="17">
        <v>120.0</v>
      </c>
      <c r="G62" s="17">
        <v>125.0</v>
      </c>
      <c r="H62" s="17">
        <v>80.0</v>
      </c>
      <c r="I62" s="17">
        <v>55.0</v>
      </c>
      <c r="J62" s="17">
        <v>60.0</v>
      </c>
      <c r="K62" s="17">
        <v>60.0</v>
      </c>
      <c r="L62" s="29">
        <f t="shared" si="2"/>
        <v>500</v>
      </c>
    </row>
    <row r="63" ht="23.25" customHeight="1">
      <c r="A63" s="17" t="s">
        <v>2831</v>
      </c>
      <c r="B63" s="17" t="str">
        <f t="shared" si="1"/>
        <v/>
      </c>
      <c r="C63" s="17" t="s">
        <v>419</v>
      </c>
      <c r="D63" s="17" t="s">
        <v>2729</v>
      </c>
      <c r="E63" s="17" t="s">
        <v>2736</v>
      </c>
      <c r="F63" s="17">
        <v>79.0</v>
      </c>
      <c r="G63" s="17">
        <v>85.0</v>
      </c>
      <c r="H63" s="17">
        <v>60.0</v>
      </c>
      <c r="I63" s="17">
        <v>55.0</v>
      </c>
      <c r="J63" s="17">
        <v>60.0</v>
      </c>
      <c r="K63" s="17">
        <v>71.0</v>
      </c>
      <c r="L63" s="29">
        <f t="shared" si="2"/>
        <v>410</v>
      </c>
    </row>
    <row r="64" ht="23.25" customHeight="1">
      <c r="A64" s="17" t="s">
        <v>2832</v>
      </c>
      <c r="B64" s="17" t="str">
        <f t="shared" si="1"/>
        <v/>
      </c>
      <c r="C64" s="17" t="s">
        <v>30</v>
      </c>
      <c r="D64" s="17" t="s">
        <v>2729</v>
      </c>
      <c r="E64" s="17"/>
      <c r="F64" s="17">
        <v>59.0</v>
      </c>
      <c r="G64" s="17">
        <v>45.0</v>
      </c>
      <c r="H64" s="17">
        <v>40.0</v>
      </c>
      <c r="I64" s="17">
        <v>35.0</v>
      </c>
      <c r="J64" s="17">
        <v>40.0</v>
      </c>
      <c r="K64" s="17">
        <v>31.0</v>
      </c>
      <c r="L64" s="29">
        <f t="shared" si="2"/>
        <v>250</v>
      </c>
    </row>
    <row r="65" ht="23.25" customHeight="1">
      <c r="A65" s="17" t="s">
        <v>2833</v>
      </c>
      <c r="B65" s="17" t="str">
        <f t="shared" si="1"/>
        <v/>
      </c>
      <c r="C65" s="17" t="s">
        <v>2834</v>
      </c>
      <c r="D65" s="17" t="s">
        <v>2725</v>
      </c>
      <c r="E65" s="17" t="s">
        <v>2736</v>
      </c>
      <c r="F65" s="17">
        <v>42.0</v>
      </c>
      <c r="G65" s="17">
        <v>52.0</v>
      </c>
      <c r="H65" s="17">
        <v>67.0</v>
      </c>
      <c r="I65" s="17">
        <v>39.0</v>
      </c>
      <c r="J65" s="17">
        <v>56.0</v>
      </c>
      <c r="K65" s="17">
        <v>50.0</v>
      </c>
      <c r="L65" s="29">
        <f t="shared" si="2"/>
        <v>306</v>
      </c>
    </row>
    <row r="66" ht="23.25" customHeight="1">
      <c r="A66" s="17" t="s">
        <v>2835</v>
      </c>
      <c r="B66" s="17" t="str">
        <f t="shared" si="1"/>
        <v/>
      </c>
      <c r="C66" s="17" t="s">
        <v>2836</v>
      </c>
      <c r="D66" s="17" t="s">
        <v>2716</v>
      </c>
      <c r="E66" s="17" t="s">
        <v>2722</v>
      </c>
      <c r="F66" s="17">
        <v>65.0</v>
      </c>
      <c r="G66" s="17">
        <v>125.0</v>
      </c>
      <c r="H66" s="17">
        <v>100.0</v>
      </c>
      <c r="I66" s="17">
        <v>60.0</v>
      </c>
      <c r="J66" s="17">
        <v>70.0</v>
      </c>
      <c r="K66" s="17">
        <v>70.0</v>
      </c>
      <c r="L66" s="29">
        <f t="shared" si="2"/>
        <v>490</v>
      </c>
    </row>
    <row r="67" ht="23.25" customHeight="1">
      <c r="A67" s="17" t="s">
        <v>2837</v>
      </c>
      <c r="B67" s="17" t="str">
        <f t="shared" si="1"/>
        <v/>
      </c>
      <c r="C67" s="17" t="s">
        <v>2838</v>
      </c>
      <c r="D67" s="17" t="s">
        <v>2758</v>
      </c>
      <c r="E67" s="17" t="s">
        <v>2723</v>
      </c>
      <c r="F67" s="17">
        <v>53.0</v>
      </c>
      <c r="G67" s="17">
        <v>127.0</v>
      </c>
      <c r="H67" s="17">
        <v>53.0</v>
      </c>
      <c r="I67" s="17">
        <v>151.0</v>
      </c>
      <c r="J67" s="17">
        <v>79.0</v>
      </c>
      <c r="K67" s="17">
        <v>107.0</v>
      </c>
      <c r="L67" s="29">
        <f t="shared" si="2"/>
        <v>570</v>
      </c>
    </row>
    <row r="68" ht="23.25" customHeight="1">
      <c r="A68" s="17" t="s">
        <v>2839</v>
      </c>
      <c r="B68" s="17" t="str">
        <f t="shared" si="1"/>
        <v/>
      </c>
      <c r="C68" s="17" t="s">
        <v>2619</v>
      </c>
      <c r="D68" s="17" t="s">
        <v>2736</v>
      </c>
      <c r="E68" s="17"/>
      <c r="F68" s="17">
        <v>79.0</v>
      </c>
      <c r="G68" s="17">
        <v>83.0</v>
      </c>
      <c r="H68" s="17">
        <v>100.0</v>
      </c>
      <c r="I68" s="17">
        <v>85.0</v>
      </c>
      <c r="J68" s="17">
        <v>105.0</v>
      </c>
      <c r="K68" s="17">
        <v>78.0</v>
      </c>
      <c r="L68" s="29">
        <f t="shared" si="2"/>
        <v>530</v>
      </c>
    </row>
    <row r="69" ht="23.25" customHeight="1">
      <c r="A69" s="17" t="s">
        <v>2840</v>
      </c>
      <c r="B69" s="17" t="str">
        <f t="shared" si="1"/>
        <v/>
      </c>
      <c r="C69" s="17" t="s">
        <v>2841</v>
      </c>
      <c r="D69" s="17" t="s">
        <v>2758</v>
      </c>
      <c r="E69" s="17" t="s">
        <v>2773</v>
      </c>
      <c r="F69" s="17">
        <v>80.0</v>
      </c>
      <c r="G69" s="17">
        <v>120.0</v>
      </c>
      <c r="H69" s="17">
        <v>70.0</v>
      </c>
      <c r="I69" s="17">
        <v>110.0</v>
      </c>
      <c r="J69" s="17">
        <v>70.0</v>
      </c>
      <c r="K69" s="17">
        <v>80.0</v>
      </c>
      <c r="L69" s="29">
        <f t="shared" si="2"/>
        <v>530</v>
      </c>
    </row>
    <row r="70" ht="23.25" customHeight="1">
      <c r="A70" s="17" t="s">
        <v>2842</v>
      </c>
      <c r="B70" s="17" t="str">
        <f t="shared" si="1"/>
        <v/>
      </c>
      <c r="C70" s="17" t="s">
        <v>2843</v>
      </c>
      <c r="D70" s="17" t="s">
        <v>2719</v>
      </c>
      <c r="E70" s="17"/>
      <c r="F70" s="17">
        <v>25.0</v>
      </c>
      <c r="G70" s="17">
        <v>20.0</v>
      </c>
      <c r="H70" s="17">
        <v>20.0</v>
      </c>
      <c r="I70" s="17">
        <v>25.0</v>
      </c>
      <c r="J70" s="17">
        <v>45.0</v>
      </c>
      <c r="K70" s="17">
        <v>45.0</v>
      </c>
      <c r="L70" s="29">
        <f t="shared" si="2"/>
        <v>180</v>
      </c>
    </row>
    <row r="71" ht="23.25" customHeight="1">
      <c r="A71" s="17" t="s">
        <v>2844</v>
      </c>
      <c r="B71" s="17" t="str">
        <f t="shared" si="1"/>
        <v/>
      </c>
      <c r="C71" s="17" t="s">
        <v>724</v>
      </c>
      <c r="D71" s="17" t="s">
        <v>2729</v>
      </c>
      <c r="E71" s="17"/>
      <c r="F71" s="17">
        <v>255.0</v>
      </c>
      <c r="G71" s="17">
        <v>10.0</v>
      </c>
      <c r="H71" s="17">
        <v>10.0</v>
      </c>
      <c r="I71" s="17">
        <v>75.0</v>
      </c>
      <c r="J71" s="17">
        <v>135.0</v>
      </c>
      <c r="K71" s="17">
        <v>55.0</v>
      </c>
      <c r="L71" s="29">
        <f t="shared" si="2"/>
        <v>540</v>
      </c>
    </row>
    <row r="72" ht="23.25" customHeight="1">
      <c r="A72" s="17" t="s">
        <v>2845</v>
      </c>
      <c r="B72" s="17" t="str">
        <f t="shared" si="1"/>
        <v/>
      </c>
      <c r="C72" s="17" t="s">
        <v>2846</v>
      </c>
      <c r="D72" s="17" t="s">
        <v>2746</v>
      </c>
      <c r="E72" s="17"/>
      <c r="F72" s="17">
        <v>45.0</v>
      </c>
      <c r="G72" s="17">
        <v>60.0</v>
      </c>
      <c r="H72" s="17">
        <v>32.0</v>
      </c>
      <c r="I72" s="17">
        <v>50.0</v>
      </c>
      <c r="J72" s="17">
        <v>32.0</v>
      </c>
      <c r="K72" s="17">
        <v>76.0</v>
      </c>
      <c r="L72" s="29">
        <f t="shared" si="2"/>
        <v>295</v>
      </c>
    </row>
    <row r="73" ht="23.25" customHeight="1">
      <c r="A73" s="17" t="s">
        <v>2847</v>
      </c>
      <c r="B73" s="17" t="str">
        <f t="shared" si="1"/>
        <v/>
      </c>
      <c r="C73" s="17" t="s">
        <v>2848</v>
      </c>
      <c r="D73" s="17" t="s">
        <v>2725</v>
      </c>
      <c r="E73" s="17"/>
      <c r="F73" s="17">
        <v>70.0</v>
      </c>
      <c r="G73" s="17">
        <v>105.0</v>
      </c>
      <c r="H73" s="17">
        <v>105.0</v>
      </c>
      <c r="I73" s="17">
        <v>50.0</v>
      </c>
      <c r="J73" s="17">
        <v>40.0</v>
      </c>
      <c r="K73" s="17">
        <v>20.0</v>
      </c>
      <c r="L73" s="29">
        <f t="shared" si="2"/>
        <v>390</v>
      </c>
    </row>
    <row r="74" ht="23.25" customHeight="1">
      <c r="A74" s="17" t="s">
        <v>2849</v>
      </c>
      <c r="B74" s="17" t="str">
        <f t="shared" si="1"/>
        <v/>
      </c>
      <c r="C74" s="17" t="s">
        <v>2850</v>
      </c>
      <c r="D74" s="17" t="s">
        <v>2746</v>
      </c>
      <c r="E74" s="17"/>
      <c r="F74" s="17">
        <v>69.0</v>
      </c>
      <c r="G74" s="17">
        <v>90.0</v>
      </c>
      <c r="H74" s="17">
        <v>60.0</v>
      </c>
      <c r="I74" s="17">
        <v>90.0</v>
      </c>
      <c r="J74" s="17">
        <v>60.0</v>
      </c>
      <c r="K74" s="17">
        <v>121.0</v>
      </c>
      <c r="L74" s="29">
        <f t="shared" si="2"/>
        <v>490</v>
      </c>
    </row>
    <row r="75" ht="23.25" customHeight="1">
      <c r="A75" s="17" t="s">
        <v>2851</v>
      </c>
      <c r="B75" s="17" t="str">
        <f t="shared" si="1"/>
        <v/>
      </c>
      <c r="C75" s="17" t="s">
        <v>206</v>
      </c>
      <c r="D75" s="17" t="s">
        <v>2725</v>
      </c>
      <c r="E75" s="17"/>
      <c r="F75" s="17">
        <v>50.0</v>
      </c>
      <c r="G75" s="17">
        <v>80.0</v>
      </c>
      <c r="H75" s="17">
        <v>95.0</v>
      </c>
      <c r="I75" s="17">
        <v>10.0</v>
      </c>
      <c r="J75" s="17">
        <v>45.0</v>
      </c>
      <c r="K75" s="17">
        <v>10.0</v>
      </c>
      <c r="L75" s="29">
        <f t="shared" si="2"/>
        <v>290</v>
      </c>
    </row>
    <row r="76" ht="23.25" customHeight="1">
      <c r="A76" s="17" t="s">
        <v>2852</v>
      </c>
      <c r="B76" s="17" t="str">
        <f t="shared" si="1"/>
        <v/>
      </c>
      <c r="C76" s="17" t="s">
        <v>2853</v>
      </c>
      <c r="D76" s="17" t="s">
        <v>2729</v>
      </c>
      <c r="E76" s="17"/>
      <c r="F76" s="17">
        <v>95.0</v>
      </c>
      <c r="G76" s="17">
        <v>110.0</v>
      </c>
      <c r="H76" s="17">
        <v>95.0</v>
      </c>
      <c r="I76" s="17">
        <v>40.0</v>
      </c>
      <c r="J76" s="17">
        <v>95.0</v>
      </c>
      <c r="K76" s="17">
        <v>55.0</v>
      </c>
      <c r="L76" s="29">
        <f t="shared" si="2"/>
        <v>490</v>
      </c>
    </row>
    <row r="77" ht="23.25" customHeight="1">
      <c r="A77" s="17" t="s">
        <v>2854</v>
      </c>
      <c r="B77" s="17" t="str">
        <f t="shared" si="1"/>
        <v/>
      </c>
      <c r="C77" s="17" t="s">
        <v>2855</v>
      </c>
      <c r="D77" s="17" t="s">
        <v>2711</v>
      </c>
      <c r="E77" s="17"/>
      <c r="F77" s="17">
        <v>42.0</v>
      </c>
      <c r="G77" s="17">
        <v>30.0</v>
      </c>
      <c r="H77" s="17">
        <v>38.0</v>
      </c>
      <c r="I77" s="17">
        <v>30.0</v>
      </c>
      <c r="J77" s="17">
        <v>38.0</v>
      </c>
      <c r="K77" s="17">
        <v>32.0</v>
      </c>
      <c r="L77" s="29">
        <f t="shared" si="2"/>
        <v>210</v>
      </c>
    </row>
    <row r="78" ht="23.25" customHeight="1">
      <c r="A78" s="17" t="s">
        <v>2856</v>
      </c>
      <c r="B78" s="17" t="str">
        <f t="shared" si="1"/>
        <v/>
      </c>
      <c r="C78" s="17" t="s">
        <v>2857</v>
      </c>
      <c r="D78" s="17" t="s">
        <v>2758</v>
      </c>
      <c r="E78" s="17"/>
      <c r="F78" s="17">
        <v>59.0</v>
      </c>
      <c r="G78" s="17">
        <v>59.0</v>
      </c>
      <c r="H78" s="17">
        <v>58.0</v>
      </c>
      <c r="I78" s="17">
        <v>90.0</v>
      </c>
      <c r="J78" s="17">
        <v>70.0</v>
      </c>
      <c r="K78" s="17">
        <v>73.0</v>
      </c>
      <c r="L78" s="29">
        <f t="shared" si="2"/>
        <v>409</v>
      </c>
    </row>
    <row r="79" ht="23.25" customHeight="1">
      <c r="A79" s="17" t="s">
        <v>2858</v>
      </c>
      <c r="B79" s="17" t="str">
        <f t="shared" si="1"/>
        <v/>
      </c>
      <c r="C79" s="17" t="s">
        <v>2859</v>
      </c>
      <c r="D79" s="17" t="s">
        <v>2716</v>
      </c>
      <c r="E79" s="17" t="s">
        <v>2711</v>
      </c>
      <c r="F79" s="17">
        <v>80.0</v>
      </c>
      <c r="G79" s="17">
        <v>70.0</v>
      </c>
      <c r="H79" s="17">
        <v>40.0</v>
      </c>
      <c r="I79" s="17">
        <v>20.0</v>
      </c>
      <c r="J79" s="17">
        <v>90.0</v>
      </c>
      <c r="K79" s="17">
        <v>30.0</v>
      </c>
      <c r="L79" s="29">
        <f t="shared" si="2"/>
        <v>330</v>
      </c>
    </row>
    <row r="80" ht="23.25" customHeight="1">
      <c r="A80" s="17" t="s">
        <v>2860</v>
      </c>
      <c r="B80" s="17" t="str">
        <f t="shared" si="1"/>
        <v/>
      </c>
      <c r="C80" s="17" t="s">
        <v>2861</v>
      </c>
      <c r="D80" s="17" t="s">
        <v>2729</v>
      </c>
      <c r="E80" s="17" t="s">
        <v>2726</v>
      </c>
      <c r="F80" s="17">
        <v>100.0</v>
      </c>
      <c r="G80" s="17">
        <v>123.0</v>
      </c>
      <c r="H80" s="17">
        <v>75.0</v>
      </c>
      <c r="I80" s="17">
        <v>57.0</v>
      </c>
      <c r="J80" s="17">
        <v>75.0</v>
      </c>
      <c r="K80" s="17">
        <v>80.0</v>
      </c>
      <c r="L80" s="29">
        <f t="shared" si="2"/>
        <v>510</v>
      </c>
    </row>
    <row r="81" ht="23.25" customHeight="1">
      <c r="A81" s="17" t="s">
        <v>2862</v>
      </c>
      <c r="B81" s="17" t="str">
        <f t="shared" si="1"/>
        <v/>
      </c>
      <c r="C81" s="17" t="s">
        <v>2863</v>
      </c>
      <c r="D81" s="17" t="s">
        <v>2744</v>
      </c>
      <c r="E81" s="17" t="s">
        <v>2726</v>
      </c>
      <c r="F81" s="17">
        <v>50.0</v>
      </c>
      <c r="G81" s="17">
        <v>46.0</v>
      </c>
      <c r="H81" s="17">
        <v>69.0</v>
      </c>
      <c r="I81" s="17">
        <v>60.0</v>
      </c>
      <c r="J81" s="17">
        <v>50.0</v>
      </c>
      <c r="K81" s="17">
        <v>75.0</v>
      </c>
      <c r="L81" s="29">
        <f t="shared" si="2"/>
        <v>350</v>
      </c>
    </row>
    <row r="82" ht="23.25" customHeight="1">
      <c r="A82" s="17" t="s">
        <v>2864</v>
      </c>
      <c r="B82" s="17" t="str">
        <f t="shared" si="1"/>
        <v/>
      </c>
      <c r="C82" s="17" t="s">
        <v>1920</v>
      </c>
      <c r="D82" s="17" t="s">
        <v>2711</v>
      </c>
      <c r="E82" s="17" t="s">
        <v>2773</v>
      </c>
      <c r="F82" s="17">
        <v>60.0</v>
      </c>
      <c r="G82" s="17">
        <v>130.0</v>
      </c>
      <c r="H82" s="17">
        <v>80.0</v>
      </c>
      <c r="I82" s="17">
        <v>60.0</v>
      </c>
      <c r="J82" s="17">
        <v>60.0</v>
      </c>
      <c r="K82" s="17">
        <v>70.0</v>
      </c>
      <c r="L82" s="29">
        <f t="shared" si="2"/>
        <v>460</v>
      </c>
    </row>
    <row r="83" ht="23.25" customHeight="1">
      <c r="A83" s="17" t="s">
        <v>2865</v>
      </c>
      <c r="B83" s="17" t="str">
        <f t="shared" si="1"/>
        <v/>
      </c>
      <c r="C83" s="17" t="s">
        <v>2866</v>
      </c>
      <c r="D83" s="17" t="s">
        <v>2736</v>
      </c>
      <c r="E83" s="17"/>
      <c r="F83" s="17">
        <v>60.0</v>
      </c>
      <c r="G83" s="17">
        <v>69.0</v>
      </c>
      <c r="H83" s="17">
        <v>69.0</v>
      </c>
      <c r="I83" s="17">
        <v>91.0</v>
      </c>
      <c r="J83" s="17">
        <v>81.0</v>
      </c>
      <c r="K83" s="17">
        <v>50.0</v>
      </c>
      <c r="L83" s="29">
        <f t="shared" si="2"/>
        <v>420</v>
      </c>
    </row>
    <row r="84" ht="23.25" customHeight="1">
      <c r="A84" s="17" t="s">
        <v>2867</v>
      </c>
      <c r="B84" s="17" t="str">
        <f t="shared" si="1"/>
        <v/>
      </c>
      <c r="C84" s="17" t="s">
        <v>893</v>
      </c>
      <c r="D84" s="17" t="s">
        <v>2722</v>
      </c>
      <c r="E84" s="17" t="s">
        <v>2714</v>
      </c>
      <c r="F84" s="17">
        <v>67.0</v>
      </c>
      <c r="G84" s="17">
        <v>89.0</v>
      </c>
      <c r="H84" s="17">
        <v>116.0</v>
      </c>
      <c r="I84" s="17">
        <v>79.0</v>
      </c>
      <c r="J84" s="17">
        <v>116.0</v>
      </c>
      <c r="K84" s="17">
        <v>33.0</v>
      </c>
      <c r="L84" s="29">
        <f t="shared" si="2"/>
        <v>500</v>
      </c>
    </row>
    <row r="85" ht="23.25" customHeight="1">
      <c r="A85" s="17" t="s">
        <v>2868</v>
      </c>
      <c r="B85" s="17" t="str">
        <f t="shared" si="1"/>
        <v/>
      </c>
      <c r="C85" s="17" t="s">
        <v>160</v>
      </c>
      <c r="D85" s="17" t="s">
        <v>2722</v>
      </c>
      <c r="E85" s="17" t="s">
        <v>2714</v>
      </c>
      <c r="F85" s="17">
        <v>57.0</v>
      </c>
      <c r="G85" s="17">
        <v>24.0</v>
      </c>
      <c r="H85" s="17">
        <v>86.0</v>
      </c>
      <c r="I85" s="17">
        <v>24.0</v>
      </c>
      <c r="J85" s="17">
        <v>86.0</v>
      </c>
      <c r="K85" s="17">
        <v>23.0</v>
      </c>
      <c r="L85" s="29">
        <f t="shared" si="2"/>
        <v>300</v>
      </c>
    </row>
    <row r="86" ht="23.25" customHeight="1">
      <c r="A86" s="17" t="s">
        <v>2869</v>
      </c>
      <c r="B86" s="17" t="str">
        <f t="shared" si="1"/>
        <v/>
      </c>
      <c r="C86" s="17" t="s">
        <v>2870</v>
      </c>
      <c r="D86" s="17" t="s">
        <v>2736</v>
      </c>
      <c r="E86" s="17" t="s">
        <v>2714</v>
      </c>
      <c r="F86" s="17">
        <v>68.0</v>
      </c>
      <c r="G86" s="17">
        <v>105.0</v>
      </c>
      <c r="H86" s="17">
        <v>70.0</v>
      </c>
      <c r="I86" s="17">
        <v>70.0</v>
      </c>
      <c r="J86" s="17">
        <v>70.0</v>
      </c>
      <c r="K86" s="17">
        <v>92.0</v>
      </c>
      <c r="L86" s="29">
        <f t="shared" si="2"/>
        <v>475</v>
      </c>
    </row>
    <row r="87" ht="23.25" customHeight="1">
      <c r="A87" s="17" t="s">
        <v>2871</v>
      </c>
      <c r="B87" s="17" t="str">
        <f t="shared" si="1"/>
        <v/>
      </c>
      <c r="C87" s="17" t="s">
        <v>49</v>
      </c>
      <c r="D87" s="17" t="s">
        <v>2711</v>
      </c>
      <c r="E87" s="17" t="s">
        <v>2744</v>
      </c>
      <c r="F87" s="17">
        <v>40.0</v>
      </c>
      <c r="G87" s="17">
        <v>30.0</v>
      </c>
      <c r="H87" s="17">
        <v>35.0</v>
      </c>
      <c r="I87" s="17">
        <v>50.0</v>
      </c>
      <c r="J87" s="17">
        <v>70.0</v>
      </c>
      <c r="K87" s="17">
        <v>55.0</v>
      </c>
      <c r="L87" s="29">
        <f t="shared" si="2"/>
        <v>280</v>
      </c>
    </row>
    <row r="88" ht="23.25" customHeight="1">
      <c r="A88" s="17" t="s">
        <v>2872</v>
      </c>
      <c r="B88" s="17" t="str">
        <f t="shared" si="1"/>
        <v/>
      </c>
      <c r="C88" s="17" t="s">
        <v>271</v>
      </c>
      <c r="D88" s="17" t="s">
        <v>2736</v>
      </c>
      <c r="E88" s="17"/>
      <c r="F88" s="17">
        <v>55.0</v>
      </c>
      <c r="G88" s="17">
        <v>65.0</v>
      </c>
      <c r="H88" s="17">
        <v>35.0</v>
      </c>
      <c r="I88" s="17">
        <v>60.0</v>
      </c>
      <c r="J88" s="17">
        <v>30.0</v>
      </c>
      <c r="K88" s="17">
        <v>85.0</v>
      </c>
      <c r="L88" s="29">
        <f t="shared" si="2"/>
        <v>330</v>
      </c>
    </row>
    <row r="89" ht="23.25" customHeight="1">
      <c r="A89" s="17" t="s">
        <v>2873</v>
      </c>
      <c r="B89" s="17" t="str">
        <f t="shared" si="1"/>
        <v/>
      </c>
      <c r="C89" s="17" t="s">
        <v>2874</v>
      </c>
      <c r="D89" s="17" t="s">
        <v>2711</v>
      </c>
      <c r="E89" s="17" t="s">
        <v>2744</v>
      </c>
      <c r="F89" s="17">
        <v>45.0</v>
      </c>
      <c r="G89" s="17">
        <v>49.0</v>
      </c>
      <c r="H89" s="17">
        <v>49.0</v>
      </c>
      <c r="I89" s="17">
        <v>65.0</v>
      </c>
      <c r="J89" s="17">
        <v>65.0</v>
      </c>
      <c r="K89" s="17">
        <v>45.0</v>
      </c>
      <c r="L89" s="29">
        <f t="shared" si="2"/>
        <v>318</v>
      </c>
    </row>
    <row r="90" ht="23.25" customHeight="1">
      <c r="A90" s="17" t="s">
        <v>2875</v>
      </c>
      <c r="B90" s="17" t="str">
        <f t="shared" si="1"/>
        <v/>
      </c>
      <c r="C90" s="17" t="s">
        <v>336</v>
      </c>
      <c r="D90" s="17" t="s">
        <v>2729</v>
      </c>
      <c r="E90" s="17"/>
      <c r="F90" s="17">
        <v>55.0</v>
      </c>
      <c r="G90" s="17">
        <v>66.0</v>
      </c>
      <c r="H90" s="17">
        <v>44.0</v>
      </c>
      <c r="I90" s="17">
        <v>44.0</v>
      </c>
      <c r="J90" s="17">
        <v>56.0</v>
      </c>
      <c r="K90" s="17">
        <v>85.0</v>
      </c>
      <c r="L90" s="29">
        <f t="shared" si="2"/>
        <v>350</v>
      </c>
    </row>
    <row r="91" ht="23.25" customHeight="1">
      <c r="A91" s="17" t="s">
        <v>2876</v>
      </c>
      <c r="B91" s="17" t="str">
        <f t="shared" si="1"/>
        <v/>
      </c>
      <c r="C91" s="17" t="s">
        <v>2877</v>
      </c>
      <c r="D91" s="17" t="s">
        <v>2729</v>
      </c>
      <c r="E91" s="17"/>
      <c r="F91" s="17">
        <v>38.0</v>
      </c>
      <c r="G91" s="17">
        <v>36.0</v>
      </c>
      <c r="H91" s="17">
        <v>38.0</v>
      </c>
      <c r="I91" s="17">
        <v>32.0</v>
      </c>
      <c r="J91" s="17">
        <v>36.0</v>
      </c>
      <c r="K91" s="17">
        <v>57.0</v>
      </c>
      <c r="L91" s="29">
        <f t="shared" si="2"/>
        <v>237</v>
      </c>
    </row>
    <row r="92" ht="23.25" customHeight="1">
      <c r="A92" s="17" t="s">
        <v>2878</v>
      </c>
      <c r="B92" s="17" t="str">
        <f t="shared" si="1"/>
        <v/>
      </c>
      <c r="C92" s="17" t="s">
        <v>695</v>
      </c>
      <c r="D92" s="17" t="s">
        <v>2719</v>
      </c>
      <c r="E92" s="17"/>
      <c r="F92" s="17">
        <v>40.0</v>
      </c>
      <c r="G92" s="17">
        <v>29.0</v>
      </c>
      <c r="H92" s="17">
        <v>45.0</v>
      </c>
      <c r="I92" s="17">
        <v>29.0</v>
      </c>
      <c r="J92" s="17">
        <v>45.0</v>
      </c>
      <c r="K92" s="17">
        <v>36.0</v>
      </c>
      <c r="L92" s="29">
        <f t="shared" si="2"/>
        <v>224</v>
      </c>
    </row>
    <row r="93" ht="23.25" customHeight="1">
      <c r="A93" s="17" t="s">
        <v>2879</v>
      </c>
      <c r="B93" s="17" t="str">
        <f t="shared" si="1"/>
        <v/>
      </c>
      <c r="C93" s="17" t="s">
        <v>2880</v>
      </c>
      <c r="D93" s="17" t="s">
        <v>2719</v>
      </c>
      <c r="E93" s="17" t="s">
        <v>2726</v>
      </c>
      <c r="F93" s="17">
        <v>60.0</v>
      </c>
      <c r="G93" s="17">
        <v>45.0</v>
      </c>
      <c r="H93" s="17">
        <v>50.0</v>
      </c>
      <c r="I93" s="17">
        <v>90.0</v>
      </c>
      <c r="J93" s="17">
        <v>80.0</v>
      </c>
      <c r="K93" s="17">
        <v>70.0</v>
      </c>
      <c r="L93" s="29">
        <f t="shared" si="2"/>
        <v>395</v>
      </c>
    </row>
    <row r="94" ht="23.25" customHeight="1">
      <c r="A94" s="17" t="s">
        <v>2881</v>
      </c>
      <c r="B94" s="17" t="str">
        <f t="shared" si="1"/>
        <v/>
      </c>
      <c r="C94" s="17" t="s">
        <v>2882</v>
      </c>
      <c r="D94" s="17" t="s">
        <v>2719</v>
      </c>
      <c r="E94" s="17" t="s">
        <v>2773</v>
      </c>
      <c r="F94" s="17">
        <v>107.0</v>
      </c>
      <c r="G94" s="17">
        <v>139.0</v>
      </c>
      <c r="H94" s="17">
        <v>139.0</v>
      </c>
      <c r="I94" s="17">
        <v>53.0</v>
      </c>
      <c r="J94" s="17">
        <v>53.0</v>
      </c>
      <c r="K94" s="17">
        <v>79.0</v>
      </c>
      <c r="L94" s="29">
        <f t="shared" si="2"/>
        <v>570</v>
      </c>
    </row>
    <row r="95" ht="23.25" customHeight="1">
      <c r="A95" s="17" t="s">
        <v>2883</v>
      </c>
      <c r="B95" s="17" t="str">
        <f t="shared" si="1"/>
        <v/>
      </c>
      <c r="C95" s="17" t="s">
        <v>2884</v>
      </c>
      <c r="D95" s="17" t="s">
        <v>2711</v>
      </c>
      <c r="E95" s="17"/>
      <c r="F95" s="17">
        <v>50.0</v>
      </c>
      <c r="G95" s="17">
        <v>85.0</v>
      </c>
      <c r="H95" s="17">
        <v>40.0</v>
      </c>
      <c r="I95" s="17">
        <v>85.0</v>
      </c>
      <c r="J95" s="17">
        <v>40.0</v>
      </c>
      <c r="K95" s="17">
        <v>35.0</v>
      </c>
      <c r="L95" s="29">
        <f t="shared" si="2"/>
        <v>335</v>
      </c>
    </row>
    <row r="96" ht="23.25" customHeight="1">
      <c r="A96" s="17" t="s">
        <v>2885</v>
      </c>
      <c r="B96" s="17" t="str">
        <f t="shared" si="1"/>
        <v/>
      </c>
      <c r="C96" s="17" t="s">
        <v>1912</v>
      </c>
      <c r="D96" s="17" t="s">
        <v>2711</v>
      </c>
      <c r="E96" s="17" t="s">
        <v>2716</v>
      </c>
      <c r="F96" s="17">
        <v>70.0</v>
      </c>
      <c r="G96" s="17">
        <v>115.0</v>
      </c>
      <c r="H96" s="17">
        <v>60.0</v>
      </c>
      <c r="I96" s="17">
        <v>115.0</v>
      </c>
      <c r="J96" s="17">
        <v>60.0</v>
      </c>
      <c r="K96" s="17">
        <v>55.0</v>
      </c>
      <c r="L96" s="29">
        <f t="shared" si="2"/>
        <v>475</v>
      </c>
    </row>
    <row r="97" ht="23.25" customHeight="1">
      <c r="A97" s="17" t="s">
        <v>2886</v>
      </c>
      <c r="B97" s="17" t="str">
        <f t="shared" si="1"/>
        <v/>
      </c>
      <c r="C97" s="17" t="s">
        <v>2887</v>
      </c>
      <c r="D97" s="17" t="s">
        <v>2736</v>
      </c>
      <c r="E97" s="17" t="s">
        <v>2722</v>
      </c>
      <c r="F97" s="17">
        <v>73.0</v>
      </c>
      <c r="G97" s="17">
        <v>85.0</v>
      </c>
      <c r="H97" s="17">
        <v>65.0</v>
      </c>
      <c r="I97" s="17">
        <v>80.0</v>
      </c>
      <c r="J97" s="17">
        <v>40.0</v>
      </c>
      <c r="K97" s="17">
        <v>87.0</v>
      </c>
      <c r="L97" s="29">
        <f t="shared" si="2"/>
        <v>430</v>
      </c>
    </row>
    <row r="98" ht="23.25" customHeight="1">
      <c r="A98" s="17" t="s">
        <v>2888</v>
      </c>
      <c r="B98" s="17" t="str">
        <f t="shared" si="1"/>
        <v/>
      </c>
      <c r="C98" s="17" t="s">
        <v>2889</v>
      </c>
      <c r="D98" s="17" t="s">
        <v>2714</v>
      </c>
      <c r="E98" s="17" t="s">
        <v>2711</v>
      </c>
      <c r="F98" s="17">
        <v>100.0</v>
      </c>
      <c r="G98" s="17">
        <v>80.0</v>
      </c>
      <c r="H98" s="17">
        <v>80.0</v>
      </c>
      <c r="I98" s="17">
        <v>80.0</v>
      </c>
      <c r="J98" s="17">
        <v>80.0</v>
      </c>
      <c r="K98" s="17">
        <v>80.0</v>
      </c>
      <c r="L98" s="29">
        <f t="shared" si="2"/>
        <v>500</v>
      </c>
    </row>
    <row r="99" ht="23.25" customHeight="1">
      <c r="A99" s="17" t="s">
        <v>2890</v>
      </c>
      <c r="B99" s="17" t="str">
        <f t="shared" si="1"/>
        <v/>
      </c>
      <c r="C99" s="17" t="s">
        <v>2891</v>
      </c>
      <c r="D99" s="17" t="s">
        <v>2758</v>
      </c>
      <c r="E99" s="17" t="s">
        <v>2803</v>
      </c>
      <c r="F99" s="17">
        <v>70.0</v>
      </c>
      <c r="G99" s="17">
        <v>100.0</v>
      </c>
      <c r="H99" s="17">
        <v>70.0</v>
      </c>
      <c r="I99" s="17">
        <v>105.0</v>
      </c>
      <c r="J99" s="17">
        <v>75.0</v>
      </c>
      <c r="K99" s="17">
        <v>40.0</v>
      </c>
      <c r="L99" s="29">
        <f t="shared" si="2"/>
        <v>460</v>
      </c>
    </row>
    <row r="100" ht="23.25" customHeight="1">
      <c r="A100" s="17" t="s">
        <v>2892</v>
      </c>
      <c r="B100" s="17" t="str">
        <f t="shared" si="1"/>
        <v/>
      </c>
      <c r="C100" s="17" t="s">
        <v>2893</v>
      </c>
      <c r="D100" s="17" t="s">
        <v>2725</v>
      </c>
      <c r="E100" s="17" t="s">
        <v>2733</v>
      </c>
      <c r="F100" s="17">
        <v>50.0</v>
      </c>
      <c r="G100" s="17">
        <v>50.0</v>
      </c>
      <c r="H100" s="17">
        <v>150.0</v>
      </c>
      <c r="I100" s="17">
        <v>50.0</v>
      </c>
      <c r="J100" s="17">
        <v>150.0</v>
      </c>
      <c r="K100" s="17">
        <v>50.0</v>
      </c>
      <c r="L100" s="29">
        <f t="shared" si="2"/>
        <v>500</v>
      </c>
    </row>
    <row r="101" ht="23.25" customHeight="1">
      <c r="A101" s="17" t="s">
        <v>2894</v>
      </c>
      <c r="B101" s="17" t="str">
        <f t="shared" si="1"/>
        <v/>
      </c>
      <c r="C101" s="17" t="s">
        <v>2895</v>
      </c>
      <c r="D101" s="17" t="s">
        <v>2711</v>
      </c>
      <c r="E101" s="17" t="s">
        <v>2746</v>
      </c>
      <c r="F101" s="17">
        <v>84.0</v>
      </c>
      <c r="G101" s="17">
        <v>106.0</v>
      </c>
      <c r="H101" s="17">
        <v>82.0</v>
      </c>
      <c r="I101" s="17">
        <v>77.0</v>
      </c>
      <c r="J101" s="17">
        <v>80.0</v>
      </c>
      <c r="K101" s="17">
        <v>106.0</v>
      </c>
      <c r="L101" s="29">
        <f t="shared" si="2"/>
        <v>535</v>
      </c>
    </row>
    <row r="102" ht="23.25" customHeight="1">
      <c r="A102" s="17" t="s">
        <v>2896</v>
      </c>
      <c r="B102" s="17" t="str">
        <f t="shared" si="1"/>
        <v/>
      </c>
      <c r="C102" s="17" t="s">
        <v>2897</v>
      </c>
      <c r="D102" s="17" t="s">
        <v>2725</v>
      </c>
      <c r="E102" s="17" t="s">
        <v>2758</v>
      </c>
      <c r="F102" s="17">
        <v>80.0</v>
      </c>
      <c r="G102" s="17">
        <v>60.0</v>
      </c>
      <c r="H102" s="17">
        <v>90.0</v>
      </c>
      <c r="I102" s="17">
        <v>60.0</v>
      </c>
      <c r="J102" s="17">
        <v>70.0</v>
      </c>
      <c r="K102" s="17">
        <v>50.0</v>
      </c>
      <c r="L102" s="29">
        <f t="shared" si="2"/>
        <v>410</v>
      </c>
    </row>
    <row r="103" ht="23.25" customHeight="1">
      <c r="A103" s="17" t="s">
        <v>2898</v>
      </c>
      <c r="B103" s="17" t="str">
        <f t="shared" si="1"/>
        <v/>
      </c>
      <c r="C103" s="17" t="s">
        <v>712</v>
      </c>
      <c r="D103" s="17" t="s">
        <v>2711</v>
      </c>
      <c r="E103" s="17"/>
      <c r="F103" s="17">
        <v>74.0</v>
      </c>
      <c r="G103" s="17">
        <v>100.0</v>
      </c>
      <c r="H103" s="17">
        <v>72.0</v>
      </c>
      <c r="I103" s="17">
        <v>90.0</v>
      </c>
      <c r="J103" s="17">
        <v>72.0</v>
      </c>
      <c r="K103" s="17">
        <v>46.0</v>
      </c>
      <c r="L103" s="29">
        <f t="shared" si="2"/>
        <v>454</v>
      </c>
    </row>
    <row r="104" ht="23.25" customHeight="1">
      <c r="A104" s="17" t="s">
        <v>2899</v>
      </c>
      <c r="B104" s="17" t="str">
        <f t="shared" si="1"/>
        <v/>
      </c>
      <c r="C104" s="17" t="s">
        <v>2900</v>
      </c>
      <c r="D104" s="17" t="s">
        <v>2736</v>
      </c>
      <c r="E104" s="17" t="s">
        <v>2725</v>
      </c>
      <c r="F104" s="17">
        <v>74.0</v>
      </c>
      <c r="G104" s="17">
        <v>108.0</v>
      </c>
      <c r="H104" s="17">
        <v>133.0</v>
      </c>
      <c r="I104" s="17">
        <v>83.0</v>
      </c>
      <c r="J104" s="17">
        <v>65.0</v>
      </c>
      <c r="K104" s="17">
        <v>32.0</v>
      </c>
      <c r="L104" s="29">
        <f t="shared" si="2"/>
        <v>495</v>
      </c>
    </row>
    <row r="105" ht="23.25" customHeight="1">
      <c r="A105" s="17" t="s">
        <v>2901</v>
      </c>
      <c r="B105" s="17" t="str">
        <f t="shared" si="1"/>
        <v/>
      </c>
      <c r="C105" s="17" t="s">
        <v>1976</v>
      </c>
      <c r="D105" s="17" t="s">
        <v>2736</v>
      </c>
      <c r="E105" s="17" t="s">
        <v>2716</v>
      </c>
      <c r="F105" s="17">
        <v>45.0</v>
      </c>
      <c r="G105" s="17">
        <v>90.0</v>
      </c>
      <c r="H105" s="17">
        <v>20.0</v>
      </c>
      <c r="I105" s="17">
        <v>65.0</v>
      </c>
      <c r="J105" s="17">
        <v>20.0</v>
      </c>
      <c r="K105" s="17">
        <v>65.0</v>
      </c>
      <c r="L105" s="29">
        <f t="shared" si="2"/>
        <v>305</v>
      </c>
    </row>
    <row r="106" ht="23.25" customHeight="1">
      <c r="A106" s="17" t="s">
        <v>2902</v>
      </c>
      <c r="B106" s="17" t="str">
        <f t="shared" si="1"/>
        <v/>
      </c>
      <c r="C106" s="17" t="s">
        <v>691</v>
      </c>
      <c r="D106" s="17" t="s">
        <v>2719</v>
      </c>
      <c r="E106" s="17"/>
      <c r="F106" s="17">
        <v>50.0</v>
      </c>
      <c r="G106" s="17">
        <v>35.0</v>
      </c>
      <c r="H106" s="17">
        <v>55.0</v>
      </c>
      <c r="I106" s="17">
        <v>25.0</v>
      </c>
      <c r="J106" s="17">
        <v>25.0</v>
      </c>
      <c r="K106" s="17">
        <v>15.0</v>
      </c>
      <c r="L106" s="29">
        <f t="shared" si="2"/>
        <v>205</v>
      </c>
    </row>
    <row r="107" ht="23.25" customHeight="1">
      <c r="A107" s="17" t="s">
        <v>2903</v>
      </c>
      <c r="B107" s="17" t="str">
        <f t="shared" si="1"/>
        <v/>
      </c>
      <c r="C107" s="17" t="s">
        <v>2904</v>
      </c>
      <c r="D107" s="17" t="s">
        <v>2729</v>
      </c>
      <c r="E107" s="17"/>
      <c r="F107" s="17">
        <v>70.0</v>
      </c>
      <c r="G107" s="17">
        <v>70.0</v>
      </c>
      <c r="H107" s="17">
        <v>70.0</v>
      </c>
      <c r="I107" s="17">
        <v>70.0</v>
      </c>
      <c r="J107" s="17">
        <v>70.0</v>
      </c>
      <c r="K107" s="17">
        <v>70.0</v>
      </c>
      <c r="L107" s="29">
        <f t="shared" si="2"/>
        <v>420</v>
      </c>
    </row>
    <row r="108" ht="23.25" customHeight="1">
      <c r="A108" s="17" t="s">
        <v>2905</v>
      </c>
      <c r="B108" s="17" t="str">
        <f t="shared" si="1"/>
        <v/>
      </c>
      <c r="C108" s="17" t="s">
        <v>2906</v>
      </c>
      <c r="D108" s="17" t="s">
        <v>2719</v>
      </c>
      <c r="E108" s="17"/>
      <c r="F108" s="17">
        <v>45.0</v>
      </c>
      <c r="G108" s="17">
        <v>30.0</v>
      </c>
      <c r="H108" s="17">
        <v>35.0</v>
      </c>
      <c r="I108" s="17">
        <v>20.0</v>
      </c>
      <c r="J108" s="17">
        <v>20.0</v>
      </c>
      <c r="K108" s="17">
        <v>45.0</v>
      </c>
      <c r="L108" s="29">
        <f t="shared" si="2"/>
        <v>195</v>
      </c>
    </row>
    <row r="109" ht="23.25" customHeight="1">
      <c r="A109" s="17" t="s">
        <v>2907</v>
      </c>
      <c r="B109" s="17" t="str">
        <f t="shared" si="1"/>
        <v/>
      </c>
      <c r="C109" s="17" t="s">
        <v>2908</v>
      </c>
      <c r="D109" s="17" t="s">
        <v>2722</v>
      </c>
      <c r="E109" s="17" t="s">
        <v>2726</v>
      </c>
      <c r="F109" s="17">
        <v>35.0</v>
      </c>
      <c r="G109" s="17">
        <v>72.0</v>
      </c>
      <c r="H109" s="17">
        <v>85.0</v>
      </c>
      <c r="I109" s="17">
        <v>40.0</v>
      </c>
      <c r="J109" s="17">
        <v>55.0</v>
      </c>
      <c r="K109" s="17">
        <v>88.0</v>
      </c>
      <c r="L109" s="29">
        <f t="shared" si="2"/>
        <v>375</v>
      </c>
    </row>
    <row r="110" ht="23.25" customHeight="1">
      <c r="A110" s="17" t="s">
        <v>2909</v>
      </c>
      <c r="B110" s="17" t="str">
        <f t="shared" si="1"/>
        <v/>
      </c>
      <c r="C110" s="17" t="s">
        <v>2910</v>
      </c>
      <c r="D110" s="17" t="s">
        <v>2722</v>
      </c>
      <c r="E110" s="17" t="s">
        <v>2726</v>
      </c>
      <c r="F110" s="17">
        <v>50.0</v>
      </c>
      <c r="G110" s="17">
        <v>92.0</v>
      </c>
      <c r="H110" s="17">
        <v>130.0</v>
      </c>
      <c r="I110" s="17">
        <v>65.0</v>
      </c>
      <c r="J110" s="17">
        <v>75.0</v>
      </c>
      <c r="K110" s="17">
        <v>118.0</v>
      </c>
      <c r="L110" s="29">
        <f t="shared" si="2"/>
        <v>530</v>
      </c>
    </row>
    <row r="111" ht="23.25" customHeight="1">
      <c r="A111" s="17" t="s">
        <v>2911</v>
      </c>
      <c r="B111" s="17" t="str">
        <f t="shared" si="1"/>
        <v/>
      </c>
      <c r="C111" s="17" t="s">
        <v>2912</v>
      </c>
      <c r="D111" s="17" t="s">
        <v>2714</v>
      </c>
      <c r="E111" s="17" t="s">
        <v>2711</v>
      </c>
      <c r="F111" s="17">
        <v>100.0</v>
      </c>
      <c r="G111" s="17">
        <v>100.0</v>
      </c>
      <c r="H111" s="17">
        <v>100.0</v>
      </c>
      <c r="I111" s="17">
        <v>100.0</v>
      </c>
      <c r="J111" s="17">
        <v>100.0</v>
      </c>
      <c r="K111" s="17">
        <v>100.0</v>
      </c>
      <c r="L111" s="29">
        <f t="shared" si="2"/>
        <v>600</v>
      </c>
    </row>
    <row r="112" ht="23.25" customHeight="1">
      <c r="A112" s="17" t="s">
        <v>2913</v>
      </c>
      <c r="B112" s="17" t="str">
        <f t="shared" si="1"/>
        <v/>
      </c>
      <c r="C112" s="17" t="s">
        <v>2914</v>
      </c>
      <c r="D112" s="17" t="s">
        <v>2722</v>
      </c>
      <c r="E112" s="17" t="s">
        <v>2726</v>
      </c>
      <c r="F112" s="17">
        <v>97.0</v>
      </c>
      <c r="G112" s="17">
        <v>101.0</v>
      </c>
      <c r="H112" s="17">
        <v>103.0</v>
      </c>
      <c r="I112" s="17">
        <v>107.0</v>
      </c>
      <c r="J112" s="17">
        <v>101.0</v>
      </c>
      <c r="K112" s="17">
        <v>61.0</v>
      </c>
      <c r="L112" s="29">
        <f t="shared" si="2"/>
        <v>570</v>
      </c>
    </row>
    <row r="113" ht="23.25" customHeight="1">
      <c r="A113" s="17" t="s">
        <v>2915</v>
      </c>
      <c r="B113" s="17" t="str">
        <f t="shared" si="1"/>
        <v/>
      </c>
      <c r="C113" s="17" t="s">
        <v>2916</v>
      </c>
      <c r="D113" s="17" t="s">
        <v>2758</v>
      </c>
      <c r="E113" s="17" t="s">
        <v>2719</v>
      </c>
      <c r="F113" s="17">
        <v>100.0</v>
      </c>
      <c r="G113" s="17">
        <v>115.0</v>
      </c>
      <c r="H113" s="17">
        <v>65.0</v>
      </c>
      <c r="I113" s="17">
        <v>90.0</v>
      </c>
      <c r="J113" s="17">
        <v>90.0</v>
      </c>
      <c r="K113" s="17">
        <v>65.0</v>
      </c>
      <c r="L113" s="29">
        <f t="shared" si="2"/>
        <v>525</v>
      </c>
    </row>
    <row r="114" ht="23.25" customHeight="1">
      <c r="A114" s="17" t="s">
        <v>2917</v>
      </c>
      <c r="B114" s="17" t="str">
        <f t="shared" si="1"/>
        <v/>
      </c>
      <c r="C114" s="17" t="s">
        <v>2918</v>
      </c>
      <c r="D114" s="17" t="s">
        <v>2723</v>
      </c>
      <c r="E114" s="17" t="s">
        <v>2758</v>
      </c>
      <c r="F114" s="17">
        <v>60.0</v>
      </c>
      <c r="G114" s="17">
        <v>55.0</v>
      </c>
      <c r="H114" s="17">
        <v>90.0</v>
      </c>
      <c r="I114" s="17">
        <v>145.0</v>
      </c>
      <c r="J114" s="17">
        <v>90.0</v>
      </c>
      <c r="K114" s="17">
        <v>80.0</v>
      </c>
      <c r="L114" s="29">
        <f t="shared" si="2"/>
        <v>520</v>
      </c>
    </row>
    <row r="115" ht="23.25" customHeight="1">
      <c r="A115" s="17" t="s">
        <v>2919</v>
      </c>
      <c r="B115" s="17" t="str">
        <f t="shared" si="1"/>
        <v/>
      </c>
      <c r="C115" s="17" t="s">
        <v>1832</v>
      </c>
      <c r="D115" s="17" t="s">
        <v>2729</v>
      </c>
      <c r="E115" s="17"/>
      <c r="F115" s="17">
        <v>250.0</v>
      </c>
      <c r="G115" s="17">
        <v>5.0</v>
      </c>
      <c r="H115" s="17">
        <v>5.0</v>
      </c>
      <c r="I115" s="17">
        <v>35.0</v>
      </c>
      <c r="J115" s="17">
        <v>105.0</v>
      </c>
      <c r="K115" s="17">
        <v>50.0</v>
      </c>
      <c r="L115" s="29">
        <f t="shared" si="2"/>
        <v>450</v>
      </c>
    </row>
    <row r="116" ht="23.25" customHeight="1">
      <c r="A116" s="17" t="s">
        <v>2920</v>
      </c>
      <c r="B116" s="17" t="str">
        <f t="shared" si="1"/>
        <v/>
      </c>
      <c r="C116" s="17" t="s">
        <v>2921</v>
      </c>
      <c r="D116" s="17" t="s">
        <v>2758</v>
      </c>
      <c r="E116" s="17" t="s">
        <v>2726</v>
      </c>
      <c r="F116" s="17">
        <v>78.0</v>
      </c>
      <c r="G116" s="17">
        <v>84.0</v>
      </c>
      <c r="H116" s="17">
        <v>78.0</v>
      </c>
      <c r="I116" s="17">
        <v>109.0</v>
      </c>
      <c r="J116" s="17">
        <v>85.0</v>
      </c>
      <c r="K116" s="17">
        <v>100.0</v>
      </c>
      <c r="L116" s="29">
        <f t="shared" si="2"/>
        <v>534</v>
      </c>
    </row>
    <row r="117" ht="23.25" customHeight="1">
      <c r="A117" s="17" t="s">
        <v>2922</v>
      </c>
      <c r="B117" s="17" t="str">
        <f t="shared" si="1"/>
        <v/>
      </c>
      <c r="C117" s="17" t="s">
        <v>2923</v>
      </c>
      <c r="D117" s="17" t="s">
        <v>2719</v>
      </c>
      <c r="E117" s="17" t="s">
        <v>2746</v>
      </c>
      <c r="F117" s="17">
        <v>57.0</v>
      </c>
      <c r="G117" s="17">
        <v>82.0</v>
      </c>
      <c r="H117" s="17">
        <v>95.0</v>
      </c>
      <c r="I117" s="17">
        <v>55.0</v>
      </c>
      <c r="J117" s="17">
        <v>75.0</v>
      </c>
      <c r="K117" s="17">
        <v>36.0</v>
      </c>
      <c r="L117" s="29">
        <f t="shared" si="2"/>
        <v>400</v>
      </c>
    </row>
    <row r="118" ht="23.25" customHeight="1">
      <c r="A118" s="17" t="s">
        <v>2924</v>
      </c>
      <c r="B118" s="17" t="str">
        <f t="shared" si="1"/>
        <v/>
      </c>
      <c r="C118" s="17" t="s">
        <v>2925</v>
      </c>
      <c r="D118" s="17" t="s">
        <v>2758</v>
      </c>
      <c r="E118" s="17"/>
      <c r="F118" s="17">
        <v>39.0</v>
      </c>
      <c r="G118" s="17">
        <v>52.0</v>
      </c>
      <c r="H118" s="17">
        <v>43.0</v>
      </c>
      <c r="I118" s="17">
        <v>60.0</v>
      </c>
      <c r="J118" s="17">
        <v>50.0</v>
      </c>
      <c r="K118" s="17">
        <v>65.0</v>
      </c>
      <c r="L118" s="29">
        <f t="shared" si="2"/>
        <v>309</v>
      </c>
    </row>
    <row r="119" ht="23.25" customHeight="1">
      <c r="A119" s="17" t="s">
        <v>2926</v>
      </c>
      <c r="B119" s="17" t="str">
        <f t="shared" si="1"/>
        <v/>
      </c>
      <c r="C119" s="17" t="s">
        <v>2927</v>
      </c>
      <c r="D119" s="17" t="s">
        <v>2758</v>
      </c>
      <c r="E119" s="17"/>
      <c r="F119" s="17">
        <v>58.0</v>
      </c>
      <c r="G119" s="17">
        <v>64.0</v>
      </c>
      <c r="H119" s="17">
        <v>58.0</v>
      </c>
      <c r="I119" s="17">
        <v>80.0</v>
      </c>
      <c r="J119" s="17">
        <v>65.0</v>
      </c>
      <c r="K119" s="17">
        <v>80.0</v>
      </c>
      <c r="L119" s="29">
        <f t="shared" si="2"/>
        <v>405</v>
      </c>
    </row>
    <row r="120" ht="23.25" customHeight="1">
      <c r="A120" s="17" t="s">
        <v>2928</v>
      </c>
      <c r="B120" s="17" t="str">
        <f t="shared" si="1"/>
        <v/>
      </c>
      <c r="C120" s="17" t="s">
        <v>341</v>
      </c>
      <c r="D120" s="17" t="s">
        <v>2729</v>
      </c>
      <c r="E120" s="17" t="s">
        <v>2726</v>
      </c>
      <c r="F120" s="17">
        <v>76.0</v>
      </c>
      <c r="G120" s="17">
        <v>65.0</v>
      </c>
      <c r="H120" s="17">
        <v>45.0</v>
      </c>
      <c r="I120" s="17">
        <v>92.0</v>
      </c>
      <c r="J120" s="17">
        <v>42.0</v>
      </c>
      <c r="K120" s="17">
        <v>91.0</v>
      </c>
      <c r="L120" s="29">
        <f t="shared" si="2"/>
        <v>411</v>
      </c>
    </row>
    <row r="121" ht="23.25" customHeight="1">
      <c r="A121" s="17" t="s">
        <v>2929</v>
      </c>
      <c r="B121" s="17" t="str">
        <f t="shared" si="1"/>
        <v/>
      </c>
      <c r="C121" s="17" t="s">
        <v>600</v>
      </c>
      <c r="D121" s="17" t="s">
        <v>2711</v>
      </c>
      <c r="E121" s="17"/>
      <c r="F121" s="17">
        <v>70.0</v>
      </c>
      <c r="G121" s="17">
        <v>60.0</v>
      </c>
      <c r="H121" s="17">
        <v>70.0</v>
      </c>
      <c r="I121" s="17">
        <v>87.0</v>
      </c>
      <c r="J121" s="17">
        <v>78.0</v>
      </c>
      <c r="K121" s="17">
        <v>85.0</v>
      </c>
      <c r="L121" s="29">
        <f t="shared" si="2"/>
        <v>450</v>
      </c>
    </row>
    <row r="122" ht="23.25" customHeight="1">
      <c r="A122" s="17" t="s">
        <v>2930</v>
      </c>
      <c r="B122" s="17" t="str">
        <f t="shared" si="1"/>
        <v/>
      </c>
      <c r="C122" s="17" t="s">
        <v>65</v>
      </c>
      <c r="D122" s="17" t="s">
        <v>2711</v>
      </c>
      <c r="E122" s="17"/>
      <c r="F122" s="17">
        <v>45.0</v>
      </c>
      <c r="G122" s="17">
        <v>35.0</v>
      </c>
      <c r="H122" s="17">
        <v>45.0</v>
      </c>
      <c r="I122" s="17">
        <v>62.0</v>
      </c>
      <c r="J122" s="17">
        <v>53.0</v>
      </c>
      <c r="K122" s="17">
        <v>35.0</v>
      </c>
      <c r="L122" s="29">
        <f t="shared" si="2"/>
        <v>275</v>
      </c>
    </row>
    <row r="123" ht="23.25" customHeight="1">
      <c r="A123" s="17" t="s">
        <v>2931</v>
      </c>
      <c r="B123" s="17" t="str">
        <f t="shared" si="1"/>
        <v/>
      </c>
      <c r="C123" s="17" t="s">
        <v>2932</v>
      </c>
      <c r="D123" s="17" t="s">
        <v>2711</v>
      </c>
      <c r="E123" s="17" t="s">
        <v>2773</v>
      </c>
      <c r="F123" s="17">
        <v>88.0</v>
      </c>
      <c r="G123" s="17">
        <v>107.0</v>
      </c>
      <c r="H123" s="17">
        <v>122.0</v>
      </c>
      <c r="I123" s="17">
        <v>74.0</v>
      </c>
      <c r="J123" s="17">
        <v>75.0</v>
      </c>
      <c r="K123" s="17">
        <v>64.0</v>
      </c>
      <c r="L123" s="29">
        <f t="shared" si="2"/>
        <v>530</v>
      </c>
    </row>
    <row r="124" ht="23.25" customHeight="1">
      <c r="A124" s="17" t="s">
        <v>2933</v>
      </c>
      <c r="B124" s="17" t="str">
        <f t="shared" si="1"/>
        <v/>
      </c>
      <c r="C124" s="17" t="s">
        <v>2934</v>
      </c>
      <c r="D124" s="17" t="s">
        <v>2711</v>
      </c>
      <c r="E124" s="17"/>
      <c r="F124" s="17">
        <v>56.0</v>
      </c>
      <c r="G124" s="17">
        <v>61.0</v>
      </c>
      <c r="H124" s="17">
        <v>65.0</v>
      </c>
      <c r="I124" s="17">
        <v>48.0</v>
      </c>
      <c r="J124" s="17">
        <v>45.0</v>
      </c>
      <c r="K124" s="17">
        <v>38.0</v>
      </c>
      <c r="L124" s="29">
        <f t="shared" si="2"/>
        <v>313</v>
      </c>
    </row>
    <row r="125" ht="23.25" customHeight="1">
      <c r="A125" s="17" t="s">
        <v>2935</v>
      </c>
      <c r="B125" s="17" t="str">
        <f t="shared" si="1"/>
        <v/>
      </c>
      <c r="C125" s="17" t="s">
        <v>2936</v>
      </c>
      <c r="D125" s="17" t="s">
        <v>2736</v>
      </c>
      <c r="E125" s="17"/>
      <c r="F125" s="17">
        <v>50.0</v>
      </c>
      <c r="G125" s="17">
        <v>64.0</v>
      </c>
      <c r="H125" s="17">
        <v>50.0</v>
      </c>
      <c r="I125" s="17">
        <v>38.0</v>
      </c>
      <c r="J125" s="17">
        <v>38.0</v>
      </c>
      <c r="K125" s="17">
        <v>44.0</v>
      </c>
      <c r="L125" s="29">
        <f t="shared" si="2"/>
        <v>284</v>
      </c>
    </row>
    <row r="126" ht="23.25" customHeight="1">
      <c r="A126" s="17" t="s">
        <v>2937</v>
      </c>
      <c r="B126" s="17" t="str">
        <f t="shared" si="1"/>
        <v/>
      </c>
      <c r="C126" s="17" t="s">
        <v>2938</v>
      </c>
      <c r="D126" s="17" t="s">
        <v>2711</v>
      </c>
      <c r="E126" s="17"/>
      <c r="F126" s="17">
        <v>45.0</v>
      </c>
      <c r="G126" s="17">
        <v>49.0</v>
      </c>
      <c r="H126" s="17">
        <v>65.0</v>
      </c>
      <c r="I126" s="17">
        <v>49.0</v>
      </c>
      <c r="J126" s="17">
        <v>65.0</v>
      </c>
      <c r="K126" s="17">
        <v>45.0</v>
      </c>
      <c r="L126" s="29">
        <f t="shared" si="2"/>
        <v>318</v>
      </c>
    </row>
    <row r="127" ht="23.25" customHeight="1">
      <c r="A127" s="17" t="s">
        <v>2939</v>
      </c>
      <c r="B127" s="17" t="str">
        <f t="shared" si="1"/>
        <v/>
      </c>
      <c r="C127" s="17" t="s">
        <v>144</v>
      </c>
      <c r="D127" s="17" t="s">
        <v>2758</v>
      </c>
      <c r="E127" s="17"/>
      <c r="F127" s="17">
        <v>44.0</v>
      </c>
      <c r="G127" s="17">
        <v>58.0</v>
      </c>
      <c r="H127" s="17">
        <v>44.0</v>
      </c>
      <c r="I127" s="17">
        <v>58.0</v>
      </c>
      <c r="J127" s="17">
        <v>44.0</v>
      </c>
      <c r="K127" s="17">
        <v>61.0</v>
      </c>
      <c r="L127" s="29">
        <f t="shared" si="2"/>
        <v>309</v>
      </c>
    </row>
    <row r="128" ht="23.25" customHeight="1">
      <c r="A128" s="17" t="s">
        <v>2940</v>
      </c>
      <c r="B128" s="17" t="str">
        <f t="shared" si="1"/>
        <v/>
      </c>
      <c r="C128" s="17" t="s">
        <v>774</v>
      </c>
      <c r="D128" s="17" t="s">
        <v>2714</v>
      </c>
      <c r="E128" s="17"/>
      <c r="F128" s="17">
        <v>75.0</v>
      </c>
      <c r="G128" s="17">
        <v>50.0</v>
      </c>
      <c r="H128" s="17">
        <v>80.0</v>
      </c>
      <c r="I128" s="17">
        <v>95.0</v>
      </c>
      <c r="J128" s="17">
        <v>90.0</v>
      </c>
      <c r="K128" s="17">
        <v>65.0</v>
      </c>
      <c r="L128" s="29">
        <f t="shared" si="2"/>
        <v>455</v>
      </c>
    </row>
    <row r="129" ht="23.25" customHeight="1">
      <c r="A129" s="17" t="s">
        <v>2941</v>
      </c>
      <c r="B129" s="17" t="str">
        <f t="shared" si="1"/>
        <v/>
      </c>
      <c r="C129" s="17" t="s">
        <v>1969</v>
      </c>
      <c r="D129" s="17" t="s">
        <v>2736</v>
      </c>
      <c r="E129" s="17" t="s">
        <v>2746</v>
      </c>
      <c r="F129" s="17">
        <v>75.0</v>
      </c>
      <c r="G129" s="17">
        <v>38.0</v>
      </c>
      <c r="H129" s="17">
        <v>38.0</v>
      </c>
      <c r="I129" s="17">
        <v>56.0</v>
      </c>
      <c r="J129" s="17">
        <v>56.0</v>
      </c>
      <c r="K129" s="17">
        <v>67.0</v>
      </c>
      <c r="L129" s="29">
        <f t="shared" si="2"/>
        <v>330</v>
      </c>
    </row>
    <row r="130" ht="23.25" customHeight="1">
      <c r="A130" s="17" t="s">
        <v>2942</v>
      </c>
      <c r="B130" s="17" t="str">
        <f t="shared" si="1"/>
        <v/>
      </c>
      <c r="C130" s="17" t="s">
        <v>772</v>
      </c>
      <c r="D130" s="17" t="s">
        <v>2714</v>
      </c>
      <c r="E130" s="17"/>
      <c r="F130" s="17">
        <v>45.0</v>
      </c>
      <c r="G130" s="17">
        <v>30.0</v>
      </c>
      <c r="H130" s="17">
        <v>50.0</v>
      </c>
      <c r="I130" s="17">
        <v>65.0</v>
      </c>
      <c r="J130" s="17">
        <v>50.0</v>
      </c>
      <c r="K130" s="17">
        <v>45.0</v>
      </c>
      <c r="L130" s="29">
        <f t="shared" si="2"/>
        <v>285</v>
      </c>
    </row>
    <row r="131" ht="23.25" customHeight="1">
      <c r="A131" s="17" t="s">
        <v>2943</v>
      </c>
      <c r="B131" s="17" t="str">
        <f t="shared" si="1"/>
        <v/>
      </c>
      <c r="C131" s="17" t="s">
        <v>2944</v>
      </c>
      <c r="D131" s="17" t="s">
        <v>2729</v>
      </c>
      <c r="E131" s="17"/>
      <c r="F131" s="17">
        <v>75.0</v>
      </c>
      <c r="G131" s="17">
        <v>95.0</v>
      </c>
      <c r="H131" s="17">
        <v>60.0</v>
      </c>
      <c r="I131" s="17">
        <v>65.0</v>
      </c>
      <c r="J131" s="17">
        <v>60.0</v>
      </c>
      <c r="K131" s="17">
        <v>115.0</v>
      </c>
      <c r="L131" s="29">
        <f t="shared" si="2"/>
        <v>470</v>
      </c>
    </row>
    <row r="132" ht="23.25" customHeight="1">
      <c r="A132" s="17" t="s">
        <v>2945</v>
      </c>
      <c r="B132" s="17" t="str">
        <f t="shared" si="1"/>
        <v/>
      </c>
      <c r="C132" s="17" t="s">
        <v>2946</v>
      </c>
      <c r="D132" s="17" t="s">
        <v>2758</v>
      </c>
      <c r="E132" s="17"/>
      <c r="F132" s="17">
        <v>80.0</v>
      </c>
      <c r="G132" s="17">
        <v>116.0</v>
      </c>
      <c r="H132" s="17">
        <v>75.0</v>
      </c>
      <c r="I132" s="17">
        <v>65.0</v>
      </c>
      <c r="J132" s="17">
        <v>75.0</v>
      </c>
      <c r="K132" s="17">
        <v>119.0</v>
      </c>
      <c r="L132" s="29">
        <f t="shared" si="2"/>
        <v>530</v>
      </c>
    </row>
    <row r="133" ht="23.25" customHeight="1">
      <c r="A133" s="17" t="s">
        <v>2947</v>
      </c>
      <c r="B133" s="17" t="str">
        <f t="shared" si="1"/>
        <v/>
      </c>
      <c r="C133" s="17" t="s">
        <v>2948</v>
      </c>
      <c r="D133" s="17" t="s">
        <v>2736</v>
      </c>
      <c r="E133" s="17"/>
      <c r="F133" s="17">
        <v>35.0</v>
      </c>
      <c r="G133" s="17">
        <v>64.0</v>
      </c>
      <c r="H133" s="17">
        <v>85.0</v>
      </c>
      <c r="I133" s="17">
        <v>74.0</v>
      </c>
      <c r="J133" s="17">
        <v>55.0</v>
      </c>
      <c r="K133" s="17">
        <v>32.0</v>
      </c>
      <c r="L133" s="29">
        <f t="shared" si="2"/>
        <v>345</v>
      </c>
    </row>
    <row r="134" ht="23.25" customHeight="1">
      <c r="A134" s="17" t="s">
        <v>2949</v>
      </c>
      <c r="B134" s="17" t="str">
        <f t="shared" si="1"/>
        <v/>
      </c>
      <c r="C134" s="17" t="s">
        <v>2950</v>
      </c>
      <c r="D134" s="17" t="s">
        <v>2736</v>
      </c>
      <c r="E134" s="17"/>
      <c r="F134" s="17">
        <v>50.0</v>
      </c>
      <c r="G134" s="17">
        <v>53.0</v>
      </c>
      <c r="H134" s="17">
        <v>62.0</v>
      </c>
      <c r="I134" s="17">
        <v>58.0</v>
      </c>
      <c r="J134" s="17">
        <v>63.0</v>
      </c>
      <c r="K134" s="17">
        <v>44.0</v>
      </c>
      <c r="L134" s="29">
        <f t="shared" si="2"/>
        <v>330</v>
      </c>
    </row>
    <row r="135" ht="23.25" customHeight="1">
      <c r="A135" s="17" t="s">
        <v>2951</v>
      </c>
      <c r="B135" s="17" t="str">
        <f t="shared" si="1"/>
        <v/>
      </c>
      <c r="C135" s="17" t="s">
        <v>2952</v>
      </c>
      <c r="D135" s="17" t="s">
        <v>2736</v>
      </c>
      <c r="E135" s="17"/>
      <c r="F135" s="17">
        <v>71.0</v>
      </c>
      <c r="G135" s="17">
        <v>73.0</v>
      </c>
      <c r="H135" s="17">
        <v>88.0</v>
      </c>
      <c r="I135" s="17">
        <v>120.0</v>
      </c>
      <c r="J135" s="17">
        <v>89.0</v>
      </c>
      <c r="K135" s="17">
        <v>59.0</v>
      </c>
      <c r="L135" s="29">
        <f t="shared" si="2"/>
        <v>500</v>
      </c>
    </row>
    <row r="136" ht="23.25" customHeight="1">
      <c r="A136" s="17" t="s">
        <v>2953</v>
      </c>
      <c r="B136" s="17" t="str">
        <f t="shared" si="1"/>
        <v/>
      </c>
      <c r="C136" s="17" t="s">
        <v>2024</v>
      </c>
      <c r="D136" s="17" t="s">
        <v>2803</v>
      </c>
      <c r="E136" s="17" t="s">
        <v>2714</v>
      </c>
      <c r="F136" s="17">
        <v>60.0</v>
      </c>
      <c r="G136" s="17">
        <v>70.0</v>
      </c>
      <c r="H136" s="17">
        <v>105.0</v>
      </c>
      <c r="I136" s="17">
        <v>70.0</v>
      </c>
      <c r="J136" s="17">
        <v>120.0</v>
      </c>
      <c r="K136" s="17">
        <v>75.0</v>
      </c>
      <c r="L136" s="29">
        <f t="shared" si="2"/>
        <v>500</v>
      </c>
    </row>
    <row r="137" ht="23.25" customHeight="1">
      <c r="A137" s="17" t="s">
        <v>2954</v>
      </c>
      <c r="B137" s="17" t="str">
        <f t="shared" si="1"/>
        <v/>
      </c>
      <c r="C137" s="17" t="s">
        <v>728</v>
      </c>
      <c r="D137" s="17" t="s">
        <v>2733</v>
      </c>
      <c r="E137" s="17"/>
      <c r="F137" s="17">
        <v>95.0</v>
      </c>
      <c r="G137" s="17">
        <v>70.0</v>
      </c>
      <c r="H137" s="17">
        <v>73.0</v>
      </c>
      <c r="I137" s="17">
        <v>95.0</v>
      </c>
      <c r="J137" s="17">
        <v>90.0</v>
      </c>
      <c r="K137" s="17">
        <v>60.0</v>
      </c>
      <c r="L137" s="29">
        <f t="shared" si="2"/>
        <v>483</v>
      </c>
    </row>
    <row r="138" ht="23.25" customHeight="1">
      <c r="A138" s="17" t="s">
        <v>2955</v>
      </c>
      <c r="B138" s="17" t="str">
        <f t="shared" si="1"/>
        <v/>
      </c>
      <c r="C138" s="17" t="s">
        <v>245</v>
      </c>
      <c r="D138" s="17" t="s">
        <v>2733</v>
      </c>
      <c r="E138" s="17"/>
      <c r="F138" s="17">
        <v>70.0</v>
      </c>
      <c r="G138" s="17">
        <v>45.0</v>
      </c>
      <c r="H138" s="17">
        <v>48.0</v>
      </c>
      <c r="I138" s="17">
        <v>60.0</v>
      </c>
      <c r="J138" s="17">
        <v>65.0</v>
      </c>
      <c r="K138" s="17">
        <v>35.0</v>
      </c>
      <c r="L138" s="29">
        <f t="shared" si="2"/>
        <v>323</v>
      </c>
    </row>
    <row r="139" ht="23.25" customHeight="1">
      <c r="A139" s="17" t="s">
        <v>2956</v>
      </c>
      <c r="B139" s="17" t="str">
        <f t="shared" si="1"/>
        <v/>
      </c>
      <c r="C139" s="17" t="s">
        <v>217</v>
      </c>
      <c r="D139" s="17" t="s">
        <v>2733</v>
      </c>
      <c r="E139" s="17"/>
      <c r="F139" s="17">
        <v>50.0</v>
      </c>
      <c r="G139" s="17">
        <v>25.0</v>
      </c>
      <c r="H139" s="17">
        <v>28.0</v>
      </c>
      <c r="I139" s="17">
        <v>45.0</v>
      </c>
      <c r="J139" s="17">
        <v>55.0</v>
      </c>
      <c r="K139" s="17">
        <v>15.0</v>
      </c>
      <c r="L139" s="29">
        <f t="shared" si="2"/>
        <v>218</v>
      </c>
    </row>
    <row r="140" ht="23.25" customHeight="1">
      <c r="A140" s="17" t="s">
        <v>2957</v>
      </c>
      <c r="B140" s="17" t="str">
        <f t="shared" si="1"/>
        <v/>
      </c>
      <c r="C140" s="17" t="s">
        <v>2958</v>
      </c>
      <c r="D140" s="17" t="s">
        <v>2773</v>
      </c>
      <c r="E140" s="17"/>
      <c r="F140" s="17">
        <v>50.0</v>
      </c>
      <c r="G140" s="17">
        <v>68.0</v>
      </c>
      <c r="H140" s="17">
        <v>60.0</v>
      </c>
      <c r="I140" s="17">
        <v>50.0</v>
      </c>
      <c r="J140" s="17">
        <v>50.0</v>
      </c>
      <c r="K140" s="17">
        <v>32.0</v>
      </c>
      <c r="L140" s="29">
        <f t="shared" si="2"/>
        <v>310</v>
      </c>
    </row>
    <row r="141" ht="23.25" customHeight="1">
      <c r="A141" s="17" t="s">
        <v>2959</v>
      </c>
      <c r="B141" s="17" t="str">
        <f t="shared" si="1"/>
        <v/>
      </c>
      <c r="C141" s="17" t="s">
        <v>2960</v>
      </c>
      <c r="D141" s="17" t="s">
        <v>2736</v>
      </c>
      <c r="E141" s="17" t="s">
        <v>2712</v>
      </c>
      <c r="F141" s="17">
        <v>50.0</v>
      </c>
      <c r="G141" s="17">
        <v>95.0</v>
      </c>
      <c r="H141" s="17">
        <v>180.0</v>
      </c>
      <c r="I141" s="17">
        <v>85.0</v>
      </c>
      <c r="J141" s="17">
        <v>45.0</v>
      </c>
      <c r="K141" s="17">
        <v>70.0</v>
      </c>
      <c r="L141" s="29">
        <f t="shared" si="2"/>
        <v>525</v>
      </c>
    </row>
    <row r="142" ht="23.25" customHeight="1">
      <c r="A142" s="17" t="s">
        <v>2961</v>
      </c>
      <c r="B142" s="17" t="str">
        <f t="shared" si="1"/>
        <v/>
      </c>
      <c r="C142" s="17" t="s">
        <v>2962</v>
      </c>
      <c r="D142" s="17" t="s">
        <v>2725</v>
      </c>
      <c r="E142" s="17" t="s">
        <v>2758</v>
      </c>
      <c r="F142" s="17">
        <v>110.0</v>
      </c>
      <c r="G142" s="17">
        <v>80.0</v>
      </c>
      <c r="H142" s="17">
        <v>120.0</v>
      </c>
      <c r="I142" s="17">
        <v>80.0</v>
      </c>
      <c r="J142" s="17">
        <v>90.0</v>
      </c>
      <c r="K142" s="17">
        <v>30.0</v>
      </c>
      <c r="L142" s="29">
        <f t="shared" si="2"/>
        <v>510</v>
      </c>
    </row>
    <row r="143" ht="23.25" customHeight="1">
      <c r="A143" s="17" t="s">
        <v>2963</v>
      </c>
      <c r="B143" s="17" t="str">
        <f t="shared" si="1"/>
        <v/>
      </c>
      <c r="C143" s="17" t="s">
        <v>2964</v>
      </c>
      <c r="D143" s="17" t="s">
        <v>2722</v>
      </c>
      <c r="E143" s="17" t="s">
        <v>2773</v>
      </c>
      <c r="F143" s="17">
        <v>91.0</v>
      </c>
      <c r="G143" s="17">
        <v>90.0</v>
      </c>
      <c r="H143" s="17">
        <v>129.0</v>
      </c>
      <c r="I143" s="17">
        <v>90.0</v>
      </c>
      <c r="J143" s="17">
        <v>72.0</v>
      </c>
      <c r="K143" s="17">
        <v>108.0</v>
      </c>
      <c r="L143" s="29">
        <f t="shared" si="2"/>
        <v>580</v>
      </c>
    </row>
    <row r="144" ht="23.25" customHeight="1">
      <c r="A144" s="17" t="s">
        <v>2965</v>
      </c>
      <c r="B144" s="17" t="str">
        <f t="shared" si="1"/>
        <v/>
      </c>
      <c r="C144" s="17" t="s">
        <v>2966</v>
      </c>
      <c r="D144" s="17" t="s">
        <v>2723</v>
      </c>
      <c r="E144" s="17"/>
      <c r="F144" s="17">
        <v>58.0</v>
      </c>
      <c r="G144" s="17">
        <v>50.0</v>
      </c>
      <c r="H144" s="17">
        <v>145.0</v>
      </c>
      <c r="I144" s="17">
        <v>95.0</v>
      </c>
      <c r="J144" s="17">
        <v>105.0</v>
      </c>
      <c r="K144" s="17">
        <v>30.0</v>
      </c>
      <c r="L144" s="29">
        <f t="shared" si="2"/>
        <v>483</v>
      </c>
    </row>
    <row r="145" ht="23.25" customHeight="1">
      <c r="A145" s="17" t="s">
        <v>2967</v>
      </c>
      <c r="B145" s="17" t="str">
        <f t="shared" si="1"/>
        <v/>
      </c>
      <c r="C145" s="17" t="s">
        <v>2968</v>
      </c>
      <c r="D145" s="17" t="s">
        <v>2716</v>
      </c>
      <c r="E145" s="17" t="s">
        <v>2803</v>
      </c>
      <c r="F145" s="17">
        <v>133.0</v>
      </c>
      <c r="G145" s="17">
        <v>122.0</v>
      </c>
      <c r="H145" s="17">
        <v>72.0</v>
      </c>
      <c r="I145" s="17">
        <v>71.0</v>
      </c>
      <c r="J145" s="17">
        <v>72.0</v>
      </c>
      <c r="K145" s="17">
        <v>95.0</v>
      </c>
      <c r="L145" s="29">
        <f t="shared" si="2"/>
        <v>565</v>
      </c>
    </row>
    <row r="146" ht="23.25" customHeight="1">
      <c r="A146" s="17" t="s">
        <v>2969</v>
      </c>
      <c r="B146" s="17" t="str">
        <f t="shared" si="1"/>
        <v/>
      </c>
      <c r="C146" s="17" t="s">
        <v>194</v>
      </c>
      <c r="D146" s="17" t="s">
        <v>2719</v>
      </c>
      <c r="E146" s="17" t="s">
        <v>2726</v>
      </c>
      <c r="F146" s="17">
        <v>30.0</v>
      </c>
      <c r="G146" s="17">
        <v>30.0</v>
      </c>
      <c r="H146" s="17">
        <v>42.0</v>
      </c>
      <c r="I146" s="17">
        <v>30.0</v>
      </c>
      <c r="J146" s="17">
        <v>42.0</v>
      </c>
      <c r="K146" s="17">
        <v>70.0</v>
      </c>
      <c r="L146" s="29">
        <f t="shared" si="2"/>
        <v>244</v>
      </c>
    </row>
    <row r="147" ht="23.25" customHeight="1">
      <c r="A147" s="17" t="s">
        <v>2970</v>
      </c>
      <c r="B147" s="17" t="str">
        <f t="shared" si="1"/>
        <v/>
      </c>
      <c r="C147" s="17" t="s">
        <v>2971</v>
      </c>
      <c r="D147" s="17" t="s">
        <v>2758</v>
      </c>
      <c r="E147" s="17" t="s">
        <v>2773</v>
      </c>
      <c r="F147" s="17">
        <v>60.0</v>
      </c>
      <c r="G147" s="17">
        <v>85.0</v>
      </c>
      <c r="H147" s="17">
        <v>60.0</v>
      </c>
      <c r="I147" s="17">
        <v>85.0</v>
      </c>
      <c r="J147" s="17">
        <v>60.0</v>
      </c>
      <c r="K147" s="17">
        <v>55.0</v>
      </c>
      <c r="L147" s="29">
        <f t="shared" si="2"/>
        <v>405</v>
      </c>
    </row>
    <row r="148" ht="23.25" customHeight="1">
      <c r="A148" s="17" t="s">
        <v>2972</v>
      </c>
      <c r="B148" s="17" t="str">
        <f t="shared" si="1"/>
        <v/>
      </c>
      <c r="C148" s="17" t="s">
        <v>2973</v>
      </c>
      <c r="D148" s="17" t="s">
        <v>2733</v>
      </c>
      <c r="E148" s="17"/>
      <c r="F148" s="17">
        <v>51.0</v>
      </c>
      <c r="G148" s="17">
        <v>52.0</v>
      </c>
      <c r="H148" s="17">
        <v>90.0</v>
      </c>
      <c r="I148" s="17">
        <v>82.0</v>
      </c>
      <c r="J148" s="17">
        <v>110.0</v>
      </c>
      <c r="K148" s="17">
        <v>100.0</v>
      </c>
      <c r="L148" s="29">
        <f t="shared" si="2"/>
        <v>485</v>
      </c>
    </row>
    <row r="149" ht="23.25" customHeight="1">
      <c r="A149" s="17" t="s">
        <v>2974</v>
      </c>
      <c r="B149" s="17" t="str">
        <f t="shared" si="1"/>
        <v/>
      </c>
      <c r="C149" s="17" t="s">
        <v>2975</v>
      </c>
      <c r="D149" s="17" t="s">
        <v>2773</v>
      </c>
      <c r="E149" s="17"/>
      <c r="F149" s="17">
        <v>105.0</v>
      </c>
      <c r="G149" s="17">
        <v>140.0</v>
      </c>
      <c r="H149" s="17">
        <v>95.0</v>
      </c>
      <c r="I149" s="17">
        <v>55.0</v>
      </c>
      <c r="J149" s="17">
        <v>65.0</v>
      </c>
      <c r="K149" s="17">
        <v>45.0</v>
      </c>
      <c r="L149" s="29">
        <f t="shared" si="2"/>
        <v>505</v>
      </c>
    </row>
    <row r="150" ht="23.25" customHeight="1">
      <c r="A150" s="17" t="s">
        <v>2976</v>
      </c>
      <c r="B150" s="17" t="str">
        <f t="shared" si="1"/>
        <v/>
      </c>
      <c r="C150" s="17" t="s">
        <v>2977</v>
      </c>
      <c r="D150" s="17" t="s">
        <v>2722</v>
      </c>
      <c r="E150" s="17"/>
      <c r="F150" s="17">
        <v>122.0</v>
      </c>
      <c r="G150" s="17">
        <v>130.0</v>
      </c>
      <c r="H150" s="17">
        <v>69.0</v>
      </c>
      <c r="I150" s="17">
        <v>80.0</v>
      </c>
      <c r="J150" s="17">
        <v>69.0</v>
      </c>
      <c r="K150" s="17">
        <v>30.0</v>
      </c>
      <c r="L150" s="29">
        <f t="shared" si="2"/>
        <v>500</v>
      </c>
    </row>
    <row r="151" ht="23.25" customHeight="1">
      <c r="A151" s="17" t="s">
        <v>2978</v>
      </c>
      <c r="B151" s="17" t="str">
        <f t="shared" si="1"/>
        <v/>
      </c>
      <c r="C151" s="17" t="s">
        <v>2979</v>
      </c>
      <c r="D151" s="17" t="s">
        <v>2736</v>
      </c>
      <c r="E151" s="17" t="s">
        <v>2719</v>
      </c>
      <c r="F151" s="17">
        <v>76.0</v>
      </c>
      <c r="G151" s="17">
        <v>69.0</v>
      </c>
      <c r="H151" s="17">
        <v>90.0</v>
      </c>
      <c r="I151" s="17">
        <v>65.0</v>
      </c>
      <c r="J151" s="17">
        <v>77.0</v>
      </c>
      <c r="K151" s="17">
        <v>43.0</v>
      </c>
      <c r="L151" s="29">
        <f t="shared" si="2"/>
        <v>420</v>
      </c>
    </row>
    <row r="152" ht="23.25" customHeight="1">
      <c r="A152" s="17" t="s">
        <v>2980</v>
      </c>
      <c r="B152" s="17" t="str">
        <f t="shared" si="1"/>
        <v/>
      </c>
      <c r="C152" s="17" t="s">
        <v>2981</v>
      </c>
      <c r="D152" s="17" t="s">
        <v>2736</v>
      </c>
      <c r="E152" s="17"/>
      <c r="F152" s="17">
        <v>43.0</v>
      </c>
      <c r="G152" s="17">
        <v>80.0</v>
      </c>
      <c r="H152" s="17">
        <v>65.0</v>
      </c>
      <c r="I152" s="17">
        <v>50.0</v>
      </c>
      <c r="J152" s="17">
        <v>35.0</v>
      </c>
      <c r="K152" s="17">
        <v>35.0</v>
      </c>
      <c r="L152" s="29">
        <f t="shared" si="2"/>
        <v>308</v>
      </c>
    </row>
    <row r="153" ht="23.25" customHeight="1">
      <c r="A153" s="17" t="s">
        <v>2982</v>
      </c>
      <c r="B153" s="17" t="str">
        <f t="shared" si="1"/>
        <v/>
      </c>
      <c r="C153" s="17" t="s">
        <v>2983</v>
      </c>
      <c r="D153" s="17" t="s">
        <v>2736</v>
      </c>
      <c r="E153" s="17" t="s">
        <v>2725</v>
      </c>
      <c r="F153" s="17">
        <v>65.0</v>
      </c>
      <c r="G153" s="17">
        <v>55.0</v>
      </c>
      <c r="H153" s="17">
        <v>95.0</v>
      </c>
      <c r="I153" s="17">
        <v>65.0</v>
      </c>
      <c r="J153" s="17">
        <v>95.0</v>
      </c>
      <c r="K153" s="17">
        <v>35.0</v>
      </c>
      <c r="L153" s="29">
        <f t="shared" si="2"/>
        <v>410</v>
      </c>
    </row>
    <row r="154" ht="23.25" customHeight="1">
      <c r="A154" s="17" t="s">
        <v>2984</v>
      </c>
      <c r="B154" s="17" t="str">
        <f t="shared" si="1"/>
        <v/>
      </c>
      <c r="C154" s="17" t="s">
        <v>2985</v>
      </c>
      <c r="D154" s="17" t="s">
        <v>2726</v>
      </c>
      <c r="E154" s="17" t="s">
        <v>2722</v>
      </c>
      <c r="F154" s="17">
        <v>98.0</v>
      </c>
      <c r="G154" s="17">
        <v>87.0</v>
      </c>
      <c r="H154" s="17">
        <v>105.0</v>
      </c>
      <c r="I154" s="17">
        <v>53.0</v>
      </c>
      <c r="J154" s="17">
        <v>85.0</v>
      </c>
      <c r="K154" s="17">
        <v>67.0</v>
      </c>
      <c r="L154" s="29">
        <f t="shared" si="2"/>
        <v>495</v>
      </c>
    </row>
    <row r="155" ht="23.25" customHeight="1">
      <c r="A155" s="17" t="s">
        <v>2986</v>
      </c>
      <c r="B155" s="17" t="str">
        <f t="shared" si="1"/>
        <v/>
      </c>
      <c r="C155" s="17" t="s">
        <v>2987</v>
      </c>
      <c r="D155" s="17" t="s">
        <v>2726</v>
      </c>
      <c r="E155" s="17"/>
      <c r="F155" s="17">
        <v>68.0</v>
      </c>
      <c r="G155" s="17">
        <v>67.0</v>
      </c>
      <c r="H155" s="17">
        <v>55.0</v>
      </c>
      <c r="I155" s="17">
        <v>43.0</v>
      </c>
      <c r="J155" s="17">
        <v>55.0</v>
      </c>
      <c r="K155" s="17">
        <v>77.0</v>
      </c>
      <c r="L155" s="29">
        <f t="shared" si="2"/>
        <v>365</v>
      </c>
    </row>
    <row r="156" ht="23.25" customHeight="1">
      <c r="A156" s="17" t="s">
        <v>2988</v>
      </c>
      <c r="B156" s="17" t="str">
        <f t="shared" si="1"/>
        <v/>
      </c>
      <c r="C156" s="17" t="s">
        <v>2989</v>
      </c>
      <c r="D156" s="17" t="s">
        <v>2714</v>
      </c>
      <c r="E156" s="17"/>
      <c r="F156" s="17">
        <v>43.0</v>
      </c>
      <c r="G156" s="17">
        <v>29.0</v>
      </c>
      <c r="H156" s="17">
        <v>131.0</v>
      </c>
      <c r="I156" s="17">
        <v>29.0</v>
      </c>
      <c r="J156" s="17">
        <v>131.0</v>
      </c>
      <c r="K156" s="17">
        <v>37.0</v>
      </c>
      <c r="L156" s="29">
        <f t="shared" si="2"/>
        <v>400</v>
      </c>
    </row>
    <row r="157" ht="23.25" customHeight="1">
      <c r="A157" s="17" t="s">
        <v>2990</v>
      </c>
      <c r="B157" s="17" t="str">
        <f t="shared" si="1"/>
        <v/>
      </c>
      <c r="C157" s="17" t="s">
        <v>2991</v>
      </c>
      <c r="D157" s="17" t="s">
        <v>2714</v>
      </c>
      <c r="E157" s="17"/>
      <c r="F157" s="17">
        <v>43.0</v>
      </c>
      <c r="G157" s="17">
        <v>29.0</v>
      </c>
      <c r="H157" s="17">
        <v>31.0</v>
      </c>
      <c r="I157" s="17">
        <v>29.0</v>
      </c>
      <c r="J157" s="17">
        <v>31.0</v>
      </c>
      <c r="K157" s="17">
        <v>37.0</v>
      </c>
      <c r="L157" s="29">
        <f t="shared" si="2"/>
        <v>200</v>
      </c>
    </row>
    <row r="158" ht="23.25" customHeight="1">
      <c r="A158" s="17" t="s">
        <v>2992</v>
      </c>
      <c r="B158" s="17" t="str">
        <f t="shared" si="1"/>
        <v/>
      </c>
      <c r="C158" s="17" t="s">
        <v>2993</v>
      </c>
      <c r="D158" s="17" t="s">
        <v>2711</v>
      </c>
      <c r="E158" s="17" t="s">
        <v>2733</v>
      </c>
      <c r="F158" s="17">
        <v>40.0</v>
      </c>
      <c r="G158" s="17">
        <v>27.0</v>
      </c>
      <c r="H158" s="17">
        <v>60.0</v>
      </c>
      <c r="I158" s="17">
        <v>37.0</v>
      </c>
      <c r="J158" s="17">
        <v>50.0</v>
      </c>
      <c r="K158" s="17">
        <v>66.0</v>
      </c>
      <c r="L158" s="29">
        <f t="shared" si="2"/>
        <v>280</v>
      </c>
    </row>
    <row r="159" ht="23.25" customHeight="1">
      <c r="A159" s="17" t="s">
        <v>2994</v>
      </c>
      <c r="B159" s="17" t="str">
        <f t="shared" si="1"/>
        <v/>
      </c>
      <c r="C159" s="17" t="s">
        <v>2995</v>
      </c>
      <c r="D159" s="17" t="s">
        <v>2773</v>
      </c>
      <c r="E159" s="17" t="s">
        <v>2712</v>
      </c>
      <c r="F159" s="17">
        <v>97.0</v>
      </c>
      <c r="G159" s="17">
        <v>132.0</v>
      </c>
      <c r="H159" s="17">
        <v>77.0</v>
      </c>
      <c r="I159" s="17">
        <v>62.0</v>
      </c>
      <c r="J159" s="17">
        <v>67.0</v>
      </c>
      <c r="K159" s="17">
        <v>43.0</v>
      </c>
      <c r="L159" s="29">
        <f t="shared" si="2"/>
        <v>478</v>
      </c>
    </row>
    <row r="160" ht="23.25" customHeight="1">
      <c r="A160" s="17" t="s">
        <v>2996</v>
      </c>
      <c r="B160" s="17" t="str">
        <f t="shared" si="1"/>
        <v/>
      </c>
      <c r="C160" s="17" t="s">
        <v>2997</v>
      </c>
      <c r="D160" s="17" t="s">
        <v>2773</v>
      </c>
      <c r="E160" s="17"/>
      <c r="F160" s="17">
        <v>47.0</v>
      </c>
      <c r="G160" s="17">
        <v>82.0</v>
      </c>
      <c r="H160" s="17">
        <v>57.0</v>
      </c>
      <c r="I160" s="17">
        <v>42.0</v>
      </c>
      <c r="J160" s="17">
        <v>47.0</v>
      </c>
      <c r="K160" s="17">
        <v>63.0</v>
      </c>
      <c r="L160" s="29">
        <f t="shared" si="2"/>
        <v>338</v>
      </c>
    </row>
    <row r="161" ht="23.25" customHeight="1">
      <c r="A161" s="17" t="s">
        <v>2998</v>
      </c>
      <c r="B161" s="17" t="str">
        <f t="shared" si="1"/>
        <v/>
      </c>
      <c r="C161" s="17" t="s">
        <v>2592</v>
      </c>
      <c r="D161" s="17" t="s">
        <v>2725</v>
      </c>
      <c r="E161" s="17" t="s">
        <v>2711</v>
      </c>
      <c r="F161" s="17">
        <v>86.0</v>
      </c>
      <c r="G161" s="17">
        <v>81.0</v>
      </c>
      <c r="H161" s="17">
        <v>97.0</v>
      </c>
      <c r="I161" s="17">
        <v>81.0</v>
      </c>
      <c r="J161" s="17">
        <v>107.0</v>
      </c>
      <c r="K161" s="17">
        <v>43.0</v>
      </c>
      <c r="L161" s="29">
        <f t="shared" si="2"/>
        <v>495</v>
      </c>
    </row>
    <row r="162" ht="23.25" customHeight="1">
      <c r="A162" s="17" t="s">
        <v>2999</v>
      </c>
      <c r="B162" s="17" t="str">
        <f t="shared" si="1"/>
        <v/>
      </c>
      <c r="C162" s="17" t="s">
        <v>3000</v>
      </c>
      <c r="D162" s="17" t="s">
        <v>2726</v>
      </c>
      <c r="E162" s="17" t="s">
        <v>2736</v>
      </c>
      <c r="F162" s="17">
        <v>70.0</v>
      </c>
      <c r="G162" s="17">
        <v>85.0</v>
      </c>
      <c r="H162" s="17">
        <v>55.0</v>
      </c>
      <c r="I162" s="17">
        <v>85.0</v>
      </c>
      <c r="J162" s="17">
        <v>95.0</v>
      </c>
      <c r="K162" s="17">
        <v>85.0</v>
      </c>
      <c r="L162" s="29">
        <f t="shared" si="2"/>
        <v>475</v>
      </c>
    </row>
    <row r="163" ht="23.25" customHeight="1">
      <c r="A163" s="17" t="s">
        <v>3001</v>
      </c>
      <c r="B163" s="17" t="str">
        <f t="shared" si="1"/>
        <v/>
      </c>
      <c r="C163" s="17" t="s">
        <v>433</v>
      </c>
      <c r="D163" s="17" t="s">
        <v>2725</v>
      </c>
      <c r="E163" s="17"/>
      <c r="F163" s="17">
        <v>67.0</v>
      </c>
      <c r="G163" s="17">
        <v>125.0</v>
      </c>
      <c r="H163" s="17">
        <v>40.0</v>
      </c>
      <c r="I163" s="17">
        <v>30.0</v>
      </c>
      <c r="J163" s="17">
        <v>30.0</v>
      </c>
      <c r="K163" s="17">
        <v>58.0</v>
      </c>
      <c r="L163" s="29">
        <f t="shared" si="2"/>
        <v>350</v>
      </c>
    </row>
    <row r="164" ht="23.25" customHeight="1">
      <c r="A164" s="17" t="s">
        <v>3002</v>
      </c>
      <c r="B164" s="17" t="str">
        <f t="shared" si="1"/>
        <v/>
      </c>
      <c r="C164" s="17" t="s">
        <v>1965</v>
      </c>
      <c r="D164" s="17" t="s">
        <v>2736</v>
      </c>
      <c r="E164" s="17" t="s">
        <v>2716</v>
      </c>
      <c r="F164" s="17">
        <v>63.0</v>
      </c>
      <c r="G164" s="17">
        <v>120.0</v>
      </c>
      <c r="H164" s="17">
        <v>85.0</v>
      </c>
      <c r="I164" s="17">
        <v>90.0</v>
      </c>
      <c r="J164" s="17">
        <v>55.0</v>
      </c>
      <c r="K164" s="17">
        <v>55.0</v>
      </c>
      <c r="L164" s="29">
        <f t="shared" si="2"/>
        <v>468</v>
      </c>
    </row>
    <row r="165" ht="23.25" customHeight="1">
      <c r="A165" s="17" t="s">
        <v>3003</v>
      </c>
      <c r="B165" s="17" t="str">
        <f t="shared" si="1"/>
        <v/>
      </c>
      <c r="C165" s="17" t="s">
        <v>3004</v>
      </c>
      <c r="D165" s="17" t="s">
        <v>2714</v>
      </c>
      <c r="E165" s="17"/>
      <c r="F165" s="17">
        <v>120.0</v>
      </c>
      <c r="G165" s="17">
        <v>70.0</v>
      </c>
      <c r="H165" s="17">
        <v>120.0</v>
      </c>
      <c r="I165" s="17">
        <v>75.0</v>
      </c>
      <c r="J165" s="17">
        <v>130.0</v>
      </c>
      <c r="K165" s="17">
        <v>85.0</v>
      </c>
      <c r="L165" s="29">
        <f t="shared" si="2"/>
        <v>600</v>
      </c>
    </row>
    <row r="166" ht="23.25" customHeight="1">
      <c r="A166" s="17" t="s">
        <v>3005</v>
      </c>
      <c r="B166" s="17" t="str">
        <f t="shared" si="1"/>
        <v/>
      </c>
      <c r="C166" s="17" t="s">
        <v>288</v>
      </c>
      <c r="D166" s="17" t="s">
        <v>2744</v>
      </c>
      <c r="E166" s="17" t="s">
        <v>2773</v>
      </c>
      <c r="F166" s="17">
        <v>48.0</v>
      </c>
      <c r="G166" s="17">
        <v>61.0</v>
      </c>
      <c r="H166" s="17">
        <v>40.0</v>
      </c>
      <c r="I166" s="17">
        <v>61.0</v>
      </c>
      <c r="J166" s="17">
        <v>40.0</v>
      </c>
      <c r="K166" s="17">
        <v>50.0</v>
      </c>
      <c r="L166" s="29">
        <f t="shared" si="2"/>
        <v>300</v>
      </c>
    </row>
    <row r="167" ht="23.25" customHeight="1">
      <c r="A167" s="17" t="s">
        <v>3006</v>
      </c>
      <c r="B167" s="17" t="str">
        <f t="shared" si="1"/>
        <v/>
      </c>
      <c r="C167" s="17" t="s">
        <v>1369</v>
      </c>
      <c r="D167" s="17" t="s">
        <v>2744</v>
      </c>
      <c r="E167" s="17" t="s">
        <v>2726</v>
      </c>
      <c r="F167" s="17">
        <v>85.0</v>
      </c>
      <c r="G167" s="17">
        <v>90.0</v>
      </c>
      <c r="H167" s="17">
        <v>80.0</v>
      </c>
      <c r="I167" s="17">
        <v>70.0</v>
      </c>
      <c r="J167" s="17">
        <v>80.0</v>
      </c>
      <c r="K167" s="17">
        <v>130.0</v>
      </c>
      <c r="L167" s="29">
        <f t="shared" si="2"/>
        <v>535</v>
      </c>
    </row>
    <row r="168" ht="23.25" customHeight="1">
      <c r="A168" s="17" t="s">
        <v>3007</v>
      </c>
      <c r="B168" s="17" t="str">
        <f t="shared" si="1"/>
        <v/>
      </c>
      <c r="C168" s="17" t="s">
        <v>3008</v>
      </c>
      <c r="D168" s="17" t="s">
        <v>2736</v>
      </c>
      <c r="E168" s="17"/>
      <c r="F168" s="17">
        <v>65.0</v>
      </c>
      <c r="G168" s="17">
        <v>80.0</v>
      </c>
      <c r="H168" s="17">
        <v>80.0</v>
      </c>
      <c r="I168" s="17">
        <v>59.0</v>
      </c>
      <c r="J168" s="17">
        <v>63.0</v>
      </c>
      <c r="K168" s="17">
        <v>58.0</v>
      </c>
      <c r="L168" s="29">
        <f t="shared" si="2"/>
        <v>405</v>
      </c>
    </row>
    <row r="169" ht="23.25" customHeight="1">
      <c r="A169" s="17" t="s">
        <v>3009</v>
      </c>
      <c r="B169" s="17" t="str">
        <f t="shared" si="1"/>
        <v/>
      </c>
      <c r="C169" s="17" t="s">
        <v>3010</v>
      </c>
      <c r="D169" s="17" t="s">
        <v>2725</v>
      </c>
      <c r="E169" s="17" t="s">
        <v>2744</v>
      </c>
      <c r="F169" s="17">
        <v>106.0</v>
      </c>
      <c r="G169" s="17">
        <v>105.0</v>
      </c>
      <c r="H169" s="17">
        <v>65.0</v>
      </c>
      <c r="I169" s="17">
        <v>75.0</v>
      </c>
      <c r="J169" s="17">
        <v>85.0</v>
      </c>
      <c r="K169" s="17">
        <v>104.0</v>
      </c>
      <c r="L169" s="29">
        <f t="shared" si="2"/>
        <v>540</v>
      </c>
    </row>
    <row r="170" ht="23.25" customHeight="1">
      <c r="A170" s="17" t="s">
        <v>3011</v>
      </c>
      <c r="B170" s="17" t="str">
        <f t="shared" si="1"/>
        <v/>
      </c>
      <c r="C170" s="17" t="s">
        <v>3012</v>
      </c>
      <c r="D170" s="17" t="s">
        <v>2719</v>
      </c>
      <c r="E170" s="17" t="s">
        <v>2725</v>
      </c>
      <c r="F170" s="17">
        <v>70.0</v>
      </c>
      <c r="G170" s="17">
        <v>105.0</v>
      </c>
      <c r="H170" s="17">
        <v>125.0</v>
      </c>
      <c r="I170" s="17">
        <v>65.0</v>
      </c>
      <c r="J170" s="17">
        <v>75.0</v>
      </c>
      <c r="K170" s="17">
        <v>45.0</v>
      </c>
      <c r="L170" s="29">
        <f t="shared" si="2"/>
        <v>485</v>
      </c>
    </row>
    <row r="171" ht="23.25" customHeight="1">
      <c r="A171" s="17" t="s">
        <v>3013</v>
      </c>
      <c r="B171" s="17" t="str">
        <f t="shared" si="1"/>
        <v/>
      </c>
      <c r="C171" s="17" t="s">
        <v>3014</v>
      </c>
      <c r="D171" s="17" t="s">
        <v>2712</v>
      </c>
      <c r="E171" s="17"/>
      <c r="F171" s="17">
        <v>80.0</v>
      </c>
      <c r="G171" s="17">
        <v>50.0</v>
      </c>
      <c r="H171" s="17">
        <v>50.0</v>
      </c>
      <c r="I171" s="17">
        <v>95.0</v>
      </c>
      <c r="J171" s="17">
        <v>135.0</v>
      </c>
      <c r="K171" s="17">
        <v>105.0</v>
      </c>
      <c r="L171" s="29">
        <f t="shared" si="2"/>
        <v>515</v>
      </c>
    </row>
    <row r="172" ht="23.25" customHeight="1">
      <c r="A172" s="17" t="s">
        <v>3015</v>
      </c>
      <c r="B172" s="17" t="str">
        <f t="shared" si="1"/>
        <v/>
      </c>
      <c r="C172" s="17" t="s">
        <v>3016</v>
      </c>
      <c r="D172" s="17" t="s">
        <v>2712</v>
      </c>
      <c r="E172" s="17"/>
      <c r="F172" s="17">
        <v>55.0</v>
      </c>
      <c r="G172" s="17">
        <v>70.0</v>
      </c>
      <c r="H172" s="17">
        <v>40.0</v>
      </c>
      <c r="I172" s="17">
        <v>60.0</v>
      </c>
      <c r="J172" s="17">
        <v>40.0</v>
      </c>
      <c r="K172" s="17">
        <v>40.0</v>
      </c>
      <c r="L172" s="29">
        <f t="shared" si="2"/>
        <v>305</v>
      </c>
    </row>
    <row r="173" ht="23.25" customHeight="1">
      <c r="A173" s="17" t="s">
        <v>3017</v>
      </c>
      <c r="B173" s="17" t="str">
        <f t="shared" si="1"/>
        <v/>
      </c>
      <c r="C173" s="17" t="s">
        <v>3018</v>
      </c>
      <c r="D173" s="17" t="s">
        <v>2803</v>
      </c>
      <c r="E173" s="17"/>
      <c r="F173" s="17">
        <v>50.0</v>
      </c>
      <c r="G173" s="17">
        <v>50.0</v>
      </c>
      <c r="H173" s="17">
        <v>95.0</v>
      </c>
      <c r="I173" s="17">
        <v>40.0</v>
      </c>
      <c r="J173" s="17">
        <v>50.0</v>
      </c>
      <c r="K173" s="17">
        <v>35.0</v>
      </c>
      <c r="L173" s="29">
        <f t="shared" si="2"/>
        <v>320</v>
      </c>
    </row>
    <row r="174" ht="23.25" customHeight="1">
      <c r="A174" s="17" t="s">
        <v>3019</v>
      </c>
      <c r="B174" s="17" t="str">
        <f t="shared" si="1"/>
        <v/>
      </c>
      <c r="C174" s="17" t="s">
        <v>3020</v>
      </c>
      <c r="D174" s="17" t="s">
        <v>2722</v>
      </c>
      <c r="E174" s="17"/>
      <c r="F174" s="17">
        <v>72.0</v>
      </c>
      <c r="G174" s="17">
        <v>80.0</v>
      </c>
      <c r="H174" s="17">
        <v>49.0</v>
      </c>
      <c r="I174" s="17">
        <v>40.0</v>
      </c>
      <c r="J174" s="17">
        <v>49.0</v>
      </c>
      <c r="K174" s="17">
        <v>40.0</v>
      </c>
      <c r="L174" s="29">
        <f t="shared" si="2"/>
        <v>330</v>
      </c>
    </row>
    <row r="175" ht="23.25" customHeight="1">
      <c r="A175" s="17" t="s">
        <v>3021</v>
      </c>
      <c r="B175" s="17" t="str">
        <f t="shared" si="1"/>
        <v/>
      </c>
      <c r="C175" s="17" t="s">
        <v>3022</v>
      </c>
      <c r="D175" s="17" t="s">
        <v>2719</v>
      </c>
      <c r="E175" s="17" t="s">
        <v>2714</v>
      </c>
      <c r="F175" s="17">
        <v>50.0</v>
      </c>
      <c r="G175" s="17">
        <v>60.0</v>
      </c>
      <c r="H175" s="17">
        <v>49.0</v>
      </c>
      <c r="I175" s="17">
        <v>67.0</v>
      </c>
      <c r="J175" s="17">
        <v>30.0</v>
      </c>
      <c r="K175" s="17">
        <v>44.0</v>
      </c>
      <c r="L175" s="29">
        <f t="shared" si="2"/>
        <v>300</v>
      </c>
    </row>
    <row r="176" ht="23.25" customHeight="1">
      <c r="A176" s="17" t="s">
        <v>3023</v>
      </c>
      <c r="B176" s="17" t="str">
        <f t="shared" si="1"/>
        <v/>
      </c>
      <c r="C176" s="17" t="s">
        <v>3024</v>
      </c>
      <c r="D176" s="17" t="s">
        <v>2723</v>
      </c>
      <c r="E176" s="17"/>
      <c r="F176" s="17">
        <v>60.0</v>
      </c>
      <c r="G176" s="17">
        <v>95.0</v>
      </c>
      <c r="H176" s="17">
        <v>50.0</v>
      </c>
      <c r="I176" s="17">
        <v>145.0</v>
      </c>
      <c r="J176" s="17">
        <v>130.0</v>
      </c>
      <c r="K176" s="17">
        <v>30.0</v>
      </c>
      <c r="L176" s="29">
        <f t="shared" si="2"/>
        <v>510</v>
      </c>
    </row>
    <row r="177" ht="23.25" customHeight="1">
      <c r="A177" s="17" t="s">
        <v>3025</v>
      </c>
      <c r="B177" s="17" t="str">
        <f t="shared" si="1"/>
        <v/>
      </c>
      <c r="C177" s="17" t="s">
        <v>3026</v>
      </c>
      <c r="D177" s="17" t="s">
        <v>2719</v>
      </c>
      <c r="E177" s="17" t="s">
        <v>2733</v>
      </c>
      <c r="F177" s="17">
        <v>40.0</v>
      </c>
      <c r="G177" s="17">
        <v>45.0</v>
      </c>
      <c r="H177" s="17">
        <v>40.0</v>
      </c>
      <c r="I177" s="17">
        <v>55.0</v>
      </c>
      <c r="J177" s="17">
        <v>40.0</v>
      </c>
      <c r="K177" s="17">
        <v>84.0</v>
      </c>
      <c r="L177" s="29">
        <f t="shared" si="2"/>
        <v>304</v>
      </c>
    </row>
    <row r="178" ht="23.25" customHeight="1">
      <c r="A178" s="17" t="s">
        <v>3027</v>
      </c>
      <c r="B178" s="17" t="str">
        <f t="shared" si="1"/>
        <v/>
      </c>
      <c r="C178" s="17" t="s">
        <v>3028</v>
      </c>
      <c r="D178" s="17" t="s">
        <v>2746</v>
      </c>
      <c r="E178" s="17" t="s">
        <v>2738</v>
      </c>
      <c r="F178" s="17">
        <v>108.0</v>
      </c>
      <c r="G178" s="17">
        <v>60.0</v>
      </c>
      <c r="H178" s="17">
        <v>118.0</v>
      </c>
      <c r="I178" s="17">
        <v>112.0</v>
      </c>
      <c r="J178" s="17">
        <v>70.0</v>
      </c>
      <c r="K178" s="17">
        <v>80.0</v>
      </c>
      <c r="L178" s="29">
        <f t="shared" si="2"/>
        <v>548</v>
      </c>
    </row>
    <row r="179" ht="23.25" customHeight="1">
      <c r="A179" s="17" t="s">
        <v>3029</v>
      </c>
      <c r="B179" s="17" t="str">
        <f t="shared" si="1"/>
        <v/>
      </c>
      <c r="C179" s="17" t="s">
        <v>3030</v>
      </c>
      <c r="D179" s="17" t="s">
        <v>2758</v>
      </c>
      <c r="E179" s="17"/>
      <c r="F179" s="17">
        <v>39.0</v>
      </c>
      <c r="G179" s="17">
        <v>52.0</v>
      </c>
      <c r="H179" s="17">
        <v>43.0</v>
      </c>
      <c r="I179" s="17">
        <v>60.0</v>
      </c>
      <c r="J179" s="17">
        <v>50.0</v>
      </c>
      <c r="K179" s="17">
        <v>65.0</v>
      </c>
      <c r="L179" s="29">
        <f t="shared" si="2"/>
        <v>309</v>
      </c>
    </row>
    <row r="180" ht="23.25" customHeight="1">
      <c r="A180" s="17" t="s">
        <v>3031</v>
      </c>
      <c r="B180" s="17" t="str">
        <f t="shared" si="1"/>
        <v/>
      </c>
      <c r="C180" s="17" t="s">
        <v>3032</v>
      </c>
      <c r="D180" s="17" t="s">
        <v>2716</v>
      </c>
      <c r="E180" s="17"/>
      <c r="F180" s="17">
        <v>70.0</v>
      </c>
      <c r="G180" s="17">
        <v>90.0</v>
      </c>
      <c r="H180" s="17">
        <v>90.0</v>
      </c>
      <c r="I180" s="17">
        <v>135.0</v>
      </c>
      <c r="J180" s="17">
        <v>90.0</v>
      </c>
      <c r="K180" s="17">
        <v>125.0</v>
      </c>
      <c r="L180" s="29">
        <f t="shared" si="2"/>
        <v>600</v>
      </c>
    </row>
    <row r="181" ht="23.25" customHeight="1">
      <c r="A181" s="17" t="s">
        <v>3033</v>
      </c>
      <c r="B181" s="17" t="str">
        <f t="shared" si="1"/>
        <v/>
      </c>
      <c r="C181" s="17" t="s">
        <v>3034</v>
      </c>
      <c r="D181" s="17" t="s">
        <v>2758</v>
      </c>
      <c r="E181" s="17"/>
      <c r="F181" s="17">
        <v>105.0</v>
      </c>
      <c r="G181" s="17">
        <v>140.0</v>
      </c>
      <c r="H181" s="17">
        <v>55.0</v>
      </c>
      <c r="I181" s="17">
        <v>30.0</v>
      </c>
      <c r="J181" s="17">
        <v>55.0</v>
      </c>
      <c r="K181" s="17">
        <v>95.0</v>
      </c>
      <c r="L181" s="29">
        <f t="shared" si="2"/>
        <v>480</v>
      </c>
    </row>
    <row r="182" ht="23.25" customHeight="1">
      <c r="A182" s="17" t="s">
        <v>3035</v>
      </c>
      <c r="B182" s="17" t="str">
        <f t="shared" si="1"/>
        <v/>
      </c>
      <c r="C182" s="17" t="s">
        <v>3036</v>
      </c>
      <c r="D182" s="17" t="s">
        <v>2711</v>
      </c>
      <c r="E182" s="17" t="s">
        <v>2726</v>
      </c>
      <c r="F182" s="17">
        <v>78.0</v>
      </c>
      <c r="G182" s="17">
        <v>75.0</v>
      </c>
      <c r="H182" s="17">
        <v>75.0</v>
      </c>
      <c r="I182" s="17">
        <v>70.0</v>
      </c>
      <c r="J182" s="17">
        <v>70.0</v>
      </c>
      <c r="K182" s="17">
        <v>52.0</v>
      </c>
      <c r="L182" s="29">
        <f t="shared" si="2"/>
        <v>420</v>
      </c>
    </row>
    <row r="183" ht="23.25" customHeight="1">
      <c r="A183" s="17" t="s">
        <v>3037</v>
      </c>
      <c r="B183" s="17" t="str">
        <f t="shared" si="1"/>
        <v/>
      </c>
      <c r="C183" s="17" t="s">
        <v>3038</v>
      </c>
      <c r="D183" s="17" t="s">
        <v>2758</v>
      </c>
      <c r="E183" s="17"/>
      <c r="F183" s="17">
        <v>70.0</v>
      </c>
      <c r="G183" s="17">
        <v>90.0</v>
      </c>
      <c r="H183" s="17">
        <v>45.0</v>
      </c>
      <c r="I183" s="17">
        <v>15.0</v>
      </c>
      <c r="J183" s="17">
        <v>45.0</v>
      </c>
      <c r="K183" s="17">
        <v>50.0</v>
      </c>
      <c r="L183" s="29">
        <f t="shared" si="2"/>
        <v>315</v>
      </c>
    </row>
    <row r="184" ht="23.25" customHeight="1">
      <c r="A184" s="17" t="s">
        <v>3039</v>
      </c>
      <c r="B184" s="17" t="str">
        <f t="shared" si="1"/>
        <v/>
      </c>
      <c r="C184" s="17" t="s">
        <v>3040</v>
      </c>
      <c r="D184" s="17" t="s">
        <v>2711</v>
      </c>
      <c r="E184" s="17" t="s">
        <v>2723</v>
      </c>
      <c r="F184" s="17">
        <v>78.0</v>
      </c>
      <c r="G184" s="17">
        <v>107.0</v>
      </c>
      <c r="H184" s="17">
        <v>75.0</v>
      </c>
      <c r="I184" s="17">
        <v>100.0</v>
      </c>
      <c r="J184" s="17">
        <v>100.0</v>
      </c>
      <c r="K184" s="17">
        <v>70.0</v>
      </c>
      <c r="L184" s="29">
        <f t="shared" si="2"/>
        <v>530</v>
      </c>
    </row>
    <row r="185" ht="23.25" customHeight="1">
      <c r="A185" s="17" t="s">
        <v>3041</v>
      </c>
      <c r="B185" s="17" t="str">
        <f t="shared" si="1"/>
        <v/>
      </c>
      <c r="C185" s="17" t="s">
        <v>3042</v>
      </c>
      <c r="D185" s="17" t="s">
        <v>2746</v>
      </c>
      <c r="E185" s="17" t="s">
        <v>2733</v>
      </c>
      <c r="F185" s="17">
        <v>67.0</v>
      </c>
      <c r="G185" s="17">
        <v>58.0</v>
      </c>
      <c r="H185" s="17">
        <v>57.0</v>
      </c>
      <c r="I185" s="17">
        <v>81.0</v>
      </c>
      <c r="J185" s="17">
        <v>67.0</v>
      </c>
      <c r="K185" s="17">
        <v>101.0</v>
      </c>
      <c r="L185" s="29">
        <f t="shared" si="2"/>
        <v>431</v>
      </c>
    </row>
    <row r="186" ht="23.25" customHeight="1">
      <c r="A186" s="17" t="s">
        <v>3043</v>
      </c>
      <c r="B186" s="17" t="str">
        <f t="shared" si="1"/>
        <v/>
      </c>
      <c r="C186" s="17" t="s">
        <v>3044</v>
      </c>
      <c r="D186" s="17" t="s">
        <v>2729</v>
      </c>
      <c r="E186" s="17" t="s">
        <v>2711</v>
      </c>
      <c r="F186" s="17">
        <v>60.0</v>
      </c>
      <c r="G186" s="17">
        <v>60.0</v>
      </c>
      <c r="H186" s="17">
        <v>50.0</v>
      </c>
      <c r="I186" s="17">
        <v>40.0</v>
      </c>
      <c r="J186" s="17">
        <v>50.0</v>
      </c>
      <c r="K186" s="17">
        <v>75.0</v>
      </c>
      <c r="L186" s="29">
        <f t="shared" si="2"/>
        <v>335</v>
      </c>
    </row>
    <row r="187" ht="23.25" customHeight="1">
      <c r="A187" s="17" t="s">
        <v>3045</v>
      </c>
      <c r="B187" s="17" t="str">
        <f t="shared" si="1"/>
        <v/>
      </c>
      <c r="C187" s="17" t="s">
        <v>3046</v>
      </c>
      <c r="D187" s="17" t="s">
        <v>2716</v>
      </c>
      <c r="E187" s="17" t="s">
        <v>2738</v>
      </c>
      <c r="F187" s="17">
        <v>52.0</v>
      </c>
      <c r="G187" s="17">
        <v>65.0</v>
      </c>
      <c r="H187" s="17">
        <v>50.0</v>
      </c>
      <c r="I187" s="17">
        <v>45.0</v>
      </c>
      <c r="J187" s="17">
        <v>50.0</v>
      </c>
      <c r="K187" s="17">
        <v>38.0</v>
      </c>
      <c r="L187" s="29">
        <f t="shared" si="2"/>
        <v>300</v>
      </c>
    </row>
    <row r="188" ht="23.25" customHeight="1">
      <c r="A188" s="17" t="s">
        <v>3047</v>
      </c>
      <c r="B188" s="17" t="str">
        <f t="shared" si="1"/>
        <v/>
      </c>
      <c r="C188" s="17" t="s">
        <v>1849</v>
      </c>
      <c r="D188" s="17" t="s">
        <v>2729</v>
      </c>
      <c r="E188" s="17"/>
      <c r="F188" s="17">
        <v>70.0</v>
      </c>
      <c r="G188" s="17">
        <v>65.0</v>
      </c>
      <c r="H188" s="17">
        <v>65.0</v>
      </c>
      <c r="I188" s="17">
        <v>55.0</v>
      </c>
      <c r="J188" s="17">
        <v>55.0</v>
      </c>
      <c r="K188" s="17">
        <v>90.0</v>
      </c>
      <c r="L188" s="29">
        <f t="shared" si="2"/>
        <v>400</v>
      </c>
    </row>
    <row r="189" ht="23.25" customHeight="1">
      <c r="A189" s="17" t="s">
        <v>3048</v>
      </c>
      <c r="B189" s="17" t="str">
        <f t="shared" si="1"/>
        <v/>
      </c>
      <c r="C189" s="17" t="s">
        <v>3049</v>
      </c>
      <c r="D189" s="17" t="s">
        <v>2712</v>
      </c>
      <c r="E189" s="17" t="s">
        <v>2726</v>
      </c>
      <c r="F189" s="17">
        <v>45.0</v>
      </c>
      <c r="G189" s="17">
        <v>55.0</v>
      </c>
      <c r="H189" s="17">
        <v>45.0</v>
      </c>
      <c r="I189" s="17">
        <v>65.0</v>
      </c>
      <c r="J189" s="17">
        <v>45.0</v>
      </c>
      <c r="K189" s="17">
        <v>75.0</v>
      </c>
      <c r="L189" s="29">
        <f t="shared" si="2"/>
        <v>330</v>
      </c>
    </row>
    <row r="190" ht="23.25" customHeight="1">
      <c r="A190" s="17" t="s">
        <v>3050</v>
      </c>
      <c r="B190" s="17" t="str">
        <f t="shared" si="1"/>
        <v/>
      </c>
      <c r="C190" s="17" t="s">
        <v>3051</v>
      </c>
      <c r="D190" s="17" t="s">
        <v>2758</v>
      </c>
      <c r="E190" s="17" t="s">
        <v>2714</v>
      </c>
      <c r="F190" s="17">
        <v>75.0</v>
      </c>
      <c r="G190" s="17">
        <v>69.0</v>
      </c>
      <c r="H190" s="17">
        <v>72.0</v>
      </c>
      <c r="I190" s="17">
        <v>114.0</v>
      </c>
      <c r="J190" s="17">
        <v>100.0</v>
      </c>
      <c r="K190" s="17">
        <v>104.0</v>
      </c>
      <c r="L190" s="29">
        <f t="shared" si="2"/>
        <v>534</v>
      </c>
    </row>
    <row r="191" ht="23.25" customHeight="1">
      <c r="A191" s="17" t="s">
        <v>3052</v>
      </c>
      <c r="B191" s="17" t="str">
        <f t="shared" si="1"/>
        <v/>
      </c>
      <c r="C191" s="17" t="s">
        <v>3053</v>
      </c>
      <c r="D191" s="17" t="s">
        <v>2714</v>
      </c>
      <c r="E191" s="17"/>
      <c r="F191" s="17">
        <v>50.0</v>
      </c>
      <c r="G191" s="17">
        <v>150.0</v>
      </c>
      <c r="H191" s="17">
        <v>50.0</v>
      </c>
      <c r="I191" s="17">
        <v>150.0</v>
      </c>
      <c r="J191" s="17">
        <v>50.0</v>
      </c>
      <c r="K191" s="17">
        <v>150.0</v>
      </c>
      <c r="L191" s="29">
        <f t="shared" si="2"/>
        <v>600</v>
      </c>
    </row>
    <row r="192" ht="23.25" customHeight="1">
      <c r="A192" s="17" t="s">
        <v>3054</v>
      </c>
      <c r="B192" s="17" t="str">
        <f t="shared" si="1"/>
        <v/>
      </c>
      <c r="C192" s="17" t="s">
        <v>1993</v>
      </c>
      <c r="D192" s="17" t="s">
        <v>2736</v>
      </c>
      <c r="E192" s="17" t="s">
        <v>2712</v>
      </c>
      <c r="F192" s="17">
        <v>90.0</v>
      </c>
      <c r="G192" s="17">
        <v>70.0</v>
      </c>
      <c r="H192" s="17">
        <v>80.0</v>
      </c>
      <c r="I192" s="17">
        <v>70.0</v>
      </c>
      <c r="J192" s="17">
        <v>95.0</v>
      </c>
      <c r="K192" s="17">
        <v>70.0</v>
      </c>
      <c r="L192" s="29">
        <f t="shared" si="2"/>
        <v>475</v>
      </c>
    </row>
    <row r="193" ht="23.25" customHeight="1">
      <c r="A193" s="17" t="s">
        <v>3055</v>
      </c>
      <c r="B193" s="17" t="str">
        <f t="shared" si="1"/>
        <v/>
      </c>
      <c r="C193" s="17" t="s">
        <v>3056</v>
      </c>
      <c r="D193" s="17" t="s">
        <v>2736</v>
      </c>
      <c r="E193" s="17"/>
      <c r="F193" s="17">
        <v>75.0</v>
      </c>
      <c r="G193" s="17">
        <v>75.0</v>
      </c>
      <c r="H193" s="17">
        <v>60.0</v>
      </c>
      <c r="I193" s="17">
        <v>83.0</v>
      </c>
      <c r="J193" s="17">
        <v>60.0</v>
      </c>
      <c r="K193" s="17">
        <v>60.0</v>
      </c>
      <c r="L193" s="29">
        <f t="shared" si="2"/>
        <v>413</v>
      </c>
    </row>
    <row r="194" ht="23.25" customHeight="1">
      <c r="A194" s="17" t="s">
        <v>3057</v>
      </c>
      <c r="B194" s="17" t="str">
        <f t="shared" si="1"/>
        <v/>
      </c>
      <c r="C194" s="17" t="s">
        <v>3058</v>
      </c>
      <c r="D194" s="17" t="s">
        <v>2736</v>
      </c>
      <c r="E194" s="17" t="s">
        <v>2719</v>
      </c>
      <c r="F194" s="17">
        <v>38.0</v>
      </c>
      <c r="G194" s="17">
        <v>40.0</v>
      </c>
      <c r="H194" s="17">
        <v>52.0</v>
      </c>
      <c r="I194" s="17">
        <v>40.0</v>
      </c>
      <c r="J194" s="17">
        <v>72.0</v>
      </c>
      <c r="K194" s="17">
        <v>27.0</v>
      </c>
      <c r="L194" s="29">
        <f t="shared" si="2"/>
        <v>269</v>
      </c>
    </row>
    <row r="195" ht="23.25" customHeight="1">
      <c r="A195" s="17" t="s">
        <v>3059</v>
      </c>
      <c r="B195" s="17" t="str">
        <f t="shared" si="1"/>
        <v/>
      </c>
      <c r="C195" s="17" t="s">
        <v>3060</v>
      </c>
      <c r="D195" s="17" t="s">
        <v>2723</v>
      </c>
      <c r="E195" s="17" t="s">
        <v>2711</v>
      </c>
      <c r="F195" s="17">
        <v>70.0</v>
      </c>
      <c r="G195" s="17">
        <v>131.0</v>
      </c>
      <c r="H195" s="17">
        <v>100.0</v>
      </c>
      <c r="I195" s="17">
        <v>86.0</v>
      </c>
      <c r="J195" s="17">
        <v>90.0</v>
      </c>
      <c r="K195" s="17">
        <v>40.0</v>
      </c>
      <c r="L195" s="29">
        <f t="shared" si="2"/>
        <v>517</v>
      </c>
    </row>
    <row r="196" ht="23.25" customHeight="1">
      <c r="A196" s="17" t="s">
        <v>3061</v>
      </c>
      <c r="B196" s="17" t="str">
        <f t="shared" si="1"/>
        <v/>
      </c>
      <c r="C196" s="17" t="s">
        <v>3062</v>
      </c>
      <c r="D196" s="17" t="s">
        <v>2722</v>
      </c>
      <c r="E196" s="17" t="s">
        <v>2738</v>
      </c>
      <c r="F196" s="17">
        <v>100.0</v>
      </c>
      <c r="G196" s="17">
        <v>120.0</v>
      </c>
      <c r="H196" s="17">
        <v>120.0</v>
      </c>
      <c r="I196" s="17">
        <v>150.0</v>
      </c>
      <c r="J196" s="17">
        <v>100.0</v>
      </c>
      <c r="K196" s="17">
        <v>90.0</v>
      </c>
      <c r="L196" s="29">
        <f t="shared" si="2"/>
        <v>680</v>
      </c>
    </row>
    <row r="197" ht="23.25" customHeight="1">
      <c r="A197" s="17" t="s">
        <v>3063</v>
      </c>
      <c r="B197" s="17" t="str">
        <f t="shared" si="1"/>
        <v/>
      </c>
      <c r="C197" s="17" t="s">
        <v>3064</v>
      </c>
      <c r="D197" s="17" t="s">
        <v>2725</v>
      </c>
      <c r="E197" s="17" t="s">
        <v>2733</v>
      </c>
      <c r="F197" s="17">
        <v>50.0</v>
      </c>
      <c r="G197" s="17">
        <v>100.0</v>
      </c>
      <c r="H197" s="17">
        <v>150.0</v>
      </c>
      <c r="I197" s="17">
        <v>100.0</v>
      </c>
      <c r="J197" s="17">
        <v>150.0</v>
      </c>
      <c r="K197" s="17">
        <v>50.0</v>
      </c>
      <c r="L197" s="29">
        <f t="shared" si="2"/>
        <v>600</v>
      </c>
    </row>
    <row r="198" ht="23.25" customHeight="1">
      <c r="A198" s="17" t="s">
        <v>3065</v>
      </c>
      <c r="B198" s="17" t="str">
        <f t="shared" si="1"/>
        <v/>
      </c>
      <c r="C198" s="17" t="s">
        <v>3066</v>
      </c>
      <c r="D198" s="17" t="s">
        <v>2729</v>
      </c>
      <c r="E198" s="17" t="s">
        <v>2803</v>
      </c>
      <c r="F198" s="17">
        <v>85.0</v>
      </c>
      <c r="G198" s="17">
        <v>56.0</v>
      </c>
      <c r="H198" s="17">
        <v>77.0</v>
      </c>
      <c r="I198" s="17">
        <v>50.0</v>
      </c>
      <c r="J198" s="17">
        <v>77.0</v>
      </c>
      <c r="K198" s="17">
        <v>78.0</v>
      </c>
      <c r="L198" s="29">
        <f t="shared" si="2"/>
        <v>423</v>
      </c>
    </row>
    <row r="199" ht="23.25" customHeight="1">
      <c r="A199" s="17" t="s">
        <v>3067</v>
      </c>
      <c r="B199" s="17" t="str">
        <f t="shared" si="1"/>
        <v/>
      </c>
      <c r="C199" s="17" t="s">
        <v>3068</v>
      </c>
      <c r="D199" s="17" t="s">
        <v>2803</v>
      </c>
      <c r="E199" s="17"/>
      <c r="F199" s="17">
        <v>10.0</v>
      </c>
      <c r="G199" s="17">
        <v>55.0</v>
      </c>
      <c r="H199" s="17">
        <v>25.0</v>
      </c>
      <c r="I199" s="17">
        <v>35.0</v>
      </c>
      <c r="J199" s="17">
        <v>45.0</v>
      </c>
      <c r="K199" s="17">
        <v>95.0</v>
      </c>
      <c r="L199" s="29">
        <f t="shared" si="2"/>
        <v>265</v>
      </c>
    </row>
    <row r="200" ht="23.25" customHeight="1">
      <c r="A200" s="17" t="s">
        <v>3069</v>
      </c>
      <c r="B200" s="17" t="str">
        <f t="shared" si="1"/>
        <v/>
      </c>
      <c r="C200" s="17" t="s">
        <v>3070</v>
      </c>
      <c r="D200" s="17" t="s">
        <v>2729</v>
      </c>
      <c r="E200" s="17"/>
      <c r="F200" s="17">
        <v>48.0</v>
      </c>
      <c r="G200" s="17">
        <v>48.0</v>
      </c>
      <c r="H200" s="17">
        <v>48.0</v>
      </c>
      <c r="I200" s="17">
        <v>48.0</v>
      </c>
      <c r="J200" s="17">
        <v>48.0</v>
      </c>
      <c r="K200" s="17">
        <v>48.0</v>
      </c>
      <c r="L200" s="29">
        <f t="shared" si="2"/>
        <v>288</v>
      </c>
    </row>
    <row r="201" ht="23.25" customHeight="1">
      <c r="A201" s="17" t="s">
        <v>3071</v>
      </c>
      <c r="B201" s="17" t="str">
        <f t="shared" si="1"/>
        <v/>
      </c>
      <c r="C201" s="17" t="s">
        <v>1732</v>
      </c>
      <c r="D201" s="17" t="s">
        <v>2729</v>
      </c>
      <c r="E201" s="17" t="s">
        <v>2726</v>
      </c>
      <c r="F201" s="17">
        <v>60.0</v>
      </c>
      <c r="G201" s="17">
        <v>110.0</v>
      </c>
      <c r="H201" s="17">
        <v>70.0</v>
      </c>
      <c r="I201" s="17">
        <v>60.0</v>
      </c>
      <c r="J201" s="17">
        <v>60.0</v>
      </c>
      <c r="K201" s="17">
        <v>110.0</v>
      </c>
      <c r="L201" s="29">
        <f t="shared" si="2"/>
        <v>470</v>
      </c>
    </row>
    <row r="202" ht="23.25" customHeight="1">
      <c r="A202" s="17" t="s">
        <v>3072</v>
      </c>
      <c r="B202" s="17" t="str">
        <f t="shared" si="1"/>
        <v/>
      </c>
      <c r="C202" s="17" t="s">
        <v>3073</v>
      </c>
      <c r="D202" s="17" t="s">
        <v>2729</v>
      </c>
      <c r="E202" s="17" t="s">
        <v>2726</v>
      </c>
      <c r="F202" s="17">
        <v>35.0</v>
      </c>
      <c r="G202" s="17">
        <v>85.0</v>
      </c>
      <c r="H202" s="17">
        <v>45.0</v>
      </c>
      <c r="I202" s="17">
        <v>35.0</v>
      </c>
      <c r="J202" s="17">
        <v>35.0</v>
      </c>
      <c r="K202" s="17">
        <v>75.0</v>
      </c>
      <c r="L202" s="29">
        <f t="shared" si="2"/>
        <v>310</v>
      </c>
    </row>
    <row r="203" ht="23.25" customHeight="1">
      <c r="A203" s="17" t="s">
        <v>3074</v>
      </c>
      <c r="B203" s="17" t="str">
        <f t="shared" si="1"/>
        <v/>
      </c>
      <c r="C203" s="17" t="s">
        <v>1940</v>
      </c>
      <c r="D203" s="17" t="s">
        <v>2803</v>
      </c>
      <c r="E203" s="17"/>
      <c r="F203" s="17">
        <v>90.0</v>
      </c>
      <c r="G203" s="17">
        <v>120.0</v>
      </c>
      <c r="H203" s="17">
        <v>120.0</v>
      </c>
      <c r="I203" s="17">
        <v>60.0</v>
      </c>
      <c r="J203" s="17">
        <v>60.0</v>
      </c>
      <c r="K203" s="17">
        <v>50.0</v>
      </c>
      <c r="L203" s="29">
        <f t="shared" si="2"/>
        <v>500</v>
      </c>
    </row>
    <row r="204" ht="23.25" customHeight="1">
      <c r="A204" s="17" t="s">
        <v>3075</v>
      </c>
      <c r="B204" s="17" t="str">
        <f t="shared" si="1"/>
        <v/>
      </c>
      <c r="C204" s="17" t="s">
        <v>3076</v>
      </c>
      <c r="D204" s="17" t="s">
        <v>2719</v>
      </c>
      <c r="E204" s="17" t="s">
        <v>2714</v>
      </c>
      <c r="F204" s="17">
        <v>50.0</v>
      </c>
      <c r="G204" s="17">
        <v>35.0</v>
      </c>
      <c r="H204" s="17">
        <v>80.0</v>
      </c>
      <c r="I204" s="17">
        <v>50.0</v>
      </c>
      <c r="J204" s="17">
        <v>90.0</v>
      </c>
      <c r="K204" s="17">
        <v>30.0</v>
      </c>
      <c r="L204" s="29">
        <f t="shared" si="2"/>
        <v>335</v>
      </c>
    </row>
    <row r="205" ht="23.25" customHeight="1">
      <c r="A205" s="17" t="s">
        <v>3077</v>
      </c>
      <c r="B205" s="17" t="str">
        <f t="shared" si="1"/>
        <v/>
      </c>
      <c r="C205" s="17" t="s">
        <v>3078</v>
      </c>
      <c r="D205" s="17" t="s">
        <v>2722</v>
      </c>
      <c r="E205" s="17" t="s">
        <v>2723</v>
      </c>
      <c r="F205" s="17">
        <v>59.0</v>
      </c>
      <c r="G205" s="17">
        <v>110.0</v>
      </c>
      <c r="H205" s="17">
        <v>150.0</v>
      </c>
      <c r="I205" s="17">
        <v>45.0</v>
      </c>
      <c r="J205" s="17">
        <v>49.0</v>
      </c>
      <c r="K205" s="17">
        <v>35.0</v>
      </c>
      <c r="L205" s="29">
        <f t="shared" si="2"/>
        <v>448</v>
      </c>
    </row>
    <row r="206" ht="23.25" customHeight="1">
      <c r="A206" s="17" t="s">
        <v>3079</v>
      </c>
      <c r="B206" s="17" t="str">
        <f t="shared" si="1"/>
        <v/>
      </c>
      <c r="C206" s="17" t="s">
        <v>3080</v>
      </c>
      <c r="D206" s="17" t="s">
        <v>2736</v>
      </c>
      <c r="E206" s="17" t="s">
        <v>2738</v>
      </c>
      <c r="F206" s="17">
        <v>90.0</v>
      </c>
      <c r="G206" s="17">
        <v>90.0</v>
      </c>
      <c r="H206" s="17">
        <v>100.0</v>
      </c>
      <c r="I206" s="17">
        <v>70.0</v>
      </c>
      <c r="J206" s="17">
        <v>80.0</v>
      </c>
      <c r="K206" s="17">
        <v>75.0</v>
      </c>
      <c r="L206" s="29">
        <f t="shared" si="2"/>
        <v>505</v>
      </c>
    </row>
    <row r="207" ht="23.25" customHeight="1">
      <c r="A207" s="17" t="s">
        <v>3081</v>
      </c>
      <c r="B207" s="17" t="str">
        <f t="shared" si="1"/>
        <v/>
      </c>
      <c r="C207" s="17" t="s">
        <v>3082</v>
      </c>
      <c r="D207" s="17" t="s">
        <v>2746</v>
      </c>
      <c r="E207" s="17" t="s">
        <v>2738</v>
      </c>
      <c r="F207" s="17">
        <v>90.0</v>
      </c>
      <c r="G207" s="17">
        <v>100.0</v>
      </c>
      <c r="H207" s="17">
        <v>90.0</v>
      </c>
      <c r="I207" s="17">
        <v>80.0</v>
      </c>
      <c r="J207" s="17">
        <v>70.0</v>
      </c>
      <c r="K207" s="17">
        <v>75.0</v>
      </c>
      <c r="L207" s="29">
        <f t="shared" si="2"/>
        <v>505</v>
      </c>
    </row>
    <row r="208" ht="23.25" customHeight="1">
      <c r="A208" s="17" t="s">
        <v>3083</v>
      </c>
      <c r="B208" s="17" t="str">
        <f t="shared" si="1"/>
        <v/>
      </c>
      <c r="C208" s="17" t="s">
        <v>3084</v>
      </c>
      <c r="D208" s="17" t="s">
        <v>2744</v>
      </c>
      <c r="E208" s="17" t="s">
        <v>2738</v>
      </c>
      <c r="F208" s="17">
        <v>65.0</v>
      </c>
      <c r="G208" s="17">
        <v>75.0</v>
      </c>
      <c r="H208" s="17">
        <v>90.0</v>
      </c>
      <c r="I208" s="17">
        <v>97.0</v>
      </c>
      <c r="J208" s="17">
        <v>123.0</v>
      </c>
      <c r="K208" s="17">
        <v>44.0</v>
      </c>
      <c r="L208" s="29">
        <f t="shared" si="2"/>
        <v>494</v>
      </c>
    </row>
    <row r="209" ht="23.25" customHeight="1">
      <c r="A209" s="17" t="s">
        <v>3085</v>
      </c>
      <c r="B209" s="17" t="str">
        <f t="shared" si="1"/>
        <v/>
      </c>
      <c r="C209" s="17" t="s">
        <v>3086</v>
      </c>
      <c r="D209" s="17" t="s">
        <v>2738</v>
      </c>
      <c r="E209" s="17" t="s">
        <v>2723</v>
      </c>
      <c r="F209" s="17">
        <v>88.0</v>
      </c>
      <c r="G209" s="17">
        <v>120.0</v>
      </c>
      <c r="H209" s="17">
        <v>75.0</v>
      </c>
      <c r="I209" s="17">
        <v>100.0</v>
      </c>
      <c r="J209" s="17">
        <v>75.0</v>
      </c>
      <c r="K209" s="17">
        <v>142.0</v>
      </c>
      <c r="L209" s="29">
        <f t="shared" si="2"/>
        <v>600</v>
      </c>
    </row>
    <row r="210" ht="23.25" customHeight="1">
      <c r="A210" s="17" t="s">
        <v>3087</v>
      </c>
      <c r="B210" s="17" t="str">
        <f t="shared" si="1"/>
        <v/>
      </c>
      <c r="C210" s="17" t="s">
        <v>1742</v>
      </c>
      <c r="D210" s="17" t="s">
        <v>2738</v>
      </c>
      <c r="E210" s="17"/>
      <c r="F210" s="17">
        <v>61.0</v>
      </c>
      <c r="G210" s="17">
        <v>84.0</v>
      </c>
      <c r="H210" s="17">
        <v>65.0</v>
      </c>
      <c r="I210" s="17">
        <v>70.0</v>
      </c>
      <c r="J210" s="17">
        <v>70.0</v>
      </c>
      <c r="K210" s="17">
        <v>70.0</v>
      </c>
      <c r="L210" s="29">
        <f t="shared" si="2"/>
        <v>420</v>
      </c>
    </row>
    <row r="211" ht="23.25" customHeight="1">
      <c r="A211" s="17" t="s">
        <v>3088</v>
      </c>
      <c r="B211" s="17" t="str">
        <f t="shared" si="1"/>
        <v/>
      </c>
      <c r="C211" s="17" t="s">
        <v>3089</v>
      </c>
      <c r="D211" s="17" t="s">
        <v>2738</v>
      </c>
      <c r="E211" s="17" t="s">
        <v>2726</v>
      </c>
      <c r="F211" s="17">
        <v>91.0</v>
      </c>
      <c r="G211" s="17">
        <v>134.0</v>
      </c>
      <c r="H211" s="17">
        <v>95.0</v>
      </c>
      <c r="I211" s="17">
        <v>100.0</v>
      </c>
      <c r="J211" s="17">
        <v>100.0</v>
      </c>
      <c r="K211" s="17">
        <v>80.0</v>
      </c>
      <c r="L211" s="29">
        <f t="shared" si="2"/>
        <v>600</v>
      </c>
    </row>
    <row r="212" ht="23.25" customHeight="1">
      <c r="A212" s="17" t="s">
        <v>3090</v>
      </c>
      <c r="B212" s="17" t="str">
        <f t="shared" si="1"/>
        <v/>
      </c>
      <c r="C212" s="17" t="s">
        <v>3091</v>
      </c>
      <c r="D212" s="17" t="s">
        <v>2738</v>
      </c>
      <c r="E212" s="17" t="s">
        <v>2723</v>
      </c>
      <c r="F212" s="17">
        <v>68.0</v>
      </c>
      <c r="G212" s="17">
        <v>80.0</v>
      </c>
      <c r="H212" s="17">
        <v>50.0</v>
      </c>
      <c r="I212" s="17">
        <v>60.0</v>
      </c>
      <c r="J212" s="17">
        <v>50.0</v>
      </c>
      <c r="K212" s="17">
        <v>102.0</v>
      </c>
      <c r="L212" s="29">
        <f t="shared" si="2"/>
        <v>410</v>
      </c>
    </row>
    <row r="213" ht="23.25" customHeight="1">
      <c r="A213" s="17" t="s">
        <v>3092</v>
      </c>
      <c r="B213" s="17" t="str">
        <f t="shared" si="1"/>
        <v/>
      </c>
      <c r="C213" s="17" t="s">
        <v>3093</v>
      </c>
      <c r="D213" s="17" t="s">
        <v>2729</v>
      </c>
      <c r="E213" s="17" t="s">
        <v>2738</v>
      </c>
      <c r="F213" s="17">
        <v>78.0</v>
      </c>
      <c r="G213" s="17">
        <v>60.0</v>
      </c>
      <c r="H213" s="17">
        <v>85.0</v>
      </c>
      <c r="I213" s="17">
        <v>135.0</v>
      </c>
      <c r="J213" s="17">
        <v>91.0</v>
      </c>
      <c r="K213" s="17">
        <v>36.0</v>
      </c>
      <c r="L213" s="29">
        <f t="shared" si="2"/>
        <v>485</v>
      </c>
    </row>
    <row r="214" ht="23.25" customHeight="1">
      <c r="A214" s="17" t="s">
        <v>3094</v>
      </c>
      <c r="B214" s="17" t="str">
        <f t="shared" si="1"/>
        <v/>
      </c>
      <c r="C214" s="17" t="s">
        <v>854</v>
      </c>
      <c r="D214" s="17" t="s">
        <v>2744</v>
      </c>
      <c r="E214" s="17" t="s">
        <v>2716</v>
      </c>
      <c r="F214" s="17">
        <v>70.0</v>
      </c>
      <c r="G214" s="17">
        <v>90.0</v>
      </c>
      <c r="H214" s="17">
        <v>110.0</v>
      </c>
      <c r="I214" s="17">
        <v>60.0</v>
      </c>
      <c r="J214" s="17">
        <v>75.0</v>
      </c>
      <c r="K214" s="17">
        <v>95.0</v>
      </c>
      <c r="L214" s="29">
        <f t="shared" si="2"/>
        <v>500</v>
      </c>
    </row>
    <row r="215" ht="23.25" customHeight="1">
      <c r="A215" s="17" t="s">
        <v>3095</v>
      </c>
      <c r="B215" s="17" t="str">
        <f t="shared" si="1"/>
        <v/>
      </c>
      <c r="C215" s="17" t="s">
        <v>1740</v>
      </c>
      <c r="D215" s="17" t="s">
        <v>2738</v>
      </c>
      <c r="E215" s="17"/>
      <c r="F215" s="17">
        <v>41.0</v>
      </c>
      <c r="G215" s="17">
        <v>64.0</v>
      </c>
      <c r="H215" s="17">
        <v>45.0</v>
      </c>
      <c r="I215" s="17">
        <v>50.0</v>
      </c>
      <c r="J215" s="17">
        <v>50.0</v>
      </c>
      <c r="K215" s="17">
        <v>50.0</v>
      </c>
      <c r="L215" s="29">
        <f t="shared" si="2"/>
        <v>300</v>
      </c>
    </row>
    <row r="216" ht="23.25" customHeight="1">
      <c r="A216" s="17" t="s">
        <v>3096</v>
      </c>
      <c r="B216" s="17" t="str">
        <f t="shared" si="1"/>
        <v/>
      </c>
      <c r="C216" s="17" t="s">
        <v>3097</v>
      </c>
      <c r="D216" s="17" t="s">
        <v>2736</v>
      </c>
      <c r="E216" s="17" t="s">
        <v>2725</v>
      </c>
      <c r="F216" s="17">
        <v>90.0</v>
      </c>
      <c r="G216" s="17">
        <v>115.0</v>
      </c>
      <c r="H216" s="17">
        <v>90.0</v>
      </c>
      <c r="I216" s="17">
        <v>48.0</v>
      </c>
      <c r="J216" s="17">
        <v>68.0</v>
      </c>
      <c r="K216" s="17">
        <v>74.0</v>
      </c>
      <c r="L216" s="29">
        <f t="shared" si="2"/>
        <v>485</v>
      </c>
    </row>
    <row r="217" ht="23.25" customHeight="1">
      <c r="A217" s="17" t="s">
        <v>3098</v>
      </c>
      <c r="B217" s="17" t="str">
        <f t="shared" si="1"/>
        <v/>
      </c>
      <c r="C217" s="17" t="s">
        <v>3099</v>
      </c>
      <c r="D217" s="17" t="s">
        <v>2738</v>
      </c>
      <c r="E217" s="17" t="s">
        <v>2723</v>
      </c>
      <c r="F217" s="17">
        <v>28.0</v>
      </c>
      <c r="G217" s="17">
        <v>60.0</v>
      </c>
      <c r="H217" s="17">
        <v>30.0</v>
      </c>
      <c r="I217" s="17">
        <v>40.0</v>
      </c>
      <c r="J217" s="17">
        <v>30.0</v>
      </c>
      <c r="K217" s="17">
        <v>82.0</v>
      </c>
      <c r="L217" s="29">
        <f t="shared" si="2"/>
        <v>270</v>
      </c>
    </row>
    <row r="218" ht="23.25" customHeight="1">
      <c r="A218" s="17" t="s">
        <v>3100</v>
      </c>
      <c r="B218" s="17" t="str">
        <f t="shared" si="1"/>
        <v/>
      </c>
      <c r="C218" s="17" t="s">
        <v>875</v>
      </c>
      <c r="D218" s="17" t="s">
        <v>2723</v>
      </c>
      <c r="E218" s="17" t="s">
        <v>2726</v>
      </c>
      <c r="F218" s="17">
        <v>150.0</v>
      </c>
      <c r="G218" s="17">
        <v>80.0</v>
      </c>
      <c r="H218" s="17">
        <v>44.0</v>
      </c>
      <c r="I218" s="17">
        <v>90.0</v>
      </c>
      <c r="J218" s="17">
        <v>54.0</v>
      </c>
      <c r="K218" s="17">
        <v>80.0</v>
      </c>
      <c r="L218" s="29">
        <f t="shared" si="2"/>
        <v>498</v>
      </c>
    </row>
    <row r="219" ht="23.25" customHeight="1">
      <c r="A219" s="17" t="s">
        <v>3101</v>
      </c>
      <c r="B219" s="17" t="str">
        <f t="shared" si="1"/>
        <v/>
      </c>
      <c r="C219" s="17" t="s">
        <v>1178</v>
      </c>
      <c r="D219" s="17" t="s">
        <v>2723</v>
      </c>
      <c r="E219" s="17" t="s">
        <v>2726</v>
      </c>
      <c r="F219" s="17">
        <v>90.0</v>
      </c>
      <c r="G219" s="17">
        <v>50.0</v>
      </c>
      <c r="H219" s="17">
        <v>34.0</v>
      </c>
      <c r="I219" s="17">
        <v>60.0</v>
      </c>
      <c r="J219" s="17">
        <v>44.0</v>
      </c>
      <c r="K219" s="17">
        <v>70.0</v>
      </c>
      <c r="L219" s="29">
        <f t="shared" si="2"/>
        <v>348</v>
      </c>
    </row>
    <row r="220" ht="23.25" customHeight="1">
      <c r="A220" s="17" t="s">
        <v>3102</v>
      </c>
      <c r="B220" s="17" t="str">
        <f t="shared" si="1"/>
        <v/>
      </c>
      <c r="C220" s="17" t="s">
        <v>3103</v>
      </c>
      <c r="D220" s="17" t="s">
        <v>2803</v>
      </c>
      <c r="E220" s="17"/>
      <c r="F220" s="17">
        <v>60.0</v>
      </c>
      <c r="G220" s="17">
        <v>85.0</v>
      </c>
      <c r="H220" s="17">
        <v>40.0</v>
      </c>
      <c r="I220" s="17">
        <v>30.0</v>
      </c>
      <c r="J220" s="17">
        <v>45.0</v>
      </c>
      <c r="K220" s="17">
        <v>68.0</v>
      </c>
      <c r="L220" s="29">
        <f t="shared" si="2"/>
        <v>328</v>
      </c>
    </row>
    <row r="221" ht="23.25" customHeight="1">
      <c r="A221" s="17" t="s">
        <v>3104</v>
      </c>
      <c r="B221" s="17" t="str">
        <f t="shared" si="1"/>
        <v/>
      </c>
      <c r="C221" s="17" t="s">
        <v>3105</v>
      </c>
      <c r="D221" s="17" t="s">
        <v>2736</v>
      </c>
      <c r="E221" s="17"/>
      <c r="F221" s="17">
        <v>65.0</v>
      </c>
      <c r="G221" s="17">
        <v>60.0</v>
      </c>
      <c r="H221" s="17">
        <v>55.0</v>
      </c>
      <c r="I221" s="17">
        <v>95.0</v>
      </c>
      <c r="J221" s="17">
        <v>55.0</v>
      </c>
      <c r="K221" s="17">
        <v>90.0</v>
      </c>
      <c r="L221" s="29">
        <f t="shared" si="2"/>
        <v>420</v>
      </c>
    </row>
    <row r="222" ht="23.25" customHeight="1">
      <c r="A222" s="17" t="s">
        <v>3106</v>
      </c>
      <c r="B222" s="17" t="str">
        <f t="shared" si="1"/>
        <v/>
      </c>
      <c r="C222" s="17" t="s">
        <v>3107</v>
      </c>
      <c r="D222" s="17" t="s">
        <v>2714</v>
      </c>
      <c r="E222" s="17"/>
      <c r="F222" s="17">
        <v>60.0</v>
      </c>
      <c r="G222" s="17">
        <v>48.0</v>
      </c>
      <c r="H222" s="17">
        <v>45.0</v>
      </c>
      <c r="I222" s="17">
        <v>43.0</v>
      </c>
      <c r="J222" s="17">
        <v>90.0</v>
      </c>
      <c r="K222" s="17">
        <v>42.0</v>
      </c>
      <c r="L222" s="29">
        <f t="shared" si="2"/>
        <v>328</v>
      </c>
    </row>
    <row r="223" ht="23.25" customHeight="1">
      <c r="A223" s="17" t="s">
        <v>3108</v>
      </c>
      <c r="B223" s="17" t="str">
        <f t="shared" si="1"/>
        <v/>
      </c>
      <c r="C223" s="17" t="s">
        <v>3109</v>
      </c>
      <c r="D223" s="17" t="s">
        <v>2738</v>
      </c>
      <c r="E223" s="17"/>
      <c r="F223" s="17">
        <v>77.0</v>
      </c>
      <c r="G223" s="17">
        <v>120.0</v>
      </c>
      <c r="H223" s="17">
        <v>90.0</v>
      </c>
      <c r="I223" s="17">
        <v>60.0</v>
      </c>
      <c r="J223" s="17">
        <v>90.0</v>
      </c>
      <c r="K223" s="17">
        <v>48.0</v>
      </c>
      <c r="L223" s="29">
        <f t="shared" si="2"/>
        <v>485</v>
      </c>
    </row>
    <row r="224" ht="23.25" customHeight="1">
      <c r="A224" s="17" t="s">
        <v>3110</v>
      </c>
      <c r="B224" s="17" t="str">
        <f t="shared" si="1"/>
        <v/>
      </c>
      <c r="C224" s="17" t="s">
        <v>3111</v>
      </c>
      <c r="D224" s="17" t="s">
        <v>2729</v>
      </c>
      <c r="E224" s="17"/>
      <c r="F224" s="17">
        <v>72.0</v>
      </c>
      <c r="G224" s="17">
        <v>80.0</v>
      </c>
      <c r="H224" s="17">
        <v>100.0</v>
      </c>
      <c r="I224" s="17">
        <v>60.0</v>
      </c>
      <c r="J224" s="17">
        <v>90.0</v>
      </c>
      <c r="K224" s="17">
        <v>88.0</v>
      </c>
      <c r="L224" s="29">
        <f t="shared" si="2"/>
        <v>490</v>
      </c>
    </row>
    <row r="225" ht="23.25" customHeight="1">
      <c r="A225" s="17" t="s">
        <v>3112</v>
      </c>
      <c r="B225" s="17" t="str">
        <f t="shared" si="1"/>
        <v/>
      </c>
      <c r="C225" s="17" t="s">
        <v>3113</v>
      </c>
      <c r="D225" s="17" t="s">
        <v>2736</v>
      </c>
      <c r="E225" s="17" t="s">
        <v>2726</v>
      </c>
      <c r="F225" s="17">
        <v>62.0</v>
      </c>
      <c r="G225" s="17">
        <v>44.0</v>
      </c>
      <c r="H225" s="17">
        <v>50.0</v>
      </c>
      <c r="I225" s="17">
        <v>44.0</v>
      </c>
      <c r="J225" s="17">
        <v>50.0</v>
      </c>
      <c r="K225" s="17">
        <v>55.0</v>
      </c>
      <c r="L225" s="29">
        <f t="shared" si="2"/>
        <v>305</v>
      </c>
    </row>
    <row r="226" ht="23.25" customHeight="1">
      <c r="A226" s="17" t="s">
        <v>3114</v>
      </c>
      <c r="B226" s="17" t="str">
        <f t="shared" si="1"/>
        <v/>
      </c>
      <c r="C226" s="17" t="s">
        <v>3115</v>
      </c>
      <c r="D226" s="17" t="s">
        <v>2803</v>
      </c>
      <c r="E226" s="17"/>
      <c r="F226" s="17">
        <v>35.0</v>
      </c>
      <c r="G226" s="17">
        <v>100.0</v>
      </c>
      <c r="H226" s="17">
        <v>50.0</v>
      </c>
      <c r="I226" s="17">
        <v>50.0</v>
      </c>
      <c r="J226" s="17">
        <v>70.0</v>
      </c>
      <c r="K226" s="17">
        <v>120.0</v>
      </c>
      <c r="L226" s="29">
        <f t="shared" si="2"/>
        <v>425</v>
      </c>
    </row>
    <row r="227" ht="23.25" customHeight="1">
      <c r="A227" s="17" t="s">
        <v>3116</v>
      </c>
      <c r="B227" s="17" t="str">
        <f t="shared" si="1"/>
        <v/>
      </c>
      <c r="C227" s="17" t="s">
        <v>1868</v>
      </c>
      <c r="D227" s="17" t="s">
        <v>2729</v>
      </c>
      <c r="E227" s="17"/>
      <c r="F227" s="17">
        <v>100.0</v>
      </c>
      <c r="G227" s="17">
        <v>70.0</v>
      </c>
      <c r="H227" s="17">
        <v>70.0</v>
      </c>
      <c r="I227" s="17">
        <v>65.0</v>
      </c>
      <c r="J227" s="17">
        <v>65.0</v>
      </c>
      <c r="K227" s="17">
        <v>45.0</v>
      </c>
      <c r="L227" s="29">
        <f t="shared" si="2"/>
        <v>415</v>
      </c>
    </row>
    <row r="228" ht="23.25" customHeight="1">
      <c r="A228" s="17" t="s">
        <v>3117</v>
      </c>
      <c r="B228" s="17" t="str">
        <f t="shared" si="1"/>
        <v/>
      </c>
      <c r="C228" s="17" t="s">
        <v>3118</v>
      </c>
      <c r="D228" s="17" t="s">
        <v>2714</v>
      </c>
      <c r="E228" s="17"/>
      <c r="F228" s="17">
        <v>65.0</v>
      </c>
      <c r="G228" s="17">
        <v>40.0</v>
      </c>
      <c r="H228" s="17">
        <v>50.0</v>
      </c>
      <c r="I228" s="17">
        <v>125.0</v>
      </c>
      <c r="J228" s="17">
        <v>60.0</v>
      </c>
      <c r="K228" s="17">
        <v>30.0</v>
      </c>
      <c r="L228" s="29">
        <f t="shared" si="2"/>
        <v>370</v>
      </c>
    </row>
    <row r="229" ht="23.25" customHeight="1">
      <c r="A229" s="17" t="s">
        <v>3119</v>
      </c>
      <c r="B229" s="17" t="str">
        <f t="shared" si="1"/>
        <v/>
      </c>
      <c r="C229" s="17" t="s">
        <v>3120</v>
      </c>
      <c r="D229" s="17" t="s">
        <v>2722</v>
      </c>
      <c r="E229" s="17" t="s">
        <v>2738</v>
      </c>
      <c r="F229" s="17">
        <v>70.0</v>
      </c>
      <c r="G229" s="17">
        <v>95.0</v>
      </c>
      <c r="H229" s="17">
        <v>115.0</v>
      </c>
      <c r="I229" s="17">
        <v>120.0</v>
      </c>
      <c r="J229" s="17">
        <v>50.0</v>
      </c>
      <c r="K229" s="17">
        <v>85.0</v>
      </c>
      <c r="L229" s="29">
        <f t="shared" si="2"/>
        <v>535</v>
      </c>
    </row>
    <row r="230" ht="23.25" customHeight="1">
      <c r="A230" s="17" t="s">
        <v>3121</v>
      </c>
      <c r="B230" s="17" t="str">
        <f t="shared" si="1"/>
        <v/>
      </c>
      <c r="C230" s="17" t="s">
        <v>3122</v>
      </c>
      <c r="D230" s="17" t="s">
        <v>2719</v>
      </c>
      <c r="E230" s="17" t="s">
        <v>2722</v>
      </c>
      <c r="F230" s="17">
        <v>58.0</v>
      </c>
      <c r="G230" s="17">
        <v>109.0</v>
      </c>
      <c r="H230" s="17">
        <v>112.0</v>
      </c>
      <c r="I230" s="17">
        <v>48.0</v>
      </c>
      <c r="J230" s="17">
        <v>48.0</v>
      </c>
      <c r="K230" s="17">
        <v>109.0</v>
      </c>
      <c r="L230" s="29">
        <f t="shared" si="2"/>
        <v>484</v>
      </c>
    </row>
    <row r="231" ht="23.25" customHeight="1">
      <c r="A231" s="17" t="s">
        <v>3123</v>
      </c>
      <c r="B231" s="17" t="str">
        <f t="shared" si="1"/>
        <v/>
      </c>
      <c r="C231" s="17" t="s">
        <v>1784</v>
      </c>
      <c r="D231" s="17" t="s">
        <v>2723</v>
      </c>
      <c r="E231" s="17"/>
      <c r="F231" s="17">
        <v>40.0</v>
      </c>
      <c r="G231" s="17">
        <v>70.0</v>
      </c>
      <c r="H231" s="17">
        <v>130.0</v>
      </c>
      <c r="I231" s="17">
        <v>60.0</v>
      </c>
      <c r="J231" s="17">
        <v>130.0</v>
      </c>
      <c r="K231" s="17">
        <v>25.0</v>
      </c>
      <c r="L231" s="29">
        <f t="shared" si="2"/>
        <v>455</v>
      </c>
    </row>
    <row r="232" ht="23.25" customHeight="1">
      <c r="A232" s="17" t="s">
        <v>3124</v>
      </c>
      <c r="B232" s="17" t="str">
        <f t="shared" si="1"/>
        <v/>
      </c>
      <c r="C232" s="17" t="s">
        <v>2507</v>
      </c>
      <c r="D232" s="17" t="s">
        <v>2723</v>
      </c>
      <c r="E232" s="17"/>
      <c r="F232" s="17">
        <v>45.0</v>
      </c>
      <c r="G232" s="17">
        <v>100.0</v>
      </c>
      <c r="H232" s="17">
        <v>135.0</v>
      </c>
      <c r="I232" s="17">
        <v>65.0</v>
      </c>
      <c r="J232" s="17">
        <v>135.0</v>
      </c>
      <c r="K232" s="17">
        <v>45.0</v>
      </c>
      <c r="L232" s="29">
        <f t="shared" si="2"/>
        <v>525</v>
      </c>
    </row>
    <row r="233" ht="23.25" customHeight="1">
      <c r="A233" s="17" t="s">
        <v>3125</v>
      </c>
      <c r="B233" s="17" t="str">
        <f t="shared" si="1"/>
        <v/>
      </c>
      <c r="C233" s="17" t="s">
        <v>1885</v>
      </c>
      <c r="D233" s="17" t="s">
        <v>2723</v>
      </c>
      <c r="E233" s="17"/>
      <c r="F233" s="17">
        <v>20.0</v>
      </c>
      <c r="G233" s="17">
        <v>40.0</v>
      </c>
      <c r="H233" s="17">
        <v>90.0</v>
      </c>
      <c r="I233" s="17">
        <v>30.0</v>
      </c>
      <c r="J233" s="17">
        <v>90.0</v>
      </c>
      <c r="K233" s="17">
        <v>25.0</v>
      </c>
      <c r="L233" s="29">
        <f t="shared" si="2"/>
        <v>295</v>
      </c>
    </row>
    <row r="234" ht="23.25" customHeight="1">
      <c r="A234" s="17" t="s">
        <v>3126</v>
      </c>
      <c r="B234" s="17" t="str">
        <f t="shared" si="1"/>
        <v/>
      </c>
      <c r="C234" s="17" t="s">
        <v>293</v>
      </c>
      <c r="D234" s="17" t="s">
        <v>2719</v>
      </c>
      <c r="E234" s="17" t="s">
        <v>2744</v>
      </c>
      <c r="F234" s="17">
        <v>60.0</v>
      </c>
      <c r="G234" s="17">
        <v>50.0</v>
      </c>
      <c r="H234" s="17">
        <v>70.0</v>
      </c>
      <c r="I234" s="17">
        <v>50.0</v>
      </c>
      <c r="J234" s="17">
        <v>90.0</v>
      </c>
      <c r="K234" s="17">
        <v>65.0</v>
      </c>
      <c r="L234" s="29">
        <f t="shared" si="2"/>
        <v>385</v>
      </c>
    </row>
    <row r="235" ht="23.25" customHeight="1">
      <c r="A235" s="17" t="s">
        <v>3127</v>
      </c>
      <c r="B235" s="17" t="str">
        <f t="shared" si="1"/>
        <v/>
      </c>
      <c r="C235" s="17" t="s">
        <v>3128</v>
      </c>
      <c r="D235" s="17" t="s">
        <v>2719</v>
      </c>
      <c r="E235" s="17" t="s">
        <v>2725</v>
      </c>
      <c r="F235" s="17">
        <v>50.0</v>
      </c>
      <c r="G235" s="17">
        <v>65.0</v>
      </c>
      <c r="H235" s="17">
        <v>85.0</v>
      </c>
      <c r="I235" s="17">
        <v>35.0</v>
      </c>
      <c r="J235" s="17">
        <v>35.0</v>
      </c>
      <c r="K235" s="17">
        <v>55.0</v>
      </c>
      <c r="L235" s="29">
        <f t="shared" si="2"/>
        <v>325</v>
      </c>
    </row>
    <row r="236" ht="23.25" customHeight="1">
      <c r="A236" s="17" t="s">
        <v>3129</v>
      </c>
      <c r="B236" s="17" t="str">
        <f t="shared" si="1"/>
        <v/>
      </c>
      <c r="C236" s="17" t="s">
        <v>3130</v>
      </c>
      <c r="D236" s="17" t="s">
        <v>2746</v>
      </c>
      <c r="E236" s="17"/>
      <c r="F236" s="17">
        <v>65.0</v>
      </c>
      <c r="G236" s="17">
        <v>85.0</v>
      </c>
      <c r="H236" s="17">
        <v>70.0</v>
      </c>
      <c r="I236" s="17">
        <v>75.0</v>
      </c>
      <c r="J236" s="17">
        <v>70.0</v>
      </c>
      <c r="K236" s="17">
        <v>40.0</v>
      </c>
      <c r="L236" s="29">
        <f t="shared" si="2"/>
        <v>405</v>
      </c>
    </row>
    <row r="237" ht="23.25" customHeight="1">
      <c r="A237" s="17" t="s">
        <v>3131</v>
      </c>
      <c r="B237" s="17" t="str">
        <f t="shared" si="1"/>
        <v/>
      </c>
      <c r="C237" s="17" t="s">
        <v>3132</v>
      </c>
      <c r="D237" s="17" t="s">
        <v>2746</v>
      </c>
      <c r="E237" s="17"/>
      <c r="F237" s="17">
        <v>85.0</v>
      </c>
      <c r="G237" s="17">
        <v>115.0</v>
      </c>
      <c r="H237" s="17">
        <v>80.0</v>
      </c>
      <c r="I237" s="17">
        <v>105.0</v>
      </c>
      <c r="J237" s="17">
        <v>80.0</v>
      </c>
      <c r="K237" s="17">
        <v>50.0</v>
      </c>
      <c r="L237" s="29">
        <f t="shared" si="2"/>
        <v>515</v>
      </c>
    </row>
    <row r="238" ht="23.25" customHeight="1">
      <c r="A238" s="17" t="s">
        <v>3133</v>
      </c>
      <c r="B238" s="17" t="str">
        <f t="shared" si="1"/>
        <v/>
      </c>
      <c r="C238" s="17" t="s">
        <v>3134</v>
      </c>
      <c r="D238" s="17" t="s">
        <v>2729</v>
      </c>
      <c r="E238" s="17"/>
      <c r="F238" s="17">
        <v>55.0</v>
      </c>
      <c r="G238" s="17">
        <v>55.0</v>
      </c>
      <c r="H238" s="17">
        <v>50.0</v>
      </c>
      <c r="I238" s="17">
        <v>45.0</v>
      </c>
      <c r="J238" s="17">
        <v>65.0</v>
      </c>
      <c r="K238" s="17">
        <v>55.0</v>
      </c>
      <c r="L238" s="29">
        <f t="shared" si="2"/>
        <v>325</v>
      </c>
    </row>
    <row r="239" ht="23.25" customHeight="1">
      <c r="A239" s="17" t="s">
        <v>3135</v>
      </c>
      <c r="B239" s="17" t="str">
        <f t="shared" si="1"/>
        <v/>
      </c>
      <c r="C239" s="17" t="s">
        <v>3136</v>
      </c>
      <c r="D239" s="17" t="s">
        <v>2712</v>
      </c>
      <c r="E239" s="17"/>
      <c r="F239" s="17">
        <v>75.0</v>
      </c>
      <c r="G239" s="17">
        <v>80.0</v>
      </c>
      <c r="H239" s="17">
        <v>110.0</v>
      </c>
      <c r="I239" s="17">
        <v>65.0</v>
      </c>
      <c r="J239" s="17">
        <v>90.0</v>
      </c>
      <c r="K239" s="17">
        <v>50.0</v>
      </c>
      <c r="L239" s="29">
        <f t="shared" si="2"/>
        <v>470</v>
      </c>
    </row>
    <row r="240" ht="23.25" customHeight="1">
      <c r="A240" s="17" t="s">
        <v>3137</v>
      </c>
      <c r="B240" s="17" t="str">
        <f t="shared" si="1"/>
        <v/>
      </c>
      <c r="C240" s="17" t="s">
        <v>3138</v>
      </c>
      <c r="D240" s="17" t="s">
        <v>2744</v>
      </c>
      <c r="E240" s="17"/>
      <c r="F240" s="17">
        <v>35.0</v>
      </c>
      <c r="G240" s="17">
        <v>60.0</v>
      </c>
      <c r="H240" s="17">
        <v>44.0</v>
      </c>
      <c r="I240" s="17">
        <v>40.0</v>
      </c>
      <c r="J240" s="17">
        <v>54.0</v>
      </c>
      <c r="K240" s="17">
        <v>55.0</v>
      </c>
      <c r="L240" s="29">
        <f t="shared" si="2"/>
        <v>288</v>
      </c>
    </row>
    <row r="241" ht="23.25" customHeight="1">
      <c r="A241" s="17" t="s">
        <v>3139</v>
      </c>
      <c r="B241" s="17" t="str">
        <f t="shared" si="1"/>
        <v/>
      </c>
      <c r="C241" s="17" t="s">
        <v>3140</v>
      </c>
      <c r="D241" s="17" t="s">
        <v>2711</v>
      </c>
      <c r="E241" s="17"/>
      <c r="F241" s="17">
        <v>60.0</v>
      </c>
      <c r="G241" s="17">
        <v>50.0</v>
      </c>
      <c r="H241" s="17">
        <v>90.0</v>
      </c>
      <c r="I241" s="17">
        <v>80.0</v>
      </c>
      <c r="J241" s="17">
        <v>120.0</v>
      </c>
      <c r="K241" s="17">
        <v>60.0</v>
      </c>
      <c r="L241" s="29">
        <f t="shared" si="2"/>
        <v>460</v>
      </c>
    </row>
    <row r="242" ht="23.25" customHeight="1">
      <c r="A242" s="17" t="s">
        <v>3141</v>
      </c>
      <c r="B242" s="17" t="str">
        <f t="shared" si="1"/>
        <v/>
      </c>
      <c r="C242" s="17" t="s">
        <v>3142</v>
      </c>
      <c r="D242" s="17" t="s">
        <v>2746</v>
      </c>
      <c r="E242" s="17"/>
      <c r="F242" s="17">
        <v>65.0</v>
      </c>
      <c r="G242" s="17">
        <v>83.0</v>
      </c>
      <c r="H242" s="17">
        <v>57.0</v>
      </c>
      <c r="I242" s="17">
        <v>95.0</v>
      </c>
      <c r="J242" s="17">
        <v>85.0</v>
      </c>
      <c r="K242" s="17">
        <v>105.0</v>
      </c>
      <c r="L242" s="29">
        <f t="shared" si="2"/>
        <v>490</v>
      </c>
    </row>
    <row r="243" ht="23.25" customHeight="1">
      <c r="A243" s="17" t="s">
        <v>3143</v>
      </c>
      <c r="B243" s="17" t="str">
        <f t="shared" si="1"/>
        <v/>
      </c>
      <c r="C243" s="17" t="s">
        <v>2543</v>
      </c>
      <c r="D243" s="17" t="s">
        <v>2746</v>
      </c>
      <c r="E243" s="17"/>
      <c r="F243" s="17">
        <v>75.0</v>
      </c>
      <c r="G243" s="17">
        <v>123.0</v>
      </c>
      <c r="H243" s="17">
        <v>67.0</v>
      </c>
      <c r="I243" s="17">
        <v>95.0</v>
      </c>
      <c r="J243" s="17">
        <v>85.0</v>
      </c>
      <c r="K243" s="17">
        <v>95.0</v>
      </c>
      <c r="L243" s="29">
        <f t="shared" si="2"/>
        <v>540</v>
      </c>
    </row>
    <row r="244" ht="23.25" customHeight="1">
      <c r="A244" s="17" t="s">
        <v>3144</v>
      </c>
      <c r="B244" s="17" t="str">
        <f t="shared" si="1"/>
        <v/>
      </c>
      <c r="C244" s="17" t="s">
        <v>3145</v>
      </c>
      <c r="D244" s="17" t="s">
        <v>2711</v>
      </c>
      <c r="E244" s="17" t="s">
        <v>2746</v>
      </c>
      <c r="F244" s="17">
        <v>59.0</v>
      </c>
      <c r="G244" s="17">
        <v>81.0</v>
      </c>
      <c r="H244" s="17">
        <v>67.0</v>
      </c>
      <c r="I244" s="17">
        <v>57.0</v>
      </c>
      <c r="J244" s="17">
        <v>55.0</v>
      </c>
      <c r="K244" s="17">
        <v>101.0</v>
      </c>
      <c r="L244" s="29">
        <f t="shared" si="2"/>
        <v>420</v>
      </c>
    </row>
    <row r="245" ht="23.25" customHeight="1">
      <c r="A245" s="17" t="s">
        <v>3146</v>
      </c>
      <c r="B245" s="17" t="str">
        <f t="shared" si="1"/>
        <v/>
      </c>
      <c r="C245" s="17" t="s">
        <v>3147</v>
      </c>
      <c r="D245" s="17" t="s">
        <v>2746</v>
      </c>
      <c r="E245" s="17"/>
      <c r="F245" s="17">
        <v>40.0</v>
      </c>
      <c r="G245" s="17">
        <v>45.0</v>
      </c>
      <c r="H245" s="17">
        <v>40.0</v>
      </c>
      <c r="I245" s="17">
        <v>65.0</v>
      </c>
      <c r="J245" s="17">
        <v>40.0</v>
      </c>
      <c r="K245" s="17">
        <v>65.0</v>
      </c>
      <c r="L245" s="29">
        <f t="shared" si="2"/>
        <v>295</v>
      </c>
    </row>
    <row r="246" ht="23.25" customHeight="1">
      <c r="A246" s="17" t="s">
        <v>3148</v>
      </c>
      <c r="B246" s="17" t="str">
        <f t="shared" si="1"/>
        <v/>
      </c>
      <c r="C246" s="17" t="s">
        <v>3149</v>
      </c>
      <c r="D246" s="17" t="s">
        <v>2746</v>
      </c>
      <c r="E246" s="17"/>
      <c r="F246" s="17">
        <v>60.0</v>
      </c>
      <c r="G246" s="17">
        <v>50.0</v>
      </c>
      <c r="H246" s="17">
        <v>70.0</v>
      </c>
      <c r="I246" s="17">
        <v>80.0</v>
      </c>
      <c r="J246" s="17">
        <v>80.0</v>
      </c>
      <c r="K246" s="17">
        <v>150.0</v>
      </c>
      <c r="L246" s="29">
        <f t="shared" si="2"/>
        <v>490</v>
      </c>
    </row>
    <row r="247" ht="23.25" customHeight="1">
      <c r="A247" s="17" t="s">
        <v>3150</v>
      </c>
      <c r="B247" s="17" t="str">
        <f t="shared" si="1"/>
        <v/>
      </c>
      <c r="C247" s="17" t="s">
        <v>3151</v>
      </c>
      <c r="D247" s="17" t="s">
        <v>2746</v>
      </c>
      <c r="E247" s="17"/>
      <c r="F247" s="17">
        <v>45.0</v>
      </c>
      <c r="G247" s="17">
        <v>63.0</v>
      </c>
      <c r="H247" s="17">
        <v>37.0</v>
      </c>
      <c r="I247" s="17">
        <v>65.0</v>
      </c>
      <c r="J247" s="17">
        <v>55.0</v>
      </c>
      <c r="K247" s="17">
        <v>95.0</v>
      </c>
      <c r="L247" s="29">
        <f t="shared" si="2"/>
        <v>360</v>
      </c>
    </row>
    <row r="248" ht="23.25" customHeight="1">
      <c r="A248" s="17" t="s">
        <v>3152</v>
      </c>
      <c r="B248" s="17" t="str">
        <f t="shared" si="1"/>
        <v/>
      </c>
      <c r="C248" s="17" t="s">
        <v>3153</v>
      </c>
      <c r="D248" s="17" t="s">
        <v>2714</v>
      </c>
      <c r="E248" s="17"/>
      <c r="F248" s="17">
        <v>55.0</v>
      </c>
      <c r="G248" s="17">
        <v>55.0</v>
      </c>
      <c r="H248" s="17">
        <v>55.0</v>
      </c>
      <c r="I248" s="17">
        <v>85.0</v>
      </c>
      <c r="J248" s="17">
        <v>55.0</v>
      </c>
      <c r="K248" s="17">
        <v>30.0</v>
      </c>
      <c r="L248" s="29">
        <f t="shared" si="2"/>
        <v>335</v>
      </c>
    </row>
    <row r="249" ht="23.25" customHeight="1">
      <c r="A249" s="17" t="s">
        <v>3154</v>
      </c>
      <c r="B249" s="17" t="str">
        <f t="shared" si="1"/>
        <v/>
      </c>
      <c r="C249" s="17" t="s">
        <v>3155</v>
      </c>
      <c r="D249" s="17" t="s">
        <v>2758</v>
      </c>
      <c r="E249" s="17" t="s">
        <v>2711</v>
      </c>
      <c r="F249" s="17">
        <v>60.0</v>
      </c>
      <c r="G249" s="17">
        <v>40.0</v>
      </c>
      <c r="H249" s="17">
        <v>55.0</v>
      </c>
      <c r="I249" s="17">
        <v>65.0</v>
      </c>
      <c r="J249" s="17">
        <v>40.0</v>
      </c>
      <c r="K249" s="17">
        <v>60.0</v>
      </c>
      <c r="L249" s="29">
        <f t="shared" si="2"/>
        <v>320</v>
      </c>
    </row>
    <row r="250" ht="23.25" customHeight="1">
      <c r="A250" s="17" t="s">
        <v>3156</v>
      </c>
      <c r="B250" s="17" t="str">
        <f t="shared" si="1"/>
        <v/>
      </c>
      <c r="C250" s="17" t="s">
        <v>3157</v>
      </c>
      <c r="D250" s="17" t="s">
        <v>2758</v>
      </c>
      <c r="E250" s="17" t="s">
        <v>2773</v>
      </c>
      <c r="F250" s="17">
        <v>110.0</v>
      </c>
      <c r="G250" s="17">
        <v>123.0</v>
      </c>
      <c r="H250" s="17">
        <v>65.0</v>
      </c>
      <c r="I250" s="17">
        <v>100.0</v>
      </c>
      <c r="J250" s="17">
        <v>65.0</v>
      </c>
      <c r="K250" s="17">
        <v>65.0</v>
      </c>
      <c r="L250" s="29">
        <f t="shared" si="2"/>
        <v>528</v>
      </c>
    </row>
    <row r="251" ht="23.25" customHeight="1">
      <c r="A251" s="17" t="s">
        <v>3158</v>
      </c>
      <c r="B251" s="17" t="str">
        <f t="shared" si="1"/>
        <v/>
      </c>
      <c r="C251" s="17" t="s">
        <v>3159</v>
      </c>
      <c r="D251" s="17" t="s">
        <v>2746</v>
      </c>
      <c r="E251" s="17" t="s">
        <v>2726</v>
      </c>
      <c r="F251" s="17">
        <v>55.0</v>
      </c>
      <c r="G251" s="17">
        <v>75.0</v>
      </c>
      <c r="H251" s="17">
        <v>60.0</v>
      </c>
      <c r="I251" s="17">
        <v>75.0</v>
      </c>
      <c r="J251" s="17">
        <v>60.0</v>
      </c>
      <c r="K251" s="17">
        <v>103.0</v>
      </c>
      <c r="L251" s="29">
        <f t="shared" si="2"/>
        <v>428</v>
      </c>
    </row>
    <row r="252" ht="23.25" customHeight="1">
      <c r="A252" s="17" t="s">
        <v>3160</v>
      </c>
      <c r="B252" s="17" t="str">
        <f t="shared" si="1"/>
        <v/>
      </c>
      <c r="C252" s="17" t="s">
        <v>737</v>
      </c>
      <c r="D252" s="17" t="s">
        <v>2736</v>
      </c>
      <c r="E252" s="17" t="s">
        <v>2722</v>
      </c>
      <c r="F252" s="17">
        <v>84.0</v>
      </c>
      <c r="G252" s="17">
        <v>86.0</v>
      </c>
      <c r="H252" s="17">
        <v>88.0</v>
      </c>
      <c r="I252" s="17">
        <v>111.0</v>
      </c>
      <c r="J252" s="17">
        <v>101.0</v>
      </c>
      <c r="K252" s="17">
        <v>60.0</v>
      </c>
      <c r="L252" s="29">
        <f t="shared" si="2"/>
        <v>530</v>
      </c>
    </row>
    <row r="253" ht="23.25" customHeight="1">
      <c r="A253" s="17" t="s">
        <v>3161</v>
      </c>
      <c r="B253" s="17" t="str">
        <f t="shared" si="1"/>
        <v/>
      </c>
      <c r="C253" s="17" t="s">
        <v>3162</v>
      </c>
      <c r="D253" s="17" t="s">
        <v>2758</v>
      </c>
      <c r="E253" s="17"/>
      <c r="F253" s="17">
        <v>115.0</v>
      </c>
      <c r="G253" s="17">
        <v>115.0</v>
      </c>
      <c r="H253" s="17">
        <v>85.0</v>
      </c>
      <c r="I253" s="17">
        <v>90.0</v>
      </c>
      <c r="J253" s="17">
        <v>75.0</v>
      </c>
      <c r="K253" s="17">
        <v>100.0</v>
      </c>
      <c r="L253" s="29">
        <f t="shared" si="2"/>
        <v>580</v>
      </c>
    </row>
    <row r="254" ht="23.25" customHeight="1">
      <c r="A254" s="17" t="s">
        <v>3163</v>
      </c>
      <c r="B254" s="17" t="str">
        <f t="shared" si="1"/>
        <v/>
      </c>
      <c r="C254" s="17" t="s">
        <v>3164</v>
      </c>
      <c r="D254" s="17" t="s">
        <v>2722</v>
      </c>
      <c r="E254" s="17" t="s">
        <v>2803</v>
      </c>
      <c r="F254" s="17">
        <v>102.0</v>
      </c>
      <c r="G254" s="17">
        <v>50.0</v>
      </c>
      <c r="H254" s="17">
        <v>96.0</v>
      </c>
      <c r="I254" s="17">
        <v>121.0</v>
      </c>
      <c r="J254" s="17">
        <v>118.0</v>
      </c>
      <c r="K254" s="17">
        <v>60.0</v>
      </c>
      <c r="L254" s="29">
        <f t="shared" si="2"/>
        <v>547</v>
      </c>
    </row>
    <row r="255" ht="23.25" customHeight="1">
      <c r="A255" s="17" t="s">
        <v>3165</v>
      </c>
      <c r="B255" s="17" t="str">
        <f t="shared" si="1"/>
        <v/>
      </c>
      <c r="C255" s="17" t="s">
        <v>3166</v>
      </c>
      <c r="D255" s="17" t="s">
        <v>2719</v>
      </c>
      <c r="E255" s="17" t="s">
        <v>2722</v>
      </c>
      <c r="F255" s="17">
        <v>70.0</v>
      </c>
      <c r="G255" s="17">
        <v>135.0</v>
      </c>
      <c r="H255" s="17">
        <v>105.0</v>
      </c>
      <c r="I255" s="17">
        <v>60.0</v>
      </c>
      <c r="J255" s="17">
        <v>105.0</v>
      </c>
      <c r="K255" s="17">
        <v>20.0</v>
      </c>
      <c r="L255" s="29">
        <f t="shared" si="2"/>
        <v>495</v>
      </c>
    </row>
    <row r="256" ht="23.25" customHeight="1">
      <c r="A256" s="17" t="s">
        <v>3167</v>
      </c>
      <c r="B256" s="17" t="str">
        <f t="shared" si="1"/>
        <v/>
      </c>
      <c r="C256" s="17" t="s">
        <v>2580</v>
      </c>
      <c r="D256" s="17" t="s">
        <v>2714</v>
      </c>
      <c r="E256" s="17"/>
      <c r="F256" s="17">
        <v>65.0</v>
      </c>
      <c r="G256" s="17">
        <v>65.0</v>
      </c>
      <c r="H256" s="17">
        <v>60.0</v>
      </c>
      <c r="I256" s="17">
        <v>130.0</v>
      </c>
      <c r="J256" s="17">
        <v>95.0</v>
      </c>
      <c r="K256" s="17">
        <v>110.0</v>
      </c>
      <c r="L256" s="29">
        <f t="shared" si="2"/>
        <v>525</v>
      </c>
    </row>
    <row r="257" ht="23.25" customHeight="1">
      <c r="A257" s="17" t="s">
        <v>3168</v>
      </c>
      <c r="B257" s="17" t="str">
        <f t="shared" si="1"/>
        <v/>
      </c>
      <c r="C257" s="17" t="s">
        <v>3169</v>
      </c>
      <c r="D257" s="17" t="s">
        <v>2714</v>
      </c>
      <c r="E257" s="17"/>
      <c r="F257" s="17">
        <v>62.0</v>
      </c>
      <c r="G257" s="17">
        <v>48.0</v>
      </c>
      <c r="H257" s="17">
        <v>54.0</v>
      </c>
      <c r="I257" s="17">
        <v>63.0</v>
      </c>
      <c r="J257" s="17">
        <v>60.0</v>
      </c>
      <c r="K257" s="17">
        <v>68.0</v>
      </c>
      <c r="L257" s="29">
        <f t="shared" si="2"/>
        <v>355</v>
      </c>
    </row>
    <row r="258" ht="23.25" customHeight="1">
      <c r="A258" s="17" t="s">
        <v>3170</v>
      </c>
      <c r="B258" s="17" t="str">
        <f t="shared" si="1"/>
        <v/>
      </c>
      <c r="C258" s="17" t="s">
        <v>3171</v>
      </c>
      <c r="D258" s="17" t="s">
        <v>2744</v>
      </c>
      <c r="E258" s="17" t="s">
        <v>2738</v>
      </c>
      <c r="F258" s="17">
        <v>140.0</v>
      </c>
      <c r="G258" s="17">
        <v>85.0</v>
      </c>
      <c r="H258" s="17">
        <v>95.0</v>
      </c>
      <c r="I258" s="17">
        <v>145.0</v>
      </c>
      <c r="J258" s="17">
        <v>95.0</v>
      </c>
      <c r="K258" s="17">
        <v>130.0</v>
      </c>
      <c r="L258" s="29">
        <f t="shared" si="2"/>
        <v>690</v>
      </c>
    </row>
    <row r="259" ht="23.25" customHeight="1">
      <c r="A259" s="17" t="s">
        <v>3172</v>
      </c>
      <c r="B259" s="17" t="str">
        <f t="shared" si="1"/>
        <v/>
      </c>
      <c r="C259" s="17" t="s">
        <v>3173</v>
      </c>
      <c r="D259" s="17" t="s">
        <v>2803</v>
      </c>
      <c r="E259" s="17" t="s">
        <v>2722</v>
      </c>
      <c r="F259" s="17">
        <v>110.0</v>
      </c>
      <c r="G259" s="17">
        <v>135.0</v>
      </c>
      <c r="H259" s="17">
        <v>60.0</v>
      </c>
      <c r="I259" s="17">
        <v>50.0</v>
      </c>
      <c r="J259" s="17">
        <v>65.0</v>
      </c>
      <c r="K259" s="17">
        <v>88.0</v>
      </c>
      <c r="L259" s="29">
        <f t="shared" si="2"/>
        <v>508</v>
      </c>
    </row>
    <row r="260" ht="23.25" customHeight="1">
      <c r="A260" s="17" t="s">
        <v>3174</v>
      </c>
      <c r="B260" s="17" t="str">
        <f t="shared" si="1"/>
        <v/>
      </c>
      <c r="C260" s="17" t="s">
        <v>1928</v>
      </c>
      <c r="D260" s="17" t="s">
        <v>2711</v>
      </c>
      <c r="E260" s="17" t="s">
        <v>2714</v>
      </c>
      <c r="F260" s="17">
        <v>60.0</v>
      </c>
      <c r="G260" s="17">
        <v>40.0</v>
      </c>
      <c r="H260" s="17">
        <v>80.0</v>
      </c>
      <c r="I260" s="17">
        <v>60.0</v>
      </c>
      <c r="J260" s="17">
        <v>45.0</v>
      </c>
      <c r="K260" s="17">
        <v>40.0</v>
      </c>
      <c r="L260" s="29">
        <f t="shared" si="2"/>
        <v>325</v>
      </c>
    </row>
    <row r="261" ht="23.25" customHeight="1">
      <c r="A261" s="17" t="s">
        <v>3175</v>
      </c>
      <c r="B261" s="17" t="str">
        <f t="shared" si="1"/>
        <v/>
      </c>
      <c r="C261" s="17" t="s">
        <v>2301</v>
      </c>
      <c r="D261" s="17" t="s">
        <v>2711</v>
      </c>
      <c r="E261" s="17" t="s">
        <v>2714</v>
      </c>
      <c r="F261" s="17">
        <v>95.0</v>
      </c>
      <c r="G261" s="17">
        <v>95.0</v>
      </c>
      <c r="H261" s="17">
        <v>85.0</v>
      </c>
      <c r="I261" s="17">
        <v>125.0</v>
      </c>
      <c r="J261" s="17">
        <v>75.0</v>
      </c>
      <c r="K261" s="17">
        <v>55.0</v>
      </c>
      <c r="L261" s="29">
        <f t="shared" si="2"/>
        <v>530</v>
      </c>
    </row>
    <row r="262" ht="23.25" customHeight="1">
      <c r="A262" s="17" t="s">
        <v>3176</v>
      </c>
      <c r="B262" s="17" t="str">
        <f t="shared" si="1"/>
        <v/>
      </c>
      <c r="C262" s="17" t="s">
        <v>3177</v>
      </c>
      <c r="D262" s="17" t="s">
        <v>2729</v>
      </c>
      <c r="E262" s="17"/>
      <c r="F262" s="17">
        <v>104.0</v>
      </c>
      <c r="G262" s="17">
        <v>91.0</v>
      </c>
      <c r="H262" s="17">
        <v>63.0</v>
      </c>
      <c r="I262" s="17">
        <v>91.0</v>
      </c>
      <c r="J262" s="17">
        <v>73.0</v>
      </c>
      <c r="K262" s="17">
        <v>68.0</v>
      </c>
      <c r="L262" s="29">
        <f t="shared" si="2"/>
        <v>490</v>
      </c>
    </row>
    <row r="263" ht="23.25" customHeight="1">
      <c r="A263" s="17" t="s">
        <v>3178</v>
      </c>
      <c r="B263" s="17" t="str">
        <f t="shared" si="1"/>
        <v/>
      </c>
      <c r="C263" s="17" t="s">
        <v>3179</v>
      </c>
      <c r="D263" s="17" t="s">
        <v>2773</v>
      </c>
      <c r="E263" s="17"/>
      <c r="F263" s="17">
        <v>65.0</v>
      </c>
      <c r="G263" s="17">
        <v>100.0</v>
      </c>
      <c r="H263" s="17">
        <v>100.0</v>
      </c>
      <c r="I263" s="17">
        <v>70.0</v>
      </c>
      <c r="J263" s="17">
        <v>60.0</v>
      </c>
      <c r="K263" s="17">
        <v>75.0</v>
      </c>
      <c r="L263" s="29">
        <f t="shared" si="2"/>
        <v>470</v>
      </c>
    </row>
    <row r="264" ht="23.25" customHeight="1">
      <c r="A264" s="17" t="s">
        <v>3180</v>
      </c>
      <c r="B264" s="17" t="str">
        <f t="shared" si="1"/>
        <v/>
      </c>
      <c r="C264" s="17" t="s">
        <v>1721</v>
      </c>
      <c r="D264" s="17" t="s">
        <v>2729</v>
      </c>
      <c r="E264" s="17" t="s">
        <v>2726</v>
      </c>
      <c r="F264" s="17">
        <v>52.0</v>
      </c>
      <c r="G264" s="17">
        <v>90.0</v>
      </c>
      <c r="H264" s="17">
        <v>55.0</v>
      </c>
      <c r="I264" s="17">
        <v>58.0</v>
      </c>
      <c r="J264" s="17">
        <v>62.0</v>
      </c>
      <c r="K264" s="17">
        <v>60.0</v>
      </c>
      <c r="L264" s="29">
        <f t="shared" si="2"/>
        <v>377</v>
      </c>
    </row>
    <row r="265" ht="23.25" customHeight="1">
      <c r="A265" s="17" t="s">
        <v>3181</v>
      </c>
      <c r="B265" s="17" t="str">
        <f t="shared" si="1"/>
        <v/>
      </c>
      <c r="C265" s="17" t="s">
        <v>3182</v>
      </c>
      <c r="D265" s="17" t="s">
        <v>2711</v>
      </c>
      <c r="E265" s="17"/>
      <c r="F265" s="17">
        <v>49.0</v>
      </c>
      <c r="G265" s="17">
        <v>61.0</v>
      </c>
      <c r="H265" s="17">
        <v>42.0</v>
      </c>
      <c r="I265" s="17">
        <v>52.0</v>
      </c>
      <c r="J265" s="17">
        <v>40.0</v>
      </c>
      <c r="K265" s="17">
        <v>76.0</v>
      </c>
      <c r="L265" s="29">
        <f t="shared" si="2"/>
        <v>320</v>
      </c>
    </row>
    <row r="266" ht="23.25" customHeight="1">
      <c r="A266" s="17" t="s">
        <v>3183</v>
      </c>
      <c r="B266" s="17" t="str">
        <f t="shared" si="1"/>
        <v/>
      </c>
      <c r="C266" s="17" t="s">
        <v>1735</v>
      </c>
      <c r="D266" s="17" t="s">
        <v>2729</v>
      </c>
      <c r="E266" s="17" t="s">
        <v>2726</v>
      </c>
      <c r="F266" s="17">
        <v>65.0</v>
      </c>
      <c r="G266" s="17">
        <v>90.0</v>
      </c>
      <c r="H266" s="17">
        <v>65.0</v>
      </c>
      <c r="I266" s="17">
        <v>61.0</v>
      </c>
      <c r="J266" s="17">
        <v>61.0</v>
      </c>
      <c r="K266" s="17">
        <v>100.0</v>
      </c>
      <c r="L266" s="29">
        <f t="shared" si="2"/>
        <v>442</v>
      </c>
    </row>
    <row r="267" ht="23.25" customHeight="1">
      <c r="A267" s="17" t="s">
        <v>3184</v>
      </c>
      <c r="B267" s="17" t="str">
        <f t="shared" si="1"/>
        <v/>
      </c>
      <c r="C267" s="17" t="s">
        <v>609</v>
      </c>
      <c r="D267" s="17" t="s">
        <v>2736</v>
      </c>
      <c r="E267" s="17"/>
      <c r="F267" s="17">
        <v>20.0</v>
      </c>
      <c r="G267" s="17">
        <v>15.0</v>
      </c>
      <c r="H267" s="17">
        <v>20.0</v>
      </c>
      <c r="I267" s="17">
        <v>10.0</v>
      </c>
      <c r="J267" s="17">
        <v>55.0</v>
      </c>
      <c r="K267" s="17">
        <v>80.0</v>
      </c>
      <c r="L267" s="29">
        <f t="shared" si="2"/>
        <v>200</v>
      </c>
    </row>
    <row r="268" ht="23.25" customHeight="1">
      <c r="A268" s="17" t="s">
        <v>3185</v>
      </c>
      <c r="B268" s="17" t="str">
        <f t="shared" si="1"/>
        <v/>
      </c>
      <c r="C268" s="17" t="s">
        <v>3186</v>
      </c>
      <c r="D268" s="17" t="s">
        <v>2758</v>
      </c>
      <c r="E268" s="17"/>
      <c r="F268" s="17">
        <v>40.0</v>
      </c>
      <c r="G268" s="17">
        <v>45.0</v>
      </c>
      <c r="H268" s="17">
        <v>40.0</v>
      </c>
      <c r="I268" s="17">
        <v>62.0</v>
      </c>
      <c r="J268" s="17">
        <v>60.0</v>
      </c>
      <c r="K268" s="17">
        <v>60.0</v>
      </c>
      <c r="L268" s="29">
        <f t="shared" si="2"/>
        <v>307</v>
      </c>
    </row>
    <row r="269" ht="23.25" customHeight="1">
      <c r="A269" s="17" t="s">
        <v>3187</v>
      </c>
      <c r="B269" s="17" t="str">
        <f t="shared" si="1"/>
        <v/>
      </c>
      <c r="C269" s="17" t="s">
        <v>3188</v>
      </c>
      <c r="D269" s="17" t="s">
        <v>2736</v>
      </c>
      <c r="E269" s="17"/>
      <c r="F269" s="17">
        <v>85.0</v>
      </c>
      <c r="G269" s="17">
        <v>105.0</v>
      </c>
      <c r="H269" s="17">
        <v>100.0</v>
      </c>
      <c r="I269" s="17">
        <v>79.0</v>
      </c>
      <c r="J269" s="17">
        <v>83.0</v>
      </c>
      <c r="K269" s="17">
        <v>78.0</v>
      </c>
      <c r="L269" s="29">
        <f t="shared" si="2"/>
        <v>530</v>
      </c>
    </row>
    <row r="270" ht="23.25" customHeight="1">
      <c r="A270" s="17" t="s">
        <v>3189</v>
      </c>
      <c r="B270" s="17" t="str">
        <f t="shared" si="1"/>
        <v/>
      </c>
      <c r="C270" s="17" t="s">
        <v>3190</v>
      </c>
      <c r="D270" s="17" t="s">
        <v>2711</v>
      </c>
      <c r="E270" s="17" t="s">
        <v>2722</v>
      </c>
      <c r="F270" s="17">
        <v>44.0</v>
      </c>
      <c r="G270" s="17">
        <v>50.0</v>
      </c>
      <c r="H270" s="17">
        <v>91.0</v>
      </c>
      <c r="I270" s="17">
        <v>24.0</v>
      </c>
      <c r="J270" s="17">
        <v>86.0</v>
      </c>
      <c r="K270" s="17">
        <v>10.0</v>
      </c>
      <c r="L270" s="29">
        <f t="shared" si="2"/>
        <v>305</v>
      </c>
    </row>
    <row r="271" ht="23.25" customHeight="1">
      <c r="A271" s="17" t="s">
        <v>3191</v>
      </c>
      <c r="B271" s="17" t="str">
        <f t="shared" si="1"/>
        <v/>
      </c>
      <c r="C271" s="17" t="s">
        <v>3192</v>
      </c>
      <c r="D271" s="17" t="s">
        <v>2711</v>
      </c>
      <c r="E271" s="17" t="s">
        <v>2722</v>
      </c>
      <c r="F271" s="17">
        <v>74.0</v>
      </c>
      <c r="G271" s="17">
        <v>94.0</v>
      </c>
      <c r="H271" s="17">
        <v>131.0</v>
      </c>
      <c r="I271" s="17">
        <v>54.0</v>
      </c>
      <c r="J271" s="17">
        <v>116.0</v>
      </c>
      <c r="K271" s="17">
        <v>20.0</v>
      </c>
      <c r="L271" s="29">
        <f t="shared" si="2"/>
        <v>489</v>
      </c>
    </row>
    <row r="272" ht="23.25" customHeight="1">
      <c r="A272" s="17" t="s">
        <v>3193</v>
      </c>
      <c r="B272" s="17" t="str">
        <f t="shared" si="1"/>
        <v/>
      </c>
      <c r="C272" s="17" t="s">
        <v>3194</v>
      </c>
      <c r="D272" s="17" t="s">
        <v>2744</v>
      </c>
      <c r="E272" s="17" t="s">
        <v>2803</v>
      </c>
      <c r="F272" s="17">
        <v>95.0</v>
      </c>
      <c r="G272" s="17">
        <v>76.0</v>
      </c>
      <c r="H272" s="17">
        <v>109.0</v>
      </c>
      <c r="I272" s="17">
        <v>90.0</v>
      </c>
      <c r="J272" s="17">
        <v>80.0</v>
      </c>
      <c r="K272" s="17">
        <v>105.0</v>
      </c>
      <c r="L272" s="29">
        <f t="shared" si="2"/>
        <v>555</v>
      </c>
    </row>
    <row r="273" ht="23.25" customHeight="1">
      <c r="A273" s="17" t="s">
        <v>3195</v>
      </c>
      <c r="B273" s="17" t="str">
        <f t="shared" si="1"/>
        <v/>
      </c>
      <c r="C273" s="17" t="s">
        <v>592</v>
      </c>
      <c r="D273" s="17" t="s">
        <v>2736</v>
      </c>
      <c r="E273" s="17"/>
      <c r="F273" s="17">
        <v>49.0</v>
      </c>
      <c r="G273" s="17">
        <v>49.0</v>
      </c>
      <c r="H273" s="17">
        <v>56.0</v>
      </c>
      <c r="I273" s="17">
        <v>49.0</v>
      </c>
      <c r="J273" s="17">
        <v>61.0</v>
      </c>
      <c r="K273" s="17">
        <v>66.0</v>
      </c>
      <c r="L273" s="29">
        <f t="shared" si="2"/>
        <v>330</v>
      </c>
    </row>
    <row r="274" ht="23.25" customHeight="1">
      <c r="A274" s="17" t="s">
        <v>3196</v>
      </c>
      <c r="B274" s="17" t="str">
        <f t="shared" si="1"/>
        <v/>
      </c>
      <c r="C274" s="17" t="s">
        <v>1824</v>
      </c>
      <c r="D274" s="17" t="s">
        <v>2746</v>
      </c>
      <c r="E274" s="17"/>
      <c r="F274" s="17">
        <v>70.0</v>
      </c>
      <c r="G274" s="17">
        <v>55.0</v>
      </c>
      <c r="H274" s="17">
        <v>55.0</v>
      </c>
      <c r="I274" s="17">
        <v>80.0</v>
      </c>
      <c r="J274" s="17">
        <v>60.0</v>
      </c>
      <c r="K274" s="17">
        <v>45.0</v>
      </c>
      <c r="L274" s="29">
        <f t="shared" si="2"/>
        <v>365</v>
      </c>
    </row>
    <row r="275" ht="23.25" customHeight="1">
      <c r="A275" s="17" t="s">
        <v>3197</v>
      </c>
      <c r="B275" s="17" t="str">
        <f t="shared" si="1"/>
        <v/>
      </c>
      <c r="C275" s="17" t="s">
        <v>3198</v>
      </c>
      <c r="D275" s="17" t="s">
        <v>2733</v>
      </c>
      <c r="E275" s="17"/>
      <c r="F275" s="17">
        <v>44.0</v>
      </c>
      <c r="G275" s="17">
        <v>38.0</v>
      </c>
      <c r="H275" s="17">
        <v>39.0</v>
      </c>
      <c r="I275" s="17">
        <v>61.0</v>
      </c>
      <c r="J275" s="17">
        <v>79.0</v>
      </c>
      <c r="K275" s="17">
        <v>42.0</v>
      </c>
      <c r="L275" s="29">
        <f t="shared" si="2"/>
        <v>303</v>
      </c>
    </row>
    <row r="276" ht="23.25" customHeight="1">
      <c r="A276" s="17" t="s">
        <v>3199</v>
      </c>
      <c r="B276" s="17" t="str">
        <f t="shared" si="1"/>
        <v/>
      </c>
      <c r="C276" s="17" t="s">
        <v>3200</v>
      </c>
      <c r="D276" s="17" t="s">
        <v>2711</v>
      </c>
      <c r="E276" s="17" t="s">
        <v>2738</v>
      </c>
      <c r="F276" s="17">
        <v>70.0</v>
      </c>
      <c r="G276" s="17">
        <v>110.0</v>
      </c>
      <c r="H276" s="17">
        <v>80.0</v>
      </c>
      <c r="I276" s="17">
        <v>95.0</v>
      </c>
      <c r="J276" s="17">
        <v>60.0</v>
      </c>
      <c r="K276" s="17">
        <v>70.0</v>
      </c>
      <c r="L276" s="29">
        <f t="shared" si="2"/>
        <v>485</v>
      </c>
    </row>
    <row r="277" ht="23.25" customHeight="1">
      <c r="A277" s="17" t="s">
        <v>3201</v>
      </c>
      <c r="B277" s="17" t="str">
        <f t="shared" si="1"/>
        <v/>
      </c>
      <c r="C277" s="17" t="s">
        <v>3202</v>
      </c>
      <c r="D277" s="17" t="s">
        <v>2758</v>
      </c>
      <c r="E277" s="17" t="s">
        <v>2711</v>
      </c>
      <c r="F277" s="17">
        <v>90.0</v>
      </c>
      <c r="G277" s="17">
        <v>50.0</v>
      </c>
      <c r="H277" s="17">
        <v>95.0</v>
      </c>
      <c r="I277" s="17">
        <v>75.0</v>
      </c>
      <c r="J277" s="17">
        <v>70.0</v>
      </c>
      <c r="K277" s="17">
        <v>40.0</v>
      </c>
      <c r="L277" s="29">
        <f t="shared" si="2"/>
        <v>420</v>
      </c>
    </row>
    <row r="278" ht="23.25" customHeight="1">
      <c r="A278" s="17" t="s">
        <v>3203</v>
      </c>
      <c r="B278" s="17" t="str">
        <f t="shared" si="1"/>
        <v/>
      </c>
      <c r="C278" s="17" t="s">
        <v>2565</v>
      </c>
      <c r="D278" s="17" t="s">
        <v>2758</v>
      </c>
      <c r="E278" s="17"/>
      <c r="F278" s="17">
        <v>65.0</v>
      </c>
      <c r="G278" s="17">
        <v>130.0</v>
      </c>
      <c r="H278" s="17">
        <v>60.0</v>
      </c>
      <c r="I278" s="17">
        <v>95.0</v>
      </c>
      <c r="J278" s="17">
        <v>110.0</v>
      </c>
      <c r="K278" s="17">
        <v>65.0</v>
      </c>
      <c r="L278" s="29">
        <f t="shared" si="2"/>
        <v>525</v>
      </c>
    </row>
    <row r="279" ht="23.25" customHeight="1">
      <c r="A279" s="17" t="s">
        <v>3204</v>
      </c>
      <c r="B279" s="17" t="str">
        <f t="shared" si="1"/>
        <v/>
      </c>
      <c r="C279" s="17" t="s">
        <v>3205</v>
      </c>
      <c r="D279" s="17" t="s">
        <v>2758</v>
      </c>
      <c r="E279" s="17" t="s">
        <v>2726</v>
      </c>
      <c r="F279" s="17">
        <v>62.0</v>
      </c>
      <c r="G279" s="17">
        <v>73.0</v>
      </c>
      <c r="H279" s="17">
        <v>55.0</v>
      </c>
      <c r="I279" s="17">
        <v>56.0</v>
      </c>
      <c r="J279" s="17">
        <v>52.0</v>
      </c>
      <c r="K279" s="17">
        <v>84.0</v>
      </c>
      <c r="L279" s="29">
        <f t="shared" si="2"/>
        <v>382</v>
      </c>
    </row>
    <row r="280" ht="23.25" customHeight="1">
      <c r="A280" s="17" t="s">
        <v>3206</v>
      </c>
      <c r="B280" s="17" t="str">
        <f t="shared" si="1"/>
        <v/>
      </c>
      <c r="C280" s="17" t="s">
        <v>3207</v>
      </c>
      <c r="D280" s="17" t="s">
        <v>2729</v>
      </c>
      <c r="E280" s="17" t="s">
        <v>2726</v>
      </c>
      <c r="F280" s="17">
        <v>45.0</v>
      </c>
      <c r="G280" s="17">
        <v>50.0</v>
      </c>
      <c r="H280" s="17">
        <v>43.0</v>
      </c>
      <c r="I280" s="17">
        <v>40.0</v>
      </c>
      <c r="J280" s="17">
        <v>38.0</v>
      </c>
      <c r="K280" s="17">
        <v>62.0</v>
      </c>
      <c r="L280" s="29">
        <f t="shared" si="2"/>
        <v>278</v>
      </c>
    </row>
    <row r="281" ht="23.25" customHeight="1">
      <c r="A281" s="17" t="s">
        <v>3208</v>
      </c>
      <c r="B281" s="17" t="str">
        <f t="shared" si="1"/>
        <v/>
      </c>
      <c r="C281" s="17" t="s">
        <v>3209</v>
      </c>
      <c r="D281" s="17" t="s">
        <v>2736</v>
      </c>
      <c r="E281" s="17"/>
      <c r="F281" s="17">
        <v>48.0</v>
      </c>
      <c r="G281" s="17">
        <v>70.0</v>
      </c>
      <c r="H281" s="17">
        <v>40.0</v>
      </c>
      <c r="I281" s="17">
        <v>70.0</v>
      </c>
      <c r="J281" s="17">
        <v>30.0</v>
      </c>
      <c r="K281" s="17">
        <v>77.0</v>
      </c>
      <c r="L281" s="29">
        <f t="shared" si="2"/>
        <v>335</v>
      </c>
    </row>
    <row r="282" ht="23.25" customHeight="1">
      <c r="A282" s="17" t="s">
        <v>3210</v>
      </c>
      <c r="B282" s="17" t="str">
        <f t="shared" si="1"/>
        <v/>
      </c>
      <c r="C282" s="17" t="s">
        <v>921</v>
      </c>
      <c r="D282" s="17" t="s">
        <v>2736</v>
      </c>
      <c r="E282" s="17"/>
      <c r="F282" s="17">
        <v>85.0</v>
      </c>
      <c r="G282" s="17">
        <v>105.0</v>
      </c>
      <c r="H282" s="17">
        <v>55.0</v>
      </c>
      <c r="I282" s="17">
        <v>85.0</v>
      </c>
      <c r="J282" s="17">
        <v>50.0</v>
      </c>
      <c r="K282" s="17">
        <v>115.0</v>
      </c>
      <c r="L282" s="29">
        <f t="shared" si="2"/>
        <v>495</v>
      </c>
    </row>
    <row r="283" ht="23.25" customHeight="1">
      <c r="A283" s="17" t="s">
        <v>3211</v>
      </c>
      <c r="B283" s="17" t="str">
        <f t="shared" si="1"/>
        <v/>
      </c>
      <c r="C283" s="17" t="s">
        <v>3212</v>
      </c>
      <c r="D283" s="17" t="s">
        <v>2733</v>
      </c>
      <c r="E283" s="17"/>
      <c r="F283" s="17">
        <v>54.0</v>
      </c>
      <c r="G283" s="17">
        <v>45.0</v>
      </c>
      <c r="H283" s="17">
        <v>47.0</v>
      </c>
      <c r="I283" s="17">
        <v>75.0</v>
      </c>
      <c r="J283" s="17">
        <v>98.0</v>
      </c>
      <c r="K283" s="17">
        <v>52.0</v>
      </c>
      <c r="L283" s="29">
        <f t="shared" si="2"/>
        <v>371</v>
      </c>
    </row>
    <row r="284" ht="23.25" customHeight="1">
      <c r="A284" s="17" t="s">
        <v>3213</v>
      </c>
      <c r="B284" s="17" t="str">
        <f t="shared" si="1"/>
        <v/>
      </c>
      <c r="C284" s="17" t="s">
        <v>3214</v>
      </c>
      <c r="D284" s="17" t="s">
        <v>2733</v>
      </c>
      <c r="E284" s="17"/>
      <c r="F284" s="17">
        <v>78.0</v>
      </c>
      <c r="G284" s="17">
        <v>65.0</v>
      </c>
      <c r="H284" s="17">
        <v>68.0</v>
      </c>
      <c r="I284" s="17">
        <v>112.0</v>
      </c>
      <c r="J284" s="17">
        <v>154.0</v>
      </c>
      <c r="K284" s="17">
        <v>75.0</v>
      </c>
      <c r="L284" s="29">
        <f t="shared" si="2"/>
        <v>552</v>
      </c>
    </row>
    <row r="285" ht="23.25" customHeight="1">
      <c r="A285" s="17" t="s">
        <v>3215</v>
      </c>
      <c r="B285" s="17" t="str">
        <f t="shared" si="1"/>
        <v/>
      </c>
      <c r="C285" s="17" t="s">
        <v>2673</v>
      </c>
      <c r="D285" s="17" t="s">
        <v>2803</v>
      </c>
      <c r="E285" s="17" t="s">
        <v>2738</v>
      </c>
      <c r="F285" s="17">
        <v>80.0</v>
      </c>
      <c r="G285" s="17">
        <v>100.0</v>
      </c>
      <c r="H285" s="17">
        <v>80.0</v>
      </c>
      <c r="I285" s="17">
        <v>80.0</v>
      </c>
      <c r="J285" s="17">
        <v>80.0</v>
      </c>
      <c r="K285" s="17">
        <v>100.0</v>
      </c>
      <c r="L285" s="29">
        <f t="shared" si="2"/>
        <v>520</v>
      </c>
    </row>
    <row r="286" ht="23.25" customHeight="1">
      <c r="A286" s="17" t="s">
        <v>3216</v>
      </c>
      <c r="B286" s="17" t="str">
        <f t="shared" si="1"/>
        <v/>
      </c>
      <c r="C286" s="17" t="s">
        <v>3217</v>
      </c>
      <c r="D286" s="17" t="s">
        <v>2711</v>
      </c>
      <c r="E286" s="17"/>
      <c r="F286" s="17">
        <v>40.0</v>
      </c>
      <c r="G286" s="17">
        <v>55.0</v>
      </c>
      <c r="H286" s="17">
        <v>35.0</v>
      </c>
      <c r="I286" s="17">
        <v>50.0</v>
      </c>
      <c r="J286" s="17">
        <v>35.0</v>
      </c>
      <c r="K286" s="17">
        <v>35.0</v>
      </c>
      <c r="L286" s="29">
        <f t="shared" si="2"/>
        <v>250</v>
      </c>
    </row>
    <row r="287" ht="23.25" customHeight="1">
      <c r="A287" s="17" t="s">
        <v>3218</v>
      </c>
      <c r="B287" s="17" t="str">
        <f t="shared" si="1"/>
        <v/>
      </c>
      <c r="C287" s="17" t="s">
        <v>3219</v>
      </c>
      <c r="D287" s="17" t="s">
        <v>2711</v>
      </c>
      <c r="E287" s="17" t="s">
        <v>2744</v>
      </c>
      <c r="F287" s="17">
        <v>69.0</v>
      </c>
      <c r="G287" s="17">
        <v>55.0</v>
      </c>
      <c r="H287" s="17">
        <v>45.0</v>
      </c>
      <c r="I287" s="17">
        <v>55.0</v>
      </c>
      <c r="J287" s="17">
        <v>55.0</v>
      </c>
      <c r="K287" s="17">
        <v>15.0</v>
      </c>
      <c r="L287" s="29">
        <f t="shared" si="2"/>
        <v>294</v>
      </c>
    </row>
    <row r="288" ht="23.25" customHeight="1">
      <c r="A288" s="17" t="s">
        <v>3220</v>
      </c>
      <c r="B288" s="17" t="str">
        <f t="shared" si="1"/>
        <v/>
      </c>
      <c r="C288" s="17" t="s">
        <v>3221</v>
      </c>
      <c r="D288" s="17" t="s">
        <v>2719</v>
      </c>
      <c r="E288" s="17" t="s">
        <v>2722</v>
      </c>
      <c r="F288" s="17">
        <v>75.0</v>
      </c>
      <c r="G288" s="17">
        <v>90.0</v>
      </c>
      <c r="H288" s="17">
        <v>140.0</v>
      </c>
      <c r="I288" s="17">
        <v>60.0</v>
      </c>
      <c r="J288" s="17">
        <v>60.0</v>
      </c>
      <c r="K288" s="17">
        <v>40.0</v>
      </c>
      <c r="L288" s="29">
        <f t="shared" si="2"/>
        <v>465</v>
      </c>
    </row>
    <row r="289" ht="23.25" customHeight="1">
      <c r="A289" s="17" t="s">
        <v>3222</v>
      </c>
      <c r="B289" s="17" t="str">
        <f t="shared" si="1"/>
        <v/>
      </c>
      <c r="C289" s="17" t="s">
        <v>3223</v>
      </c>
      <c r="D289" s="17" t="s">
        <v>2738</v>
      </c>
      <c r="E289" s="17"/>
      <c r="F289" s="17">
        <v>66.0</v>
      </c>
      <c r="G289" s="17">
        <v>117.0</v>
      </c>
      <c r="H289" s="17">
        <v>70.0</v>
      </c>
      <c r="I289" s="17">
        <v>40.0</v>
      </c>
      <c r="J289" s="17">
        <v>50.0</v>
      </c>
      <c r="K289" s="17">
        <v>67.0</v>
      </c>
      <c r="L289" s="29">
        <f t="shared" si="2"/>
        <v>410</v>
      </c>
    </row>
    <row r="290" ht="23.25" customHeight="1">
      <c r="A290" s="17" t="s">
        <v>3224</v>
      </c>
      <c r="B290" s="17" t="str">
        <f t="shared" si="1"/>
        <v/>
      </c>
      <c r="C290" s="17" t="s">
        <v>3225</v>
      </c>
      <c r="D290" s="17" t="s">
        <v>2736</v>
      </c>
      <c r="E290" s="17" t="s">
        <v>2723</v>
      </c>
      <c r="F290" s="17">
        <v>55.0</v>
      </c>
      <c r="G290" s="17">
        <v>40.0</v>
      </c>
      <c r="H290" s="17">
        <v>50.0</v>
      </c>
      <c r="I290" s="17">
        <v>65.0</v>
      </c>
      <c r="J290" s="17">
        <v>85.0</v>
      </c>
      <c r="K290" s="17">
        <v>40.0</v>
      </c>
      <c r="L290" s="29">
        <f t="shared" si="2"/>
        <v>335</v>
      </c>
    </row>
    <row r="291" ht="23.25" customHeight="1">
      <c r="A291" s="17" t="s">
        <v>3226</v>
      </c>
      <c r="B291" s="17" t="str">
        <f t="shared" si="1"/>
        <v/>
      </c>
      <c r="C291" s="17" t="s">
        <v>3227</v>
      </c>
      <c r="D291" s="17" t="s">
        <v>2736</v>
      </c>
      <c r="E291" s="17"/>
      <c r="F291" s="17">
        <v>41.0</v>
      </c>
      <c r="G291" s="17">
        <v>56.0</v>
      </c>
      <c r="H291" s="17">
        <v>40.0</v>
      </c>
      <c r="I291" s="17">
        <v>62.0</v>
      </c>
      <c r="J291" s="17">
        <v>44.0</v>
      </c>
      <c r="K291" s="17">
        <v>71.0</v>
      </c>
      <c r="L291" s="29">
        <f t="shared" si="2"/>
        <v>314</v>
      </c>
    </row>
    <row r="292" ht="23.25" customHeight="1">
      <c r="A292" s="17" t="s">
        <v>3228</v>
      </c>
      <c r="B292" s="17" t="str">
        <f t="shared" si="1"/>
        <v/>
      </c>
      <c r="C292" s="17" t="s">
        <v>3229</v>
      </c>
      <c r="D292" s="17" t="s">
        <v>2736</v>
      </c>
      <c r="E292" s="17"/>
      <c r="F292" s="17">
        <v>54.0</v>
      </c>
      <c r="G292" s="17">
        <v>63.0</v>
      </c>
      <c r="H292" s="17">
        <v>52.0</v>
      </c>
      <c r="I292" s="17">
        <v>83.0</v>
      </c>
      <c r="J292" s="17">
        <v>56.0</v>
      </c>
      <c r="K292" s="17">
        <v>97.0</v>
      </c>
      <c r="L292" s="29">
        <f t="shared" si="2"/>
        <v>405</v>
      </c>
    </row>
    <row r="293" ht="23.25" customHeight="1">
      <c r="A293" s="17" t="s">
        <v>3230</v>
      </c>
      <c r="B293" s="17" t="str">
        <f t="shared" si="1"/>
        <v/>
      </c>
      <c r="C293" s="17" t="s">
        <v>2510</v>
      </c>
      <c r="D293" s="17" t="s">
        <v>2712</v>
      </c>
      <c r="E293" s="17" t="s">
        <v>2723</v>
      </c>
      <c r="F293" s="17">
        <v>70.0</v>
      </c>
      <c r="G293" s="17">
        <v>80.0</v>
      </c>
      <c r="H293" s="17">
        <v>70.0</v>
      </c>
      <c r="I293" s="17">
        <v>80.0</v>
      </c>
      <c r="J293" s="17">
        <v>70.0</v>
      </c>
      <c r="K293" s="17">
        <v>110.0</v>
      </c>
      <c r="L293" s="29">
        <f t="shared" si="2"/>
        <v>480</v>
      </c>
    </row>
    <row r="294" ht="23.25" customHeight="1">
      <c r="A294" s="17" t="s">
        <v>3231</v>
      </c>
      <c r="B294" s="17" t="str">
        <f t="shared" si="1"/>
        <v/>
      </c>
      <c r="C294" s="17" t="s">
        <v>3232</v>
      </c>
      <c r="D294" s="17" t="s">
        <v>2712</v>
      </c>
      <c r="E294" s="17" t="s">
        <v>2719</v>
      </c>
      <c r="F294" s="17">
        <v>70.0</v>
      </c>
      <c r="G294" s="17">
        <v>65.0</v>
      </c>
      <c r="H294" s="17">
        <v>60.0</v>
      </c>
      <c r="I294" s="17">
        <v>125.0</v>
      </c>
      <c r="J294" s="17">
        <v>90.0</v>
      </c>
      <c r="K294" s="17">
        <v>65.0</v>
      </c>
      <c r="L294" s="29">
        <f t="shared" si="2"/>
        <v>475</v>
      </c>
    </row>
    <row r="295" ht="23.25" customHeight="1">
      <c r="A295" s="17" t="s">
        <v>3233</v>
      </c>
      <c r="B295" s="17" t="str">
        <f t="shared" si="1"/>
        <v/>
      </c>
      <c r="C295" s="17" t="s">
        <v>3234</v>
      </c>
      <c r="D295" s="17" t="s">
        <v>2729</v>
      </c>
      <c r="E295" s="17"/>
      <c r="F295" s="17">
        <v>75.0</v>
      </c>
      <c r="G295" s="17">
        <v>80.0</v>
      </c>
      <c r="H295" s="17">
        <v>60.0</v>
      </c>
      <c r="I295" s="17">
        <v>65.0</v>
      </c>
      <c r="J295" s="17">
        <v>90.0</v>
      </c>
      <c r="K295" s="17">
        <v>102.0</v>
      </c>
      <c r="L295" s="29">
        <f t="shared" si="2"/>
        <v>472</v>
      </c>
    </row>
    <row r="296" ht="23.25" customHeight="1">
      <c r="A296" s="17" t="s">
        <v>3235</v>
      </c>
      <c r="B296" s="17" t="str">
        <f t="shared" si="1"/>
        <v/>
      </c>
      <c r="C296" s="17" t="s">
        <v>3236</v>
      </c>
      <c r="D296" s="17" t="s">
        <v>2729</v>
      </c>
      <c r="E296" s="17"/>
      <c r="F296" s="17">
        <v>85.0</v>
      </c>
      <c r="G296" s="17">
        <v>76.0</v>
      </c>
      <c r="H296" s="17">
        <v>64.0</v>
      </c>
      <c r="I296" s="17">
        <v>45.0</v>
      </c>
      <c r="J296" s="17">
        <v>55.0</v>
      </c>
      <c r="K296" s="17">
        <v>90.0</v>
      </c>
      <c r="L296" s="29">
        <f t="shared" si="2"/>
        <v>415</v>
      </c>
    </row>
    <row r="297" ht="23.25" customHeight="1">
      <c r="A297" s="17" t="s">
        <v>3237</v>
      </c>
      <c r="B297" s="17" t="str">
        <f t="shared" si="1"/>
        <v/>
      </c>
      <c r="C297" s="17" t="s">
        <v>747</v>
      </c>
      <c r="D297" s="17" t="s">
        <v>2738</v>
      </c>
      <c r="E297" s="17" t="s">
        <v>2803</v>
      </c>
      <c r="F297" s="17">
        <v>68.0</v>
      </c>
      <c r="G297" s="17">
        <v>90.0</v>
      </c>
      <c r="H297" s="17">
        <v>65.0</v>
      </c>
      <c r="I297" s="17">
        <v>50.0</v>
      </c>
      <c r="J297" s="17">
        <v>55.0</v>
      </c>
      <c r="K297" s="17">
        <v>82.0</v>
      </c>
      <c r="L297" s="29">
        <f t="shared" si="2"/>
        <v>410</v>
      </c>
    </row>
    <row r="298" ht="23.25" customHeight="1">
      <c r="A298" s="17" t="s">
        <v>3238</v>
      </c>
      <c r="B298" s="17" t="str">
        <f t="shared" si="1"/>
        <v/>
      </c>
      <c r="C298" s="17" t="s">
        <v>2550</v>
      </c>
      <c r="D298" s="17" t="s">
        <v>2714</v>
      </c>
      <c r="E298" s="17" t="s">
        <v>2773</v>
      </c>
      <c r="F298" s="17">
        <v>68.0</v>
      </c>
      <c r="G298" s="17">
        <v>125.0</v>
      </c>
      <c r="H298" s="17">
        <v>65.0</v>
      </c>
      <c r="I298" s="17">
        <v>65.0</v>
      </c>
      <c r="J298" s="17">
        <v>115.0</v>
      </c>
      <c r="K298" s="17">
        <v>80.0</v>
      </c>
      <c r="L298" s="29">
        <f t="shared" si="2"/>
        <v>518</v>
      </c>
    </row>
    <row r="299" ht="23.25" customHeight="1">
      <c r="A299" s="17" t="s">
        <v>3239</v>
      </c>
      <c r="B299" s="17" t="str">
        <f t="shared" si="1"/>
        <v/>
      </c>
      <c r="C299" s="17" t="s">
        <v>3240</v>
      </c>
      <c r="D299" s="17" t="s">
        <v>2719</v>
      </c>
      <c r="E299" s="17" t="s">
        <v>2746</v>
      </c>
      <c r="F299" s="17">
        <v>70.0</v>
      </c>
      <c r="G299" s="17">
        <v>77.0</v>
      </c>
      <c r="H299" s="17">
        <v>60.0</v>
      </c>
      <c r="I299" s="17">
        <v>97.0</v>
      </c>
      <c r="J299" s="17">
        <v>60.0</v>
      </c>
      <c r="K299" s="17">
        <v>108.0</v>
      </c>
      <c r="L299" s="29">
        <f t="shared" si="2"/>
        <v>472</v>
      </c>
    </row>
    <row r="300" ht="23.25" customHeight="1">
      <c r="A300" s="17" t="s">
        <v>3241</v>
      </c>
      <c r="B300" s="17" t="str">
        <f t="shared" si="1"/>
        <v/>
      </c>
      <c r="C300" s="17" t="s">
        <v>3242</v>
      </c>
      <c r="D300" s="17" t="s">
        <v>2744</v>
      </c>
      <c r="E300" s="17"/>
      <c r="F300" s="17">
        <v>80.0</v>
      </c>
      <c r="G300" s="17">
        <v>95.0</v>
      </c>
      <c r="H300" s="17">
        <v>82.0</v>
      </c>
      <c r="I300" s="17">
        <v>60.0</v>
      </c>
      <c r="J300" s="17">
        <v>82.0</v>
      </c>
      <c r="K300" s="17">
        <v>75.0</v>
      </c>
      <c r="L300" s="29">
        <f t="shared" si="2"/>
        <v>474</v>
      </c>
    </row>
    <row r="301" ht="23.25" customHeight="1">
      <c r="A301" s="17" t="s">
        <v>3243</v>
      </c>
      <c r="B301" s="17" t="str">
        <f t="shared" si="1"/>
        <v/>
      </c>
      <c r="C301" s="17" t="s">
        <v>915</v>
      </c>
      <c r="D301" s="17" t="s">
        <v>2738</v>
      </c>
      <c r="E301" s="17" t="s">
        <v>2803</v>
      </c>
      <c r="F301" s="17">
        <v>108.0</v>
      </c>
      <c r="G301" s="17">
        <v>130.0</v>
      </c>
      <c r="H301" s="17">
        <v>95.0</v>
      </c>
      <c r="I301" s="17">
        <v>80.0</v>
      </c>
      <c r="J301" s="17">
        <v>85.0</v>
      </c>
      <c r="K301" s="17">
        <v>102.0</v>
      </c>
      <c r="L301" s="29">
        <f t="shared" si="2"/>
        <v>600</v>
      </c>
    </row>
    <row r="302" ht="23.25" customHeight="1">
      <c r="A302" s="17" t="s">
        <v>3244</v>
      </c>
      <c r="B302" s="17" t="str">
        <f t="shared" si="1"/>
        <v/>
      </c>
      <c r="C302" s="17" t="s">
        <v>3245</v>
      </c>
      <c r="D302" s="17" t="s">
        <v>2714</v>
      </c>
      <c r="E302" s="17" t="s">
        <v>2733</v>
      </c>
      <c r="F302" s="17">
        <v>68.0</v>
      </c>
      <c r="G302" s="17">
        <v>65.0</v>
      </c>
      <c r="H302" s="17">
        <v>65.0</v>
      </c>
      <c r="I302" s="17">
        <v>125.0</v>
      </c>
      <c r="J302" s="17">
        <v>115.0</v>
      </c>
      <c r="K302" s="17">
        <v>80.0</v>
      </c>
      <c r="L302" s="29">
        <f t="shared" si="2"/>
        <v>518</v>
      </c>
    </row>
    <row r="303" ht="23.25" customHeight="1">
      <c r="A303" s="17" t="s">
        <v>3246</v>
      </c>
      <c r="B303" s="17" t="str">
        <f t="shared" si="1"/>
        <v/>
      </c>
      <c r="C303" s="17" t="s">
        <v>447</v>
      </c>
      <c r="D303" s="17" t="s">
        <v>2723</v>
      </c>
      <c r="E303" s="17" t="s">
        <v>2744</v>
      </c>
      <c r="F303" s="17">
        <v>30.0</v>
      </c>
      <c r="G303" s="17">
        <v>35.0</v>
      </c>
      <c r="H303" s="17">
        <v>30.0</v>
      </c>
      <c r="I303" s="17">
        <v>100.0</v>
      </c>
      <c r="J303" s="17">
        <v>35.0</v>
      </c>
      <c r="K303" s="17">
        <v>80.0</v>
      </c>
      <c r="L303" s="29">
        <f t="shared" si="2"/>
        <v>310</v>
      </c>
    </row>
    <row r="304" ht="23.25" customHeight="1">
      <c r="A304" s="17" t="s">
        <v>3247</v>
      </c>
      <c r="B304" s="17" t="str">
        <f t="shared" si="1"/>
        <v/>
      </c>
      <c r="C304" s="17" t="s">
        <v>586</v>
      </c>
      <c r="D304" s="17" t="s">
        <v>2736</v>
      </c>
      <c r="E304" s="17" t="s">
        <v>2803</v>
      </c>
      <c r="F304" s="17">
        <v>111.0</v>
      </c>
      <c r="G304" s="17">
        <v>83.0</v>
      </c>
      <c r="H304" s="17">
        <v>68.0</v>
      </c>
      <c r="I304" s="17">
        <v>92.0</v>
      </c>
      <c r="J304" s="17">
        <v>82.0</v>
      </c>
      <c r="K304" s="17">
        <v>39.0</v>
      </c>
      <c r="L304" s="29">
        <f t="shared" si="2"/>
        <v>475</v>
      </c>
    </row>
    <row r="305" ht="23.25" customHeight="1">
      <c r="A305" s="17" t="s">
        <v>3248</v>
      </c>
      <c r="B305" s="17" t="str">
        <f t="shared" si="1"/>
        <v/>
      </c>
      <c r="C305" s="17" t="s">
        <v>3249</v>
      </c>
      <c r="D305" s="17" t="s">
        <v>2719</v>
      </c>
      <c r="E305" s="17" t="s">
        <v>2722</v>
      </c>
      <c r="F305" s="17">
        <v>71.0</v>
      </c>
      <c r="G305" s="17">
        <v>120.0</v>
      </c>
      <c r="H305" s="17">
        <v>95.0</v>
      </c>
      <c r="I305" s="17">
        <v>120.0</v>
      </c>
      <c r="J305" s="17">
        <v>95.0</v>
      </c>
      <c r="K305" s="17">
        <v>99.0</v>
      </c>
      <c r="L305" s="29">
        <f t="shared" si="2"/>
        <v>600</v>
      </c>
    </row>
    <row r="306" ht="23.25" customHeight="1">
      <c r="A306" s="17" t="s">
        <v>3250</v>
      </c>
      <c r="B306" s="17" t="str">
        <f t="shared" si="1"/>
        <v/>
      </c>
      <c r="C306" s="17" t="s">
        <v>767</v>
      </c>
      <c r="D306" s="17" t="s">
        <v>2723</v>
      </c>
      <c r="E306" s="17" t="s">
        <v>2744</v>
      </c>
      <c r="F306" s="17">
        <v>60.0</v>
      </c>
      <c r="G306" s="17">
        <v>65.0</v>
      </c>
      <c r="H306" s="17">
        <v>60.0</v>
      </c>
      <c r="I306" s="17">
        <v>130.0</v>
      </c>
      <c r="J306" s="17">
        <v>75.0</v>
      </c>
      <c r="K306" s="17">
        <v>110.0</v>
      </c>
      <c r="L306" s="29">
        <f t="shared" si="2"/>
        <v>500</v>
      </c>
    </row>
    <row r="307" ht="23.25" customHeight="1">
      <c r="A307" s="17" t="s">
        <v>3251</v>
      </c>
      <c r="B307" s="17" t="str">
        <f t="shared" si="1"/>
        <v/>
      </c>
      <c r="C307" s="17" t="s">
        <v>86</v>
      </c>
      <c r="D307" s="17" t="s">
        <v>2725</v>
      </c>
      <c r="E307" s="17" t="s">
        <v>2803</v>
      </c>
      <c r="F307" s="17">
        <v>40.0</v>
      </c>
      <c r="G307" s="17">
        <v>80.0</v>
      </c>
      <c r="H307" s="17">
        <v>100.0</v>
      </c>
      <c r="I307" s="17">
        <v>30.0</v>
      </c>
      <c r="J307" s="17">
        <v>30.0</v>
      </c>
      <c r="K307" s="17">
        <v>20.0</v>
      </c>
      <c r="L307" s="29">
        <f t="shared" si="2"/>
        <v>300</v>
      </c>
    </row>
    <row r="308" ht="23.25" customHeight="1">
      <c r="A308" s="17" t="s">
        <v>3252</v>
      </c>
      <c r="B308" s="17" t="str">
        <f t="shared" si="1"/>
        <v/>
      </c>
      <c r="C308" s="17" t="s">
        <v>297</v>
      </c>
      <c r="D308" s="17" t="s">
        <v>2738</v>
      </c>
      <c r="E308" s="17" t="s">
        <v>2803</v>
      </c>
      <c r="F308" s="17">
        <v>58.0</v>
      </c>
      <c r="G308" s="17">
        <v>70.0</v>
      </c>
      <c r="H308" s="17">
        <v>45.0</v>
      </c>
      <c r="I308" s="17">
        <v>40.0</v>
      </c>
      <c r="J308" s="17">
        <v>45.0</v>
      </c>
      <c r="K308" s="17">
        <v>42.0</v>
      </c>
      <c r="L308" s="29">
        <f t="shared" si="2"/>
        <v>300</v>
      </c>
    </row>
    <row r="309" ht="23.25" customHeight="1">
      <c r="A309" s="17" t="s">
        <v>3253</v>
      </c>
      <c r="B309" s="17" t="str">
        <f t="shared" si="1"/>
        <v/>
      </c>
      <c r="C309" s="17" t="s">
        <v>3254</v>
      </c>
      <c r="D309" s="17" t="s">
        <v>2725</v>
      </c>
      <c r="E309" s="17"/>
      <c r="F309" s="17">
        <v>85.0</v>
      </c>
      <c r="G309" s="17">
        <v>135.0</v>
      </c>
      <c r="H309" s="17">
        <v>130.0</v>
      </c>
      <c r="I309" s="17">
        <v>60.0</v>
      </c>
      <c r="J309" s="17">
        <v>80.0</v>
      </c>
      <c r="K309" s="17">
        <v>25.0</v>
      </c>
      <c r="L309" s="29">
        <f t="shared" si="2"/>
        <v>515</v>
      </c>
    </row>
    <row r="310" ht="23.25" customHeight="1">
      <c r="A310" s="17" t="s">
        <v>3255</v>
      </c>
      <c r="B310" s="17" t="str">
        <f t="shared" si="1"/>
        <v/>
      </c>
      <c r="C310" s="17" t="s">
        <v>273</v>
      </c>
      <c r="D310" s="17" t="s">
        <v>2729</v>
      </c>
      <c r="E310" s="17" t="s">
        <v>2714</v>
      </c>
      <c r="F310" s="17">
        <v>70.0</v>
      </c>
      <c r="G310" s="17">
        <v>80.0</v>
      </c>
      <c r="H310" s="17">
        <v>65.0</v>
      </c>
      <c r="I310" s="17">
        <v>90.0</v>
      </c>
      <c r="J310" s="17">
        <v>65.0</v>
      </c>
      <c r="K310" s="17">
        <v>85.0</v>
      </c>
      <c r="L310" s="29">
        <f t="shared" si="2"/>
        <v>455</v>
      </c>
    </row>
    <row r="311" ht="23.25" customHeight="1">
      <c r="A311" s="17" t="s">
        <v>3256</v>
      </c>
      <c r="B311" s="17" t="str">
        <f t="shared" si="1"/>
        <v/>
      </c>
      <c r="C311" s="17" t="s">
        <v>3257</v>
      </c>
      <c r="D311" s="17" t="s">
        <v>2723</v>
      </c>
      <c r="E311" s="17" t="s">
        <v>2738</v>
      </c>
      <c r="F311" s="17">
        <v>150.0</v>
      </c>
      <c r="G311" s="17">
        <v>100.0</v>
      </c>
      <c r="H311" s="17">
        <v>120.0</v>
      </c>
      <c r="I311" s="17">
        <v>100.0</v>
      </c>
      <c r="J311" s="17">
        <v>120.0</v>
      </c>
      <c r="K311" s="17">
        <v>90.0</v>
      </c>
      <c r="L311" s="29">
        <f t="shared" si="2"/>
        <v>680</v>
      </c>
    </row>
    <row r="312" ht="23.25" customHeight="1">
      <c r="A312" s="17" t="s">
        <v>3258</v>
      </c>
      <c r="B312" s="17" t="str">
        <f t="shared" si="1"/>
        <v/>
      </c>
      <c r="C312" s="17" t="s">
        <v>2521</v>
      </c>
      <c r="D312" s="17" t="s">
        <v>2712</v>
      </c>
      <c r="E312" s="17"/>
      <c r="F312" s="17">
        <v>65.0</v>
      </c>
      <c r="G312" s="17">
        <v>60.0</v>
      </c>
      <c r="H312" s="17">
        <v>110.0</v>
      </c>
      <c r="I312" s="17">
        <v>130.0</v>
      </c>
      <c r="J312" s="17">
        <v>95.0</v>
      </c>
      <c r="K312" s="17">
        <v>65.0</v>
      </c>
      <c r="L312" s="29">
        <f t="shared" si="2"/>
        <v>525</v>
      </c>
    </row>
    <row r="313" ht="23.25" customHeight="1">
      <c r="A313" s="17" t="s">
        <v>3259</v>
      </c>
      <c r="B313" s="17" t="str">
        <f t="shared" si="1"/>
        <v/>
      </c>
      <c r="C313" s="17" t="s">
        <v>3260</v>
      </c>
      <c r="D313" s="17" t="s">
        <v>2712</v>
      </c>
      <c r="E313" s="17"/>
      <c r="F313" s="17">
        <v>80.0</v>
      </c>
      <c r="G313" s="17">
        <v>80.0</v>
      </c>
      <c r="H313" s="17">
        <v>80.0</v>
      </c>
      <c r="I313" s="17">
        <v>80.0</v>
      </c>
      <c r="J313" s="17">
        <v>80.0</v>
      </c>
      <c r="K313" s="17">
        <v>80.0</v>
      </c>
      <c r="L313" s="29">
        <f t="shared" si="2"/>
        <v>480</v>
      </c>
    </row>
    <row r="314" ht="23.25" customHeight="1">
      <c r="A314" s="17" t="s">
        <v>3261</v>
      </c>
      <c r="B314" s="17" t="str">
        <f t="shared" si="1"/>
        <v/>
      </c>
      <c r="C314" s="17" t="s">
        <v>1003</v>
      </c>
      <c r="D314" s="17" t="s">
        <v>2729</v>
      </c>
      <c r="E314" s="17"/>
      <c r="F314" s="17">
        <v>49.0</v>
      </c>
      <c r="G314" s="17">
        <v>55.0</v>
      </c>
      <c r="H314" s="17">
        <v>42.0</v>
      </c>
      <c r="I314" s="17">
        <v>42.0</v>
      </c>
      <c r="J314" s="17">
        <v>37.0</v>
      </c>
      <c r="K314" s="17">
        <v>85.0</v>
      </c>
      <c r="L314" s="29">
        <f t="shared" si="2"/>
        <v>310</v>
      </c>
    </row>
    <row r="315" ht="23.25" customHeight="1">
      <c r="A315" s="17" t="s">
        <v>3262</v>
      </c>
      <c r="B315" s="17" t="str">
        <f t="shared" si="1"/>
        <v/>
      </c>
      <c r="C315" s="17" t="s">
        <v>3263</v>
      </c>
      <c r="D315" s="17" t="s">
        <v>2712</v>
      </c>
      <c r="E315" s="17"/>
      <c r="F315" s="17">
        <v>100.0</v>
      </c>
      <c r="G315" s="17">
        <v>145.0</v>
      </c>
      <c r="H315" s="17">
        <v>130.0</v>
      </c>
      <c r="I315" s="17">
        <v>65.0</v>
      </c>
      <c r="J315" s="17">
        <v>110.0</v>
      </c>
      <c r="K315" s="17">
        <v>30.0</v>
      </c>
      <c r="L315" s="29">
        <f t="shared" si="2"/>
        <v>580</v>
      </c>
    </row>
    <row r="316" ht="23.25" customHeight="1">
      <c r="A316" s="17" t="s">
        <v>3264</v>
      </c>
      <c r="B316" s="17" t="str">
        <f t="shared" si="1"/>
        <v/>
      </c>
      <c r="C316" s="17" t="s">
        <v>3265</v>
      </c>
      <c r="D316" s="17" t="s">
        <v>2803</v>
      </c>
      <c r="E316" s="17" t="s">
        <v>2726</v>
      </c>
      <c r="F316" s="17">
        <v>65.0</v>
      </c>
      <c r="G316" s="17">
        <v>75.0</v>
      </c>
      <c r="H316" s="17">
        <v>105.0</v>
      </c>
      <c r="I316" s="17">
        <v>35.0</v>
      </c>
      <c r="J316" s="17">
        <v>65.0</v>
      </c>
      <c r="K316" s="17">
        <v>85.0</v>
      </c>
      <c r="L316" s="29">
        <f t="shared" si="2"/>
        <v>430</v>
      </c>
    </row>
    <row r="317" ht="23.25" customHeight="1">
      <c r="A317" s="17" t="s">
        <v>3266</v>
      </c>
      <c r="B317" s="17" t="str">
        <f t="shared" si="1"/>
        <v/>
      </c>
      <c r="C317" s="17" t="s">
        <v>2590</v>
      </c>
      <c r="D317" s="17" t="s">
        <v>2803</v>
      </c>
      <c r="E317" s="17" t="s">
        <v>2726</v>
      </c>
      <c r="F317" s="17">
        <v>75.0</v>
      </c>
      <c r="G317" s="17">
        <v>95.0</v>
      </c>
      <c r="H317" s="17">
        <v>125.0</v>
      </c>
      <c r="I317" s="17">
        <v>45.0</v>
      </c>
      <c r="J317" s="17">
        <v>75.0</v>
      </c>
      <c r="K317" s="17">
        <v>95.0</v>
      </c>
      <c r="L317" s="29">
        <f t="shared" si="2"/>
        <v>510</v>
      </c>
    </row>
    <row r="318" ht="23.25" customHeight="1">
      <c r="A318" s="17" t="s">
        <v>3267</v>
      </c>
      <c r="B318" s="17" t="str">
        <f t="shared" si="1"/>
        <v/>
      </c>
      <c r="C318" s="17" t="s">
        <v>3268</v>
      </c>
      <c r="D318" s="17" t="s">
        <v>2711</v>
      </c>
      <c r="E318" s="17" t="s">
        <v>2744</v>
      </c>
      <c r="F318" s="17">
        <v>60.0</v>
      </c>
      <c r="G318" s="17">
        <v>65.0</v>
      </c>
      <c r="H318" s="17">
        <v>70.0</v>
      </c>
      <c r="I318" s="17">
        <v>85.0</v>
      </c>
      <c r="J318" s="17">
        <v>75.0</v>
      </c>
      <c r="K318" s="17">
        <v>40.0</v>
      </c>
      <c r="L318" s="29">
        <f t="shared" si="2"/>
        <v>395</v>
      </c>
    </row>
    <row r="319" ht="23.25" customHeight="1">
      <c r="A319" s="17" t="s">
        <v>3269</v>
      </c>
      <c r="B319" s="17" t="str">
        <f t="shared" si="1"/>
        <v/>
      </c>
      <c r="C319" s="17" t="s">
        <v>3270</v>
      </c>
      <c r="D319" s="17" t="s">
        <v>2711</v>
      </c>
      <c r="E319" s="17"/>
      <c r="F319" s="17">
        <v>123.0</v>
      </c>
      <c r="G319" s="17">
        <v>100.0</v>
      </c>
      <c r="H319" s="17">
        <v>62.0</v>
      </c>
      <c r="I319" s="17">
        <v>97.0</v>
      </c>
      <c r="J319" s="17">
        <v>81.0</v>
      </c>
      <c r="K319" s="17">
        <v>68.0</v>
      </c>
      <c r="L319" s="29">
        <f t="shared" si="2"/>
        <v>531</v>
      </c>
    </row>
    <row r="320" ht="23.25" customHeight="1">
      <c r="A320" s="17" t="s">
        <v>3271</v>
      </c>
      <c r="B320" s="17" t="str">
        <f t="shared" si="1"/>
        <v/>
      </c>
      <c r="C320" s="17" t="s">
        <v>174</v>
      </c>
      <c r="D320" s="17" t="s">
        <v>2744</v>
      </c>
      <c r="E320" s="17" t="s">
        <v>2726</v>
      </c>
      <c r="F320" s="17">
        <v>75.0</v>
      </c>
      <c r="G320" s="17">
        <v>80.0</v>
      </c>
      <c r="H320" s="17">
        <v>70.0</v>
      </c>
      <c r="I320" s="17">
        <v>65.0</v>
      </c>
      <c r="J320" s="17">
        <v>75.0</v>
      </c>
      <c r="K320" s="17">
        <v>90.0</v>
      </c>
      <c r="L320" s="29">
        <f t="shared" si="2"/>
        <v>455</v>
      </c>
    </row>
    <row r="321" ht="23.25" customHeight="1">
      <c r="A321" s="17" t="s">
        <v>3272</v>
      </c>
      <c r="B321" s="17" t="str">
        <f t="shared" si="1"/>
        <v/>
      </c>
      <c r="C321" s="17" t="s">
        <v>110</v>
      </c>
      <c r="D321" s="17" t="s">
        <v>2736</v>
      </c>
      <c r="E321" s="17"/>
      <c r="F321" s="17">
        <v>45.0</v>
      </c>
      <c r="G321" s="17">
        <v>67.0</v>
      </c>
      <c r="H321" s="17">
        <v>60.0</v>
      </c>
      <c r="I321" s="17">
        <v>35.0</v>
      </c>
      <c r="J321" s="17">
        <v>50.0</v>
      </c>
      <c r="K321" s="17">
        <v>63.0</v>
      </c>
      <c r="L321" s="29">
        <f t="shared" si="2"/>
        <v>320</v>
      </c>
    </row>
    <row r="322" ht="23.25" customHeight="1">
      <c r="A322" s="17" t="s">
        <v>3273</v>
      </c>
      <c r="B322" s="17" t="str">
        <f t="shared" si="1"/>
        <v/>
      </c>
      <c r="C322" s="17" t="s">
        <v>398</v>
      </c>
      <c r="D322" s="17" t="s">
        <v>2736</v>
      </c>
      <c r="E322" s="17"/>
      <c r="F322" s="17">
        <v>80.0</v>
      </c>
      <c r="G322" s="17">
        <v>82.0</v>
      </c>
      <c r="H322" s="17">
        <v>78.0</v>
      </c>
      <c r="I322" s="17">
        <v>95.0</v>
      </c>
      <c r="J322" s="17">
        <v>80.0</v>
      </c>
      <c r="K322" s="17">
        <v>85.0</v>
      </c>
      <c r="L322" s="29">
        <f t="shared" si="2"/>
        <v>500</v>
      </c>
    </row>
    <row r="323" ht="23.25" customHeight="1">
      <c r="A323" s="17" t="s">
        <v>3274</v>
      </c>
      <c r="B323" s="17" t="str">
        <f t="shared" si="1"/>
        <v/>
      </c>
      <c r="C323" s="17" t="s">
        <v>735</v>
      </c>
      <c r="D323" s="17" t="s">
        <v>2725</v>
      </c>
      <c r="E323" s="17" t="s">
        <v>2803</v>
      </c>
      <c r="F323" s="17">
        <v>80.0</v>
      </c>
      <c r="G323" s="17">
        <v>120.0</v>
      </c>
      <c r="H323" s="17">
        <v>130.0</v>
      </c>
      <c r="I323" s="17">
        <v>55.0</v>
      </c>
      <c r="J323" s="17">
        <v>65.0</v>
      </c>
      <c r="K323" s="17">
        <v>45.0</v>
      </c>
      <c r="L323" s="29">
        <f t="shared" si="2"/>
        <v>495</v>
      </c>
    </row>
    <row r="324" ht="23.25" customHeight="1">
      <c r="A324" s="17" t="s">
        <v>3275</v>
      </c>
      <c r="B324" s="17" t="str">
        <f t="shared" si="1"/>
        <v/>
      </c>
      <c r="C324" s="17" t="s">
        <v>3276</v>
      </c>
      <c r="D324" s="17" t="s">
        <v>2803</v>
      </c>
      <c r="E324" s="17" t="s">
        <v>2723</v>
      </c>
      <c r="F324" s="17">
        <v>59.0</v>
      </c>
      <c r="G324" s="17">
        <v>74.0</v>
      </c>
      <c r="H324" s="17">
        <v>50.0</v>
      </c>
      <c r="I324" s="17">
        <v>35.0</v>
      </c>
      <c r="J324" s="17">
        <v>50.0</v>
      </c>
      <c r="K324" s="17">
        <v>35.0</v>
      </c>
      <c r="L324" s="29">
        <f t="shared" si="2"/>
        <v>303</v>
      </c>
    </row>
    <row r="325" ht="23.25" customHeight="1">
      <c r="A325" s="17" t="s">
        <v>3277</v>
      </c>
      <c r="B325" s="17" t="str">
        <f t="shared" si="1"/>
        <v/>
      </c>
      <c r="C325" s="17" t="s">
        <v>3278</v>
      </c>
      <c r="D325" s="17" t="s">
        <v>2719</v>
      </c>
      <c r="E325" s="17" t="s">
        <v>2736</v>
      </c>
      <c r="F325" s="17">
        <v>75.0</v>
      </c>
      <c r="G325" s="17">
        <v>125.0</v>
      </c>
      <c r="H325" s="17">
        <v>140.0</v>
      </c>
      <c r="I325" s="17">
        <v>60.0</v>
      </c>
      <c r="J325" s="17">
        <v>90.0</v>
      </c>
      <c r="K325" s="17">
        <v>40.0</v>
      </c>
      <c r="L325" s="29">
        <f t="shared" si="2"/>
        <v>530</v>
      </c>
    </row>
    <row r="326" ht="23.25" customHeight="1">
      <c r="A326" s="17" t="s">
        <v>3279</v>
      </c>
      <c r="B326" s="17" t="str">
        <f t="shared" si="1"/>
        <v/>
      </c>
      <c r="C326" s="17" t="s">
        <v>3280</v>
      </c>
      <c r="D326" s="17" t="s">
        <v>2803</v>
      </c>
      <c r="E326" s="17" t="s">
        <v>2723</v>
      </c>
      <c r="F326" s="17">
        <v>89.0</v>
      </c>
      <c r="G326" s="17">
        <v>124.0</v>
      </c>
      <c r="H326" s="17">
        <v>80.0</v>
      </c>
      <c r="I326" s="17">
        <v>55.0</v>
      </c>
      <c r="J326" s="17">
        <v>80.0</v>
      </c>
      <c r="K326" s="17">
        <v>55.0</v>
      </c>
      <c r="L326" s="29">
        <f t="shared" si="2"/>
        <v>483</v>
      </c>
    </row>
    <row r="327" ht="23.25" customHeight="1">
      <c r="A327" s="17" t="s">
        <v>3281</v>
      </c>
      <c r="B327" s="17" t="str">
        <f t="shared" si="1"/>
        <v/>
      </c>
      <c r="C327" s="17" t="s">
        <v>3282</v>
      </c>
      <c r="D327" s="17" t="s">
        <v>2738</v>
      </c>
      <c r="E327" s="17"/>
      <c r="F327" s="17">
        <v>90.0</v>
      </c>
      <c r="G327" s="17">
        <v>100.0</v>
      </c>
      <c r="H327" s="17">
        <v>70.0</v>
      </c>
      <c r="I327" s="17">
        <v>110.0</v>
      </c>
      <c r="J327" s="17">
        <v>150.0</v>
      </c>
      <c r="K327" s="17">
        <v>80.0</v>
      </c>
      <c r="L327" s="29">
        <f t="shared" si="2"/>
        <v>600</v>
      </c>
    </row>
    <row r="328" ht="23.25" customHeight="1">
      <c r="A328" s="17" t="s">
        <v>3283</v>
      </c>
      <c r="B328" s="17" t="str">
        <f t="shared" si="1"/>
        <v/>
      </c>
      <c r="C328" s="17" t="s">
        <v>3284</v>
      </c>
      <c r="D328" s="17" t="s">
        <v>2738</v>
      </c>
      <c r="E328" s="17"/>
      <c r="F328" s="17">
        <v>45.0</v>
      </c>
      <c r="G328" s="17">
        <v>50.0</v>
      </c>
      <c r="H328" s="17">
        <v>35.0</v>
      </c>
      <c r="I328" s="17">
        <v>55.0</v>
      </c>
      <c r="J328" s="17">
        <v>75.0</v>
      </c>
      <c r="K328" s="17">
        <v>40.0</v>
      </c>
      <c r="L328" s="29">
        <f t="shared" si="2"/>
        <v>300</v>
      </c>
    </row>
    <row r="329" ht="23.25" customHeight="1">
      <c r="A329" s="17" t="s">
        <v>3285</v>
      </c>
      <c r="B329" s="17" t="str">
        <f t="shared" si="1"/>
        <v/>
      </c>
      <c r="C329" s="17" t="s">
        <v>2625</v>
      </c>
      <c r="D329" s="17" t="s">
        <v>2736</v>
      </c>
      <c r="E329" s="17"/>
      <c r="F329" s="17">
        <v>55.0</v>
      </c>
      <c r="G329" s="17">
        <v>84.0</v>
      </c>
      <c r="H329" s="17">
        <v>105.0</v>
      </c>
      <c r="I329" s="17">
        <v>114.0</v>
      </c>
      <c r="J329" s="17">
        <v>75.0</v>
      </c>
      <c r="K329" s="17">
        <v>52.0</v>
      </c>
      <c r="L329" s="29">
        <f t="shared" si="2"/>
        <v>485</v>
      </c>
    </row>
    <row r="330" ht="23.25" customHeight="1">
      <c r="A330" s="17" t="s">
        <v>3286</v>
      </c>
      <c r="B330" s="17" t="str">
        <f t="shared" si="1"/>
        <v/>
      </c>
      <c r="C330" s="17" t="s">
        <v>3287</v>
      </c>
      <c r="D330" s="17" t="s">
        <v>2711</v>
      </c>
      <c r="E330" s="17"/>
      <c r="F330" s="17">
        <v>40.0</v>
      </c>
      <c r="G330" s="17">
        <v>40.0</v>
      </c>
      <c r="H330" s="17">
        <v>60.0</v>
      </c>
      <c r="I330" s="17">
        <v>40.0</v>
      </c>
      <c r="J330" s="17">
        <v>60.0</v>
      </c>
      <c r="K330" s="17">
        <v>10.0</v>
      </c>
      <c r="L330" s="29">
        <f t="shared" si="2"/>
        <v>250</v>
      </c>
    </row>
    <row r="331" ht="23.25" customHeight="1">
      <c r="A331" s="17" t="s">
        <v>3288</v>
      </c>
      <c r="B331" s="17" t="str">
        <f t="shared" si="1"/>
        <v/>
      </c>
      <c r="C331" s="17" t="s">
        <v>3289</v>
      </c>
      <c r="D331" s="17" t="s">
        <v>2714</v>
      </c>
      <c r="E331" s="17"/>
      <c r="F331" s="17">
        <v>45.0</v>
      </c>
      <c r="G331" s="17">
        <v>30.0</v>
      </c>
      <c r="H331" s="17">
        <v>50.0</v>
      </c>
      <c r="I331" s="17">
        <v>55.0</v>
      </c>
      <c r="J331" s="17">
        <v>65.0</v>
      </c>
      <c r="K331" s="17">
        <v>45.0</v>
      </c>
      <c r="L331" s="29">
        <f t="shared" si="2"/>
        <v>290</v>
      </c>
    </row>
    <row r="332" ht="23.25" customHeight="1">
      <c r="A332" s="17" t="s">
        <v>3290</v>
      </c>
      <c r="B332" s="17" t="str">
        <f t="shared" si="1"/>
        <v/>
      </c>
      <c r="C332" s="17" t="s">
        <v>3291</v>
      </c>
      <c r="D332" s="17" t="s">
        <v>2714</v>
      </c>
      <c r="E332" s="17"/>
      <c r="F332" s="17">
        <v>70.0</v>
      </c>
      <c r="G332" s="17">
        <v>55.0</v>
      </c>
      <c r="H332" s="17">
        <v>95.0</v>
      </c>
      <c r="I332" s="17">
        <v>95.0</v>
      </c>
      <c r="J332" s="17">
        <v>110.0</v>
      </c>
      <c r="K332" s="17">
        <v>65.0</v>
      </c>
      <c r="L332" s="29">
        <f t="shared" si="2"/>
        <v>490</v>
      </c>
    </row>
    <row r="333" ht="23.25" customHeight="1">
      <c r="A333" s="17" t="s">
        <v>3292</v>
      </c>
      <c r="B333" s="17" t="str">
        <f t="shared" si="1"/>
        <v/>
      </c>
      <c r="C333" s="17" t="s">
        <v>3293</v>
      </c>
      <c r="D333" s="17" t="s">
        <v>2714</v>
      </c>
      <c r="E333" s="17"/>
      <c r="F333" s="17">
        <v>60.0</v>
      </c>
      <c r="G333" s="17">
        <v>45.0</v>
      </c>
      <c r="H333" s="17">
        <v>70.0</v>
      </c>
      <c r="I333" s="17">
        <v>75.0</v>
      </c>
      <c r="J333" s="17">
        <v>85.0</v>
      </c>
      <c r="K333" s="17">
        <v>55.0</v>
      </c>
      <c r="L333" s="29">
        <f t="shared" si="2"/>
        <v>390</v>
      </c>
    </row>
    <row r="334" ht="23.25" customHeight="1">
      <c r="A334" s="17" t="s">
        <v>3294</v>
      </c>
      <c r="B334" s="17" t="str">
        <f t="shared" si="1"/>
        <v/>
      </c>
      <c r="C334" s="17" t="s">
        <v>3295</v>
      </c>
      <c r="D334" s="17" t="s">
        <v>2723</v>
      </c>
      <c r="E334" s="17" t="s">
        <v>2711</v>
      </c>
      <c r="F334" s="17">
        <v>65.0</v>
      </c>
      <c r="G334" s="17">
        <v>90.0</v>
      </c>
      <c r="H334" s="17">
        <v>122.0</v>
      </c>
      <c r="I334" s="17">
        <v>58.0</v>
      </c>
      <c r="J334" s="17">
        <v>75.0</v>
      </c>
      <c r="K334" s="17">
        <v>84.0</v>
      </c>
      <c r="L334" s="29">
        <f t="shared" si="2"/>
        <v>494</v>
      </c>
    </row>
    <row r="335" ht="23.25" customHeight="1">
      <c r="A335" s="17" t="s">
        <v>3296</v>
      </c>
      <c r="B335" s="17" t="str">
        <f t="shared" si="1"/>
        <v/>
      </c>
      <c r="C335" s="17" t="s">
        <v>1856</v>
      </c>
      <c r="D335" s="17" t="s">
        <v>2733</v>
      </c>
      <c r="E335" s="17"/>
      <c r="F335" s="17">
        <v>90.0</v>
      </c>
      <c r="G335" s="17">
        <v>120.0</v>
      </c>
      <c r="H335" s="17">
        <v>75.0</v>
      </c>
      <c r="I335" s="17">
        <v>60.0</v>
      </c>
      <c r="J335" s="17">
        <v>60.0</v>
      </c>
      <c r="K335" s="17">
        <v>45.0</v>
      </c>
      <c r="L335" s="29">
        <f t="shared" si="2"/>
        <v>450</v>
      </c>
    </row>
    <row r="336" ht="23.25" customHeight="1">
      <c r="A336" s="17" t="s">
        <v>3297</v>
      </c>
      <c r="B336" s="17" t="str">
        <f t="shared" si="1"/>
        <v/>
      </c>
      <c r="C336" s="17" t="s">
        <v>3298</v>
      </c>
      <c r="D336" s="17" t="s">
        <v>2773</v>
      </c>
      <c r="E336" s="17"/>
      <c r="F336" s="17">
        <v>80.0</v>
      </c>
      <c r="G336" s="17">
        <v>118.0</v>
      </c>
      <c r="H336" s="17">
        <v>90.0</v>
      </c>
      <c r="I336" s="17">
        <v>70.0</v>
      </c>
      <c r="J336" s="17">
        <v>80.0</v>
      </c>
      <c r="K336" s="17">
        <v>42.0</v>
      </c>
      <c r="L336" s="29">
        <f t="shared" si="2"/>
        <v>480</v>
      </c>
    </row>
    <row r="337" ht="23.25" customHeight="1">
      <c r="A337" s="17" t="s">
        <v>3299</v>
      </c>
      <c r="B337" s="17" t="str">
        <f t="shared" si="1"/>
        <v/>
      </c>
      <c r="C337" s="17" t="s">
        <v>176</v>
      </c>
      <c r="D337" s="17" t="s">
        <v>2725</v>
      </c>
      <c r="E337" s="17" t="s">
        <v>2803</v>
      </c>
      <c r="F337" s="17">
        <v>55.0</v>
      </c>
      <c r="G337" s="17">
        <v>95.0</v>
      </c>
      <c r="H337" s="17">
        <v>115.0</v>
      </c>
      <c r="I337" s="17">
        <v>45.0</v>
      </c>
      <c r="J337" s="17">
        <v>45.0</v>
      </c>
      <c r="K337" s="17">
        <v>35.0</v>
      </c>
      <c r="L337" s="29">
        <f t="shared" si="2"/>
        <v>390</v>
      </c>
    </row>
    <row r="338" ht="23.25" customHeight="1">
      <c r="A338" s="17" t="s">
        <v>3300</v>
      </c>
      <c r="B338" s="17" t="str">
        <f t="shared" si="1"/>
        <v/>
      </c>
      <c r="C338" s="17" t="s">
        <v>3301</v>
      </c>
      <c r="D338" s="17" t="s">
        <v>2729</v>
      </c>
      <c r="E338" s="17"/>
      <c r="F338" s="17">
        <v>120.0</v>
      </c>
      <c r="G338" s="17">
        <v>95.0</v>
      </c>
      <c r="H338" s="17">
        <v>95.0</v>
      </c>
      <c r="I338" s="17">
        <v>55.0</v>
      </c>
      <c r="J338" s="17">
        <v>75.0</v>
      </c>
      <c r="K338" s="17">
        <v>20.0</v>
      </c>
      <c r="L338" s="29">
        <f t="shared" si="2"/>
        <v>460</v>
      </c>
    </row>
    <row r="339" ht="23.25" customHeight="1">
      <c r="A339" s="17" t="s">
        <v>3302</v>
      </c>
      <c r="B339" s="17" t="str">
        <f t="shared" si="1"/>
        <v/>
      </c>
      <c r="C339" s="17" t="s">
        <v>3303</v>
      </c>
      <c r="D339" s="17" t="s">
        <v>2736</v>
      </c>
      <c r="E339" s="17" t="s">
        <v>2716</v>
      </c>
      <c r="F339" s="17">
        <v>72.0</v>
      </c>
      <c r="G339" s="17">
        <v>95.0</v>
      </c>
      <c r="H339" s="17">
        <v>67.0</v>
      </c>
      <c r="I339" s="17">
        <v>103.0</v>
      </c>
      <c r="J339" s="17">
        <v>71.0</v>
      </c>
      <c r="K339" s="17">
        <v>122.0</v>
      </c>
      <c r="L339" s="29">
        <f t="shared" si="2"/>
        <v>530</v>
      </c>
    </row>
    <row r="340" ht="23.25" customHeight="1">
      <c r="A340" s="17" t="s">
        <v>3304</v>
      </c>
      <c r="B340" s="17" t="str">
        <f t="shared" si="1"/>
        <v/>
      </c>
      <c r="C340" s="17" t="s">
        <v>3305</v>
      </c>
      <c r="D340" s="17" t="s">
        <v>2744</v>
      </c>
      <c r="E340" s="17"/>
      <c r="F340" s="17">
        <v>80.0</v>
      </c>
      <c r="G340" s="17">
        <v>80.0</v>
      </c>
      <c r="H340" s="17">
        <v>50.0</v>
      </c>
      <c r="I340" s="17">
        <v>40.0</v>
      </c>
      <c r="J340" s="17">
        <v>50.0</v>
      </c>
      <c r="K340" s="17">
        <v>25.0</v>
      </c>
      <c r="L340" s="29">
        <f t="shared" si="2"/>
        <v>325</v>
      </c>
    </row>
    <row r="341" ht="23.25" customHeight="1">
      <c r="A341" s="17" t="s">
        <v>3306</v>
      </c>
      <c r="B341" s="17" t="str">
        <f t="shared" si="1"/>
        <v/>
      </c>
      <c r="C341" s="17" t="s">
        <v>3307</v>
      </c>
      <c r="D341" s="17" t="s">
        <v>2716</v>
      </c>
      <c r="E341" s="17" t="s">
        <v>2733</v>
      </c>
      <c r="F341" s="17">
        <v>95.0</v>
      </c>
      <c r="G341" s="17">
        <v>120.0</v>
      </c>
      <c r="H341" s="17">
        <v>65.0</v>
      </c>
      <c r="I341" s="17">
        <v>95.0</v>
      </c>
      <c r="J341" s="17">
        <v>75.0</v>
      </c>
      <c r="K341" s="17">
        <v>60.0</v>
      </c>
      <c r="L341" s="29">
        <f t="shared" si="2"/>
        <v>510</v>
      </c>
    </row>
    <row r="342" ht="23.25" customHeight="1">
      <c r="A342" s="17" t="s">
        <v>3308</v>
      </c>
      <c r="B342" s="17" t="str">
        <f t="shared" si="1"/>
        <v/>
      </c>
      <c r="C342" s="17" t="s">
        <v>3309</v>
      </c>
      <c r="D342" s="17" t="s">
        <v>2711</v>
      </c>
      <c r="E342" s="17"/>
      <c r="F342" s="17">
        <v>50.0</v>
      </c>
      <c r="G342" s="17">
        <v>65.0</v>
      </c>
      <c r="H342" s="17">
        <v>50.0</v>
      </c>
      <c r="I342" s="17">
        <v>40.0</v>
      </c>
      <c r="J342" s="17">
        <v>40.0</v>
      </c>
      <c r="K342" s="17">
        <v>65.0</v>
      </c>
      <c r="L342" s="29">
        <f t="shared" si="2"/>
        <v>310</v>
      </c>
    </row>
    <row r="343" ht="23.25" customHeight="1">
      <c r="A343" s="17" t="s">
        <v>3310</v>
      </c>
      <c r="B343" s="17" t="str">
        <f t="shared" si="1"/>
        <v/>
      </c>
      <c r="C343" s="17" t="s">
        <v>266</v>
      </c>
      <c r="D343" s="17" t="s">
        <v>2711</v>
      </c>
      <c r="E343" s="17"/>
      <c r="F343" s="17">
        <v>75.0</v>
      </c>
      <c r="G343" s="17">
        <v>89.0</v>
      </c>
      <c r="H343" s="17">
        <v>85.0</v>
      </c>
      <c r="I343" s="17">
        <v>55.0</v>
      </c>
      <c r="J343" s="17">
        <v>65.0</v>
      </c>
      <c r="K343" s="17">
        <v>36.0</v>
      </c>
      <c r="L343" s="29">
        <f t="shared" si="2"/>
        <v>405</v>
      </c>
    </row>
    <row r="344" ht="23.25" customHeight="1">
      <c r="A344" s="17" t="s">
        <v>3311</v>
      </c>
      <c r="B344" s="17" t="str">
        <f t="shared" si="1"/>
        <v/>
      </c>
      <c r="C344" s="17" t="s">
        <v>3312</v>
      </c>
      <c r="D344" s="17" t="s">
        <v>2803</v>
      </c>
      <c r="E344" s="17"/>
      <c r="F344" s="17">
        <v>100.0</v>
      </c>
      <c r="G344" s="17">
        <v>150.0</v>
      </c>
      <c r="H344" s="17">
        <v>140.0</v>
      </c>
      <c r="I344" s="17">
        <v>100.0</v>
      </c>
      <c r="J344" s="17">
        <v>90.0</v>
      </c>
      <c r="K344" s="17">
        <v>90.0</v>
      </c>
      <c r="L344" s="29">
        <f t="shared" si="2"/>
        <v>670</v>
      </c>
    </row>
    <row r="345" ht="23.25" customHeight="1">
      <c r="A345" s="17" t="s">
        <v>3313</v>
      </c>
      <c r="B345" s="17" t="str">
        <f t="shared" si="1"/>
        <v/>
      </c>
      <c r="C345" s="17" t="s">
        <v>3314</v>
      </c>
      <c r="D345" s="17" t="s">
        <v>2711</v>
      </c>
      <c r="E345" s="17"/>
      <c r="F345" s="17">
        <v>50.0</v>
      </c>
      <c r="G345" s="17">
        <v>65.0</v>
      </c>
      <c r="H345" s="17">
        <v>45.0</v>
      </c>
      <c r="I345" s="17">
        <v>85.0</v>
      </c>
      <c r="J345" s="17">
        <v>65.0</v>
      </c>
      <c r="K345" s="17">
        <v>95.0</v>
      </c>
      <c r="L345" s="29">
        <f t="shared" si="2"/>
        <v>405</v>
      </c>
    </row>
    <row r="346" ht="23.25" customHeight="1">
      <c r="A346" s="17" t="s">
        <v>3315</v>
      </c>
      <c r="B346" s="17" t="str">
        <f t="shared" si="1"/>
        <v/>
      </c>
      <c r="C346" s="17" t="s">
        <v>3316</v>
      </c>
      <c r="D346" s="17" t="s">
        <v>2758</v>
      </c>
      <c r="E346" s="17"/>
      <c r="F346" s="17">
        <v>55.0</v>
      </c>
      <c r="G346" s="17">
        <v>70.0</v>
      </c>
      <c r="H346" s="17">
        <v>45.0</v>
      </c>
      <c r="I346" s="17">
        <v>70.0</v>
      </c>
      <c r="J346" s="17">
        <v>50.0</v>
      </c>
      <c r="K346" s="17">
        <v>60.0</v>
      </c>
      <c r="L346" s="29">
        <f t="shared" si="2"/>
        <v>350</v>
      </c>
    </row>
    <row r="347" ht="23.25" customHeight="1">
      <c r="A347" s="17" t="s">
        <v>3317</v>
      </c>
      <c r="B347" s="17" t="str">
        <f t="shared" si="1"/>
        <v/>
      </c>
      <c r="C347" s="17" t="s">
        <v>3318</v>
      </c>
      <c r="D347" s="17" t="s">
        <v>2719</v>
      </c>
      <c r="E347" s="17"/>
      <c r="F347" s="17">
        <v>47.0</v>
      </c>
      <c r="G347" s="17">
        <v>62.0</v>
      </c>
      <c r="H347" s="17">
        <v>45.0</v>
      </c>
      <c r="I347" s="17">
        <v>55.0</v>
      </c>
      <c r="J347" s="17">
        <v>45.0</v>
      </c>
      <c r="K347" s="17">
        <v>46.0</v>
      </c>
      <c r="L347" s="29">
        <f t="shared" si="2"/>
        <v>300</v>
      </c>
    </row>
    <row r="348" ht="23.25" customHeight="1">
      <c r="A348" s="17" t="s">
        <v>3319</v>
      </c>
      <c r="B348" s="17" t="str">
        <f t="shared" si="1"/>
        <v/>
      </c>
      <c r="C348" s="17" t="s">
        <v>1891</v>
      </c>
      <c r="D348" s="17" t="s">
        <v>2714</v>
      </c>
      <c r="E348" s="17"/>
      <c r="F348" s="17">
        <v>80.0</v>
      </c>
      <c r="G348" s="17">
        <v>45.0</v>
      </c>
      <c r="H348" s="17">
        <v>65.0</v>
      </c>
      <c r="I348" s="17">
        <v>90.0</v>
      </c>
      <c r="J348" s="17">
        <v>110.0</v>
      </c>
      <c r="K348" s="17">
        <v>80.0</v>
      </c>
      <c r="L348" s="29">
        <f t="shared" si="2"/>
        <v>470</v>
      </c>
    </row>
    <row r="349" ht="23.25" customHeight="1">
      <c r="A349" s="17" t="s">
        <v>3320</v>
      </c>
      <c r="B349" s="17" t="str">
        <f t="shared" si="1"/>
        <v/>
      </c>
      <c r="C349" s="17" t="s">
        <v>3321</v>
      </c>
      <c r="D349" s="17" t="s">
        <v>2744</v>
      </c>
      <c r="E349" s="17"/>
      <c r="F349" s="17">
        <v>70.0</v>
      </c>
      <c r="G349" s="17">
        <v>43.0</v>
      </c>
      <c r="H349" s="17">
        <v>53.0</v>
      </c>
      <c r="I349" s="17">
        <v>43.0</v>
      </c>
      <c r="J349" s="17">
        <v>53.0</v>
      </c>
      <c r="K349" s="17">
        <v>40.0</v>
      </c>
      <c r="L349" s="29">
        <f t="shared" si="2"/>
        <v>302</v>
      </c>
    </row>
    <row r="350" ht="23.25" customHeight="1">
      <c r="A350" s="17" t="s">
        <v>3322</v>
      </c>
      <c r="B350" s="17" t="str">
        <f t="shared" si="1"/>
        <v/>
      </c>
      <c r="C350" s="17" t="s">
        <v>3323</v>
      </c>
      <c r="D350" s="17" t="s">
        <v>2729</v>
      </c>
      <c r="E350" s="17"/>
      <c r="F350" s="17">
        <v>88.0</v>
      </c>
      <c r="G350" s="17">
        <v>110.0</v>
      </c>
      <c r="H350" s="17">
        <v>60.0</v>
      </c>
      <c r="I350" s="17">
        <v>55.0</v>
      </c>
      <c r="J350" s="17">
        <v>60.0</v>
      </c>
      <c r="K350" s="17">
        <v>45.0</v>
      </c>
      <c r="L350" s="29">
        <f t="shared" si="2"/>
        <v>418</v>
      </c>
    </row>
    <row r="351" ht="23.25" customHeight="1">
      <c r="A351" s="17" t="s">
        <v>3324</v>
      </c>
      <c r="B351" s="17" t="str">
        <f t="shared" si="1"/>
        <v/>
      </c>
      <c r="C351" s="17" t="s">
        <v>3325</v>
      </c>
      <c r="D351" s="17" t="s">
        <v>2773</v>
      </c>
      <c r="E351" s="17"/>
      <c r="F351" s="17">
        <v>85.0</v>
      </c>
      <c r="G351" s="17">
        <v>105.0</v>
      </c>
      <c r="H351" s="17">
        <v>85.0</v>
      </c>
      <c r="I351" s="17">
        <v>40.0</v>
      </c>
      <c r="J351" s="17">
        <v>50.0</v>
      </c>
      <c r="K351" s="17">
        <v>40.0</v>
      </c>
      <c r="L351" s="29">
        <f t="shared" si="2"/>
        <v>405</v>
      </c>
    </row>
    <row r="352" ht="23.25" customHeight="1">
      <c r="A352" s="17" t="s">
        <v>3326</v>
      </c>
      <c r="B352" s="17" t="str">
        <f t="shared" si="1"/>
        <v/>
      </c>
      <c r="C352" s="17" t="s">
        <v>3327</v>
      </c>
      <c r="D352" s="17" t="s">
        <v>2716</v>
      </c>
      <c r="E352" s="17" t="s">
        <v>2738</v>
      </c>
      <c r="F352" s="17">
        <v>223.0</v>
      </c>
      <c r="G352" s="17">
        <v>101.0</v>
      </c>
      <c r="H352" s="17">
        <v>53.0</v>
      </c>
      <c r="I352" s="17">
        <v>97.0</v>
      </c>
      <c r="J352" s="17">
        <v>53.0</v>
      </c>
      <c r="K352" s="17">
        <v>43.0</v>
      </c>
      <c r="L352" s="29">
        <f t="shared" si="2"/>
        <v>570</v>
      </c>
    </row>
    <row r="353" ht="23.25" customHeight="1">
      <c r="A353" s="17" t="s">
        <v>3328</v>
      </c>
      <c r="B353" s="17" t="str">
        <f t="shared" si="1"/>
        <v/>
      </c>
      <c r="C353" s="17" t="s">
        <v>190</v>
      </c>
      <c r="D353" s="17" t="s">
        <v>2736</v>
      </c>
      <c r="E353" s="17" t="s">
        <v>2726</v>
      </c>
      <c r="F353" s="17">
        <v>95.0</v>
      </c>
      <c r="G353" s="17">
        <v>125.0</v>
      </c>
      <c r="H353" s="17">
        <v>79.0</v>
      </c>
      <c r="I353" s="17">
        <v>60.0</v>
      </c>
      <c r="J353" s="17">
        <v>100.0</v>
      </c>
      <c r="K353" s="17">
        <v>81.0</v>
      </c>
      <c r="L353" s="29">
        <f t="shared" si="2"/>
        <v>540</v>
      </c>
    </row>
    <row r="354" ht="23.25" customHeight="1">
      <c r="A354" s="17" t="s">
        <v>3329</v>
      </c>
      <c r="B354" s="17" t="str">
        <f t="shared" si="1"/>
        <v/>
      </c>
      <c r="C354" s="17" t="s">
        <v>3330</v>
      </c>
      <c r="D354" s="17" t="s">
        <v>2738</v>
      </c>
      <c r="E354" s="17" t="s">
        <v>2773</v>
      </c>
      <c r="F354" s="17">
        <v>55.0</v>
      </c>
      <c r="G354" s="17">
        <v>75.0</v>
      </c>
      <c r="H354" s="17">
        <v>90.0</v>
      </c>
      <c r="I354" s="17">
        <v>65.0</v>
      </c>
      <c r="J354" s="17">
        <v>70.0</v>
      </c>
      <c r="K354" s="17">
        <v>65.0</v>
      </c>
      <c r="L354" s="29">
        <f t="shared" si="2"/>
        <v>420</v>
      </c>
    </row>
    <row r="355" ht="23.25" customHeight="1">
      <c r="A355" s="17" t="s">
        <v>3331</v>
      </c>
      <c r="B355" s="17" t="str">
        <f t="shared" si="1"/>
        <v/>
      </c>
      <c r="C355" s="17" t="s">
        <v>239</v>
      </c>
      <c r="D355" s="17" t="s">
        <v>2729</v>
      </c>
      <c r="E355" s="17"/>
      <c r="F355" s="17">
        <v>100.0</v>
      </c>
      <c r="G355" s="17">
        <v>5.0</v>
      </c>
      <c r="H355" s="17">
        <v>5.0</v>
      </c>
      <c r="I355" s="17">
        <v>15.0</v>
      </c>
      <c r="J355" s="17">
        <v>65.0</v>
      </c>
      <c r="K355" s="17">
        <v>30.0</v>
      </c>
      <c r="L355" s="29">
        <f t="shared" si="2"/>
        <v>220</v>
      </c>
    </row>
    <row r="356" ht="23.25" customHeight="1">
      <c r="A356" s="17" t="s">
        <v>3332</v>
      </c>
      <c r="B356" s="17" t="str">
        <f t="shared" si="1"/>
        <v/>
      </c>
      <c r="C356" s="17" t="s">
        <v>1909</v>
      </c>
      <c r="D356" s="17" t="s">
        <v>2773</v>
      </c>
      <c r="E356" s="17"/>
      <c r="F356" s="17">
        <v>144.0</v>
      </c>
      <c r="G356" s="17">
        <v>120.0</v>
      </c>
      <c r="H356" s="17">
        <v>60.0</v>
      </c>
      <c r="I356" s="17">
        <v>40.0</v>
      </c>
      <c r="J356" s="17">
        <v>60.0</v>
      </c>
      <c r="K356" s="17">
        <v>50.0</v>
      </c>
      <c r="L356" s="29">
        <f t="shared" si="2"/>
        <v>474</v>
      </c>
    </row>
    <row r="357" ht="23.25" customHeight="1">
      <c r="A357" s="17" t="s">
        <v>3333</v>
      </c>
      <c r="B357" s="17" t="str">
        <f t="shared" si="1"/>
        <v/>
      </c>
      <c r="C357" s="17" t="s">
        <v>3334</v>
      </c>
      <c r="D357" s="17" t="s">
        <v>2714</v>
      </c>
      <c r="E357" s="17"/>
      <c r="F357" s="17">
        <v>42.0</v>
      </c>
      <c r="G357" s="17">
        <v>30.0</v>
      </c>
      <c r="H357" s="17">
        <v>45.0</v>
      </c>
      <c r="I357" s="17">
        <v>56.0</v>
      </c>
      <c r="J357" s="17">
        <v>53.0</v>
      </c>
      <c r="K357" s="17">
        <v>39.0</v>
      </c>
      <c r="L357" s="29">
        <f t="shared" si="2"/>
        <v>265</v>
      </c>
    </row>
    <row r="358" ht="23.25" customHeight="1">
      <c r="A358" s="17" t="s">
        <v>3335</v>
      </c>
      <c r="B358" s="17" t="str">
        <f t="shared" si="1"/>
        <v/>
      </c>
      <c r="C358" s="17" t="s">
        <v>3336</v>
      </c>
      <c r="D358" s="17" t="s">
        <v>2714</v>
      </c>
      <c r="E358" s="17" t="s">
        <v>2733</v>
      </c>
      <c r="F358" s="17">
        <v>57.0</v>
      </c>
      <c r="G358" s="17">
        <v>90.0</v>
      </c>
      <c r="H358" s="17">
        <v>95.0</v>
      </c>
      <c r="I358" s="17">
        <v>136.0</v>
      </c>
      <c r="J358" s="17">
        <v>103.0</v>
      </c>
      <c r="K358" s="17">
        <v>29.0</v>
      </c>
      <c r="L358" s="29">
        <f t="shared" si="2"/>
        <v>510</v>
      </c>
    </row>
    <row r="359" ht="23.25" customHeight="1">
      <c r="A359" s="17" t="s">
        <v>3337</v>
      </c>
      <c r="B359" s="17" t="str">
        <f t="shared" si="1"/>
        <v/>
      </c>
      <c r="C359" s="17" t="s">
        <v>3338</v>
      </c>
      <c r="D359" s="17" t="s">
        <v>2714</v>
      </c>
      <c r="E359" s="17"/>
      <c r="F359" s="17">
        <v>57.0</v>
      </c>
      <c r="G359" s="17">
        <v>40.0</v>
      </c>
      <c r="H359" s="17">
        <v>65.0</v>
      </c>
      <c r="I359" s="17">
        <v>86.0</v>
      </c>
      <c r="J359" s="17">
        <v>73.0</v>
      </c>
      <c r="K359" s="17">
        <v>49.0</v>
      </c>
      <c r="L359" s="29">
        <f t="shared" si="2"/>
        <v>370</v>
      </c>
    </row>
    <row r="360" ht="23.25" customHeight="1">
      <c r="A360" s="17" t="s">
        <v>3339</v>
      </c>
      <c r="B360" s="17" t="str">
        <f t="shared" si="1"/>
        <v/>
      </c>
      <c r="C360" s="17" t="s">
        <v>442</v>
      </c>
      <c r="D360" s="17" t="s">
        <v>2723</v>
      </c>
      <c r="E360" s="17" t="s">
        <v>2744</v>
      </c>
      <c r="F360" s="17">
        <v>45.0</v>
      </c>
      <c r="G360" s="17">
        <v>50.0</v>
      </c>
      <c r="H360" s="17">
        <v>45.0</v>
      </c>
      <c r="I360" s="17">
        <v>115.0</v>
      </c>
      <c r="J360" s="17">
        <v>55.0</v>
      </c>
      <c r="K360" s="17">
        <v>95.0</v>
      </c>
      <c r="L360" s="29">
        <f t="shared" si="2"/>
        <v>405</v>
      </c>
    </row>
    <row r="361" ht="23.25" customHeight="1">
      <c r="A361" s="17" t="s">
        <v>3340</v>
      </c>
      <c r="B361" s="17" t="str">
        <f t="shared" si="1"/>
        <v/>
      </c>
      <c r="C361" s="17" t="s">
        <v>3341</v>
      </c>
      <c r="D361" s="17" t="s">
        <v>2773</v>
      </c>
      <c r="E361" s="17" t="s">
        <v>2726</v>
      </c>
      <c r="F361" s="17">
        <v>78.0</v>
      </c>
      <c r="G361" s="17">
        <v>92.0</v>
      </c>
      <c r="H361" s="17">
        <v>75.0</v>
      </c>
      <c r="I361" s="17">
        <v>74.0</v>
      </c>
      <c r="J361" s="17">
        <v>63.0</v>
      </c>
      <c r="K361" s="17">
        <v>118.0</v>
      </c>
      <c r="L361" s="29">
        <f t="shared" si="2"/>
        <v>500</v>
      </c>
    </row>
    <row r="362" ht="23.25" customHeight="1">
      <c r="A362" s="17" t="s">
        <v>3342</v>
      </c>
      <c r="B362" s="17" t="str">
        <f t="shared" si="1"/>
        <v/>
      </c>
      <c r="C362" s="17" t="s">
        <v>3343</v>
      </c>
      <c r="D362" s="17" t="s">
        <v>2738</v>
      </c>
      <c r="E362" s="17"/>
      <c r="F362" s="17">
        <v>76.0</v>
      </c>
      <c r="G362" s="17">
        <v>147.0</v>
      </c>
      <c r="H362" s="17">
        <v>90.0</v>
      </c>
      <c r="I362" s="17">
        <v>60.0</v>
      </c>
      <c r="J362" s="17">
        <v>70.0</v>
      </c>
      <c r="K362" s="17">
        <v>97.0</v>
      </c>
      <c r="L362" s="29">
        <f t="shared" si="2"/>
        <v>540</v>
      </c>
    </row>
    <row r="363" ht="23.25" customHeight="1">
      <c r="A363" s="17" t="s">
        <v>3344</v>
      </c>
      <c r="B363" s="17" t="str">
        <f t="shared" si="1"/>
        <v/>
      </c>
      <c r="C363" s="17" t="s">
        <v>3345</v>
      </c>
      <c r="D363" s="17" t="s">
        <v>2758</v>
      </c>
      <c r="E363" s="17"/>
      <c r="F363" s="17">
        <v>85.0</v>
      </c>
      <c r="G363" s="17">
        <v>97.0</v>
      </c>
      <c r="H363" s="17">
        <v>66.0</v>
      </c>
      <c r="I363" s="17">
        <v>105.0</v>
      </c>
      <c r="J363" s="17">
        <v>66.0</v>
      </c>
      <c r="K363" s="17">
        <v>65.0</v>
      </c>
      <c r="L363" s="29">
        <f t="shared" si="2"/>
        <v>484</v>
      </c>
    </row>
    <row r="364" ht="23.25" customHeight="1">
      <c r="A364" s="17" t="s">
        <v>3346</v>
      </c>
      <c r="B364" s="17" t="str">
        <f t="shared" si="1"/>
        <v/>
      </c>
      <c r="C364" s="17" t="s">
        <v>3347</v>
      </c>
      <c r="D364" s="17" t="s">
        <v>2758</v>
      </c>
      <c r="E364" s="17" t="s">
        <v>2722</v>
      </c>
      <c r="F364" s="17">
        <v>91.0</v>
      </c>
      <c r="G364" s="17">
        <v>90.0</v>
      </c>
      <c r="H364" s="17">
        <v>106.0</v>
      </c>
      <c r="I364" s="17">
        <v>130.0</v>
      </c>
      <c r="J364" s="17">
        <v>106.0</v>
      </c>
      <c r="K364" s="17">
        <v>77.0</v>
      </c>
      <c r="L364" s="29">
        <f t="shared" si="2"/>
        <v>600</v>
      </c>
    </row>
    <row r="365" ht="23.25" customHeight="1">
      <c r="A365" s="17" t="s">
        <v>3348</v>
      </c>
      <c r="B365" s="17" t="str">
        <f t="shared" si="1"/>
        <v/>
      </c>
      <c r="C365" s="17" t="s">
        <v>3349</v>
      </c>
      <c r="D365" s="17" t="s">
        <v>2746</v>
      </c>
      <c r="E365" s="17" t="s">
        <v>2729</v>
      </c>
      <c r="F365" s="17">
        <v>62.0</v>
      </c>
      <c r="G365" s="17">
        <v>55.0</v>
      </c>
      <c r="H365" s="17">
        <v>52.0</v>
      </c>
      <c r="I365" s="17">
        <v>109.0</v>
      </c>
      <c r="J365" s="17">
        <v>94.0</v>
      </c>
      <c r="K365" s="17">
        <v>109.0</v>
      </c>
      <c r="L365" s="29">
        <f t="shared" si="2"/>
        <v>481</v>
      </c>
    </row>
    <row r="366" ht="23.25" customHeight="1">
      <c r="A366" s="17" t="s">
        <v>3350</v>
      </c>
      <c r="B366" s="17" t="str">
        <f t="shared" si="1"/>
        <v/>
      </c>
      <c r="C366" s="17" t="s">
        <v>3351</v>
      </c>
      <c r="D366" s="17" t="s">
        <v>2746</v>
      </c>
      <c r="E366" s="17" t="s">
        <v>2729</v>
      </c>
      <c r="F366" s="17">
        <v>44.0</v>
      </c>
      <c r="G366" s="17">
        <v>38.0</v>
      </c>
      <c r="H366" s="17">
        <v>33.0</v>
      </c>
      <c r="I366" s="17">
        <v>61.0</v>
      </c>
      <c r="J366" s="17">
        <v>43.0</v>
      </c>
      <c r="K366" s="17">
        <v>70.0</v>
      </c>
      <c r="L366" s="29">
        <f t="shared" si="2"/>
        <v>289</v>
      </c>
    </row>
    <row r="367" ht="23.25" customHeight="1">
      <c r="A367" s="17" t="s">
        <v>3352</v>
      </c>
      <c r="B367" s="17" t="str">
        <f t="shared" si="1"/>
        <v/>
      </c>
      <c r="C367" s="17" t="s">
        <v>851</v>
      </c>
      <c r="D367" s="17" t="s">
        <v>2719</v>
      </c>
      <c r="E367" s="17" t="s">
        <v>2773</v>
      </c>
      <c r="F367" s="17">
        <v>80.0</v>
      </c>
      <c r="G367" s="17">
        <v>125.0</v>
      </c>
      <c r="H367" s="17">
        <v>75.0</v>
      </c>
      <c r="I367" s="17">
        <v>40.0</v>
      </c>
      <c r="J367" s="17">
        <v>95.0</v>
      </c>
      <c r="K367" s="17">
        <v>85.0</v>
      </c>
      <c r="L367" s="29">
        <f t="shared" si="2"/>
        <v>500</v>
      </c>
    </row>
    <row r="368" ht="23.25" customHeight="1">
      <c r="A368" s="17" t="s">
        <v>3353</v>
      </c>
      <c r="B368" s="17" t="str">
        <f t="shared" si="1"/>
        <v/>
      </c>
      <c r="C368" s="17" t="s">
        <v>3354</v>
      </c>
      <c r="D368" s="17" t="s">
        <v>2729</v>
      </c>
      <c r="E368" s="17"/>
      <c r="F368" s="17">
        <v>65.0</v>
      </c>
      <c r="G368" s="17">
        <v>80.0</v>
      </c>
      <c r="H368" s="17">
        <v>65.0</v>
      </c>
      <c r="I368" s="17">
        <v>35.0</v>
      </c>
      <c r="J368" s="17">
        <v>65.0</v>
      </c>
      <c r="K368" s="17">
        <v>60.0</v>
      </c>
      <c r="L368" s="29">
        <f t="shared" si="2"/>
        <v>370</v>
      </c>
    </row>
    <row r="369" ht="23.25" customHeight="1">
      <c r="A369" s="17" t="s">
        <v>3355</v>
      </c>
      <c r="B369" s="17" t="str">
        <f t="shared" si="1"/>
        <v/>
      </c>
      <c r="C369" s="17" t="s">
        <v>510</v>
      </c>
      <c r="D369" s="17" t="s">
        <v>2803</v>
      </c>
      <c r="E369" s="17"/>
      <c r="F369" s="17">
        <v>68.0</v>
      </c>
      <c r="G369" s="17">
        <v>72.0</v>
      </c>
      <c r="H369" s="17">
        <v>78.0</v>
      </c>
      <c r="I369" s="17">
        <v>38.0</v>
      </c>
      <c r="J369" s="17">
        <v>42.0</v>
      </c>
      <c r="K369" s="17">
        <v>32.0</v>
      </c>
      <c r="L369" s="29">
        <f t="shared" si="2"/>
        <v>330</v>
      </c>
    </row>
    <row r="370" ht="23.25" customHeight="1">
      <c r="A370" s="17" t="s">
        <v>3356</v>
      </c>
      <c r="B370" s="17" t="str">
        <f t="shared" si="1"/>
        <v/>
      </c>
      <c r="C370" s="17" t="s">
        <v>743</v>
      </c>
      <c r="D370" s="17" t="s">
        <v>2803</v>
      </c>
      <c r="E370" s="17"/>
      <c r="F370" s="17">
        <v>108.0</v>
      </c>
      <c r="G370" s="17">
        <v>112.0</v>
      </c>
      <c r="H370" s="17">
        <v>118.0</v>
      </c>
      <c r="I370" s="17">
        <v>68.0</v>
      </c>
      <c r="J370" s="17">
        <v>72.0</v>
      </c>
      <c r="K370" s="17">
        <v>47.0</v>
      </c>
      <c r="L370" s="29">
        <f t="shared" si="2"/>
        <v>525</v>
      </c>
    </row>
    <row r="371" ht="23.25" customHeight="1">
      <c r="A371" s="17" t="s">
        <v>3357</v>
      </c>
      <c r="B371" s="17" t="str">
        <f t="shared" si="1"/>
        <v/>
      </c>
      <c r="C371" s="17" t="s">
        <v>3358</v>
      </c>
      <c r="D371" s="17" t="s">
        <v>2773</v>
      </c>
      <c r="E371" s="17"/>
      <c r="F371" s="17">
        <v>50.0</v>
      </c>
      <c r="G371" s="17">
        <v>105.0</v>
      </c>
      <c r="H371" s="17">
        <v>79.0</v>
      </c>
      <c r="I371" s="17">
        <v>35.0</v>
      </c>
      <c r="J371" s="17">
        <v>110.0</v>
      </c>
      <c r="K371" s="17">
        <v>76.0</v>
      </c>
      <c r="L371" s="29">
        <f t="shared" si="2"/>
        <v>455</v>
      </c>
    </row>
    <row r="372" ht="23.25" customHeight="1">
      <c r="A372" s="17" t="s">
        <v>3359</v>
      </c>
      <c r="B372" s="17" t="str">
        <f t="shared" si="1"/>
        <v/>
      </c>
      <c r="C372" s="17" t="s">
        <v>3360</v>
      </c>
      <c r="D372" s="17" t="s">
        <v>2773</v>
      </c>
      <c r="E372" s="17"/>
      <c r="F372" s="17">
        <v>50.0</v>
      </c>
      <c r="G372" s="17">
        <v>120.0</v>
      </c>
      <c r="H372" s="17">
        <v>53.0</v>
      </c>
      <c r="I372" s="17">
        <v>35.0</v>
      </c>
      <c r="J372" s="17">
        <v>110.0</v>
      </c>
      <c r="K372" s="17">
        <v>87.0</v>
      </c>
      <c r="L372" s="29">
        <f t="shared" si="2"/>
        <v>455</v>
      </c>
    </row>
    <row r="373" ht="23.25" customHeight="1">
      <c r="A373" s="17" t="s">
        <v>3361</v>
      </c>
      <c r="B373" s="17" t="str">
        <f t="shared" si="1"/>
        <v/>
      </c>
      <c r="C373" s="17" t="s">
        <v>2493</v>
      </c>
      <c r="D373" s="17" t="s">
        <v>2773</v>
      </c>
      <c r="E373" s="17"/>
      <c r="F373" s="17">
        <v>50.0</v>
      </c>
      <c r="G373" s="17">
        <v>95.0</v>
      </c>
      <c r="H373" s="17">
        <v>95.0</v>
      </c>
      <c r="I373" s="17">
        <v>35.0</v>
      </c>
      <c r="J373" s="17">
        <v>110.0</v>
      </c>
      <c r="K373" s="17">
        <v>70.0</v>
      </c>
      <c r="L373" s="29">
        <f t="shared" si="2"/>
        <v>455</v>
      </c>
    </row>
    <row r="374" ht="23.25" customHeight="1">
      <c r="A374" s="17" t="s">
        <v>3362</v>
      </c>
      <c r="B374" s="17" t="str">
        <f t="shared" si="1"/>
        <v/>
      </c>
      <c r="C374" s="17" t="s">
        <v>3363</v>
      </c>
      <c r="D374" s="17" t="s">
        <v>2758</v>
      </c>
      <c r="E374" s="17" t="s">
        <v>2726</v>
      </c>
      <c r="F374" s="17">
        <v>106.0</v>
      </c>
      <c r="G374" s="17">
        <v>130.0</v>
      </c>
      <c r="H374" s="17">
        <v>90.0</v>
      </c>
      <c r="I374" s="17">
        <v>110.0</v>
      </c>
      <c r="J374" s="17">
        <v>154.0</v>
      </c>
      <c r="K374" s="17">
        <v>90.0</v>
      </c>
      <c r="L374" s="29">
        <f t="shared" si="2"/>
        <v>680</v>
      </c>
    </row>
    <row r="375" ht="23.25" customHeight="1">
      <c r="A375" s="17" t="s">
        <v>3364</v>
      </c>
      <c r="B375" s="17" t="str">
        <f t="shared" si="1"/>
        <v/>
      </c>
      <c r="C375" s="17" t="s">
        <v>718</v>
      </c>
      <c r="D375" s="17" t="s">
        <v>2716</v>
      </c>
      <c r="E375" s="17" t="s">
        <v>2726</v>
      </c>
      <c r="F375" s="17">
        <v>100.0</v>
      </c>
      <c r="G375" s="17">
        <v>125.0</v>
      </c>
      <c r="H375" s="17">
        <v>52.0</v>
      </c>
      <c r="I375" s="17">
        <v>105.0</v>
      </c>
      <c r="J375" s="17">
        <v>52.0</v>
      </c>
      <c r="K375" s="17">
        <v>71.0</v>
      </c>
      <c r="L375" s="29">
        <f t="shared" si="2"/>
        <v>505</v>
      </c>
    </row>
    <row r="376" ht="23.25" customHeight="1">
      <c r="A376" s="17" t="s">
        <v>3365</v>
      </c>
      <c r="B376" s="17" t="str">
        <f t="shared" si="1"/>
        <v/>
      </c>
      <c r="C376" s="17" t="s">
        <v>3366</v>
      </c>
      <c r="D376" s="17" t="s">
        <v>2722</v>
      </c>
      <c r="E376" s="17" t="s">
        <v>2723</v>
      </c>
      <c r="F376" s="17">
        <v>45.0</v>
      </c>
      <c r="G376" s="17">
        <v>80.0</v>
      </c>
      <c r="H376" s="17">
        <v>100.0</v>
      </c>
      <c r="I376" s="17">
        <v>35.0</v>
      </c>
      <c r="J376" s="17">
        <v>37.0</v>
      </c>
      <c r="K376" s="17">
        <v>28.0</v>
      </c>
      <c r="L376" s="29">
        <f t="shared" si="2"/>
        <v>325</v>
      </c>
    </row>
    <row r="377" ht="23.25" customHeight="1">
      <c r="A377" s="17" t="s">
        <v>3367</v>
      </c>
      <c r="B377" s="17" t="str">
        <f t="shared" si="1"/>
        <v/>
      </c>
      <c r="C377" s="17" t="s">
        <v>3368</v>
      </c>
      <c r="D377" s="17" t="s">
        <v>2714</v>
      </c>
      <c r="E377" s="17" t="s">
        <v>2723</v>
      </c>
      <c r="F377" s="17">
        <v>80.0</v>
      </c>
      <c r="G377" s="17">
        <v>110.0</v>
      </c>
      <c r="H377" s="17">
        <v>60.0</v>
      </c>
      <c r="I377" s="17">
        <v>150.0</v>
      </c>
      <c r="J377" s="17">
        <v>130.0</v>
      </c>
      <c r="K377" s="17">
        <v>70.0</v>
      </c>
      <c r="L377" s="29">
        <f t="shared" si="2"/>
        <v>600</v>
      </c>
    </row>
    <row r="378" ht="23.25" customHeight="1">
      <c r="A378" s="17" t="s">
        <v>3369</v>
      </c>
      <c r="B378" s="17" t="str">
        <f t="shared" si="1"/>
        <v/>
      </c>
      <c r="C378" s="17" t="s">
        <v>302</v>
      </c>
      <c r="D378" s="17" t="s">
        <v>2729</v>
      </c>
      <c r="E378" s="17" t="s">
        <v>2726</v>
      </c>
      <c r="F378" s="17">
        <v>60.0</v>
      </c>
      <c r="G378" s="17">
        <v>30.0</v>
      </c>
      <c r="H378" s="17">
        <v>30.0</v>
      </c>
      <c r="I378" s="17">
        <v>36.0</v>
      </c>
      <c r="J378" s="17">
        <v>56.0</v>
      </c>
      <c r="K378" s="17">
        <v>50.0</v>
      </c>
      <c r="L378" s="29">
        <f t="shared" si="2"/>
        <v>262</v>
      </c>
    </row>
    <row r="379" ht="23.25" customHeight="1">
      <c r="A379" s="17" t="s">
        <v>3370</v>
      </c>
      <c r="B379" s="17" t="str">
        <f t="shared" si="1"/>
        <v/>
      </c>
      <c r="C379" s="17" t="s">
        <v>3371</v>
      </c>
      <c r="D379" s="17" t="s">
        <v>2711</v>
      </c>
      <c r="E379" s="17" t="s">
        <v>2726</v>
      </c>
      <c r="F379" s="17">
        <v>35.0</v>
      </c>
      <c r="G379" s="17">
        <v>35.0</v>
      </c>
      <c r="H379" s="17">
        <v>40.0</v>
      </c>
      <c r="I379" s="17">
        <v>35.0</v>
      </c>
      <c r="J379" s="17">
        <v>55.0</v>
      </c>
      <c r="K379" s="17">
        <v>50.0</v>
      </c>
      <c r="L379" s="29">
        <f t="shared" si="2"/>
        <v>250</v>
      </c>
    </row>
    <row r="380" ht="23.25" customHeight="1">
      <c r="A380" s="17" t="s">
        <v>3372</v>
      </c>
      <c r="B380" s="17" t="str">
        <f t="shared" si="1"/>
        <v/>
      </c>
      <c r="C380" s="17" t="s">
        <v>3373</v>
      </c>
      <c r="D380" s="17" t="s">
        <v>2736</v>
      </c>
      <c r="E380" s="17"/>
      <c r="F380" s="17">
        <v>30.0</v>
      </c>
      <c r="G380" s="17">
        <v>40.0</v>
      </c>
      <c r="H380" s="17">
        <v>70.0</v>
      </c>
      <c r="I380" s="17">
        <v>70.0</v>
      </c>
      <c r="J380" s="17">
        <v>25.0</v>
      </c>
      <c r="K380" s="17">
        <v>60.0</v>
      </c>
      <c r="L380" s="29">
        <f t="shared" si="2"/>
        <v>295</v>
      </c>
    </row>
    <row r="381" ht="23.25" customHeight="1">
      <c r="A381" s="17" t="s">
        <v>3374</v>
      </c>
      <c r="B381" s="17" t="str">
        <f t="shared" si="1"/>
        <v/>
      </c>
      <c r="C381" s="17" t="s">
        <v>2658</v>
      </c>
      <c r="D381" s="17" t="s">
        <v>2716</v>
      </c>
      <c r="E381" s="17" t="s">
        <v>2758</v>
      </c>
      <c r="F381" s="17">
        <v>75.0</v>
      </c>
      <c r="G381" s="17">
        <v>90.0</v>
      </c>
      <c r="H381" s="17">
        <v>50.0</v>
      </c>
      <c r="I381" s="17">
        <v>110.0</v>
      </c>
      <c r="J381" s="17">
        <v>80.0</v>
      </c>
      <c r="K381" s="17">
        <v>95.0</v>
      </c>
      <c r="L381" s="29">
        <f t="shared" si="2"/>
        <v>500</v>
      </c>
    </row>
    <row r="382" ht="23.25" customHeight="1">
      <c r="A382" s="17" t="s">
        <v>3375</v>
      </c>
      <c r="B382" s="17" t="str">
        <f t="shared" si="1"/>
        <v/>
      </c>
      <c r="C382" s="17" t="s">
        <v>3376</v>
      </c>
      <c r="D382" s="17" t="s">
        <v>2716</v>
      </c>
      <c r="E382" s="17" t="s">
        <v>2758</v>
      </c>
      <c r="F382" s="17">
        <v>45.0</v>
      </c>
      <c r="G382" s="17">
        <v>60.0</v>
      </c>
      <c r="H382" s="17">
        <v>30.0</v>
      </c>
      <c r="I382" s="17">
        <v>80.0</v>
      </c>
      <c r="J382" s="17">
        <v>50.0</v>
      </c>
      <c r="K382" s="17">
        <v>65.0</v>
      </c>
      <c r="L382" s="29">
        <f t="shared" si="2"/>
        <v>330</v>
      </c>
    </row>
    <row r="383" ht="23.25" customHeight="1">
      <c r="A383" s="17" t="s">
        <v>3377</v>
      </c>
      <c r="B383" s="17" t="str">
        <f t="shared" si="1"/>
        <v/>
      </c>
      <c r="C383" s="17" t="s">
        <v>2488</v>
      </c>
      <c r="D383" s="17" t="s">
        <v>2736</v>
      </c>
      <c r="E383" s="17"/>
      <c r="F383" s="17">
        <v>55.0</v>
      </c>
      <c r="G383" s="17">
        <v>104.0</v>
      </c>
      <c r="H383" s="17">
        <v>105.0</v>
      </c>
      <c r="I383" s="17">
        <v>94.0</v>
      </c>
      <c r="J383" s="17">
        <v>75.0</v>
      </c>
      <c r="K383" s="17">
        <v>52.0</v>
      </c>
      <c r="L383" s="29">
        <f t="shared" si="2"/>
        <v>485</v>
      </c>
    </row>
    <row r="384" ht="23.25" customHeight="1">
      <c r="A384" s="17" t="s">
        <v>3378</v>
      </c>
      <c r="B384" s="17" t="str">
        <f t="shared" si="1"/>
        <v/>
      </c>
      <c r="C384" s="17" t="s">
        <v>3379</v>
      </c>
      <c r="D384" s="17" t="s">
        <v>2716</v>
      </c>
      <c r="E384" s="17" t="s">
        <v>2738</v>
      </c>
      <c r="F384" s="17">
        <v>92.0</v>
      </c>
      <c r="G384" s="17">
        <v>105.0</v>
      </c>
      <c r="H384" s="17">
        <v>90.0</v>
      </c>
      <c r="I384" s="17">
        <v>125.0</v>
      </c>
      <c r="J384" s="17">
        <v>90.0</v>
      </c>
      <c r="K384" s="17">
        <v>98.0</v>
      </c>
      <c r="L384" s="29">
        <f t="shared" si="2"/>
        <v>600</v>
      </c>
    </row>
    <row r="385" ht="23.25" customHeight="1">
      <c r="A385" s="17" t="s">
        <v>3380</v>
      </c>
      <c r="B385" s="17" t="str">
        <f t="shared" si="1"/>
        <v/>
      </c>
      <c r="C385" s="17" t="s">
        <v>1845</v>
      </c>
      <c r="D385" s="17" t="s">
        <v>2714</v>
      </c>
      <c r="E385" s="17"/>
      <c r="F385" s="17">
        <v>85.0</v>
      </c>
      <c r="G385" s="17">
        <v>73.0</v>
      </c>
      <c r="H385" s="17">
        <v>70.0</v>
      </c>
      <c r="I385" s="17">
        <v>73.0</v>
      </c>
      <c r="J385" s="17">
        <v>115.0</v>
      </c>
      <c r="K385" s="17">
        <v>67.0</v>
      </c>
      <c r="L385" s="29">
        <f t="shared" si="2"/>
        <v>483</v>
      </c>
    </row>
    <row r="386" ht="23.25" customHeight="1">
      <c r="A386" s="17" t="s">
        <v>3381</v>
      </c>
      <c r="B386" s="17" t="str">
        <f t="shared" si="1"/>
        <v/>
      </c>
      <c r="C386" s="17" t="s">
        <v>3382</v>
      </c>
      <c r="D386" s="17" t="s">
        <v>2729</v>
      </c>
      <c r="E386" s="17" t="s">
        <v>2733</v>
      </c>
      <c r="F386" s="17">
        <v>90.0</v>
      </c>
      <c r="G386" s="17">
        <v>30.0</v>
      </c>
      <c r="H386" s="17">
        <v>15.0</v>
      </c>
      <c r="I386" s="17">
        <v>40.0</v>
      </c>
      <c r="J386" s="17">
        <v>20.0</v>
      </c>
      <c r="K386" s="17">
        <v>15.0</v>
      </c>
      <c r="L386" s="29">
        <f t="shared" si="2"/>
        <v>210</v>
      </c>
    </row>
    <row r="387" ht="23.25" customHeight="1">
      <c r="A387" s="17" t="s">
        <v>3383</v>
      </c>
      <c r="B387" s="17" t="str">
        <f t="shared" si="1"/>
        <v/>
      </c>
      <c r="C387" s="17" t="s">
        <v>3384</v>
      </c>
      <c r="D387" s="17" t="s">
        <v>2719</v>
      </c>
      <c r="E387" s="17"/>
      <c r="F387" s="17">
        <v>65.0</v>
      </c>
      <c r="G387" s="17">
        <v>47.0</v>
      </c>
      <c r="H387" s="17">
        <v>75.0</v>
      </c>
      <c r="I387" s="17">
        <v>73.0</v>
      </c>
      <c r="J387" s="17">
        <v>85.0</v>
      </c>
      <c r="K387" s="17">
        <v>85.0</v>
      </c>
      <c r="L387" s="29">
        <f t="shared" si="2"/>
        <v>430</v>
      </c>
    </row>
    <row r="388" ht="23.25" customHeight="1">
      <c r="A388" s="17" t="s">
        <v>3385</v>
      </c>
      <c r="B388" s="17" t="str">
        <f t="shared" si="1"/>
        <v/>
      </c>
      <c r="C388" s="17" t="s">
        <v>3386</v>
      </c>
      <c r="D388" s="17" t="s">
        <v>2716</v>
      </c>
      <c r="E388" s="17" t="s">
        <v>2733</v>
      </c>
      <c r="F388" s="17">
        <v>45.0</v>
      </c>
      <c r="G388" s="17">
        <v>45.0</v>
      </c>
      <c r="H388" s="17">
        <v>30.0</v>
      </c>
      <c r="I388" s="17">
        <v>55.0</v>
      </c>
      <c r="J388" s="17">
        <v>40.0</v>
      </c>
      <c r="K388" s="17">
        <v>50.0</v>
      </c>
      <c r="L388" s="29">
        <f t="shared" si="2"/>
        <v>265</v>
      </c>
    </row>
    <row r="389" ht="23.25" customHeight="1">
      <c r="A389" s="17" t="s">
        <v>3387</v>
      </c>
      <c r="B389" s="17" t="str">
        <f t="shared" si="1"/>
        <v/>
      </c>
      <c r="C389" s="17" t="s">
        <v>3388</v>
      </c>
      <c r="D389" s="17" t="s">
        <v>2758</v>
      </c>
      <c r="E389" s="17" t="s">
        <v>2716</v>
      </c>
      <c r="F389" s="17">
        <v>95.0</v>
      </c>
      <c r="G389" s="17">
        <v>115.0</v>
      </c>
      <c r="H389" s="17">
        <v>90.0</v>
      </c>
      <c r="I389" s="17">
        <v>80.0</v>
      </c>
      <c r="J389" s="17">
        <v>90.0</v>
      </c>
      <c r="K389" s="17">
        <v>60.0</v>
      </c>
      <c r="L389" s="29">
        <f t="shared" si="2"/>
        <v>530</v>
      </c>
    </row>
    <row r="390" ht="23.25" customHeight="1">
      <c r="A390" s="17" t="s">
        <v>3389</v>
      </c>
      <c r="B390" s="17" t="str">
        <f t="shared" si="1"/>
        <v/>
      </c>
      <c r="C390" s="17" t="s">
        <v>3390</v>
      </c>
      <c r="D390" s="17" t="s">
        <v>2714</v>
      </c>
      <c r="E390" s="17" t="s">
        <v>2729</v>
      </c>
      <c r="F390" s="17">
        <v>60.0</v>
      </c>
      <c r="G390" s="17">
        <v>65.0</v>
      </c>
      <c r="H390" s="17">
        <v>55.0</v>
      </c>
      <c r="I390" s="17">
        <v>105.0</v>
      </c>
      <c r="J390" s="17">
        <v>95.0</v>
      </c>
      <c r="K390" s="17">
        <v>95.0</v>
      </c>
      <c r="L390" s="29">
        <f t="shared" si="2"/>
        <v>475</v>
      </c>
    </row>
    <row r="391" ht="23.25" customHeight="1">
      <c r="A391" s="17" t="s">
        <v>3391</v>
      </c>
      <c r="B391" s="17" t="str">
        <f t="shared" si="1"/>
        <v/>
      </c>
      <c r="C391" s="17" t="s">
        <v>879</v>
      </c>
      <c r="D391" s="17" t="s">
        <v>2758</v>
      </c>
      <c r="E391" s="17" t="s">
        <v>2773</v>
      </c>
      <c r="F391" s="17">
        <v>76.0</v>
      </c>
      <c r="G391" s="17">
        <v>104.0</v>
      </c>
      <c r="H391" s="17">
        <v>71.0</v>
      </c>
      <c r="I391" s="17">
        <v>104.0</v>
      </c>
      <c r="J391" s="17">
        <v>71.0</v>
      </c>
      <c r="K391" s="17">
        <v>108.0</v>
      </c>
      <c r="L391" s="29">
        <f t="shared" si="2"/>
        <v>534</v>
      </c>
    </row>
    <row r="392" ht="23.25" customHeight="1">
      <c r="A392" s="17" t="s">
        <v>3392</v>
      </c>
      <c r="B392" s="17" t="str">
        <f t="shared" si="1"/>
        <v/>
      </c>
      <c r="C392" s="17" t="s">
        <v>3393</v>
      </c>
      <c r="D392" s="17" t="s">
        <v>2716</v>
      </c>
      <c r="E392" s="17" t="s">
        <v>2714</v>
      </c>
      <c r="F392" s="17">
        <v>53.0</v>
      </c>
      <c r="G392" s="17">
        <v>54.0</v>
      </c>
      <c r="H392" s="17">
        <v>53.0</v>
      </c>
      <c r="I392" s="17">
        <v>37.0</v>
      </c>
      <c r="J392" s="17">
        <v>46.0</v>
      </c>
      <c r="K392" s="17">
        <v>45.0</v>
      </c>
      <c r="L392" s="29">
        <f t="shared" si="2"/>
        <v>288</v>
      </c>
    </row>
    <row r="393" ht="23.25" customHeight="1">
      <c r="A393" s="17" t="s">
        <v>3394</v>
      </c>
      <c r="B393" s="17" t="str">
        <f t="shared" si="1"/>
        <v/>
      </c>
      <c r="C393" s="17" t="s">
        <v>3395</v>
      </c>
      <c r="D393" s="17" t="s">
        <v>2736</v>
      </c>
      <c r="E393" s="17"/>
      <c r="F393" s="17">
        <v>70.0</v>
      </c>
      <c r="G393" s="17">
        <v>85.0</v>
      </c>
      <c r="H393" s="17">
        <v>65.0</v>
      </c>
      <c r="I393" s="17">
        <v>125.0</v>
      </c>
      <c r="J393" s="17">
        <v>65.0</v>
      </c>
      <c r="K393" s="17">
        <v>120.0</v>
      </c>
      <c r="L393" s="29">
        <f t="shared" si="2"/>
        <v>530</v>
      </c>
    </row>
    <row r="394" ht="23.25" customHeight="1">
      <c r="A394" s="17" t="s">
        <v>3396</v>
      </c>
      <c r="B394" s="17" t="str">
        <f t="shared" si="1"/>
        <v/>
      </c>
      <c r="C394" s="17" t="s">
        <v>3397</v>
      </c>
      <c r="D394" s="17" t="s">
        <v>2711</v>
      </c>
      <c r="E394" s="17" t="s">
        <v>2744</v>
      </c>
      <c r="F394" s="17">
        <v>60.0</v>
      </c>
      <c r="G394" s="17">
        <v>62.0</v>
      </c>
      <c r="H394" s="17">
        <v>63.0</v>
      </c>
      <c r="I394" s="17">
        <v>80.0</v>
      </c>
      <c r="J394" s="17">
        <v>80.0</v>
      </c>
      <c r="K394" s="17">
        <v>60.0</v>
      </c>
      <c r="L394" s="29">
        <f t="shared" si="2"/>
        <v>405</v>
      </c>
    </row>
    <row r="395" ht="23.25" customHeight="1">
      <c r="A395" s="17" t="s">
        <v>3398</v>
      </c>
      <c r="B395" s="17" t="str">
        <f t="shared" si="1"/>
        <v/>
      </c>
      <c r="C395" s="17" t="s">
        <v>3399</v>
      </c>
      <c r="D395" s="17" t="s">
        <v>2738</v>
      </c>
      <c r="E395" s="17"/>
      <c r="F395" s="17">
        <v>45.0</v>
      </c>
      <c r="G395" s="17">
        <v>55.0</v>
      </c>
      <c r="H395" s="17">
        <v>65.0</v>
      </c>
      <c r="I395" s="17">
        <v>45.0</v>
      </c>
      <c r="J395" s="17">
        <v>45.0</v>
      </c>
      <c r="K395" s="17">
        <v>45.0</v>
      </c>
      <c r="L395" s="29">
        <f t="shared" si="2"/>
        <v>300</v>
      </c>
    </row>
    <row r="396" ht="23.25" customHeight="1">
      <c r="A396" s="17" t="s">
        <v>3400</v>
      </c>
      <c r="B396" s="17" t="str">
        <f t="shared" si="1"/>
        <v/>
      </c>
      <c r="C396" s="17" t="s">
        <v>3401</v>
      </c>
      <c r="D396" s="17" t="s">
        <v>2736</v>
      </c>
      <c r="E396" s="17" t="s">
        <v>2723</v>
      </c>
      <c r="F396" s="17">
        <v>100.0</v>
      </c>
      <c r="G396" s="17">
        <v>60.0</v>
      </c>
      <c r="H396" s="17">
        <v>70.0</v>
      </c>
      <c r="I396" s="17">
        <v>85.0</v>
      </c>
      <c r="J396" s="17">
        <v>105.0</v>
      </c>
      <c r="K396" s="17">
        <v>60.0</v>
      </c>
      <c r="L396" s="29">
        <f t="shared" si="2"/>
        <v>480</v>
      </c>
    </row>
    <row r="397" ht="23.25" customHeight="1">
      <c r="A397" s="17" t="s">
        <v>3402</v>
      </c>
      <c r="B397" s="17" t="str">
        <f t="shared" si="1"/>
        <v/>
      </c>
      <c r="C397" s="17" t="s">
        <v>3403</v>
      </c>
      <c r="D397" s="17" t="s">
        <v>2729</v>
      </c>
      <c r="E397" s="17" t="s">
        <v>2733</v>
      </c>
      <c r="F397" s="17">
        <v>115.0</v>
      </c>
      <c r="G397" s="17">
        <v>45.0</v>
      </c>
      <c r="H397" s="17">
        <v>20.0</v>
      </c>
      <c r="I397" s="17">
        <v>45.0</v>
      </c>
      <c r="J397" s="17">
        <v>25.0</v>
      </c>
      <c r="K397" s="17">
        <v>20.0</v>
      </c>
      <c r="L397" s="29">
        <f t="shared" si="2"/>
        <v>270</v>
      </c>
    </row>
    <row r="398" ht="23.25" customHeight="1">
      <c r="A398" s="17" t="s">
        <v>3404</v>
      </c>
      <c r="B398" s="17" t="str">
        <f t="shared" si="1"/>
        <v/>
      </c>
      <c r="C398" s="17" t="s">
        <v>3405</v>
      </c>
      <c r="D398" s="17" t="s">
        <v>2722</v>
      </c>
      <c r="E398" s="17" t="s">
        <v>2714</v>
      </c>
      <c r="F398" s="17">
        <v>100.0</v>
      </c>
      <c r="G398" s="17">
        <v>100.0</v>
      </c>
      <c r="H398" s="17">
        <v>100.0</v>
      </c>
      <c r="I398" s="17">
        <v>100.0</v>
      </c>
      <c r="J398" s="17">
        <v>100.0</v>
      </c>
      <c r="K398" s="17">
        <v>100.0</v>
      </c>
      <c r="L398" s="29">
        <f t="shared" si="2"/>
        <v>600</v>
      </c>
    </row>
    <row r="399" ht="23.25" customHeight="1">
      <c r="A399" s="17" t="s">
        <v>3406</v>
      </c>
      <c r="B399" s="17" t="str">
        <f t="shared" si="1"/>
        <v/>
      </c>
      <c r="C399" s="17" t="s">
        <v>2541</v>
      </c>
      <c r="D399" s="17" t="s">
        <v>2746</v>
      </c>
      <c r="E399" s="17"/>
      <c r="F399" s="17">
        <v>65.0</v>
      </c>
      <c r="G399" s="17">
        <v>65.0</v>
      </c>
      <c r="H399" s="17">
        <v>60.0</v>
      </c>
      <c r="I399" s="17">
        <v>110.0</v>
      </c>
      <c r="J399" s="17">
        <v>95.0</v>
      </c>
      <c r="K399" s="17">
        <v>130.0</v>
      </c>
      <c r="L399" s="29">
        <f t="shared" si="2"/>
        <v>525</v>
      </c>
    </row>
    <row r="400" ht="23.25" customHeight="1">
      <c r="A400" s="17" t="s">
        <v>3407</v>
      </c>
      <c r="B400" s="17" t="str">
        <f t="shared" si="1"/>
        <v/>
      </c>
      <c r="C400" s="17" t="s">
        <v>3408</v>
      </c>
      <c r="D400" s="17" t="s">
        <v>2719</v>
      </c>
      <c r="E400" s="17" t="s">
        <v>2746</v>
      </c>
      <c r="F400" s="17">
        <v>50.0</v>
      </c>
      <c r="G400" s="17">
        <v>47.0</v>
      </c>
      <c r="H400" s="17">
        <v>50.0</v>
      </c>
      <c r="I400" s="17">
        <v>57.0</v>
      </c>
      <c r="J400" s="17">
        <v>50.0</v>
      </c>
      <c r="K400" s="17">
        <v>65.0</v>
      </c>
      <c r="L400" s="29">
        <f t="shared" si="2"/>
        <v>319</v>
      </c>
    </row>
    <row r="401" ht="23.25" customHeight="1">
      <c r="A401" s="17" t="s">
        <v>3409</v>
      </c>
      <c r="B401" s="17" t="str">
        <f t="shared" si="1"/>
        <v/>
      </c>
      <c r="C401" s="17" t="s">
        <v>3410</v>
      </c>
      <c r="D401" s="17" t="s">
        <v>2711</v>
      </c>
      <c r="E401" s="17" t="s">
        <v>2733</v>
      </c>
      <c r="F401" s="17">
        <v>92.0</v>
      </c>
      <c r="G401" s="17">
        <v>63.0</v>
      </c>
      <c r="H401" s="17">
        <v>97.0</v>
      </c>
      <c r="I401" s="17">
        <v>124.0</v>
      </c>
      <c r="J401" s="17">
        <v>104.0</v>
      </c>
      <c r="K401" s="17">
        <v>96.0</v>
      </c>
      <c r="L401" s="29">
        <f t="shared" si="2"/>
        <v>576</v>
      </c>
    </row>
    <row r="402" ht="23.25" customHeight="1">
      <c r="A402" s="17" t="s">
        <v>3411</v>
      </c>
      <c r="B402" s="17" t="str">
        <f t="shared" si="1"/>
        <v/>
      </c>
      <c r="C402" s="17" t="s">
        <v>2467</v>
      </c>
      <c r="D402" s="17" t="s">
        <v>2711</v>
      </c>
      <c r="E402" s="17" t="s">
        <v>2726</v>
      </c>
      <c r="F402" s="17">
        <v>75.0</v>
      </c>
      <c r="G402" s="17">
        <v>55.0</v>
      </c>
      <c r="H402" s="17">
        <v>70.0</v>
      </c>
      <c r="I402" s="17">
        <v>55.0</v>
      </c>
      <c r="J402" s="17">
        <v>95.0</v>
      </c>
      <c r="K402" s="17">
        <v>110.0</v>
      </c>
      <c r="L402" s="29">
        <f t="shared" si="2"/>
        <v>460</v>
      </c>
    </row>
    <row r="403" ht="23.25" customHeight="1">
      <c r="A403" s="17" t="s">
        <v>3412</v>
      </c>
      <c r="B403" s="17" t="str">
        <f t="shared" si="1"/>
        <v/>
      </c>
      <c r="C403" s="17" t="s">
        <v>3413</v>
      </c>
      <c r="D403" s="17" t="s">
        <v>2722</v>
      </c>
      <c r="E403" s="17" t="s">
        <v>2803</v>
      </c>
      <c r="F403" s="17">
        <v>72.0</v>
      </c>
      <c r="G403" s="17">
        <v>70.0</v>
      </c>
      <c r="H403" s="17">
        <v>56.0</v>
      </c>
      <c r="I403" s="17">
        <v>83.0</v>
      </c>
      <c r="J403" s="17">
        <v>68.0</v>
      </c>
      <c r="K403" s="17">
        <v>30.0</v>
      </c>
      <c r="L403" s="29">
        <f t="shared" si="2"/>
        <v>379</v>
      </c>
    </row>
    <row r="404" ht="23.25" customHeight="1">
      <c r="A404" s="17" t="s">
        <v>3414</v>
      </c>
      <c r="B404" s="17" t="str">
        <f t="shared" si="1"/>
        <v/>
      </c>
      <c r="C404" s="17" t="s">
        <v>2515</v>
      </c>
      <c r="D404" s="17" t="s">
        <v>2712</v>
      </c>
      <c r="E404" s="17" t="s">
        <v>2714</v>
      </c>
      <c r="F404" s="17">
        <v>65.0</v>
      </c>
      <c r="G404" s="17">
        <v>50.0</v>
      </c>
      <c r="H404" s="17">
        <v>35.0</v>
      </c>
      <c r="I404" s="17">
        <v>115.0</v>
      </c>
      <c r="J404" s="17">
        <v>95.0</v>
      </c>
      <c r="K404" s="17">
        <v>95.0</v>
      </c>
      <c r="L404" s="29">
        <f t="shared" si="2"/>
        <v>455</v>
      </c>
    </row>
    <row r="405" ht="23.25" customHeight="1">
      <c r="A405" s="17" t="s">
        <v>3415</v>
      </c>
      <c r="B405" s="17" t="str">
        <f t="shared" si="1"/>
        <v/>
      </c>
      <c r="C405" s="17" t="s">
        <v>3416</v>
      </c>
      <c r="D405" s="17" t="s">
        <v>2725</v>
      </c>
      <c r="E405" s="17" t="s">
        <v>2736</v>
      </c>
      <c r="F405" s="17">
        <v>30.0</v>
      </c>
      <c r="G405" s="17">
        <v>80.0</v>
      </c>
      <c r="H405" s="17">
        <v>90.0</v>
      </c>
      <c r="I405" s="17">
        <v>55.0</v>
      </c>
      <c r="J405" s="17">
        <v>45.0</v>
      </c>
      <c r="K405" s="17">
        <v>55.0</v>
      </c>
      <c r="L405" s="29">
        <f t="shared" si="2"/>
        <v>355</v>
      </c>
    </row>
    <row r="406" ht="23.25" customHeight="1">
      <c r="A406" s="17" t="s">
        <v>3417</v>
      </c>
      <c r="B406" s="17" t="str">
        <f t="shared" si="1"/>
        <v/>
      </c>
      <c r="C406" s="17" t="s">
        <v>2577</v>
      </c>
      <c r="D406" s="17" t="s">
        <v>2725</v>
      </c>
      <c r="E406" s="17" t="s">
        <v>2736</v>
      </c>
      <c r="F406" s="17">
        <v>60.0</v>
      </c>
      <c r="G406" s="17">
        <v>115.0</v>
      </c>
      <c r="H406" s="17">
        <v>105.0</v>
      </c>
      <c r="I406" s="17">
        <v>65.0</v>
      </c>
      <c r="J406" s="17">
        <v>70.0</v>
      </c>
      <c r="K406" s="17">
        <v>80.0</v>
      </c>
      <c r="L406" s="29">
        <f t="shared" si="2"/>
        <v>495</v>
      </c>
    </row>
    <row r="407" ht="23.25" customHeight="1">
      <c r="A407" s="17" t="s">
        <v>3418</v>
      </c>
      <c r="B407" s="17" t="str">
        <f t="shared" si="1"/>
        <v/>
      </c>
      <c r="C407" s="17" t="s">
        <v>386</v>
      </c>
      <c r="D407" s="17" t="s">
        <v>2714</v>
      </c>
      <c r="E407" s="17"/>
      <c r="F407" s="17">
        <v>40.0</v>
      </c>
      <c r="G407" s="17">
        <v>35.0</v>
      </c>
      <c r="H407" s="17">
        <v>30.0</v>
      </c>
      <c r="I407" s="17">
        <v>120.0</v>
      </c>
      <c r="J407" s="17">
        <v>70.0</v>
      </c>
      <c r="K407" s="17">
        <v>105.0</v>
      </c>
      <c r="L407" s="29">
        <f t="shared" si="2"/>
        <v>400</v>
      </c>
    </row>
    <row r="408" ht="23.25" customHeight="1">
      <c r="A408" s="17" t="s">
        <v>3419</v>
      </c>
      <c r="B408" s="17" t="str">
        <f t="shared" si="1"/>
        <v/>
      </c>
      <c r="C408" s="17" t="s">
        <v>3420</v>
      </c>
      <c r="D408" s="17" t="s">
        <v>2719</v>
      </c>
      <c r="E408" s="17" t="s">
        <v>2744</v>
      </c>
      <c r="F408" s="17">
        <v>45.0</v>
      </c>
      <c r="G408" s="17">
        <v>25.0</v>
      </c>
      <c r="H408" s="17">
        <v>50.0</v>
      </c>
      <c r="I408" s="17">
        <v>25.0</v>
      </c>
      <c r="J408" s="17">
        <v>25.0</v>
      </c>
      <c r="K408" s="17">
        <v>35.0</v>
      </c>
      <c r="L408" s="29">
        <f t="shared" si="2"/>
        <v>205</v>
      </c>
    </row>
    <row r="409" ht="23.25" customHeight="1">
      <c r="A409" s="17" t="s">
        <v>3421</v>
      </c>
      <c r="B409" s="17" t="str">
        <f t="shared" si="1"/>
        <v/>
      </c>
      <c r="C409" s="17" t="s">
        <v>1876</v>
      </c>
      <c r="D409" s="17" t="s">
        <v>2729</v>
      </c>
      <c r="E409" s="17"/>
      <c r="F409" s="17">
        <v>105.0</v>
      </c>
      <c r="G409" s="17">
        <v>95.0</v>
      </c>
      <c r="H409" s="17">
        <v>80.0</v>
      </c>
      <c r="I409" s="17">
        <v>40.0</v>
      </c>
      <c r="J409" s="17">
        <v>80.0</v>
      </c>
      <c r="K409" s="17">
        <v>90.0</v>
      </c>
      <c r="L409" s="29">
        <f t="shared" si="2"/>
        <v>490</v>
      </c>
    </row>
    <row r="410" ht="23.25" customHeight="1">
      <c r="A410" s="17" t="s">
        <v>3422</v>
      </c>
      <c r="B410" s="17" t="str">
        <f t="shared" si="1"/>
        <v/>
      </c>
      <c r="C410" s="17" t="s">
        <v>3423</v>
      </c>
      <c r="D410" s="17" t="s">
        <v>2719</v>
      </c>
      <c r="E410" s="17"/>
      <c r="F410" s="17">
        <v>50.0</v>
      </c>
      <c r="G410" s="17">
        <v>75.0</v>
      </c>
      <c r="H410" s="17">
        <v>45.0</v>
      </c>
      <c r="I410" s="17">
        <v>40.0</v>
      </c>
      <c r="J410" s="17">
        <v>45.0</v>
      </c>
      <c r="K410" s="17">
        <v>60.0</v>
      </c>
      <c r="L410" s="29">
        <f t="shared" si="2"/>
        <v>315</v>
      </c>
    </row>
    <row r="411" ht="23.25" customHeight="1">
      <c r="A411" s="17" t="s">
        <v>3424</v>
      </c>
      <c r="B411" s="17" t="str">
        <f t="shared" si="1"/>
        <v/>
      </c>
      <c r="C411" s="17" t="s">
        <v>3425</v>
      </c>
      <c r="D411" s="17" t="s">
        <v>2711</v>
      </c>
      <c r="E411" s="17" t="s">
        <v>2722</v>
      </c>
      <c r="F411" s="17">
        <v>59.0</v>
      </c>
      <c r="G411" s="17">
        <v>181.0</v>
      </c>
      <c r="H411" s="17">
        <v>131.0</v>
      </c>
      <c r="I411" s="17">
        <v>59.0</v>
      </c>
      <c r="J411" s="17">
        <v>31.0</v>
      </c>
      <c r="K411" s="17">
        <v>109.0</v>
      </c>
      <c r="L411" s="29">
        <f t="shared" si="2"/>
        <v>570</v>
      </c>
    </row>
    <row r="412" ht="23.25" customHeight="1">
      <c r="A412" s="17" t="s">
        <v>3426</v>
      </c>
      <c r="B412" s="17" t="str">
        <f t="shared" si="1"/>
        <v/>
      </c>
      <c r="C412" s="17" t="s">
        <v>1935</v>
      </c>
      <c r="D412" s="17" t="s">
        <v>2729</v>
      </c>
      <c r="E412" s="17"/>
      <c r="F412" s="17">
        <v>60.0</v>
      </c>
      <c r="G412" s="17">
        <v>90.0</v>
      </c>
      <c r="H412" s="17">
        <v>70.0</v>
      </c>
      <c r="I412" s="17">
        <v>60.0</v>
      </c>
      <c r="J412" s="17">
        <v>120.0</v>
      </c>
      <c r="K412" s="17">
        <v>40.0</v>
      </c>
      <c r="L412" s="29">
        <f t="shared" si="2"/>
        <v>440</v>
      </c>
    </row>
    <row r="413" ht="23.25" customHeight="1">
      <c r="A413" s="17" t="s">
        <v>3427</v>
      </c>
      <c r="B413" s="17" t="str">
        <f t="shared" si="1"/>
        <v/>
      </c>
      <c r="C413" s="17" t="s">
        <v>3428</v>
      </c>
      <c r="D413" s="17" t="s">
        <v>2736</v>
      </c>
      <c r="E413" s="17" t="s">
        <v>2773</v>
      </c>
      <c r="F413" s="17">
        <v>91.0</v>
      </c>
      <c r="G413" s="17">
        <v>72.0</v>
      </c>
      <c r="H413" s="17">
        <v>90.0</v>
      </c>
      <c r="I413" s="17">
        <v>129.0</v>
      </c>
      <c r="J413" s="17">
        <v>90.0</v>
      </c>
      <c r="K413" s="17">
        <v>108.0</v>
      </c>
      <c r="L413" s="29">
        <f t="shared" si="2"/>
        <v>580</v>
      </c>
    </row>
    <row r="414" ht="23.25" customHeight="1">
      <c r="A414" s="17" t="s">
        <v>3429</v>
      </c>
      <c r="B414" s="17" t="str">
        <f t="shared" si="1"/>
        <v/>
      </c>
      <c r="C414" s="17" t="s">
        <v>3430</v>
      </c>
      <c r="D414" s="17" t="s">
        <v>2733</v>
      </c>
      <c r="E414" s="17" t="s">
        <v>2773</v>
      </c>
      <c r="F414" s="17">
        <v>84.0</v>
      </c>
      <c r="G414" s="17">
        <v>78.0</v>
      </c>
      <c r="H414" s="17">
        <v>86.0</v>
      </c>
      <c r="I414" s="17">
        <v>115.0</v>
      </c>
      <c r="J414" s="17">
        <v>88.0</v>
      </c>
      <c r="K414" s="17">
        <v>119.0</v>
      </c>
      <c r="L414" s="29">
        <f t="shared" si="2"/>
        <v>570</v>
      </c>
    </row>
    <row r="415" ht="23.25" customHeight="1">
      <c r="A415" s="17" t="s">
        <v>3431</v>
      </c>
      <c r="B415" s="17" t="str">
        <f t="shared" si="1"/>
        <v/>
      </c>
      <c r="C415" s="17" t="s">
        <v>2484</v>
      </c>
      <c r="D415" s="17" t="s">
        <v>2736</v>
      </c>
      <c r="E415" s="17" t="s">
        <v>2738</v>
      </c>
      <c r="F415" s="17">
        <v>75.0</v>
      </c>
      <c r="G415" s="17">
        <v>95.0</v>
      </c>
      <c r="H415" s="17">
        <v>95.0</v>
      </c>
      <c r="I415" s="17">
        <v>95.0</v>
      </c>
      <c r="J415" s="17">
        <v>95.0</v>
      </c>
      <c r="K415" s="17">
        <v>85.0</v>
      </c>
      <c r="L415" s="29">
        <f t="shared" si="2"/>
        <v>540</v>
      </c>
    </row>
    <row r="416" ht="23.25" customHeight="1">
      <c r="A416" s="17" t="s">
        <v>3432</v>
      </c>
      <c r="B416" s="17" t="str">
        <f t="shared" si="1"/>
        <v/>
      </c>
      <c r="C416" s="17" t="s">
        <v>3433</v>
      </c>
      <c r="D416" s="17" t="s">
        <v>2736</v>
      </c>
      <c r="E416" s="17"/>
      <c r="F416" s="17">
        <v>55.0</v>
      </c>
      <c r="G416" s="17">
        <v>130.0</v>
      </c>
      <c r="H416" s="17">
        <v>115.0</v>
      </c>
      <c r="I416" s="17">
        <v>50.0</v>
      </c>
      <c r="J416" s="17">
        <v>50.0</v>
      </c>
      <c r="K416" s="17">
        <v>75.0</v>
      </c>
      <c r="L416" s="29">
        <f t="shared" si="2"/>
        <v>475</v>
      </c>
    </row>
    <row r="417" ht="23.25" customHeight="1">
      <c r="A417" s="17" t="s">
        <v>3434</v>
      </c>
      <c r="B417" s="17" t="str">
        <f t="shared" si="1"/>
        <v/>
      </c>
      <c r="C417" s="17" t="s">
        <v>1837</v>
      </c>
      <c r="D417" s="17" t="s">
        <v>2714</v>
      </c>
      <c r="E417" s="17" t="s">
        <v>2733</v>
      </c>
      <c r="F417" s="17">
        <v>38.0</v>
      </c>
      <c r="G417" s="17">
        <v>35.0</v>
      </c>
      <c r="H417" s="17">
        <v>35.0</v>
      </c>
      <c r="I417" s="17">
        <v>65.0</v>
      </c>
      <c r="J417" s="17">
        <v>55.0</v>
      </c>
      <c r="K417" s="17">
        <v>50.0</v>
      </c>
      <c r="L417" s="29">
        <f t="shared" si="2"/>
        <v>278</v>
      </c>
    </row>
    <row r="418" ht="23.25" customHeight="1">
      <c r="A418" s="17" t="s">
        <v>3435</v>
      </c>
      <c r="B418" s="17" t="str">
        <f t="shared" si="1"/>
        <v/>
      </c>
      <c r="C418" s="17" t="s">
        <v>3436</v>
      </c>
      <c r="D418" s="17" t="s">
        <v>2723</v>
      </c>
      <c r="E418" s="17" t="s">
        <v>2722</v>
      </c>
      <c r="F418" s="17">
        <v>80.0</v>
      </c>
      <c r="G418" s="17">
        <v>103.0</v>
      </c>
      <c r="H418" s="17">
        <v>85.0</v>
      </c>
      <c r="I418" s="17">
        <v>55.0</v>
      </c>
      <c r="J418" s="17">
        <v>80.0</v>
      </c>
      <c r="K418" s="17">
        <v>110.0</v>
      </c>
      <c r="L418" s="29">
        <f t="shared" si="2"/>
        <v>513</v>
      </c>
    </row>
    <row r="419" ht="23.25" customHeight="1">
      <c r="A419" s="17" t="s">
        <v>3437</v>
      </c>
      <c r="B419" s="17" t="str">
        <f t="shared" si="1"/>
        <v/>
      </c>
      <c r="C419" s="17" t="s">
        <v>3438</v>
      </c>
      <c r="D419" s="17" t="s">
        <v>2722</v>
      </c>
      <c r="E419" s="17"/>
      <c r="F419" s="17">
        <v>60.0</v>
      </c>
      <c r="G419" s="17">
        <v>80.0</v>
      </c>
      <c r="H419" s="17">
        <v>95.0</v>
      </c>
      <c r="I419" s="17">
        <v>70.0</v>
      </c>
      <c r="J419" s="17">
        <v>85.0</v>
      </c>
      <c r="K419" s="17">
        <v>50.0</v>
      </c>
      <c r="L419" s="29">
        <f t="shared" si="2"/>
        <v>440</v>
      </c>
    </row>
    <row r="420" ht="23.25" customHeight="1">
      <c r="A420" s="17" t="s">
        <v>3439</v>
      </c>
      <c r="B420" s="17" t="str">
        <f t="shared" si="1"/>
        <v/>
      </c>
      <c r="C420" s="17" t="s">
        <v>3440</v>
      </c>
      <c r="D420" s="17" t="s">
        <v>2722</v>
      </c>
      <c r="E420" s="17" t="s">
        <v>2733</v>
      </c>
      <c r="F420" s="17">
        <v>57.0</v>
      </c>
      <c r="G420" s="17">
        <v>80.0</v>
      </c>
      <c r="H420" s="17">
        <v>91.0</v>
      </c>
      <c r="I420" s="17">
        <v>80.0</v>
      </c>
      <c r="J420" s="17">
        <v>87.0</v>
      </c>
      <c r="K420" s="17">
        <v>75.0</v>
      </c>
      <c r="L420" s="29">
        <f t="shared" si="2"/>
        <v>470</v>
      </c>
    </row>
    <row r="421" ht="23.25" customHeight="1">
      <c r="A421" s="17" t="s">
        <v>3441</v>
      </c>
      <c r="B421" s="17" t="str">
        <f t="shared" si="1"/>
        <v/>
      </c>
      <c r="C421" s="17" t="s">
        <v>3442</v>
      </c>
      <c r="D421" s="17" t="s">
        <v>2722</v>
      </c>
      <c r="E421" s="17"/>
      <c r="F421" s="17">
        <v>40.0</v>
      </c>
      <c r="G421" s="17">
        <v>55.0</v>
      </c>
      <c r="H421" s="17">
        <v>70.0</v>
      </c>
      <c r="I421" s="17">
        <v>45.0</v>
      </c>
      <c r="J421" s="17">
        <v>60.0</v>
      </c>
      <c r="K421" s="17">
        <v>30.0</v>
      </c>
      <c r="L421" s="29">
        <f t="shared" si="2"/>
        <v>300</v>
      </c>
    </row>
    <row r="422" ht="23.25" customHeight="1">
      <c r="A422" s="17" t="s">
        <v>3443</v>
      </c>
      <c r="B422" s="17" t="str">
        <f t="shared" si="1"/>
        <v/>
      </c>
      <c r="C422" s="17" t="s">
        <v>3444</v>
      </c>
      <c r="D422" s="17" t="s">
        <v>2722</v>
      </c>
      <c r="E422" s="17"/>
      <c r="F422" s="17">
        <v>60.0</v>
      </c>
      <c r="G422" s="17">
        <v>100.0</v>
      </c>
      <c r="H422" s="17">
        <v>115.0</v>
      </c>
      <c r="I422" s="17">
        <v>70.0</v>
      </c>
      <c r="J422" s="17">
        <v>85.0</v>
      </c>
      <c r="K422" s="17">
        <v>90.0</v>
      </c>
      <c r="L422" s="29">
        <f t="shared" si="2"/>
        <v>520</v>
      </c>
    </row>
    <row r="423" ht="23.25" customHeight="1">
      <c r="A423" s="17" t="s">
        <v>3445</v>
      </c>
      <c r="B423" s="17" t="str">
        <f t="shared" si="1"/>
        <v/>
      </c>
      <c r="C423" s="17" t="s">
        <v>3446</v>
      </c>
      <c r="D423" s="17" t="s">
        <v>2744</v>
      </c>
      <c r="E423" s="17"/>
      <c r="F423" s="17">
        <v>40.0</v>
      </c>
      <c r="G423" s="17">
        <v>65.0</v>
      </c>
      <c r="H423" s="17">
        <v>95.0</v>
      </c>
      <c r="I423" s="17">
        <v>60.0</v>
      </c>
      <c r="J423" s="17">
        <v>45.0</v>
      </c>
      <c r="K423" s="17">
        <v>35.0</v>
      </c>
      <c r="L423" s="29">
        <f t="shared" si="2"/>
        <v>340</v>
      </c>
    </row>
    <row r="424" ht="23.25" customHeight="1">
      <c r="A424" s="17" t="s">
        <v>3447</v>
      </c>
      <c r="B424" s="17" t="str">
        <f t="shared" si="1"/>
        <v/>
      </c>
      <c r="C424" s="17" t="s">
        <v>3448</v>
      </c>
      <c r="D424" s="17" t="s">
        <v>2729</v>
      </c>
      <c r="E424" s="17"/>
      <c r="F424" s="17">
        <v>65.0</v>
      </c>
      <c r="G424" s="17">
        <v>115.0</v>
      </c>
      <c r="H424" s="17">
        <v>65.0</v>
      </c>
      <c r="I424" s="17">
        <v>75.0</v>
      </c>
      <c r="J424" s="17">
        <v>95.0</v>
      </c>
      <c r="K424" s="17">
        <v>65.0</v>
      </c>
      <c r="L424" s="29">
        <f t="shared" si="2"/>
        <v>480</v>
      </c>
    </row>
    <row r="425" ht="23.25" customHeight="1">
      <c r="A425" s="17" t="s">
        <v>3449</v>
      </c>
      <c r="B425" s="17" t="str">
        <f t="shared" si="1"/>
        <v/>
      </c>
      <c r="C425" s="17" t="s">
        <v>3450</v>
      </c>
      <c r="D425" s="17" t="s">
        <v>2738</v>
      </c>
      <c r="E425" s="17" t="s">
        <v>2773</v>
      </c>
      <c r="F425" s="17">
        <v>75.0</v>
      </c>
      <c r="G425" s="17">
        <v>110.0</v>
      </c>
      <c r="H425" s="17">
        <v>125.0</v>
      </c>
      <c r="I425" s="17">
        <v>100.0</v>
      </c>
      <c r="J425" s="17">
        <v>105.0</v>
      </c>
      <c r="K425" s="17">
        <v>85.0</v>
      </c>
      <c r="L425" s="29">
        <f t="shared" si="2"/>
        <v>600</v>
      </c>
    </row>
    <row r="426" ht="23.25" customHeight="1">
      <c r="A426" s="17" t="s">
        <v>3451</v>
      </c>
      <c r="B426" s="17" t="str">
        <f t="shared" si="1"/>
        <v/>
      </c>
      <c r="C426" s="17" t="s">
        <v>3452</v>
      </c>
      <c r="D426" s="17" t="s">
        <v>2736</v>
      </c>
      <c r="E426" s="17"/>
      <c r="F426" s="17">
        <v>30.0</v>
      </c>
      <c r="G426" s="17">
        <v>105.0</v>
      </c>
      <c r="H426" s="17">
        <v>90.0</v>
      </c>
      <c r="I426" s="17">
        <v>25.0</v>
      </c>
      <c r="J426" s="17">
        <v>25.0</v>
      </c>
      <c r="K426" s="17">
        <v>50.0</v>
      </c>
      <c r="L426" s="29">
        <f t="shared" si="2"/>
        <v>325</v>
      </c>
    </row>
    <row r="427" ht="23.25" customHeight="1">
      <c r="A427" s="17" t="s">
        <v>3453</v>
      </c>
      <c r="B427" s="17" t="str">
        <f t="shared" si="1"/>
        <v/>
      </c>
      <c r="C427" s="17" t="s">
        <v>57</v>
      </c>
      <c r="D427" s="17" t="s">
        <v>2719</v>
      </c>
      <c r="E427" s="17"/>
      <c r="F427" s="17">
        <v>37.0</v>
      </c>
      <c r="G427" s="17">
        <v>25.0</v>
      </c>
      <c r="H427" s="17">
        <v>41.0</v>
      </c>
      <c r="I427" s="17">
        <v>25.0</v>
      </c>
      <c r="J427" s="17">
        <v>41.0</v>
      </c>
      <c r="K427" s="17">
        <v>25.0</v>
      </c>
      <c r="L427" s="29">
        <f t="shared" si="2"/>
        <v>194</v>
      </c>
    </row>
    <row r="428" ht="23.25" customHeight="1">
      <c r="A428" s="17" t="s">
        <v>3454</v>
      </c>
      <c r="B428" s="17" t="str">
        <f t="shared" si="1"/>
        <v/>
      </c>
      <c r="C428" s="17" t="s">
        <v>697</v>
      </c>
      <c r="D428" s="17" t="s">
        <v>2719</v>
      </c>
      <c r="E428" s="17"/>
      <c r="F428" s="17">
        <v>77.0</v>
      </c>
      <c r="G428" s="17">
        <v>85.0</v>
      </c>
      <c r="H428" s="17">
        <v>51.0</v>
      </c>
      <c r="I428" s="17">
        <v>55.0</v>
      </c>
      <c r="J428" s="17">
        <v>51.0</v>
      </c>
      <c r="K428" s="17">
        <v>65.0</v>
      </c>
      <c r="L428" s="29">
        <f t="shared" si="2"/>
        <v>384</v>
      </c>
    </row>
    <row r="429" ht="23.25" customHeight="1">
      <c r="A429" s="17" t="s">
        <v>3455</v>
      </c>
      <c r="B429" s="17" t="str">
        <f t="shared" si="1"/>
        <v/>
      </c>
      <c r="C429" s="17" t="s">
        <v>3456</v>
      </c>
      <c r="D429" s="17" t="s">
        <v>2746</v>
      </c>
      <c r="E429" s="17" t="s">
        <v>2736</v>
      </c>
      <c r="F429" s="17">
        <v>151.0</v>
      </c>
      <c r="G429" s="17">
        <v>84.0</v>
      </c>
      <c r="H429" s="17">
        <v>73.0</v>
      </c>
      <c r="I429" s="17">
        <v>83.0</v>
      </c>
      <c r="J429" s="17">
        <v>74.0</v>
      </c>
      <c r="K429" s="17">
        <v>105.0</v>
      </c>
      <c r="L429" s="29">
        <f t="shared" si="2"/>
        <v>570</v>
      </c>
    </row>
    <row r="430" ht="23.25" customHeight="1">
      <c r="A430" s="17" t="s">
        <v>3457</v>
      </c>
      <c r="B430" s="17" t="str">
        <f t="shared" si="1"/>
        <v/>
      </c>
      <c r="C430" s="17" t="s">
        <v>3458</v>
      </c>
      <c r="D430" s="17" t="s">
        <v>2803</v>
      </c>
      <c r="E430" s="17" t="s">
        <v>2716</v>
      </c>
      <c r="F430" s="17">
        <v>60.0</v>
      </c>
      <c r="G430" s="17">
        <v>82.0</v>
      </c>
      <c r="H430" s="17">
        <v>45.0</v>
      </c>
      <c r="I430" s="17">
        <v>45.0</v>
      </c>
      <c r="J430" s="17">
        <v>45.0</v>
      </c>
      <c r="K430" s="17">
        <v>74.0</v>
      </c>
      <c r="L430" s="29">
        <f t="shared" si="2"/>
        <v>351</v>
      </c>
    </row>
    <row r="431" ht="23.25" customHeight="1">
      <c r="A431" s="17" t="s">
        <v>3459</v>
      </c>
      <c r="B431" s="17" t="str">
        <f t="shared" si="1"/>
        <v/>
      </c>
      <c r="C431" s="17" t="s">
        <v>3460</v>
      </c>
      <c r="D431" s="17" t="s">
        <v>2803</v>
      </c>
      <c r="E431" s="17" t="s">
        <v>2716</v>
      </c>
      <c r="F431" s="17">
        <v>95.0</v>
      </c>
      <c r="G431" s="17">
        <v>117.0</v>
      </c>
      <c r="H431" s="17">
        <v>80.0</v>
      </c>
      <c r="I431" s="17">
        <v>65.0</v>
      </c>
      <c r="J431" s="17">
        <v>70.0</v>
      </c>
      <c r="K431" s="17">
        <v>92.0</v>
      </c>
      <c r="L431" s="29">
        <f t="shared" si="2"/>
        <v>519</v>
      </c>
    </row>
    <row r="432" ht="23.25" customHeight="1">
      <c r="A432" s="17" t="s">
        <v>3461</v>
      </c>
      <c r="B432" s="17" t="str">
        <f t="shared" si="1"/>
        <v/>
      </c>
      <c r="C432" s="17" t="s">
        <v>3462</v>
      </c>
      <c r="D432" s="17" t="s">
        <v>2773</v>
      </c>
      <c r="E432" s="17"/>
      <c r="F432" s="17">
        <v>60.0</v>
      </c>
      <c r="G432" s="17">
        <v>90.0</v>
      </c>
      <c r="H432" s="17">
        <v>60.0</v>
      </c>
      <c r="I432" s="17">
        <v>53.0</v>
      </c>
      <c r="J432" s="17">
        <v>50.0</v>
      </c>
      <c r="K432" s="17">
        <v>72.0</v>
      </c>
      <c r="L432" s="29">
        <f t="shared" si="2"/>
        <v>385</v>
      </c>
    </row>
    <row r="433" ht="23.25" customHeight="1">
      <c r="A433" s="17" t="s">
        <v>3463</v>
      </c>
      <c r="B433" s="17" t="str">
        <f t="shared" si="1"/>
        <v/>
      </c>
      <c r="C433" s="17" t="s">
        <v>3464</v>
      </c>
      <c r="D433" s="17" t="s">
        <v>2736</v>
      </c>
      <c r="E433" s="17"/>
      <c r="F433" s="17">
        <v>100.0</v>
      </c>
      <c r="G433" s="17">
        <v>100.0</v>
      </c>
      <c r="H433" s="17">
        <v>90.0</v>
      </c>
      <c r="I433" s="17">
        <v>150.0</v>
      </c>
      <c r="J433" s="17">
        <v>140.0</v>
      </c>
      <c r="K433" s="17">
        <v>90.0</v>
      </c>
      <c r="L433" s="29">
        <f t="shared" si="2"/>
        <v>670</v>
      </c>
    </row>
    <row r="434" ht="23.25" customHeight="1">
      <c r="A434" s="17" t="s">
        <v>3465</v>
      </c>
      <c r="B434" s="17" t="str">
        <f t="shared" si="1"/>
        <v/>
      </c>
      <c r="C434" s="17" t="s">
        <v>3466</v>
      </c>
      <c r="D434" s="17" t="s">
        <v>2738</v>
      </c>
      <c r="E434" s="17" t="s">
        <v>2712</v>
      </c>
      <c r="F434" s="17">
        <v>125.0</v>
      </c>
      <c r="G434" s="17">
        <v>130.0</v>
      </c>
      <c r="H434" s="17">
        <v>90.0</v>
      </c>
      <c r="I434" s="17">
        <v>130.0</v>
      </c>
      <c r="J434" s="17">
        <v>90.0</v>
      </c>
      <c r="K434" s="17">
        <v>95.0</v>
      </c>
      <c r="L434" s="29">
        <f t="shared" si="2"/>
        <v>660</v>
      </c>
    </row>
    <row r="435" ht="23.25" customHeight="1">
      <c r="A435" s="17" t="s">
        <v>3467</v>
      </c>
      <c r="B435" s="17" t="str">
        <f t="shared" si="1"/>
        <v/>
      </c>
      <c r="C435" s="17" t="s">
        <v>3468</v>
      </c>
      <c r="D435" s="17" t="s">
        <v>2722</v>
      </c>
      <c r="E435" s="17" t="s">
        <v>2725</v>
      </c>
      <c r="F435" s="17">
        <v>60.0</v>
      </c>
      <c r="G435" s="17">
        <v>90.0</v>
      </c>
      <c r="H435" s="17">
        <v>140.0</v>
      </c>
      <c r="I435" s="17">
        <v>50.0</v>
      </c>
      <c r="J435" s="17">
        <v>50.0</v>
      </c>
      <c r="K435" s="17">
        <v>40.0</v>
      </c>
      <c r="L435" s="29">
        <f t="shared" si="2"/>
        <v>430</v>
      </c>
    </row>
    <row r="436" ht="23.25" customHeight="1">
      <c r="A436" s="17" t="s">
        <v>3469</v>
      </c>
      <c r="B436" s="17" t="str">
        <f t="shared" si="1"/>
        <v/>
      </c>
      <c r="C436" s="17" t="s">
        <v>3470</v>
      </c>
      <c r="D436" s="17" t="s">
        <v>2723</v>
      </c>
      <c r="E436" s="17" t="s">
        <v>2758</v>
      </c>
      <c r="F436" s="17">
        <v>60.0</v>
      </c>
      <c r="G436" s="17">
        <v>40.0</v>
      </c>
      <c r="H436" s="17">
        <v>60.0</v>
      </c>
      <c r="I436" s="17">
        <v>95.0</v>
      </c>
      <c r="J436" s="17">
        <v>60.0</v>
      </c>
      <c r="K436" s="17">
        <v>55.0</v>
      </c>
      <c r="L436" s="29">
        <f t="shared" si="2"/>
        <v>370</v>
      </c>
    </row>
    <row r="437" ht="23.25" customHeight="1">
      <c r="A437" s="17" t="s">
        <v>3471</v>
      </c>
      <c r="B437" s="17" t="str">
        <f t="shared" si="1"/>
        <v/>
      </c>
      <c r="C437" s="17" t="s">
        <v>3472</v>
      </c>
      <c r="D437" s="17" t="s">
        <v>2803</v>
      </c>
      <c r="E437" s="17" t="s">
        <v>2726</v>
      </c>
      <c r="F437" s="17">
        <v>89.0</v>
      </c>
      <c r="G437" s="17">
        <v>125.0</v>
      </c>
      <c r="H437" s="17">
        <v>90.0</v>
      </c>
      <c r="I437" s="17">
        <v>115.0</v>
      </c>
      <c r="J437" s="17">
        <v>80.0</v>
      </c>
      <c r="K437" s="17">
        <v>101.0</v>
      </c>
      <c r="L437" s="29">
        <f t="shared" si="2"/>
        <v>600</v>
      </c>
    </row>
    <row r="438" ht="23.25" customHeight="1">
      <c r="A438" s="17" t="s">
        <v>3473</v>
      </c>
      <c r="B438" s="17" t="str">
        <f t="shared" si="1"/>
        <v/>
      </c>
      <c r="C438" s="17" t="s">
        <v>1972</v>
      </c>
      <c r="D438" s="17" t="s">
        <v>2736</v>
      </c>
      <c r="E438" s="17" t="s">
        <v>2746</v>
      </c>
      <c r="F438" s="17">
        <v>125.0</v>
      </c>
      <c r="G438" s="17">
        <v>58.0</v>
      </c>
      <c r="H438" s="17">
        <v>58.0</v>
      </c>
      <c r="I438" s="17">
        <v>76.0</v>
      </c>
      <c r="J438" s="17">
        <v>76.0</v>
      </c>
      <c r="K438" s="17">
        <v>67.0</v>
      </c>
      <c r="L438" s="29">
        <f t="shared" si="2"/>
        <v>460</v>
      </c>
    </row>
    <row r="439" ht="23.25" customHeight="1">
      <c r="A439" s="17" t="s">
        <v>3474</v>
      </c>
      <c r="B439" s="17" t="str">
        <f t="shared" si="1"/>
        <v/>
      </c>
      <c r="C439" s="17" t="s">
        <v>1984</v>
      </c>
      <c r="D439" s="17" t="s">
        <v>2736</v>
      </c>
      <c r="E439" s="17" t="s">
        <v>2712</v>
      </c>
      <c r="F439" s="17">
        <v>130.0</v>
      </c>
      <c r="G439" s="17">
        <v>85.0</v>
      </c>
      <c r="H439" s="17">
        <v>80.0</v>
      </c>
      <c r="I439" s="17">
        <v>85.0</v>
      </c>
      <c r="J439" s="17">
        <v>95.0</v>
      </c>
      <c r="K439" s="17">
        <v>60.0</v>
      </c>
      <c r="L439" s="29">
        <f t="shared" si="2"/>
        <v>535</v>
      </c>
    </row>
    <row r="440" ht="23.25" customHeight="1">
      <c r="A440" s="17" t="s">
        <v>3475</v>
      </c>
      <c r="B440" s="17" t="str">
        <f t="shared" si="1"/>
        <v/>
      </c>
      <c r="C440" s="17" t="s">
        <v>3476</v>
      </c>
      <c r="D440" s="17" t="s">
        <v>2719</v>
      </c>
      <c r="E440" s="17" t="s">
        <v>2758</v>
      </c>
      <c r="F440" s="17">
        <v>55.0</v>
      </c>
      <c r="G440" s="17">
        <v>85.0</v>
      </c>
      <c r="H440" s="17">
        <v>55.0</v>
      </c>
      <c r="I440" s="17">
        <v>50.0</v>
      </c>
      <c r="J440" s="17">
        <v>55.0</v>
      </c>
      <c r="K440" s="17">
        <v>60.0</v>
      </c>
      <c r="L440" s="29">
        <f t="shared" si="2"/>
        <v>360</v>
      </c>
    </row>
    <row r="441" ht="23.25" customHeight="1">
      <c r="A441" s="17" t="s">
        <v>3477</v>
      </c>
      <c r="B441" s="17" t="str">
        <f t="shared" si="1"/>
        <v/>
      </c>
      <c r="C441" s="17" t="s">
        <v>1809</v>
      </c>
      <c r="D441" s="17" t="s">
        <v>2725</v>
      </c>
      <c r="E441" s="17" t="s">
        <v>2803</v>
      </c>
      <c r="F441" s="17">
        <v>50.0</v>
      </c>
      <c r="G441" s="17">
        <v>64.0</v>
      </c>
      <c r="H441" s="17">
        <v>50.0</v>
      </c>
      <c r="I441" s="17">
        <v>45.0</v>
      </c>
      <c r="J441" s="17">
        <v>50.0</v>
      </c>
      <c r="K441" s="17">
        <v>41.0</v>
      </c>
      <c r="L441" s="29">
        <f t="shared" si="2"/>
        <v>300</v>
      </c>
    </row>
    <row r="442" ht="23.25" customHeight="1">
      <c r="A442" s="17" t="s">
        <v>3478</v>
      </c>
      <c r="B442" s="17" t="str">
        <f t="shared" si="1"/>
        <v/>
      </c>
      <c r="C442" s="17" t="s">
        <v>3479</v>
      </c>
      <c r="D442" s="17" t="s">
        <v>2738</v>
      </c>
      <c r="E442" s="17" t="s">
        <v>2714</v>
      </c>
      <c r="F442" s="17">
        <v>80.0</v>
      </c>
      <c r="G442" s="17">
        <v>80.0</v>
      </c>
      <c r="H442" s="17">
        <v>90.0</v>
      </c>
      <c r="I442" s="17">
        <v>110.0</v>
      </c>
      <c r="J442" s="17">
        <v>130.0</v>
      </c>
      <c r="K442" s="17">
        <v>110.0</v>
      </c>
      <c r="L442" s="29">
        <f t="shared" si="2"/>
        <v>600</v>
      </c>
    </row>
    <row r="443" ht="23.25" customHeight="1">
      <c r="A443" s="17" t="s">
        <v>3480</v>
      </c>
      <c r="B443" s="17" t="str">
        <f t="shared" si="1"/>
        <v/>
      </c>
      <c r="C443" s="17" t="s">
        <v>3481</v>
      </c>
      <c r="D443" s="17" t="s">
        <v>2738</v>
      </c>
      <c r="E443" s="17" t="s">
        <v>2714</v>
      </c>
      <c r="F443" s="17">
        <v>80.0</v>
      </c>
      <c r="G443" s="17">
        <v>90.0</v>
      </c>
      <c r="H443" s="17">
        <v>80.0</v>
      </c>
      <c r="I443" s="17">
        <v>130.0</v>
      </c>
      <c r="J443" s="17">
        <v>110.0</v>
      </c>
      <c r="K443" s="17">
        <v>110.0</v>
      </c>
      <c r="L443" s="29">
        <f t="shared" si="2"/>
        <v>600</v>
      </c>
    </row>
    <row r="444" ht="23.25" customHeight="1">
      <c r="A444" s="17" t="s">
        <v>3482</v>
      </c>
      <c r="B444" s="17" t="str">
        <f t="shared" si="1"/>
        <v/>
      </c>
      <c r="C444" s="17" t="s">
        <v>3483</v>
      </c>
      <c r="D444" s="17" t="s">
        <v>2711</v>
      </c>
      <c r="E444" s="17"/>
      <c r="F444" s="17">
        <v>65.0</v>
      </c>
      <c r="G444" s="17">
        <v>110.0</v>
      </c>
      <c r="H444" s="17">
        <v>130.0</v>
      </c>
      <c r="I444" s="17">
        <v>60.0</v>
      </c>
      <c r="J444" s="17">
        <v>65.0</v>
      </c>
      <c r="K444" s="17">
        <v>95.0</v>
      </c>
      <c r="L444" s="29">
        <f t="shared" si="2"/>
        <v>525</v>
      </c>
    </row>
    <row r="445" ht="23.25" customHeight="1">
      <c r="A445" s="17" t="s">
        <v>3484</v>
      </c>
      <c r="B445" s="17" t="str">
        <f t="shared" si="1"/>
        <v/>
      </c>
      <c r="C445" s="17" t="s">
        <v>3485</v>
      </c>
      <c r="D445" s="17" t="s">
        <v>2719</v>
      </c>
      <c r="E445" s="17" t="s">
        <v>2711</v>
      </c>
      <c r="F445" s="17">
        <v>75.0</v>
      </c>
      <c r="G445" s="17">
        <v>103.0</v>
      </c>
      <c r="H445" s="17">
        <v>80.0</v>
      </c>
      <c r="I445" s="17">
        <v>70.0</v>
      </c>
      <c r="J445" s="17">
        <v>80.0</v>
      </c>
      <c r="K445" s="17">
        <v>92.0</v>
      </c>
      <c r="L445" s="29">
        <f t="shared" si="2"/>
        <v>500</v>
      </c>
    </row>
    <row r="446" ht="23.25" customHeight="1">
      <c r="A446" s="17" t="s">
        <v>3486</v>
      </c>
      <c r="B446" s="17" t="str">
        <f t="shared" si="1"/>
        <v/>
      </c>
      <c r="C446" s="17" t="s">
        <v>3487</v>
      </c>
      <c r="D446" s="17" t="s">
        <v>2719</v>
      </c>
      <c r="E446" s="17" t="s">
        <v>2726</v>
      </c>
      <c r="F446" s="17">
        <v>55.0</v>
      </c>
      <c r="G446" s="17">
        <v>35.0</v>
      </c>
      <c r="H446" s="17">
        <v>50.0</v>
      </c>
      <c r="I446" s="17">
        <v>55.0</v>
      </c>
      <c r="J446" s="17">
        <v>110.0</v>
      </c>
      <c r="K446" s="17">
        <v>85.0</v>
      </c>
      <c r="L446" s="29">
        <f t="shared" si="2"/>
        <v>390</v>
      </c>
    </row>
    <row r="447" ht="23.25" customHeight="1">
      <c r="A447" s="17" t="s">
        <v>3488</v>
      </c>
      <c r="B447" s="17" t="str">
        <f t="shared" si="1"/>
        <v/>
      </c>
      <c r="C447" s="17" t="s">
        <v>3489</v>
      </c>
      <c r="D447" s="17" t="s">
        <v>2719</v>
      </c>
      <c r="E447" s="17" t="s">
        <v>2726</v>
      </c>
      <c r="F447" s="17">
        <v>40.0</v>
      </c>
      <c r="G447" s="17">
        <v>20.0</v>
      </c>
      <c r="H447" s="17">
        <v>30.0</v>
      </c>
      <c r="I447" s="17">
        <v>40.0</v>
      </c>
      <c r="J447" s="17">
        <v>80.0</v>
      </c>
      <c r="K447" s="17">
        <v>55.0</v>
      </c>
      <c r="L447" s="29">
        <f t="shared" si="2"/>
        <v>265</v>
      </c>
    </row>
    <row r="448" ht="23.25" customHeight="1">
      <c r="A448" s="17" t="s">
        <v>3490</v>
      </c>
      <c r="B448" s="17" t="str">
        <f t="shared" si="1"/>
        <v/>
      </c>
      <c r="C448" s="17" t="s">
        <v>2621</v>
      </c>
      <c r="D448" s="17" t="s">
        <v>2729</v>
      </c>
      <c r="E448" s="17"/>
      <c r="F448" s="17">
        <v>110.0</v>
      </c>
      <c r="G448" s="17">
        <v>85.0</v>
      </c>
      <c r="H448" s="17">
        <v>95.0</v>
      </c>
      <c r="I448" s="17">
        <v>80.0</v>
      </c>
      <c r="J448" s="17">
        <v>95.0</v>
      </c>
      <c r="K448" s="17">
        <v>50.0</v>
      </c>
      <c r="L448" s="29">
        <f t="shared" si="2"/>
        <v>515</v>
      </c>
    </row>
    <row r="449" ht="23.25" customHeight="1">
      <c r="A449" s="17" t="s">
        <v>3491</v>
      </c>
      <c r="B449" s="17" t="str">
        <f t="shared" si="1"/>
        <v/>
      </c>
      <c r="C449" s="17" t="s">
        <v>1768</v>
      </c>
      <c r="D449" s="17" t="s">
        <v>2729</v>
      </c>
      <c r="E449" s="17"/>
      <c r="F449" s="17">
        <v>90.0</v>
      </c>
      <c r="G449" s="17">
        <v>55.0</v>
      </c>
      <c r="H449" s="17">
        <v>75.0</v>
      </c>
      <c r="I449" s="17">
        <v>60.0</v>
      </c>
      <c r="J449" s="17">
        <v>75.0</v>
      </c>
      <c r="K449" s="17">
        <v>30.0</v>
      </c>
      <c r="L449" s="29">
        <f t="shared" si="2"/>
        <v>385</v>
      </c>
    </row>
    <row r="450" ht="23.25" customHeight="1">
      <c r="A450" s="17" t="s">
        <v>3492</v>
      </c>
      <c r="B450" s="17" t="str">
        <f t="shared" si="1"/>
        <v/>
      </c>
      <c r="C450" s="17" t="s">
        <v>3493</v>
      </c>
      <c r="D450" s="17" t="s">
        <v>2716</v>
      </c>
      <c r="E450" s="17"/>
      <c r="F450" s="17">
        <v>64.0</v>
      </c>
      <c r="G450" s="17">
        <v>88.0</v>
      </c>
      <c r="H450" s="17">
        <v>50.0</v>
      </c>
      <c r="I450" s="17">
        <v>88.0</v>
      </c>
      <c r="J450" s="17">
        <v>50.0</v>
      </c>
      <c r="K450" s="17">
        <v>106.0</v>
      </c>
      <c r="L450" s="29">
        <f t="shared" si="2"/>
        <v>446</v>
      </c>
    </row>
    <row r="451" ht="23.25" customHeight="1">
      <c r="A451" s="17" t="s">
        <v>3494</v>
      </c>
      <c r="B451" s="17" t="str">
        <f t="shared" si="1"/>
        <v/>
      </c>
      <c r="C451" s="17" t="s">
        <v>3495</v>
      </c>
      <c r="D451" s="17" t="s">
        <v>2725</v>
      </c>
      <c r="E451" s="17" t="s">
        <v>2711</v>
      </c>
      <c r="F451" s="17">
        <v>66.0</v>
      </c>
      <c r="G451" s="17">
        <v>41.0</v>
      </c>
      <c r="H451" s="17">
        <v>77.0</v>
      </c>
      <c r="I451" s="17">
        <v>61.0</v>
      </c>
      <c r="J451" s="17">
        <v>87.0</v>
      </c>
      <c r="K451" s="17">
        <v>23.0</v>
      </c>
      <c r="L451" s="29">
        <f t="shared" si="2"/>
        <v>355</v>
      </c>
    </row>
    <row r="452" ht="23.25" customHeight="1">
      <c r="A452" s="17" t="s">
        <v>3496</v>
      </c>
      <c r="B452" s="17" t="str">
        <f t="shared" si="1"/>
        <v/>
      </c>
      <c r="C452" s="17" t="s">
        <v>3497</v>
      </c>
      <c r="D452" s="17" t="s">
        <v>2711</v>
      </c>
      <c r="E452" s="17"/>
      <c r="F452" s="17">
        <v>70.0</v>
      </c>
      <c r="G452" s="17">
        <v>60.0</v>
      </c>
      <c r="H452" s="17">
        <v>75.0</v>
      </c>
      <c r="I452" s="17">
        <v>110.0</v>
      </c>
      <c r="J452" s="17">
        <v>75.0</v>
      </c>
      <c r="K452" s="17">
        <v>90.0</v>
      </c>
      <c r="L452" s="29">
        <f t="shared" si="2"/>
        <v>480</v>
      </c>
    </row>
    <row r="453" ht="23.25" customHeight="1">
      <c r="A453" s="17" t="s">
        <v>3498</v>
      </c>
      <c r="B453" s="17" t="str">
        <f t="shared" si="1"/>
        <v/>
      </c>
      <c r="C453" s="17" t="s">
        <v>3499</v>
      </c>
      <c r="D453" s="17" t="s">
        <v>2729</v>
      </c>
      <c r="E453" s="17"/>
      <c r="F453" s="17">
        <v>45.0</v>
      </c>
      <c r="G453" s="17">
        <v>60.0</v>
      </c>
      <c r="H453" s="17">
        <v>45.0</v>
      </c>
      <c r="I453" s="17">
        <v>25.0</v>
      </c>
      <c r="J453" s="17">
        <v>45.0</v>
      </c>
      <c r="K453" s="17">
        <v>55.0</v>
      </c>
      <c r="L453" s="29">
        <f t="shared" si="2"/>
        <v>275</v>
      </c>
    </row>
    <row r="454" ht="23.25" customHeight="1">
      <c r="A454" s="17" t="s">
        <v>3500</v>
      </c>
      <c r="B454" s="17" t="str">
        <f t="shared" si="1"/>
        <v/>
      </c>
      <c r="C454" s="17" t="s">
        <v>2311</v>
      </c>
      <c r="D454" s="17" t="s">
        <v>2729</v>
      </c>
      <c r="E454" s="17"/>
      <c r="F454" s="17">
        <v>78.0</v>
      </c>
      <c r="G454" s="17">
        <v>70.0</v>
      </c>
      <c r="H454" s="17">
        <v>61.0</v>
      </c>
      <c r="I454" s="17">
        <v>50.0</v>
      </c>
      <c r="J454" s="17">
        <v>61.0</v>
      </c>
      <c r="K454" s="17">
        <v>100.0</v>
      </c>
      <c r="L454" s="29">
        <f t="shared" si="2"/>
        <v>420</v>
      </c>
    </row>
    <row r="455" ht="23.25" customHeight="1">
      <c r="A455" s="17" t="s">
        <v>3501</v>
      </c>
      <c r="B455" s="17" t="str">
        <f t="shared" si="1"/>
        <v/>
      </c>
      <c r="C455" s="17" t="s">
        <v>3502</v>
      </c>
      <c r="D455" s="17" t="s">
        <v>2758</v>
      </c>
      <c r="E455" s="17" t="s">
        <v>2729</v>
      </c>
      <c r="F455" s="17">
        <v>62.0</v>
      </c>
      <c r="G455" s="17">
        <v>50.0</v>
      </c>
      <c r="H455" s="17">
        <v>58.0</v>
      </c>
      <c r="I455" s="17">
        <v>73.0</v>
      </c>
      <c r="J455" s="17">
        <v>54.0</v>
      </c>
      <c r="K455" s="17">
        <v>72.0</v>
      </c>
      <c r="L455" s="29">
        <f t="shared" si="2"/>
        <v>369</v>
      </c>
    </row>
    <row r="456" ht="23.25" customHeight="1">
      <c r="A456" s="17" t="s">
        <v>3503</v>
      </c>
      <c r="B456" s="17" t="str">
        <f t="shared" si="1"/>
        <v/>
      </c>
      <c r="C456" s="17" t="s">
        <v>3504</v>
      </c>
      <c r="D456" s="17" t="s">
        <v>2758</v>
      </c>
      <c r="E456" s="17"/>
      <c r="F456" s="17">
        <v>45.0</v>
      </c>
      <c r="G456" s="17">
        <v>65.0</v>
      </c>
      <c r="H456" s="17">
        <v>40.0</v>
      </c>
      <c r="I456" s="17">
        <v>60.0</v>
      </c>
      <c r="J456" s="17">
        <v>40.0</v>
      </c>
      <c r="K456" s="17">
        <v>70.0</v>
      </c>
      <c r="L456" s="29">
        <f t="shared" si="2"/>
        <v>320</v>
      </c>
    </row>
    <row r="457" ht="23.25" customHeight="1">
      <c r="A457" s="17" t="s">
        <v>3505</v>
      </c>
      <c r="B457" s="17" t="str">
        <f t="shared" si="1"/>
        <v/>
      </c>
      <c r="C457" s="17" t="s">
        <v>3506</v>
      </c>
      <c r="D457" s="17" t="s">
        <v>2723</v>
      </c>
      <c r="E457" s="17" t="s">
        <v>2758</v>
      </c>
      <c r="F457" s="17">
        <v>50.0</v>
      </c>
      <c r="G457" s="17">
        <v>30.0</v>
      </c>
      <c r="H457" s="17">
        <v>55.0</v>
      </c>
      <c r="I457" s="17">
        <v>65.0</v>
      </c>
      <c r="J457" s="17">
        <v>55.0</v>
      </c>
      <c r="K457" s="17">
        <v>20.0</v>
      </c>
      <c r="L457" s="29">
        <f t="shared" si="2"/>
        <v>275</v>
      </c>
    </row>
    <row r="458" ht="23.25" customHeight="1">
      <c r="A458" s="17" t="s">
        <v>3507</v>
      </c>
      <c r="B458" s="17" t="str">
        <f t="shared" si="1"/>
        <v/>
      </c>
      <c r="C458" s="17" t="s">
        <v>3508</v>
      </c>
      <c r="D458" s="17" t="s">
        <v>2736</v>
      </c>
      <c r="E458" s="17" t="s">
        <v>2711</v>
      </c>
      <c r="F458" s="17">
        <v>60.0</v>
      </c>
      <c r="G458" s="17">
        <v>50.0</v>
      </c>
      <c r="H458" s="17">
        <v>50.0</v>
      </c>
      <c r="I458" s="17">
        <v>60.0</v>
      </c>
      <c r="J458" s="17">
        <v>70.0</v>
      </c>
      <c r="K458" s="17">
        <v>50.0</v>
      </c>
      <c r="L458" s="29">
        <f t="shared" si="2"/>
        <v>340</v>
      </c>
    </row>
    <row r="459" ht="23.25" customHeight="1">
      <c r="A459" s="17" t="s">
        <v>3509</v>
      </c>
      <c r="B459" s="17" t="str">
        <f t="shared" si="1"/>
        <v/>
      </c>
      <c r="C459" s="17" t="s">
        <v>482</v>
      </c>
      <c r="D459" s="17" t="s">
        <v>2729</v>
      </c>
      <c r="E459" s="17"/>
      <c r="F459" s="17">
        <v>65.0</v>
      </c>
      <c r="G459" s="17">
        <v>76.0</v>
      </c>
      <c r="H459" s="17">
        <v>84.0</v>
      </c>
      <c r="I459" s="17">
        <v>54.0</v>
      </c>
      <c r="J459" s="17">
        <v>96.0</v>
      </c>
      <c r="K459" s="17">
        <v>105.0</v>
      </c>
      <c r="L459" s="29">
        <f t="shared" si="2"/>
        <v>480</v>
      </c>
    </row>
    <row r="460" ht="23.25" customHeight="1">
      <c r="A460" s="17" t="s">
        <v>3510</v>
      </c>
      <c r="B460" s="17" t="str">
        <f t="shared" si="1"/>
        <v/>
      </c>
      <c r="C460" s="17" t="s">
        <v>3511</v>
      </c>
      <c r="D460" s="17" t="s">
        <v>2736</v>
      </c>
      <c r="E460" s="17" t="s">
        <v>2711</v>
      </c>
      <c r="F460" s="17">
        <v>40.0</v>
      </c>
      <c r="G460" s="17">
        <v>30.0</v>
      </c>
      <c r="H460" s="17">
        <v>30.0</v>
      </c>
      <c r="I460" s="17">
        <v>40.0</v>
      </c>
      <c r="J460" s="17">
        <v>50.0</v>
      </c>
      <c r="K460" s="17">
        <v>30.0</v>
      </c>
      <c r="L460" s="29">
        <f t="shared" si="2"/>
        <v>220</v>
      </c>
    </row>
    <row r="461" ht="23.25" customHeight="1">
      <c r="A461" s="17" t="s">
        <v>3512</v>
      </c>
      <c r="B461" s="17" t="str">
        <f t="shared" si="1"/>
        <v/>
      </c>
      <c r="C461" s="17" t="s">
        <v>1815</v>
      </c>
      <c r="D461" s="17" t="s">
        <v>2729</v>
      </c>
      <c r="E461" s="17"/>
      <c r="F461" s="17">
        <v>84.0</v>
      </c>
      <c r="G461" s="17">
        <v>71.0</v>
      </c>
      <c r="H461" s="17">
        <v>43.0</v>
      </c>
      <c r="I461" s="17">
        <v>71.0</v>
      </c>
      <c r="J461" s="17">
        <v>43.0</v>
      </c>
      <c r="K461" s="17">
        <v>48.0</v>
      </c>
      <c r="L461" s="29">
        <f t="shared" si="2"/>
        <v>360</v>
      </c>
    </row>
    <row r="462" ht="23.25" customHeight="1">
      <c r="A462" s="17" t="s">
        <v>3513</v>
      </c>
      <c r="B462" s="17" t="str">
        <f t="shared" si="1"/>
        <v/>
      </c>
      <c r="C462" s="17" t="s">
        <v>910</v>
      </c>
      <c r="D462" s="17" t="s">
        <v>2773</v>
      </c>
      <c r="E462" s="17" t="s">
        <v>2722</v>
      </c>
      <c r="F462" s="17">
        <v>70.0</v>
      </c>
      <c r="G462" s="17">
        <v>110.0</v>
      </c>
      <c r="H462" s="17">
        <v>70.0</v>
      </c>
      <c r="I462" s="17">
        <v>115.0</v>
      </c>
      <c r="J462" s="17">
        <v>70.0</v>
      </c>
      <c r="K462" s="17">
        <v>90.0</v>
      </c>
      <c r="L462" s="29">
        <f t="shared" si="2"/>
        <v>525</v>
      </c>
    </row>
    <row r="463" ht="23.25" customHeight="1">
      <c r="A463" s="17" t="s">
        <v>3514</v>
      </c>
      <c r="B463" s="17" t="str">
        <f t="shared" si="1"/>
        <v/>
      </c>
      <c r="C463" s="17" t="s">
        <v>2486</v>
      </c>
      <c r="D463" s="17" t="s">
        <v>2736</v>
      </c>
      <c r="E463" s="17" t="s">
        <v>2711</v>
      </c>
      <c r="F463" s="17">
        <v>80.0</v>
      </c>
      <c r="G463" s="17">
        <v>70.0</v>
      </c>
      <c r="H463" s="17">
        <v>70.0</v>
      </c>
      <c r="I463" s="17">
        <v>90.0</v>
      </c>
      <c r="J463" s="17">
        <v>100.0</v>
      </c>
      <c r="K463" s="17">
        <v>70.0</v>
      </c>
      <c r="L463" s="29">
        <f t="shared" si="2"/>
        <v>480</v>
      </c>
    </row>
    <row r="464" ht="23.25" customHeight="1">
      <c r="A464" s="17" t="s">
        <v>3515</v>
      </c>
      <c r="B464" s="17" t="str">
        <f t="shared" si="1"/>
        <v/>
      </c>
      <c r="C464" s="17" t="s">
        <v>3516</v>
      </c>
      <c r="D464" s="17" t="s">
        <v>2714</v>
      </c>
      <c r="E464" s="17" t="s">
        <v>2726</v>
      </c>
      <c r="F464" s="17">
        <v>106.0</v>
      </c>
      <c r="G464" s="17">
        <v>90.0</v>
      </c>
      <c r="H464" s="17">
        <v>130.0</v>
      </c>
      <c r="I464" s="17">
        <v>90.0</v>
      </c>
      <c r="J464" s="17">
        <v>154.0</v>
      </c>
      <c r="K464" s="17">
        <v>110.0</v>
      </c>
      <c r="L464" s="29">
        <f t="shared" si="2"/>
        <v>680</v>
      </c>
    </row>
    <row r="465" ht="23.25" customHeight="1">
      <c r="A465" s="17" t="s">
        <v>3517</v>
      </c>
      <c r="B465" s="17" t="str">
        <f t="shared" si="1"/>
        <v/>
      </c>
      <c r="C465" s="17" t="s">
        <v>657</v>
      </c>
      <c r="D465" s="17" t="s">
        <v>2736</v>
      </c>
      <c r="E465" s="17"/>
      <c r="F465" s="17">
        <v>69.0</v>
      </c>
      <c r="G465" s="17">
        <v>69.0</v>
      </c>
      <c r="H465" s="17">
        <v>76.0</v>
      </c>
      <c r="I465" s="17">
        <v>69.0</v>
      </c>
      <c r="J465" s="17">
        <v>86.0</v>
      </c>
      <c r="K465" s="17">
        <v>91.0</v>
      </c>
      <c r="L465" s="29">
        <f t="shared" si="2"/>
        <v>460</v>
      </c>
    </row>
    <row r="466" ht="23.25" customHeight="1">
      <c r="A466" s="17" t="s">
        <v>3518</v>
      </c>
      <c r="B466" s="17" t="str">
        <f t="shared" si="1"/>
        <v/>
      </c>
      <c r="C466" s="17" t="s">
        <v>3519</v>
      </c>
      <c r="D466" s="17" t="s">
        <v>2714</v>
      </c>
      <c r="E466" s="17" t="s">
        <v>2723</v>
      </c>
      <c r="F466" s="17">
        <v>137.0</v>
      </c>
      <c r="G466" s="17">
        <v>113.0</v>
      </c>
      <c r="H466" s="17">
        <v>89.0</v>
      </c>
      <c r="I466" s="17">
        <v>137.0</v>
      </c>
      <c r="J466" s="17">
        <v>107.0</v>
      </c>
      <c r="K466" s="17">
        <v>97.0</v>
      </c>
      <c r="L466" s="29">
        <f t="shared" si="2"/>
        <v>680</v>
      </c>
    </row>
    <row r="467" ht="23.25" customHeight="1">
      <c r="A467" s="17" t="s">
        <v>3520</v>
      </c>
      <c r="B467" s="17" t="str">
        <f t="shared" si="1"/>
        <v/>
      </c>
      <c r="C467" s="17" t="s">
        <v>3521</v>
      </c>
      <c r="D467" s="17" t="s">
        <v>2725</v>
      </c>
      <c r="E467" s="17" t="s">
        <v>2714</v>
      </c>
      <c r="F467" s="17">
        <v>90.0</v>
      </c>
      <c r="G467" s="17">
        <v>55.0</v>
      </c>
      <c r="H467" s="17">
        <v>65.0</v>
      </c>
      <c r="I467" s="17">
        <v>95.0</v>
      </c>
      <c r="J467" s="17">
        <v>85.0</v>
      </c>
      <c r="K467" s="17">
        <v>70.0</v>
      </c>
      <c r="L467" s="29">
        <f t="shared" si="2"/>
        <v>460</v>
      </c>
    </row>
    <row r="468" ht="23.25" customHeight="1">
      <c r="A468" s="17" t="s">
        <v>3522</v>
      </c>
      <c r="B468" s="17" t="str">
        <f t="shared" si="1"/>
        <v/>
      </c>
      <c r="C468" s="17" t="s">
        <v>3523</v>
      </c>
      <c r="D468" s="17" t="s">
        <v>2711</v>
      </c>
      <c r="E468" s="17"/>
      <c r="F468" s="17">
        <v>70.0</v>
      </c>
      <c r="G468" s="17">
        <v>105.0</v>
      </c>
      <c r="H468" s="17">
        <v>90.0</v>
      </c>
      <c r="I468" s="17">
        <v>80.0</v>
      </c>
      <c r="J468" s="17">
        <v>90.0</v>
      </c>
      <c r="K468" s="17">
        <v>45.0</v>
      </c>
      <c r="L468" s="29">
        <f t="shared" si="2"/>
        <v>480</v>
      </c>
    </row>
    <row r="469" ht="23.25" customHeight="1">
      <c r="A469" s="17" t="s">
        <v>3524</v>
      </c>
      <c r="B469" s="17" t="str">
        <f t="shared" si="1"/>
        <v/>
      </c>
      <c r="C469" s="17" t="s">
        <v>1982</v>
      </c>
      <c r="D469" s="17" t="s">
        <v>2736</v>
      </c>
      <c r="E469" s="17"/>
      <c r="F469" s="17">
        <v>43.0</v>
      </c>
      <c r="G469" s="17">
        <v>30.0</v>
      </c>
      <c r="H469" s="17">
        <v>55.0</v>
      </c>
      <c r="I469" s="17">
        <v>40.0</v>
      </c>
      <c r="J469" s="17">
        <v>65.0</v>
      </c>
      <c r="K469" s="17">
        <v>97.0</v>
      </c>
      <c r="L469" s="29">
        <f t="shared" si="2"/>
        <v>330</v>
      </c>
    </row>
    <row r="470" ht="23.25" customHeight="1">
      <c r="A470" s="17" t="s">
        <v>3525</v>
      </c>
      <c r="B470" s="17" t="str">
        <f t="shared" si="1"/>
        <v/>
      </c>
      <c r="C470" s="17" t="s">
        <v>225</v>
      </c>
      <c r="D470" s="17" t="s">
        <v>2746</v>
      </c>
      <c r="E470" s="17"/>
      <c r="F470" s="17">
        <v>60.0</v>
      </c>
      <c r="G470" s="17">
        <v>85.0</v>
      </c>
      <c r="H470" s="17">
        <v>49.0</v>
      </c>
      <c r="I470" s="17">
        <v>60.0</v>
      </c>
      <c r="J470" s="17">
        <v>49.0</v>
      </c>
      <c r="K470" s="17">
        <v>60.0</v>
      </c>
      <c r="L470" s="29">
        <f t="shared" si="2"/>
        <v>363</v>
      </c>
    </row>
    <row r="471" ht="23.25" customHeight="1">
      <c r="A471" s="17" t="s">
        <v>3526</v>
      </c>
      <c r="B471" s="17" t="str">
        <f t="shared" si="1"/>
        <v/>
      </c>
      <c r="C471" s="17" t="s">
        <v>1150</v>
      </c>
      <c r="D471" s="17" t="s">
        <v>2746</v>
      </c>
      <c r="E471" s="17"/>
      <c r="F471" s="17">
        <v>80.0</v>
      </c>
      <c r="G471" s="17">
        <v>120.0</v>
      </c>
      <c r="H471" s="17">
        <v>79.0</v>
      </c>
      <c r="I471" s="17">
        <v>95.0</v>
      </c>
      <c r="J471" s="17">
        <v>79.0</v>
      </c>
      <c r="K471" s="17">
        <v>70.0</v>
      </c>
      <c r="L471" s="29">
        <f t="shared" si="2"/>
        <v>523</v>
      </c>
    </row>
    <row r="472" ht="23.25" customHeight="1">
      <c r="A472" s="17" t="s">
        <v>3527</v>
      </c>
      <c r="B472" s="17" t="str">
        <f t="shared" si="1"/>
        <v/>
      </c>
      <c r="C472" s="17" t="s">
        <v>3528</v>
      </c>
      <c r="D472" s="17" t="s">
        <v>2725</v>
      </c>
      <c r="E472" s="17"/>
      <c r="F472" s="17">
        <v>75.0</v>
      </c>
      <c r="G472" s="17">
        <v>115.0</v>
      </c>
      <c r="H472" s="17">
        <v>65.0</v>
      </c>
      <c r="I472" s="17">
        <v>55.0</v>
      </c>
      <c r="J472" s="17">
        <v>65.0</v>
      </c>
      <c r="K472" s="17">
        <v>112.0</v>
      </c>
      <c r="L472" s="29">
        <f t="shared" si="2"/>
        <v>487</v>
      </c>
    </row>
    <row r="473" ht="23.25" customHeight="1">
      <c r="A473" s="17" t="s">
        <v>3529</v>
      </c>
      <c r="B473" s="17" t="str">
        <f t="shared" si="1"/>
        <v/>
      </c>
      <c r="C473" s="17" t="s">
        <v>1098</v>
      </c>
      <c r="D473" s="17" t="s">
        <v>2773</v>
      </c>
      <c r="E473" s="17"/>
      <c r="F473" s="17">
        <v>90.0</v>
      </c>
      <c r="G473" s="17">
        <v>130.0</v>
      </c>
      <c r="H473" s="17">
        <v>80.0</v>
      </c>
      <c r="I473" s="17">
        <v>65.0</v>
      </c>
      <c r="J473" s="17">
        <v>85.0</v>
      </c>
      <c r="K473" s="17">
        <v>55.0</v>
      </c>
      <c r="L473" s="29">
        <f t="shared" si="2"/>
        <v>505</v>
      </c>
    </row>
    <row r="474" ht="23.25" customHeight="1">
      <c r="A474" s="17" t="s">
        <v>3530</v>
      </c>
      <c r="B474" s="17" t="str">
        <f t="shared" si="1"/>
        <v/>
      </c>
      <c r="C474" s="17" t="s">
        <v>275</v>
      </c>
      <c r="D474" s="17" t="s">
        <v>2773</v>
      </c>
      <c r="E474" s="17"/>
      <c r="F474" s="17">
        <v>80.0</v>
      </c>
      <c r="G474" s="17">
        <v>100.0</v>
      </c>
      <c r="H474" s="17">
        <v>70.0</v>
      </c>
      <c r="I474" s="17">
        <v>50.0</v>
      </c>
      <c r="J474" s="17">
        <v>60.0</v>
      </c>
      <c r="K474" s="17">
        <v>45.0</v>
      </c>
      <c r="L474" s="29">
        <f t="shared" si="2"/>
        <v>405</v>
      </c>
    </row>
    <row r="475" ht="23.25" customHeight="1">
      <c r="A475" s="17" t="s">
        <v>3531</v>
      </c>
      <c r="B475" s="17" t="str">
        <f t="shared" si="1"/>
        <v/>
      </c>
      <c r="C475" s="17" t="s">
        <v>90</v>
      </c>
      <c r="D475" s="17" t="s">
        <v>2773</v>
      </c>
      <c r="E475" s="17"/>
      <c r="F475" s="17">
        <v>70.0</v>
      </c>
      <c r="G475" s="17">
        <v>80.0</v>
      </c>
      <c r="H475" s="17">
        <v>50.0</v>
      </c>
      <c r="I475" s="17">
        <v>35.0</v>
      </c>
      <c r="J475" s="17">
        <v>35.0</v>
      </c>
      <c r="K475" s="17">
        <v>35.0</v>
      </c>
      <c r="L475" s="29">
        <f t="shared" si="2"/>
        <v>305</v>
      </c>
    </row>
    <row r="476" ht="23.25" customHeight="1">
      <c r="A476" s="17" t="s">
        <v>3532</v>
      </c>
      <c r="B476" s="17" t="str">
        <f t="shared" si="1"/>
        <v/>
      </c>
      <c r="C476" s="17" t="s">
        <v>3533</v>
      </c>
      <c r="D476" s="17" t="s">
        <v>2758</v>
      </c>
      <c r="E476" s="17"/>
      <c r="F476" s="17">
        <v>45.0</v>
      </c>
      <c r="G476" s="17">
        <v>75.0</v>
      </c>
      <c r="H476" s="17">
        <v>37.0</v>
      </c>
      <c r="I476" s="17">
        <v>70.0</v>
      </c>
      <c r="J476" s="17">
        <v>55.0</v>
      </c>
      <c r="K476" s="17">
        <v>83.0</v>
      </c>
      <c r="L476" s="29">
        <f t="shared" si="2"/>
        <v>365</v>
      </c>
    </row>
    <row r="477" ht="23.25" customHeight="1">
      <c r="A477" s="17" t="s">
        <v>3534</v>
      </c>
      <c r="B477" s="17" t="str">
        <f t="shared" si="1"/>
        <v/>
      </c>
      <c r="C477" s="17" t="s">
        <v>1811</v>
      </c>
      <c r="D477" s="17" t="s">
        <v>2758</v>
      </c>
      <c r="E477" s="17" t="s">
        <v>2725</v>
      </c>
      <c r="F477" s="17">
        <v>60.0</v>
      </c>
      <c r="G477" s="17">
        <v>50.0</v>
      </c>
      <c r="H477" s="17">
        <v>120.0</v>
      </c>
      <c r="I477" s="17">
        <v>90.0</v>
      </c>
      <c r="J477" s="17">
        <v>80.0</v>
      </c>
      <c r="K477" s="17">
        <v>30.0</v>
      </c>
      <c r="L477" s="29">
        <f t="shared" si="2"/>
        <v>430</v>
      </c>
    </row>
    <row r="478" ht="23.25" customHeight="1">
      <c r="A478" s="17" t="s">
        <v>3535</v>
      </c>
      <c r="B478" s="17" t="str">
        <f t="shared" si="1"/>
        <v/>
      </c>
      <c r="C478" s="17" t="s">
        <v>3536</v>
      </c>
      <c r="D478" s="17" t="s">
        <v>2722</v>
      </c>
      <c r="E478" s="17" t="s">
        <v>2733</v>
      </c>
      <c r="F478" s="17">
        <v>80.0</v>
      </c>
      <c r="G478" s="17">
        <v>95.0</v>
      </c>
      <c r="H478" s="17">
        <v>115.0</v>
      </c>
      <c r="I478" s="17">
        <v>130.0</v>
      </c>
      <c r="J478" s="17">
        <v>115.0</v>
      </c>
      <c r="K478" s="17">
        <v>65.0</v>
      </c>
      <c r="L478" s="29">
        <f t="shared" si="2"/>
        <v>600</v>
      </c>
    </row>
    <row r="479" ht="23.25" customHeight="1">
      <c r="A479" s="17" t="s">
        <v>3537</v>
      </c>
      <c r="B479" s="17" t="str">
        <f t="shared" si="1"/>
        <v/>
      </c>
      <c r="C479" s="17" t="s">
        <v>43</v>
      </c>
      <c r="D479" s="17" t="s">
        <v>2736</v>
      </c>
      <c r="E479" s="17"/>
      <c r="F479" s="17">
        <v>20.0</v>
      </c>
      <c r="G479" s="17">
        <v>10.0</v>
      </c>
      <c r="H479" s="17">
        <v>55.0</v>
      </c>
      <c r="I479" s="17">
        <v>15.0</v>
      </c>
      <c r="J479" s="17">
        <v>20.0</v>
      </c>
      <c r="K479" s="17">
        <v>80.0</v>
      </c>
      <c r="L479" s="29">
        <f t="shared" si="2"/>
        <v>200</v>
      </c>
    </row>
    <row r="480" ht="23.25" customHeight="1">
      <c r="A480" s="17" t="s">
        <v>3538</v>
      </c>
      <c r="B480" s="17" t="str">
        <f t="shared" si="1"/>
        <v/>
      </c>
      <c r="C480" s="17" t="s">
        <v>3539</v>
      </c>
      <c r="D480" s="17" t="s">
        <v>2758</v>
      </c>
      <c r="E480" s="17"/>
      <c r="F480" s="17">
        <v>65.0</v>
      </c>
      <c r="G480" s="17">
        <v>95.0</v>
      </c>
      <c r="H480" s="17">
        <v>57.0</v>
      </c>
      <c r="I480" s="17">
        <v>100.0</v>
      </c>
      <c r="J480" s="17">
        <v>85.0</v>
      </c>
      <c r="K480" s="17">
        <v>93.0</v>
      </c>
      <c r="L480" s="29">
        <f t="shared" si="2"/>
        <v>495</v>
      </c>
    </row>
    <row r="481" ht="23.25" customHeight="1">
      <c r="A481" s="17" t="s">
        <v>3540</v>
      </c>
      <c r="B481" s="17" t="str">
        <f t="shared" si="1"/>
        <v/>
      </c>
      <c r="C481" s="17" t="s">
        <v>2552</v>
      </c>
      <c r="D481" s="17" t="s">
        <v>2758</v>
      </c>
      <c r="E481" s="17"/>
      <c r="F481" s="17">
        <v>75.0</v>
      </c>
      <c r="G481" s="17">
        <v>95.0</v>
      </c>
      <c r="H481" s="17">
        <v>67.0</v>
      </c>
      <c r="I481" s="17">
        <v>125.0</v>
      </c>
      <c r="J481" s="17">
        <v>95.0</v>
      </c>
      <c r="K481" s="17">
        <v>83.0</v>
      </c>
      <c r="L481" s="29">
        <f t="shared" si="2"/>
        <v>540</v>
      </c>
    </row>
    <row r="482" ht="23.25" customHeight="1">
      <c r="A482" s="17" t="s">
        <v>3541</v>
      </c>
      <c r="B482" s="17" t="str">
        <f t="shared" si="1"/>
        <v/>
      </c>
      <c r="C482" s="17" t="s">
        <v>3542</v>
      </c>
      <c r="D482" s="17" t="s">
        <v>2746</v>
      </c>
      <c r="E482" s="17" t="s">
        <v>2722</v>
      </c>
      <c r="F482" s="17">
        <v>25.0</v>
      </c>
      <c r="G482" s="17">
        <v>35.0</v>
      </c>
      <c r="H482" s="17">
        <v>70.0</v>
      </c>
      <c r="I482" s="17">
        <v>95.0</v>
      </c>
      <c r="J482" s="17">
        <v>55.0</v>
      </c>
      <c r="K482" s="17">
        <v>45.0</v>
      </c>
      <c r="L482" s="29">
        <f t="shared" si="2"/>
        <v>325</v>
      </c>
    </row>
    <row r="483" ht="23.25" customHeight="1">
      <c r="A483" s="17" t="s">
        <v>3543</v>
      </c>
      <c r="B483" s="17" t="str">
        <f t="shared" si="1"/>
        <v/>
      </c>
      <c r="C483" s="17" t="s">
        <v>3544</v>
      </c>
      <c r="D483" s="17" t="s">
        <v>2746</v>
      </c>
      <c r="E483" s="17" t="s">
        <v>2722</v>
      </c>
      <c r="F483" s="17">
        <v>50.0</v>
      </c>
      <c r="G483" s="17">
        <v>60.0</v>
      </c>
      <c r="H483" s="17">
        <v>95.0</v>
      </c>
      <c r="I483" s="17">
        <v>120.0</v>
      </c>
      <c r="J483" s="17">
        <v>70.0</v>
      </c>
      <c r="K483" s="17">
        <v>70.0</v>
      </c>
      <c r="L483" s="29">
        <f t="shared" si="2"/>
        <v>465</v>
      </c>
    </row>
    <row r="484" ht="23.25" customHeight="1">
      <c r="A484" s="17" t="s">
        <v>3545</v>
      </c>
      <c r="B484" s="17" t="str">
        <f t="shared" si="1"/>
        <v/>
      </c>
      <c r="C484" s="17" t="s">
        <v>2528</v>
      </c>
      <c r="D484" s="17" t="s">
        <v>2746</v>
      </c>
      <c r="E484" s="17" t="s">
        <v>2722</v>
      </c>
      <c r="F484" s="17">
        <v>70.0</v>
      </c>
      <c r="G484" s="17">
        <v>70.0</v>
      </c>
      <c r="H484" s="17">
        <v>115.0</v>
      </c>
      <c r="I484" s="17">
        <v>130.0</v>
      </c>
      <c r="J484" s="17">
        <v>90.0</v>
      </c>
      <c r="K484" s="17">
        <v>60.0</v>
      </c>
      <c r="L484" s="29">
        <f t="shared" si="2"/>
        <v>535</v>
      </c>
    </row>
    <row r="485" ht="23.25" customHeight="1">
      <c r="A485" s="17" t="s">
        <v>3546</v>
      </c>
      <c r="B485" s="17" t="str">
        <f t="shared" si="1"/>
        <v/>
      </c>
      <c r="C485" s="17" t="s">
        <v>1907</v>
      </c>
      <c r="D485" s="17" t="s">
        <v>2773</v>
      </c>
      <c r="E485" s="17"/>
      <c r="F485" s="17">
        <v>72.0</v>
      </c>
      <c r="G485" s="17">
        <v>60.0</v>
      </c>
      <c r="H485" s="17">
        <v>30.0</v>
      </c>
      <c r="I485" s="17">
        <v>20.0</v>
      </c>
      <c r="J485" s="17">
        <v>30.0</v>
      </c>
      <c r="K485" s="17">
        <v>25.0</v>
      </c>
      <c r="L485" s="29">
        <f t="shared" si="2"/>
        <v>237</v>
      </c>
    </row>
    <row r="486" ht="23.25" customHeight="1">
      <c r="A486" s="17" t="s">
        <v>3547</v>
      </c>
      <c r="B486" s="17" t="str">
        <f t="shared" si="1"/>
        <v/>
      </c>
      <c r="C486" s="17" t="s">
        <v>3548</v>
      </c>
      <c r="D486" s="17" t="s">
        <v>2716</v>
      </c>
      <c r="E486" s="17" t="s">
        <v>2711</v>
      </c>
      <c r="F486" s="17">
        <v>115.0</v>
      </c>
      <c r="G486" s="17">
        <v>100.0</v>
      </c>
      <c r="H486" s="17">
        <v>60.0</v>
      </c>
      <c r="I486" s="17">
        <v>40.0</v>
      </c>
      <c r="J486" s="17">
        <v>130.0</v>
      </c>
      <c r="K486" s="17">
        <v>55.0</v>
      </c>
      <c r="L486" s="29">
        <f t="shared" si="2"/>
        <v>500</v>
      </c>
    </row>
    <row r="487" ht="23.25" customHeight="1">
      <c r="A487" s="17" t="s">
        <v>3549</v>
      </c>
      <c r="B487" s="17" t="str">
        <f t="shared" si="1"/>
        <v/>
      </c>
      <c r="C487" s="17" t="s">
        <v>3550</v>
      </c>
      <c r="D487" s="17" t="s">
        <v>2716</v>
      </c>
      <c r="E487" s="17" t="s">
        <v>2714</v>
      </c>
      <c r="F487" s="17">
        <v>86.0</v>
      </c>
      <c r="G487" s="17">
        <v>92.0</v>
      </c>
      <c r="H487" s="17">
        <v>88.0</v>
      </c>
      <c r="I487" s="17">
        <v>68.0</v>
      </c>
      <c r="J487" s="17">
        <v>75.0</v>
      </c>
      <c r="K487" s="17">
        <v>73.0</v>
      </c>
      <c r="L487" s="29">
        <f t="shared" si="2"/>
        <v>482</v>
      </c>
    </row>
    <row r="488" ht="23.25" customHeight="1">
      <c r="A488" s="17" t="s">
        <v>3551</v>
      </c>
      <c r="B488" s="17" t="str">
        <f t="shared" si="1"/>
        <v/>
      </c>
      <c r="C488" s="17" t="s">
        <v>2517</v>
      </c>
      <c r="D488" s="17" t="s">
        <v>2712</v>
      </c>
      <c r="E488" s="17" t="s">
        <v>2803</v>
      </c>
      <c r="F488" s="17">
        <v>110.0</v>
      </c>
      <c r="G488" s="17">
        <v>130.0</v>
      </c>
      <c r="H488" s="17">
        <v>80.0</v>
      </c>
      <c r="I488" s="17">
        <v>70.0</v>
      </c>
      <c r="J488" s="17">
        <v>60.0</v>
      </c>
      <c r="K488" s="17">
        <v>80.0</v>
      </c>
      <c r="L488" s="29">
        <f t="shared" si="2"/>
        <v>530</v>
      </c>
    </row>
    <row r="489" ht="23.25" customHeight="1">
      <c r="A489" s="17" t="s">
        <v>3552</v>
      </c>
      <c r="B489" s="17" t="str">
        <f t="shared" si="1"/>
        <v/>
      </c>
      <c r="C489" s="17" t="s">
        <v>3553</v>
      </c>
      <c r="D489" s="17" t="s">
        <v>2736</v>
      </c>
      <c r="E489" s="17"/>
      <c r="F489" s="17">
        <v>100.0</v>
      </c>
      <c r="G489" s="17">
        <v>100.0</v>
      </c>
      <c r="H489" s="17">
        <v>100.0</v>
      </c>
      <c r="I489" s="17">
        <v>100.0</v>
      </c>
      <c r="J489" s="17">
        <v>100.0</v>
      </c>
      <c r="K489" s="17">
        <v>100.0</v>
      </c>
      <c r="L489" s="29">
        <f t="shared" si="2"/>
        <v>600</v>
      </c>
    </row>
    <row r="490" ht="23.25" customHeight="1">
      <c r="A490" s="17" t="s">
        <v>3554</v>
      </c>
      <c r="B490" s="17" t="str">
        <f t="shared" si="1"/>
        <v/>
      </c>
      <c r="C490" s="17" t="s">
        <v>3555</v>
      </c>
      <c r="D490" s="17" t="s">
        <v>2716</v>
      </c>
      <c r="E490" s="17" t="s">
        <v>2726</v>
      </c>
      <c r="F490" s="17">
        <v>110.0</v>
      </c>
      <c r="G490" s="17">
        <v>65.0</v>
      </c>
      <c r="H490" s="17">
        <v>105.0</v>
      </c>
      <c r="I490" s="17">
        <v>55.0</v>
      </c>
      <c r="J490" s="17">
        <v>95.0</v>
      </c>
      <c r="K490" s="17">
        <v>80.0</v>
      </c>
      <c r="L490" s="29">
        <f t="shared" si="2"/>
        <v>510</v>
      </c>
    </row>
    <row r="491" ht="23.25" customHeight="1">
      <c r="A491" s="17" t="s">
        <v>3556</v>
      </c>
      <c r="B491" s="17" t="str">
        <f t="shared" si="1"/>
        <v/>
      </c>
      <c r="C491" s="17" t="s">
        <v>3557</v>
      </c>
      <c r="D491" s="17" t="s">
        <v>2746</v>
      </c>
      <c r="E491" s="17"/>
      <c r="F491" s="17">
        <v>70.0</v>
      </c>
      <c r="G491" s="17">
        <v>75.0</v>
      </c>
      <c r="H491" s="17">
        <v>60.0</v>
      </c>
      <c r="I491" s="17">
        <v>105.0</v>
      </c>
      <c r="J491" s="17">
        <v>60.0</v>
      </c>
      <c r="K491" s="17">
        <v>105.0</v>
      </c>
      <c r="L491" s="29">
        <f t="shared" si="2"/>
        <v>475</v>
      </c>
    </row>
    <row r="492" ht="23.25" customHeight="1">
      <c r="A492" s="17" t="s">
        <v>3558</v>
      </c>
      <c r="B492" s="17" t="str">
        <f t="shared" si="1"/>
        <v/>
      </c>
      <c r="C492" s="17" t="s">
        <v>1905</v>
      </c>
      <c r="D492" s="17" t="s">
        <v>2773</v>
      </c>
      <c r="E492" s="17"/>
      <c r="F492" s="17">
        <v>40.0</v>
      </c>
      <c r="G492" s="17">
        <v>80.0</v>
      </c>
      <c r="H492" s="17">
        <v>35.0</v>
      </c>
      <c r="I492" s="17">
        <v>35.0</v>
      </c>
      <c r="J492" s="17">
        <v>45.0</v>
      </c>
      <c r="K492" s="17">
        <v>70.0</v>
      </c>
      <c r="L492" s="29">
        <f t="shared" si="2"/>
        <v>305</v>
      </c>
    </row>
    <row r="493" ht="23.25" customHeight="1">
      <c r="A493" s="17" t="s">
        <v>3559</v>
      </c>
      <c r="B493" s="17" t="str">
        <f t="shared" si="1"/>
        <v/>
      </c>
      <c r="C493" s="17" t="s">
        <v>653</v>
      </c>
      <c r="D493" s="17" t="s">
        <v>2736</v>
      </c>
      <c r="E493" s="17" t="s">
        <v>2726</v>
      </c>
      <c r="F493" s="17">
        <v>85.0</v>
      </c>
      <c r="G493" s="17">
        <v>40.0</v>
      </c>
      <c r="H493" s="17">
        <v>70.0</v>
      </c>
      <c r="I493" s="17">
        <v>80.0</v>
      </c>
      <c r="J493" s="17">
        <v>140.0</v>
      </c>
      <c r="K493" s="17">
        <v>70.0</v>
      </c>
      <c r="L493" s="29">
        <f t="shared" si="2"/>
        <v>485</v>
      </c>
    </row>
    <row r="494" ht="23.25" customHeight="1">
      <c r="A494" s="17" t="s">
        <v>3560</v>
      </c>
      <c r="B494" s="17" t="str">
        <f t="shared" si="1"/>
        <v/>
      </c>
      <c r="C494" s="17" t="s">
        <v>524</v>
      </c>
      <c r="D494" s="17" t="s">
        <v>2736</v>
      </c>
      <c r="E494" s="17" t="s">
        <v>2726</v>
      </c>
      <c r="F494" s="17">
        <v>45.0</v>
      </c>
      <c r="G494" s="17">
        <v>20.0</v>
      </c>
      <c r="H494" s="17">
        <v>50.0</v>
      </c>
      <c r="I494" s="17">
        <v>60.0</v>
      </c>
      <c r="J494" s="17">
        <v>120.0</v>
      </c>
      <c r="K494" s="17">
        <v>50.0</v>
      </c>
      <c r="L494" s="29">
        <f t="shared" si="2"/>
        <v>345</v>
      </c>
    </row>
    <row r="495" ht="23.25" customHeight="1">
      <c r="A495" s="17" t="s">
        <v>3561</v>
      </c>
      <c r="B495" s="17" t="str">
        <f t="shared" si="1"/>
        <v/>
      </c>
      <c r="C495" s="17" t="s">
        <v>3562</v>
      </c>
      <c r="D495" s="17" t="s">
        <v>2711</v>
      </c>
      <c r="E495" s="17"/>
      <c r="F495" s="17">
        <v>75.0</v>
      </c>
      <c r="G495" s="17">
        <v>86.0</v>
      </c>
      <c r="H495" s="17">
        <v>67.0</v>
      </c>
      <c r="I495" s="17">
        <v>106.0</v>
      </c>
      <c r="J495" s="17">
        <v>67.0</v>
      </c>
      <c r="K495" s="17">
        <v>60.0</v>
      </c>
      <c r="L495" s="29">
        <f t="shared" si="2"/>
        <v>461</v>
      </c>
    </row>
    <row r="496" ht="23.25" customHeight="1">
      <c r="A496" s="17" t="s">
        <v>3563</v>
      </c>
      <c r="B496" s="17" t="str">
        <f t="shared" si="1"/>
        <v/>
      </c>
      <c r="C496" s="17" t="s">
        <v>3564</v>
      </c>
      <c r="D496" s="17" t="s">
        <v>2744</v>
      </c>
      <c r="E496" s="17" t="s">
        <v>2736</v>
      </c>
      <c r="F496" s="17">
        <v>50.0</v>
      </c>
      <c r="G496" s="17">
        <v>53.0</v>
      </c>
      <c r="H496" s="17">
        <v>62.0</v>
      </c>
      <c r="I496" s="17">
        <v>43.0</v>
      </c>
      <c r="J496" s="17">
        <v>52.0</v>
      </c>
      <c r="K496" s="17">
        <v>45.0</v>
      </c>
      <c r="L496" s="29">
        <f t="shared" si="2"/>
        <v>305</v>
      </c>
    </row>
    <row r="497" ht="23.25" customHeight="1">
      <c r="A497" s="17" t="s">
        <v>3565</v>
      </c>
      <c r="B497" s="17" t="str">
        <f t="shared" si="1"/>
        <v/>
      </c>
      <c r="C497" s="17" t="s">
        <v>3566</v>
      </c>
      <c r="D497" s="17" t="s">
        <v>2746</v>
      </c>
      <c r="E497" s="17"/>
      <c r="F497" s="17">
        <v>55.0</v>
      </c>
      <c r="G497" s="17">
        <v>40.0</v>
      </c>
      <c r="H497" s="17">
        <v>40.0</v>
      </c>
      <c r="I497" s="17">
        <v>65.0</v>
      </c>
      <c r="J497" s="17">
        <v>45.0</v>
      </c>
      <c r="K497" s="17">
        <v>35.0</v>
      </c>
      <c r="L497" s="29">
        <f t="shared" si="2"/>
        <v>280</v>
      </c>
    </row>
    <row r="498" ht="23.25" customHeight="1">
      <c r="A498" s="17" t="s">
        <v>3567</v>
      </c>
      <c r="B498" s="17" t="str">
        <f t="shared" si="1"/>
        <v/>
      </c>
      <c r="C498" s="17" t="s">
        <v>381</v>
      </c>
      <c r="D498" s="17" t="s">
        <v>2736</v>
      </c>
      <c r="E498" s="17" t="s">
        <v>2733</v>
      </c>
      <c r="F498" s="17">
        <v>70.0</v>
      </c>
      <c r="G498" s="17">
        <v>20.0</v>
      </c>
      <c r="H498" s="17">
        <v>50.0</v>
      </c>
      <c r="I498" s="17">
        <v>20.0</v>
      </c>
      <c r="J498" s="17">
        <v>50.0</v>
      </c>
      <c r="K498" s="17">
        <v>40.0</v>
      </c>
      <c r="L498" s="29">
        <f t="shared" si="2"/>
        <v>250</v>
      </c>
    </row>
    <row r="499" ht="23.25" customHeight="1">
      <c r="A499" s="17" t="s">
        <v>3568</v>
      </c>
      <c r="B499" s="17" t="str">
        <f t="shared" si="1"/>
        <v/>
      </c>
      <c r="C499" s="17" t="s">
        <v>1872</v>
      </c>
      <c r="D499" s="17" t="s">
        <v>2803</v>
      </c>
      <c r="E499" s="17"/>
      <c r="F499" s="17">
        <v>60.0</v>
      </c>
      <c r="G499" s="17">
        <v>80.0</v>
      </c>
      <c r="H499" s="17">
        <v>110.0</v>
      </c>
      <c r="I499" s="17">
        <v>50.0</v>
      </c>
      <c r="J499" s="17">
        <v>80.0</v>
      </c>
      <c r="K499" s="17">
        <v>45.0</v>
      </c>
      <c r="L499" s="29">
        <f t="shared" si="2"/>
        <v>425</v>
      </c>
    </row>
    <row r="500" ht="23.25" customHeight="1">
      <c r="A500" s="17" t="s">
        <v>3569</v>
      </c>
      <c r="B500" s="17" t="str">
        <f t="shared" si="1"/>
        <v/>
      </c>
      <c r="C500" s="17" t="s">
        <v>3570</v>
      </c>
      <c r="D500" s="17" t="s">
        <v>2773</v>
      </c>
      <c r="E500" s="17" t="s">
        <v>2723</v>
      </c>
      <c r="F500" s="17">
        <v>90.0</v>
      </c>
      <c r="G500" s="17">
        <v>125.0</v>
      </c>
      <c r="H500" s="17">
        <v>80.0</v>
      </c>
      <c r="I500" s="17">
        <v>90.0</v>
      </c>
      <c r="J500" s="17">
        <v>90.0</v>
      </c>
      <c r="K500" s="17">
        <v>125.0</v>
      </c>
      <c r="L500" s="29">
        <f t="shared" si="2"/>
        <v>600</v>
      </c>
    </row>
    <row r="501" ht="23.25" customHeight="1">
      <c r="A501" s="17" t="s">
        <v>3571</v>
      </c>
      <c r="B501" s="17" t="str">
        <f t="shared" si="1"/>
        <v/>
      </c>
      <c r="C501" s="17" t="s">
        <v>3572</v>
      </c>
      <c r="D501" s="17" t="s">
        <v>2736</v>
      </c>
      <c r="E501" s="17" t="s">
        <v>2803</v>
      </c>
      <c r="F501" s="17">
        <v>70.0</v>
      </c>
      <c r="G501" s="17">
        <v>85.0</v>
      </c>
      <c r="H501" s="17">
        <v>70.0</v>
      </c>
      <c r="I501" s="17">
        <v>60.0</v>
      </c>
      <c r="J501" s="17">
        <v>70.0</v>
      </c>
      <c r="K501" s="17">
        <v>50.0</v>
      </c>
      <c r="L501" s="29">
        <f t="shared" si="2"/>
        <v>405</v>
      </c>
    </row>
    <row r="502" ht="23.25" customHeight="1">
      <c r="A502" s="17" t="s">
        <v>3573</v>
      </c>
      <c r="B502" s="17" t="str">
        <f t="shared" si="1"/>
        <v/>
      </c>
      <c r="C502" s="17" t="s">
        <v>3574</v>
      </c>
      <c r="D502" s="17" t="s">
        <v>2719</v>
      </c>
      <c r="E502" s="17" t="s">
        <v>2726</v>
      </c>
      <c r="F502" s="17">
        <v>70.0</v>
      </c>
      <c r="G502" s="17">
        <v>60.0</v>
      </c>
      <c r="H502" s="17">
        <v>62.0</v>
      </c>
      <c r="I502" s="17">
        <v>100.0</v>
      </c>
      <c r="J502" s="17">
        <v>82.0</v>
      </c>
      <c r="K502" s="17">
        <v>80.0</v>
      </c>
      <c r="L502" s="29">
        <f t="shared" si="2"/>
        <v>454</v>
      </c>
    </row>
    <row r="503" ht="23.25" customHeight="1">
      <c r="A503" s="17" t="s">
        <v>3575</v>
      </c>
      <c r="B503" s="17" t="str">
        <f t="shared" si="1"/>
        <v/>
      </c>
      <c r="C503" s="17" t="s">
        <v>3576</v>
      </c>
      <c r="D503" s="17" t="s">
        <v>2722</v>
      </c>
      <c r="E503" s="17" t="s">
        <v>2733</v>
      </c>
      <c r="F503" s="17">
        <v>50.0</v>
      </c>
      <c r="G503" s="17">
        <v>85.0</v>
      </c>
      <c r="H503" s="17">
        <v>85.0</v>
      </c>
      <c r="I503" s="17">
        <v>55.0</v>
      </c>
      <c r="J503" s="17">
        <v>55.0</v>
      </c>
      <c r="K503" s="17">
        <v>50.0</v>
      </c>
      <c r="L503" s="29">
        <f t="shared" si="2"/>
        <v>380</v>
      </c>
    </row>
    <row r="504" ht="23.25" customHeight="1">
      <c r="A504" s="17" t="s">
        <v>3577</v>
      </c>
      <c r="B504" s="17" t="str">
        <f t="shared" si="1"/>
        <v/>
      </c>
      <c r="C504" s="17" t="s">
        <v>582</v>
      </c>
      <c r="D504" s="17" t="s">
        <v>2773</v>
      </c>
      <c r="E504" s="17" t="s">
        <v>2714</v>
      </c>
      <c r="F504" s="17">
        <v>60.0</v>
      </c>
      <c r="G504" s="17">
        <v>60.0</v>
      </c>
      <c r="H504" s="17">
        <v>75.0</v>
      </c>
      <c r="I504" s="17">
        <v>60.0</v>
      </c>
      <c r="J504" s="17">
        <v>75.0</v>
      </c>
      <c r="K504" s="17">
        <v>80.0</v>
      </c>
      <c r="L504" s="29">
        <f t="shared" si="2"/>
        <v>410</v>
      </c>
    </row>
    <row r="505" ht="23.25" customHeight="1">
      <c r="A505" s="17" t="s">
        <v>3578</v>
      </c>
      <c r="B505" s="17" t="str">
        <f t="shared" si="1"/>
        <v/>
      </c>
      <c r="C505" s="17" t="s">
        <v>165</v>
      </c>
      <c r="D505" s="17" t="s">
        <v>2773</v>
      </c>
      <c r="E505" s="17" t="s">
        <v>2714</v>
      </c>
      <c r="F505" s="17">
        <v>30.0</v>
      </c>
      <c r="G505" s="17">
        <v>40.0</v>
      </c>
      <c r="H505" s="17">
        <v>55.0</v>
      </c>
      <c r="I505" s="17">
        <v>40.0</v>
      </c>
      <c r="J505" s="17">
        <v>55.0</v>
      </c>
      <c r="K505" s="17">
        <v>60.0</v>
      </c>
      <c r="L505" s="29">
        <f t="shared" si="2"/>
        <v>280</v>
      </c>
    </row>
    <row r="506" ht="23.25" customHeight="1">
      <c r="A506" s="17" t="s">
        <v>3579</v>
      </c>
      <c r="B506" s="17" t="str">
        <f t="shared" si="1"/>
        <v/>
      </c>
      <c r="C506" s="17" t="s">
        <v>3580</v>
      </c>
      <c r="D506" s="17" t="s">
        <v>2711</v>
      </c>
      <c r="E506" s="17"/>
      <c r="F506" s="17">
        <v>80.0</v>
      </c>
      <c r="G506" s="17">
        <v>82.0</v>
      </c>
      <c r="H506" s="17">
        <v>100.0</v>
      </c>
      <c r="I506" s="17">
        <v>83.0</v>
      </c>
      <c r="J506" s="17">
        <v>100.0</v>
      </c>
      <c r="K506" s="17">
        <v>80.0</v>
      </c>
      <c r="L506" s="29">
        <f t="shared" si="2"/>
        <v>525</v>
      </c>
    </row>
    <row r="507" ht="23.25" customHeight="1">
      <c r="A507" s="17" t="s">
        <v>3581</v>
      </c>
      <c r="B507" s="17" t="str">
        <f t="shared" si="1"/>
        <v/>
      </c>
      <c r="C507" s="17" t="s">
        <v>3582</v>
      </c>
      <c r="D507" s="17" t="s">
        <v>2722</v>
      </c>
      <c r="E507" s="17"/>
      <c r="F507" s="17">
        <v>135.0</v>
      </c>
      <c r="G507" s="17">
        <v>143.0</v>
      </c>
      <c r="H507" s="17">
        <v>143.0</v>
      </c>
      <c r="I507" s="17">
        <v>80.0</v>
      </c>
      <c r="J507" s="17">
        <v>65.0</v>
      </c>
      <c r="K507" s="17">
        <v>34.0</v>
      </c>
      <c r="L507" s="29">
        <f t="shared" si="2"/>
        <v>600</v>
      </c>
    </row>
    <row r="508" ht="23.25" customHeight="1">
      <c r="A508" s="17" t="s">
        <v>3583</v>
      </c>
      <c r="B508" s="17" t="str">
        <f t="shared" si="1"/>
        <v/>
      </c>
      <c r="C508" s="17" t="s">
        <v>3584</v>
      </c>
      <c r="D508" s="17" t="s">
        <v>2729</v>
      </c>
      <c r="E508" s="17" t="s">
        <v>2714</v>
      </c>
      <c r="F508" s="17">
        <v>100.0</v>
      </c>
      <c r="G508" s="17">
        <v>77.0</v>
      </c>
      <c r="H508" s="17">
        <v>77.0</v>
      </c>
      <c r="I508" s="17">
        <v>128.0</v>
      </c>
      <c r="J508" s="17">
        <v>128.0</v>
      </c>
      <c r="K508" s="17">
        <v>90.0</v>
      </c>
      <c r="L508" s="29">
        <f t="shared" si="2"/>
        <v>600</v>
      </c>
    </row>
    <row r="509" ht="23.25" customHeight="1">
      <c r="A509" s="17" t="s">
        <v>3585</v>
      </c>
      <c r="B509" s="17" t="str">
        <f t="shared" si="1"/>
        <v/>
      </c>
      <c r="C509" s="17" t="s">
        <v>3586</v>
      </c>
      <c r="D509" s="17" t="s">
        <v>2722</v>
      </c>
      <c r="E509" s="17"/>
      <c r="F509" s="17">
        <v>46.0</v>
      </c>
      <c r="G509" s="17">
        <v>65.0</v>
      </c>
      <c r="H509" s="17">
        <v>65.0</v>
      </c>
      <c r="I509" s="17">
        <v>55.0</v>
      </c>
      <c r="J509" s="17">
        <v>35.0</v>
      </c>
      <c r="K509" s="17">
        <v>34.0</v>
      </c>
      <c r="L509" s="29">
        <f t="shared" si="2"/>
        <v>300</v>
      </c>
    </row>
    <row r="510" ht="23.25" customHeight="1">
      <c r="A510" s="17" t="s">
        <v>3587</v>
      </c>
      <c r="B510" s="17" t="str">
        <f t="shared" si="1"/>
        <v/>
      </c>
      <c r="C510" s="17" t="s">
        <v>3588</v>
      </c>
      <c r="D510" s="17" t="s">
        <v>2714</v>
      </c>
      <c r="E510" s="17"/>
      <c r="F510" s="17">
        <v>74.0</v>
      </c>
      <c r="G510" s="17">
        <v>48.0</v>
      </c>
      <c r="H510" s="17">
        <v>76.0</v>
      </c>
      <c r="I510" s="17">
        <v>83.0</v>
      </c>
      <c r="J510" s="17">
        <v>81.0</v>
      </c>
      <c r="K510" s="17">
        <v>104.0</v>
      </c>
      <c r="L510" s="29">
        <f t="shared" si="2"/>
        <v>466</v>
      </c>
    </row>
    <row r="511" ht="23.25" customHeight="1">
      <c r="A511" s="17" t="s">
        <v>3589</v>
      </c>
      <c r="B511" s="17" t="str">
        <f t="shared" si="1"/>
        <v/>
      </c>
      <c r="C511" s="17" t="s">
        <v>1841</v>
      </c>
      <c r="D511" s="17" t="s">
        <v>2729</v>
      </c>
      <c r="E511" s="17"/>
      <c r="F511" s="17">
        <v>40.0</v>
      </c>
      <c r="G511" s="17">
        <v>45.0</v>
      </c>
      <c r="H511" s="17">
        <v>35.0</v>
      </c>
      <c r="I511" s="17">
        <v>40.0</v>
      </c>
      <c r="J511" s="17">
        <v>40.0</v>
      </c>
      <c r="K511" s="17">
        <v>90.0</v>
      </c>
      <c r="L511" s="29">
        <f t="shared" si="2"/>
        <v>290</v>
      </c>
    </row>
    <row r="512" ht="23.25" customHeight="1">
      <c r="A512" s="17" t="s">
        <v>3590</v>
      </c>
      <c r="B512" s="17" t="str">
        <f t="shared" si="1"/>
        <v/>
      </c>
      <c r="C512" s="17" t="s">
        <v>3591</v>
      </c>
      <c r="D512" s="17" t="s">
        <v>2714</v>
      </c>
      <c r="E512" s="17"/>
      <c r="F512" s="17">
        <v>80.0</v>
      </c>
      <c r="G512" s="17">
        <v>105.0</v>
      </c>
      <c r="H512" s="17">
        <v>105.0</v>
      </c>
      <c r="I512" s="17">
        <v>105.0</v>
      </c>
      <c r="J512" s="17">
        <v>105.0</v>
      </c>
      <c r="K512" s="17">
        <v>80.0</v>
      </c>
      <c r="L512" s="29">
        <f t="shared" si="2"/>
        <v>580</v>
      </c>
    </row>
    <row r="513" ht="23.25" customHeight="1">
      <c r="A513" s="17" t="s">
        <v>3592</v>
      </c>
      <c r="B513" s="17" t="str">
        <f t="shared" si="1"/>
        <v/>
      </c>
      <c r="C513" s="17" t="s">
        <v>999</v>
      </c>
      <c r="D513" s="17" t="s">
        <v>2722</v>
      </c>
      <c r="E513" s="17" t="s">
        <v>2714</v>
      </c>
      <c r="F513" s="17">
        <v>80.0</v>
      </c>
      <c r="G513" s="17">
        <v>135.0</v>
      </c>
      <c r="H513" s="17">
        <v>130.0</v>
      </c>
      <c r="I513" s="17">
        <v>95.0</v>
      </c>
      <c r="J513" s="17">
        <v>90.0</v>
      </c>
      <c r="K513" s="17">
        <v>70.0</v>
      </c>
      <c r="L513" s="29">
        <f t="shared" si="2"/>
        <v>600</v>
      </c>
    </row>
    <row r="514" ht="23.25" customHeight="1">
      <c r="A514" s="17" t="s">
        <v>3593</v>
      </c>
      <c r="B514" s="17" t="str">
        <f t="shared" si="1"/>
        <v/>
      </c>
      <c r="C514" s="17" t="s">
        <v>3594</v>
      </c>
      <c r="D514" s="17" t="s">
        <v>2722</v>
      </c>
      <c r="E514" s="17" t="s">
        <v>2714</v>
      </c>
      <c r="F514" s="17">
        <v>60.0</v>
      </c>
      <c r="G514" s="17">
        <v>75.0</v>
      </c>
      <c r="H514" s="17">
        <v>100.0</v>
      </c>
      <c r="I514" s="17">
        <v>55.0</v>
      </c>
      <c r="J514" s="17">
        <v>80.0</v>
      </c>
      <c r="K514" s="17">
        <v>50.0</v>
      </c>
      <c r="L514" s="29">
        <f t="shared" si="2"/>
        <v>420</v>
      </c>
    </row>
    <row r="515" ht="23.25" customHeight="1">
      <c r="A515" s="17" t="s">
        <v>3595</v>
      </c>
      <c r="B515" s="17" t="str">
        <f t="shared" si="1"/>
        <v/>
      </c>
      <c r="C515" s="17" t="s">
        <v>3596</v>
      </c>
      <c r="D515" s="17" t="s">
        <v>2719</v>
      </c>
      <c r="E515" s="17"/>
      <c r="F515" s="17">
        <v>50.0</v>
      </c>
      <c r="G515" s="17">
        <v>20.0</v>
      </c>
      <c r="H515" s="17">
        <v>55.0</v>
      </c>
      <c r="I515" s="17">
        <v>25.0</v>
      </c>
      <c r="J515" s="17">
        <v>25.0</v>
      </c>
      <c r="K515" s="17">
        <v>30.0</v>
      </c>
      <c r="L515" s="29">
        <f t="shared" si="2"/>
        <v>205</v>
      </c>
    </row>
    <row r="516" ht="23.25" customHeight="1">
      <c r="A516" s="17" t="s">
        <v>3597</v>
      </c>
      <c r="B516" s="17" t="str">
        <f t="shared" si="1"/>
        <v/>
      </c>
      <c r="C516" s="17" t="s">
        <v>3598</v>
      </c>
      <c r="D516" s="17" t="s">
        <v>2714</v>
      </c>
      <c r="E516" s="17"/>
      <c r="F516" s="17">
        <v>100.0</v>
      </c>
      <c r="G516" s="17">
        <v>100.0</v>
      </c>
      <c r="H516" s="17">
        <v>100.0</v>
      </c>
      <c r="I516" s="17">
        <v>100.0</v>
      </c>
      <c r="J516" s="17">
        <v>100.0</v>
      </c>
      <c r="K516" s="17">
        <v>100.0</v>
      </c>
      <c r="L516" s="29">
        <f t="shared" si="2"/>
        <v>600</v>
      </c>
    </row>
    <row r="517" ht="23.25" customHeight="1">
      <c r="A517" s="17" t="s">
        <v>3599</v>
      </c>
      <c r="B517" s="17" t="str">
        <f t="shared" si="1"/>
        <v/>
      </c>
      <c r="C517" s="17" t="s">
        <v>3600</v>
      </c>
      <c r="D517" s="17" t="s">
        <v>2714</v>
      </c>
      <c r="E517" s="17"/>
      <c r="F517" s="17">
        <v>106.0</v>
      </c>
      <c r="G517" s="17">
        <v>110.0</v>
      </c>
      <c r="H517" s="17">
        <v>90.0</v>
      </c>
      <c r="I517" s="17">
        <v>154.0</v>
      </c>
      <c r="J517" s="17">
        <v>90.0</v>
      </c>
      <c r="K517" s="17">
        <v>130.0</v>
      </c>
      <c r="L517" s="29">
        <f t="shared" si="2"/>
        <v>680</v>
      </c>
    </row>
    <row r="518" ht="23.25" customHeight="1">
      <c r="A518" s="17" t="s">
        <v>3601</v>
      </c>
      <c r="B518" s="17" t="str">
        <f t="shared" si="1"/>
        <v/>
      </c>
      <c r="C518" s="17" t="s">
        <v>3602</v>
      </c>
      <c r="D518" s="17" t="s">
        <v>2719</v>
      </c>
      <c r="E518" s="17" t="s">
        <v>2738</v>
      </c>
      <c r="F518" s="17">
        <v>85.0</v>
      </c>
      <c r="G518" s="17">
        <v>135.0</v>
      </c>
      <c r="H518" s="17">
        <v>60.0</v>
      </c>
      <c r="I518" s="17">
        <v>115.0</v>
      </c>
      <c r="J518" s="17">
        <v>85.0</v>
      </c>
      <c r="K518" s="17">
        <v>89.0</v>
      </c>
      <c r="L518" s="29">
        <f t="shared" si="2"/>
        <v>569</v>
      </c>
    </row>
    <row r="519" ht="23.25" customHeight="1">
      <c r="A519" s="17" t="s">
        <v>3603</v>
      </c>
      <c r="B519" s="17" t="str">
        <f t="shared" si="1"/>
        <v/>
      </c>
      <c r="C519" s="17" t="s">
        <v>3604</v>
      </c>
      <c r="D519" s="17" t="s">
        <v>2773</v>
      </c>
      <c r="E519" s="17"/>
      <c r="F519" s="17">
        <v>45.0</v>
      </c>
      <c r="G519" s="17">
        <v>85.0</v>
      </c>
      <c r="H519" s="17">
        <v>50.0</v>
      </c>
      <c r="I519" s="17">
        <v>55.0</v>
      </c>
      <c r="J519" s="17">
        <v>50.0</v>
      </c>
      <c r="K519" s="17">
        <v>65.0</v>
      </c>
      <c r="L519" s="29">
        <f t="shared" si="2"/>
        <v>350</v>
      </c>
    </row>
    <row r="520" ht="23.25" customHeight="1">
      <c r="A520" s="17" t="s">
        <v>3605</v>
      </c>
      <c r="B520" s="17" t="str">
        <f t="shared" si="1"/>
        <v/>
      </c>
      <c r="C520" s="17" t="s">
        <v>3606</v>
      </c>
      <c r="D520" s="17" t="s">
        <v>2773</v>
      </c>
      <c r="E520" s="17"/>
      <c r="F520" s="17">
        <v>65.0</v>
      </c>
      <c r="G520" s="17">
        <v>125.0</v>
      </c>
      <c r="H520" s="17">
        <v>60.0</v>
      </c>
      <c r="I520" s="17">
        <v>95.0</v>
      </c>
      <c r="J520" s="17">
        <v>60.0</v>
      </c>
      <c r="K520" s="17">
        <v>105.0</v>
      </c>
      <c r="L520" s="29">
        <f t="shared" si="2"/>
        <v>510</v>
      </c>
    </row>
    <row r="521" ht="23.25" customHeight="1">
      <c r="A521" s="17" t="s">
        <v>3607</v>
      </c>
      <c r="B521" s="17" t="str">
        <f t="shared" si="1"/>
        <v/>
      </c>
      <c r="C521" s="17" t="s">
        <v>1793</v>
      </c>
      <c r="D521" s="17" t="s">
        <v>2716</v>
      </c>
      <c r="E521" s="17"/>
      <c r="F521" s="17">
        <v>70.0</v>
      </c>
      <c r="G521" s="17">
        <v>90.0</v>
      </c>
      <c r="H521" s="17">
        <v>70.0</v>
      </c>
      <c r="I521" s="17">
        <v>60.0</v>
      </c>
      <c r="J521" s="17">
        <v>60.0</v>
      </c>
      <c r="K521" s="17">
        <v>70.0</v>
      </c>
      <c r="L521" s="29">
        <f t="shared" si="2"/>
        <v>420</v>
      </c>
    </row>
    <row r="522" ht="23.25" customHeight="1">
      <c r="A522" s="17" t="s">
        <v>3608</v>
      </c>
      <c r="B522" s="17" t="str">
        <f t="shared" si="1"/>
        <v/>
      </c>
      <c r="C522" s="17" t="s">
        <v>3609</v>
      </c>
      <c r="D522" s="17" t="s">
        <v>2733</v>
      </c>
      <c r="E522" s="17"/>
      <c r="F522" s="17">
        <v>45.0</v>
      </c>
      <c r="G522" s="17">
        <v>40.0</v>
      </c>
      <c r="H522" s="17">
        <v>40.0</v>
      </c>
      <c r="I522" s="17">
        <v>50.0</v>
      </c>
      <c r="J522" s="17">
        <v>61.0</v>
      </c>
      <c r="K522" s="17">
        <v>34.0</v>
      </c>
      <c r="L522" s="29">
        <f t="shared" si="2"/>
        <v>270</v>
      </c>
    </row>
    <row r="523" ht="23.25" customHeight="1">
      <c r="A523" s="17" t="s">
        <v>3610</v>
      </c>
      <c r="B523" s="17" t="str">
        <f t="shared" si="1"/>
        <v/>
      </c>
      <c r="C523" s="17" t="s">
        <v>912</v>
      </c>
      <c r="D523" s="17" t="s">
        <v>2736</v>
      </c>
      <c r="E523" s="17"/>
      <c r="F523" s="17">
        <v>95.0</v>
      </c>
      <c r="G523" s="17">
        <v>60.0</v>
      </c>
      <c r="H523" s="17">
        <v>79.0</v>
      </c>
      <c r="I523" s="17">
        <v>100.0</v>
      </c>
      <c r="J523" s="17">
        <v>125.0</v>
      </c>
      <c r="K523" s="17">
        <v>81.0</v>
      </c>
      <c r="L523" s="29">
        <f t="shared" si="2"/>
        <v>540</v>
      </c>
    </row>
    <row r="524" ht="23.25" customHeight="1">
      <c r="A524" s="17" t="s">
        <v>3611</v>
      </c>
      <c r="B524" s="17" t="str">
        <f t="shared" si="1"/>
        <v/>
      </c>
      <c r="C524" s="17" t="s">
        <v>1770</v>
      </c>
      <c r="D524" s="17" t="s">
        <v>2729</v>
      </c>
      <c r="E524" s="17"/>
      <c r="F524" s="17">
        <v>95.0</v>
      </c>
      <c r="G524" s="17">
        <v>80.0</v>
      </c>
      <c r="H524" s="17">
        <v>105.0</v>
      </c>
      <c r="I524" s="17">
        <v>40.0</v>
      </c>
      <c r="J524" s="17">
        <v>70.0</v>
      </c>
      <c r="K524" s="17">
        <v>100.0</v>
      </c>
      <c r="L524" s="29">
        <f t="shared" si="2"/>
        <v>490</v>
      </c>
    </row>
    <row r="525" ht="23.25" customHeight="1">
      <c r="A525" s="17" t="s">
        <v>3612</v>
      </c>
      <c r="B525" s="17" t="str">
        <f t="shared" si="1"/>
        <v/>
      </c>
      <c r="C525" s="17" t="s">
        <v>202</v>
      </c>
      <c r="D525" s="17" t="s">
        <v>2714</v>
      </c>
      <c r="E525" s="17" t="s">
        <v>2733</v>
      </c>
      <c r="F525" s="17">
        <v>20.0</v>
      </c>
      <c r="G525" s="17">
        <v>25.0</v>
      </c>
      <c r="H525" s="17">
        <v>45.0</v>
      </c>
      <c r="I525" s="17">
        <v>70.0</v>
      </c>
      <c r="J525" s="17">
        <v>90.0</v>
      </c>
      <c r="K525" s="17">
        <v>60.0</v>
      </c>
      <c r="L525" s="29">
        <f t="shared" si="2"/>
        <v>310</v>
      </c>
    </row>
    <row r="526" ht="23.25" customHeight="1">
      <c r="A526" s="17" t="s">
        <v>3613</v>
      </c>
      <c r="B526" s="17" t="str">
        <f t="shared" si="1"/>
        <v/>
      </c>
      <c r="C526" s="17" t="s">
        <v>3614</v>
      </c>
      <c r="D526" s="17" t="s">
        <v>2723</v>
      </c>
      <c r="E526" s="17" t="s">
        <v>2733</v>
      </c>
      <c r="F526" s="17">
        <v>55.0</v>
      </c>
      <c r="G526" s="17">
        <v>90.0</v>
      </c>
      <c r="H526" s="17">
        <v>80.0</v>
      </c>
      <c r="I526" s="17">
        <v>50.0</v>
      </c>
      <c r="J526" s="17">
        <v>105.0</v>
      </c>
      <c r="K526" s="17">
        <v>96.0</v>
      </c>
      <c r="L526" s="29">
        <f t="shared" si="2"/>
        <v>476</v>
      </c>
    </row>
    <row r="527" ht="23.25" customHeight="1">
      <c r="A527" s="17" t="s">
        <v>3615</v>
      </c>
      <c r="B527" s="17" t="str">
        <f t="shared" si="1"/>
        <v/>
      </c>
      <c r="C527" s="17" t="s">
        <v>3616</v>
      </c>
      <c r="D527" s="17" t="s">
        <v>2729</v>
      </c>
      <c r="E527" s="17"/>
      <c r="F527" s="17">
        <v>55.0</v>
      </c>
      <c r="G527" s="17">
        <v>50.0</v>
      </c>
      <c r="H527" s="17">
        <v>40.0</v>
      </c>
      <c r="I527" s="17">
        <v>40.0</v>
      </c>
      <c r="J527" s="17">
        <v>40.0</v>
      </c>
      <c r="K527" s="17">
        <v>75.0</v>
      </c>
      <c r="L527" s="29">
        <f t="shared" si="2"/>
        <v>300</v>
      </c>
    </row>
    <row r="528" ht="23.25" customHeight="1">
      <c r="A528" s="17" t="s">
        <v>3617</v>
      </c>
      <c r="B528" s="17" t="str">
        <f t="shared" si="1"/>
        <v/>
      </c>
      <c r="C528" s="17" t="s">
        <v>3618</v>
      </c>
      <c r="D528" s="17" t="s">
        <v>2725</v>
      </c>
      <c r="E528" s="17" t="s">
        <v>2726</v>
      </c>
      <c r="F528" s="17">
        <v>60.0</v>
      </c>
      <c r="G528" s="17">
        <v>100.0</v>
      </c>
      <c r="H528" s="17">
        <v>60.0</v>
      </c>
      <c r="I528" s="17">
        <v>100.0</v>
      </c>
      <c r="J528" s="17">
        <v>60.0</v>
      </c>
      <c r="K528" s="17">
        <v>120.0</v>
      </c>
      <c r="L528" s="29">
        <f t="shared" si="2"/>
        <v>500</v>
      </c>
    </row>
    <row r="529" ht="23.25" customHeight="1">
      <c r="A529" s="17" t="s">
        <v>3619</v>
      </c>
      <c r="B529" s="17" t="str">
        <f t="shared" si="1"/>
        <v/>
      </c>
      <c r="C529" s="17" t="s">
        <v>3620</v>
      </c>
      <c r="D529" s="17" t="s">
        <v>2746</v>
      </c>
      <c r="E529" s="17"/>
      <c r="F529" s="17">
        <v>60.0</v>
      </c>
      <c r="G529" s="17">
        <v>40.0</v>
      </c>
      <c r="H529" s="17">
        <v>50.0</v>
      </c>
      <c r="I529" s="17">
        <v>75.0</v>
      </c>
      <c r="J529" s="17">
        <v>85.0</v>
      </c>
      <c r="K529" s="17">
        <v>95.0</v>
      </c>
      <c r="L529" s="29">
        <f t="shared" si="2"/>
        <v>405</v>
      </c>
    </row>
    <row r="530" ht="23.25" customHeight="1">
      <c r="A530" s="17" t="s">
        <v>3621</v>
      </c>
      <c r="B530" s="17" t="str">
        <f t="shared" si="1"/>
        <v/>
      </c>
      <c r="C530" s="17" t="s">
        <v>449</v>
      </c>
      <c r="D530" s="17" t="s">
        <v>2723</v>
      </c>
      <c r="E530" s="17"/>
      <c r="F530" s="17">
        <v>60.0</v>
      </c>
      <c r="G530" s="17">
        <v>60.0</v>
      </c>
      <c r="H530" s="17">
        <v>60.0</v>
      </c>
      <c r="I530" s="17">
        <v>85.0</v>
      </c>
      <c r="J530" s="17">
        <v>85.0</v>
      </c>
      <c r="K530" s="17">
        <v>85.0</v>
      </c>
      <c r="L530" s="29">
        <f t="shared" si="2"/>
        <v>435</v>
      </c>
    </row>
    <row r="531" ht="23.25" customHeight="1">
      <c r="A531" s="17" t="s">
        <v>3622</v>
      </c>
      <c r="B531" s="17" t="str">
        <f t="shared" si="1"/>
        <v/>
      </c>
      <c r="C531" s="17" t="s">
        <v>1131</v>
      </c>
      <c r="D531" s="17" t="s">
        <v>2723</v>
      </c>
      <c r="E531" s="17"/>
      <c r="F531" s="17">
        <v>60.0</v>
      </c>
      <c r="G531" s="17">
        <v>60.0</v>
      </c>
      <c r="H531" s="17">
        <v>60.0</v>
      </c>
      <c r="I531" s="17">
        <v>105.0</v>
      </c>
      <c r="J531" s="17">
        <v>105.0</v>
      </c>
      <c r="K531" s="17">
        <v>105.0</v>
      </c>
      <c r="L531" s="29">
        <f t="shared" si="2"/>
        <v>495</v>
      </c>
    </row>
    <row r="532" ht="23.25" customHeight="1">
      <c r="A532" s="17" t="s">
        <v>3623</v>
      </c>
      <c r="B532" s="17" t="str">
        <f t="shared" si="1"/>
        <v/>
      </c>
      <c r="C532" s="17" t="s">
        <v>3624</v>
      </c>
      <c r="D532" s="17" t="s">
        <v>2729</v>
      </c>
      <c r="E532" s="17" t="s">
        <v>2729</v>
      </c>
      <c r="F532" s="17">
        <v>33.0</v>
      </c>
      <c r="G532" s="17">
        <v>136.0</v>
      </c>
      <c r="H532" s="17">
        <v>0.0</v>
      </c>
      <c r="I532" s="17">
        <v>6.0</v>
      </c>
      <c r="J532" s="17">
        <v>6.0</v>
      </c>
      <c r="K532" s="17">
        <v>29.0</v>
      </c>
      <c r="L532" s="29">
        <f t="shared" si="2"/>
        <v>210</v>
      </c>
    </row>
    <row r="533" ht="23.25" customHeight="1">
      <c r="A533" s="17" t="s">
        <v>3625</v>
      </c>
      <c r="B533" s="17" t="str">
        <f t="shared" si="1"/>
        <v/>
      </c>
      <c r="C533" s="17" t="s">
        <v>3626</v>
      </c>
      <c r="D533" s="17" t="s">
        <v>2758</v>
      </c>
      <c r="E533" s="17" t="s">
        <v>2744</v>
      </c>
      <c r="F533" s="17">
        <v>95.0</v>
      </c>
      <c r="G533" s="17">
        <v>45.0</v>
      </c>
      <c r="H533" s="17">
        <v>83.0</v>
      </c>
      <c r="I533" s="17">
        <v>131.0</v>
      </c>
      <c r="J533" s="17">
        <v>105.0</v>
      </c>
      <c r="K533" s="17">
        <v>76.0</v>
      </c>
      <c r="L533" s="29">
        <f t="shared" si="2"/>
        <v>535</v>
      </c>
    </row>
    <row r="534" ht="23.25" customHeight="1">
      <c r="A534" s="17" t="s">
        <v>3627</v>
      </c>
      <c r="B534" s="17" t="str">
        <f t="shared" si="1"/>
        <v/>
      </c>
      <c r="C534" s="17" t="s">
        <v>3628</v>
      </c>
      <c r="D534" s="17" t="s">
        <v>2758</v>
      </c>
      <c r="E534" s="17" t="s">
        <v>2726</v>
      </c>
      <c r="F534" s="17">
        <v>90.0</v>
      </c>
      <c r="G534" s="17">
        <v>100.0</v>
      </c>
      <c r="H534" s="17">
        <v>90.0</v>
      </c>
      <c r="I534" s="17">
        <v>125.0</v>
      </c>
      <c r="J534" s="17">
        <v>85.0</v>
      </c>
      <c r="K534" s="17">
        <v>90.0</v>
      </c>
      <c r="L534" s="29">
        <f t="shared" si="2"/>
        <v>580</v>
      </c>
    </row>
    <row r="535" ht="23.25" customHeight="1">
      <c r="A535" s="17" t="s">
        <v>3629</v>
      </c>
      <c r="B535" s="17" t="str">
        <f t="shared" si="1"/>
        <v/>
      </c>
      <c r="C535" s="17" t="s">
        <v>965</v>
      </c>
      <c r="D535" s="17" t="s">
        <v>2758</v>
      </c>
      <c r="E535" s="17" t="s">
        <v>2773</v>
      </c>
      <c r="F535" s="17">
        <v>64.0</v>
      </c>
      <c r="G535" s="17">
        <v>78.0</v>
      </c>
      <c r="H535" s="17">
        <v>52.0</v>
      </c>
      <c r="I535" s="17">
        <v>78.0</v>
      </c>
      <c r="J535" s="17">
        <v>52.0</v>
      </c>
      <c r="K535" s="17">
        <v>81.0</v>
      </c>
      <c r="L535" s="29">
        <f t="shared" si="2"/>
        <v>405</v>
      </c>
    </row>
    <row r="536" ht="23.25" customHeight="1">
      <c r="A536" s="17" t="s">
        <v>3630</v>
      </c>
      <c r="B536" s="17" t="str">
        <f t="shared" si="1"/>
        <v/>
      </c>
      <c r="C536" s="17" t="s">
        <v>3631</v>
      </c>
      <c r="D536" s="17" t="s">
        <v>2711</v>
      </c>
      <c r="E536" s="17" t="s">
        <v>2733</v>
      </c>
      <c r="F536" s="17">
        <v>40.0</v>
      </c>
      <c r="G536" s="17">
        <v>35.0</v>
      </c>
      <c r="H536" s="17">
        <v>55.0</v>
      </c>
      <c r="I536" s="17">
        <v>65.0</v>
      </c>
      <c r="J536" s="17">
        <v>75.0</v>
      </c>
      <c r="K536" s="17">
        <v>15.0</v>
      </c>
      <c r="L536" s="29">
        <f t="shared" si="2"/>
        <v>285</v>
      </c>
    </row>
    <row r="537" ht="23.25" customHeight="1">
      <c r="A537" s="17" t="s">
        <v>3632</v>
      </c>
      <c r="B537" s="17" t="str">
        <f t="shared" si="1"/>
        <v/>
      </c>
      <c r="C537" s="17" t="s">
        <v>3633</v>
      </c>
      <c r="D537" s="17" t="s">
        <v>2716</v>
      </c>
      <c r="E537" s="17" t="s">
        <v>2733</v>
      </c>
      <c r="F537" s="17">
        <v>65.0</v>
      </c>
      <c r="G537" s="17">
        <v>60.0</v>
      </c>
      <c r="H537" s="17">
        <v>45.0</v>
      </c>
      <c r="I537" s="17">
        <v>75.0</v>
      </c>
      <c r="J537" s="17">
        <v>55.0</v>
      </c>
      <c r="K537" s="17">
        <v>70.0</v>
      </c>
      <c r="L537" s="29">
        <f t="shared" si="2"/>
        <v>370</v>
      </c>
    </row>
    <row r="538" ht="23.25" customHeight="1">
      <c r="A538" s="17" t="s">
        <v>3634</v>
      </c>
      <c r="B538" s="17" t="str">
        <f t="shared" si="1"/>
        <v/>
      </c>
      <c r="C538" s="17" t="s">
        <v>3635</v>
      </c>
      <c r="D538" s="17" t="s">
        <v>2746</v>
      </c>
      <c r="E538" s="17" t="s">
        <v>2716</v>
      </c>
      <c r="F538" s="17">
        <v>58.0</v>
      </c>
      <c r="G538" s="17">
        <v>95.0</v>
      </c>
      <c r="H538" s="17">
        <v>58.0</v>
      </c>
      <c r="I538" s="17">
        <v>70.0</v>
      </c>
      <c r="J538" s="17">
        <v>58.0</v>
      </c>
      <c r="K538" s="17">
        <v>97.0</v>
      </c>
      <c r="L538" s="29">
        <f t="shared" si="2"/>
        <v>436</v>
      </c>
    </row>
    <row r="539" ht="23.25" customHeight="1">
      <c r="A539" s="17" t="s">
        <v>3636</v>
      </c>
      <c r="B539" s="17" t="str">
        <f t="shared" si="1"/>
        <v/>
      </c>
      <c r="C539" s="17" t="s">
        <v>257</v>
      </c>
      <c r="D539" s="17" t="s">
        <v>2719</v>
      </c>
      <c r="E539" s="17" t="s">
        <v>2726</v>
      </c>
      <c r="F539" s="17">
        <v>70.0</v>
      </c>
      <c r="G539" s="17">
        <v>94.0</v>
      </c>
      <c r="H539" s="17">
        <v>50.0</v>
      </c>
      <c r="I539" s="17">
        <v>94.0</v>
      </c>
      <c r="J539" s="17">
        <v>50.0</v>
      </c>
      <c r="K539" s="17">
        <v>66.0</v>
      </c>
      <c r="L539" s="29">
        <f t="shared" si="2"/>
        <v>424</v>
      </c>
    </row>
    <row r="540" ht="23.25" customHeight="1">
      <c r="A540" s="17" t="s">
        <v>3637</v>
      </c>
      <c r="B540" s="17" t="str">
        <f t="shared" si="1"/>
        <v/>
      </c>
      <c r="C540" s="17" t="s">
        <v>476</v>
      </c>
      <c r="D540" s="17" t="s">
        <v>2714</v>
      </c>
      <c r="E540" s="17" t="s">
        <v>2733</v>
      </c>
      <c r="F540" s="17">
        <v>40.0</v>
      </c>
      <c r="G540" s="17">
        <v>45.0</v>
      </c>
      <c r="H540" s="17">
        <v>65.0</v>
      </c>
      <c r="I540" s="17">
        <v>100.0</v>
      </c>
      <c r="J540" s="17">
        <v>120.0</v>
      </c>
      <c r="K540" s="17">
        <v>90.0</v>
      </c>
      <c r="L540" s="29">
        <f t="shared" si="2"/>
        <v>460</v>
      </c>
    </row>
    <row r="541" ht="23.25" customHeight="1">
      <c r="A541" s="17" t="s">
        <v>3638</v>
      </c>
      <c r="B541" s="17" t="str">
        <f t="shared" si="1"/>
        <v/>
      </c>
      <c r="C541" s="17" t="s">
        <v>3639</v>
      </c>
      <c r="D541" s="17" t="s">
        <v>2712</v>
      </c>
      <c r="E541" s="17" t="s">
        <v>2714</v>
      </c>
      <c r="F541" s="17">
        <v>80.0</v>
      </c>
      <c r="G541" s="17">
        <v>85.0</v>
      </c>
      <c r="H541" s="17">
        <v>75.0</v>
      </c>
      <c r="I541" s="17">
        <v>110.0</v>
      </c>
      <c r="J541" s="17">
        <v>100.0</v>
      </c>
      <c r="K541" s="17">
        <v>70.0</v>
      </c>
      <c r="L541" s="29">
        <f t="shared" si="2"/>
        <v>520</v>
      </c>
    </row>
    <row r="542" ht="23.25" customHeight="1">
      <c r="A542" s="17" t="s">
        <v>3640</v>
      </c>
      <c r="B542" s="17" t="str">
        <f t="shared" si="1"/>
        <v/>
      </c>
      <c r="C542" s="17" t="s">
        <v>3641</v>
      </c>
      <c r="D542" s="17" t="s">
        <v>2803</v>
      </c>
      <c r="E542" s="17"/>
      <c r="F542" s="17">
        <v>70.0</v>
      </c>
      <c r="G542" s="17">
        <v>100.0</v>
      </c>
      <c r="H542" s="17">
        <v>70.0</v>
      </c>
      <c r="I542" s="17">
        <v>45.0</v>
      </c>
      <c r="J542" s="17">
        <v>55.0</v>
      </c>
      <c r="K542" s="17">
        <v>45.0</v>
      </c>
      <c r="L542" s="29">
        <f t="shared" si="2"/>
        <v>385</v>
      </c>
    </row>
    <row r="543" ht="23.25" customHeight="1">
      <c r="A543" s="17" t="s">
        <v>3642</v>
      </c>
      <c r="B543" s="17" t="str">
        <f t="shared" si="1"/>
        <v/>
      </c>
      <c r="C543" s="17" t="s">
        <v>3643</v>
      </c>
      <c r="D543" s="17" t="s">
        <v>2736</v>
      </c>
      <c r="E543" s="17"/>
      <c r="F543" s="17">
        <v>50.0</v>
      </c>
      <c r="G543" s="17">
        <v>70.0</v>
      </c>
      <c r="H543" s="17">
        <v>50.0</v>
      </c>
      <c r="I543" s="17">
        <v>50.0</v>
      </c>
      <c r="J543" s="17">
        <v>50.0</v>
      </c>
      <c r="K543" s="17">
        <v>40.0</v>
      </c>
      <c r="L543" s="29">
        <f t="shared" si="2"/>
        <v>310</v>
      </c>
    </row>
    <row r="544" ht="23.25" customHeight="1">
      <c r="A544" s="17" t="s">
        <v>3644</v>
      </c>
      <c r="B544" s="17" t="str">
        <f t="shared" si="1"/>
        <v/>
      </c>
      <c r="C544" s="17" t="s">
        <v>3645</v>
      </c>
      <c r="D544" s="17" t="s">
        <v>2803</v>
      </c>
      <c r="E544" s="17"/>
      <c r="F544" s="17">
        <v>100.0</v>
      </c>
      <c r="G544" s="17">
        <v>125.0</v>
      </c>
      <c r="H544" s="17">
        <v>100.0</v>
      </c>
      <c r="I544" s="17">
        <v>55.0</v>
      </c>
      <c r="J544" s="17">
        <v>85.0</v>
      </c>
      <c r="K544" s="17">
        <v>35.0</v>
      </c>
      <c r="L544" s="29">
        <f t="shared" si="2"/>
        <v>500</v>
      </c>
    </row>
    <row r="545" ht="23.25" customHeight="1">
      <c r="A545" s="17" t="s">
        <v>3646</v>
      </c>
      <c r="B545" s="17" t="str">
        <f t="shared" si="1"/>
        <v/>
      </c>
      <c r="C545" s="17" t="s">
        <v>3647</v>
      </c>
      <c r="D545" s="17" t="s">
        <v>2744</v>
      </c>
      <c r="E545" s="17"/>
      <c r="F545" s="17">
        <v>105.0</v>
      </c>
      <c r="G545" s="17">
        <v>105.0</v>
      </c>
      <c r="H545" s="17">
        <v>75.0</v>
      </c>
      <c r="I545" s="17">
        <v>65.0</v>
      </c>
      <c r="J545" s="17">
        <v>100.0</v>
      </c>
      <c r="K545" s="17">
        <v>50.0</v>
      </c>
      <c r="L545" s="29">
        <f t="shared" si="2"/>
        <v>500</v>
      </c>
    </row>
    <row r="546" ht="23.25" customHeight="1">
      <c r="A546" s="17" t="s">
        <v>3648</v>
      </c>
      <c r="B546" s="17" t="str">
        <f t="shared" si="1"/>
        <v/>
      </c>
      <c r="C546" s="17" t="s">
        <v>3649</v>
      </c>
      <c r="D546" s="17" t="s">
        <v>2711</v>
      </c>
      <c r="E546" s="17" t="s">
        <v>2733</v>
      </c>
      <c r="F546" s="17">
        <v>55.0</v>
      </c>
      <c r="G546" s="17">
        <v>30.0</v>
      </c>
      <c r="H546" s="17">
        <v>64.0</v>
      </c>
      <c r="I546" s="17">
        <v>87.0</v>
      </c>
      <c r="J546" s="17">
        <v>73.0</v>
      </c>
      <c r="K546" s="17">
        <v>66.0</v>
      </c>
      <c r="L546" s="29">
        <f t="shared" si="2"/>
        <v>375</v>
      </c>
    </row>
    <row r="547" ht="23.25" customHeight="1">
      <c r="A547" s="17" t="s">
        <v>3650</v>
      </c>
      <c r="B547" s="17" t="str">
        <f t="shared" si="1"/>
        <v/>
      </c>
      <c r="C547" s="17" t="s">
        <v>2007</v>
      </c>
      <c r="D547" s="17" t="s">
        <v>2729</v>
      </c>
      <c r="E547" s="17"/>
      <c r="F547" s="17">
        <v>135.0</v>
      </c>
      <c r="G547" s="17">
        <v>85.0</v>
      </c>
      <c r="H547" s="17">
        <v>40.0</v>
      </c>
      <c r="I547" s="17">
        <v>40.0</v>
      </c>
      <c r="J547" s="17">
        <v>85.0</v>
      </c>
      <c r="K547" s="17">
        <v>5.0</v>
      </c>
      <c r="L547" s="29">
        <f t="shared" si="2"/>
        <v>390</v>
      </c>
    </row>
    <row r="548" ht="23.25" customHeight="1">
      <c r="A548" s="17" t="s">
        <v>3651</v>
      </c>
      <c r="B548" s="17" t="str">
        <f t="shared" si="1"/>
        <v/>
      </c>
      <c r="C548" s="17" t="s">
        <v>3652</v>
      </c>
      <c r="D548" s="17" t="s">
        <v>2714</v>
      </c>
      <c r="E548" s="17"/>
      <c r="F548" s="17">
        <v>76.0</v>
      </c>
      <c r="G548" s="17">
        <v>25.0</v>
      </c>
      <c r="H548" s="17">
        <v>45.0</v>
      </c>
      <c r="I548" s="17">
        <v>67.0</v>
      </c>
      <c r="J548" s="17">
        <v>55.0</v>
      </c>
      <c r="K548" s="17">
        <v>24.0</v>
      </c>
      <c r="L548" s="29">
        <f t="shared" si="2"/>
        <v>292</v>
      </c>
    </row>
    <row r="549" ht="23.25" customHeight="1">
      <c r="A549" s="17" t="s">
        <v>3653</v>
      </c>
      <c r="B549" s="17" t="str">
        <f t="shared" si="1"/>
        <v/>
      </c>
      <c r="C549" s="17" t="s">
        <v>1280</v>
      </c>
      <c r="D549" s="17" t="s">
        <v>2716</v>
      </c>
      <c r="E549" s="17" t="s">
        <v>2726</v>
      </c>
      <c r="F549" s="17">
        <v>60.0</v>
      </c>
      <c r="G549" s="17">
        <v>85.0</v>
      </c>
      <c r="H549" s="17">
        <v>42.0</v>
      </c>
      <c r="I549" s="17">
        <v>85.0</v>
      </c>
      <c r="J549" s="17">
        <v>42.0</v>
      </c>
      <c r="K549" s="17">
        <v>91.0</v>
      </c>
      <c r="L549" s="29">
        <f t="shared" si="2"/>
        <v>405</v>
      </c>
    </row>
    <row r="550" ht="23.25" customHeight="1">
      <c r="A550" s="17" t="s">
        <v>3654</v>
      </c>
      <c r="B550" s="17" t="str">
        <f t="shared" si="1"/>
        <v/>
      </c>
      <c r="C550" s="17" t="s">
        <v>3655</v>
      </c>
      <c r="D550" s="17" t="s">
        <v>2714</v>
      </c>
      <c r="E550" s="17"/>
      <c r="F550" s="17">
        <v>116.0</v>
      </c>
      <c r="G550" s="17">
        <v>55.0</v>
      </c>
      <c r="H550" s="17">
        <v>85.0</v>
      </c>
      <c r="I550" s="17">
        <v>107.0</v>
      </c>
      <c r="J550" s="17">
        <v>95.0</v>
      </c>
      <c r="K550" s="17">
        <v>29.0</v>
      </c>
      <c r="L550" s="29">
        <f t="shared" si="2"/>
        <v>487</v>
      </c>
    </row>
    <row r="551" ht="23.25" customHeight="1">
      <c r="A551" s="17" t="s">
        <v>3656</v>
      </c>
      <c r="B551" s="17" t="str">
        <f t="shared" si="1"/>
        <v/>
      </c>
      <c r="C551" s="17" t="s">
        <v>3657</v>
      </c>
      <c r="D551" s="17" t="s">
        <v>2744</v>
      </c>
      <c r="E551" s="17" t="s">
        <v>2738</v>
      </c>
      <c r="F551" s="17">
        <v>73.0</v>
      </c>
      <c r="G551" s="17">
        <v>73.0</v>
      </c>
      <c r="H551" s="17">
        <v>73.0</v>
      </c>
      <c r="I551" s="17">
        <v>127.0</v>
      </c>
      <c r="J551" s="17">
        <v>73.0</v>
      </c>
      <c r="K551" s="17">
        <v>121.0</v>
      </c>
      <c r="L551" s="29">
        <f t="shared" si="2"/>
        <v>540</v>
      </c>
    </row>
    <row r="552" ht="23.25" customHeight="1">
      <c r="A552" s="17" t="s">
        <v>3658</v>
      </c>
      <c r="B552" s="17" t="str">
        <f t="shared" si="1"/>
        <v/>
      </c>
      <c r="C552" s="17" t="s">
        <v>3659</v>
      </c>
      <c r="D552" s="17" t="s">
        <v>2714</v>
      </c>
      <c r="E552" s="17" t="s">
        <v>2726</v>
      </c>
      <c r="F552" s="17">
        <v>40.0</v>
      </c>
      <c r="G552" s="17">
        <v>50.0</v>
      </c>
      <c r="H552" s="17">
        <v>45.0</v>
      </c>
      <c r="I552" s="17">
        <v>70.0</v>
      </c>
      <c r="J552" s="17">
        <v>45.0</v>
      </c>
      <c r="K552" s="17">
        <v>70.0</v>
      </c>
      <c r="L552" s="29">
        <f t="shared" si="2"/>
        <v>320</v>
      </c>
    </row>
    <row r="553" ht="23.25" customHeight="1">
      <c r="A553" s="17" t="s">
        <v>3660</v>
      </c>
      <c r="B553" s="17" t="str">
        <f t="shared" si="1"/>
        <v/>
      </c>
      <c r="C553" s="17" t="s">
        <v>3661</v>
      </c>
      <c r="D553" s="17" t="s">
        <v>2736</v>
      </c>
      <c r="E553" s="17" t="s">
        <v>2722</v>
      </c>
      <c r="F553" s="17">
        <v>103.0</v>
      </c>
      <c r="G553" s="17">
        <v>110.0</v>
      </c>
      <c r="H553" s="17">
        <v>90.0</v>
      </c>
      <c r="I553" s="17">
        <v>95.0</v>
      </c>
      <c r="J553" s="17">
        <v>65.0</v>
      </c>
      <c r="K553" s="17">
        <v>97.0</v>
      </c>
      <c r="L553" s="29">
        <f t="shared" si="2"/>
        <v>560</v>
      </c>
    </row>
    <row r="554" ht="23.25" customHeight="1">
      <c r="A554" s="17" t="s">
        <v>3662</v>
      </c>
      <c r="B554" s="17" t="str">
        <f t="shared" si="1"/>
        <v/>
      </c>
      <c r="C554" s="17" t="s">
        <v>3663</v>
      </c>
      <c r="D554" s="17" t="s">
        <v>2714</v>
      </c>
      <c r="E554" s="17"/>
      <c r="F554" s="17">
        <v>97.0</v>
      </c>
      <c r="G554" s="17">
        <v>107.0</v>
      </c>
      <c r="H554" s="17">
        <v>101.0</v>
      </c>
      <c r="I554" s="17">
        <v>127.0</v>
      </c>
      <c r="J554" s="17">
        <v>89.0</v>
      </c>
      <c r="K554" s="17">
        <v>79.0</v>
      </c>
      <c r="L554" s="29">
        <f t="shared" si="2"/>
        <v>600</v>
      </c>
    </row>
    <row r="555" ht="23.25" customHeight="1">
      <c r="A555" s="17" t="s">
        <v>3664</v>
      </c>
      <c r="B555" s="17" t="str">
        <f t="shared" si="1"/>
        <v/>
      </c>
      <c r="C555" s="17" t="s">
        <v>3665</v>
      </c>
      <c r="D555" s="17" t="s">
        <v>2711</v>
      </c>
      <c r="E555" s="17" t="s">
        <v>2723</v>
      </c>
      <c r="F555" s="17">
        <v>49.0</v>
      </c>
      <c r="G555" s="17">
        <v>55.0</v>
      </c>
      <c r="H555" s="17">
        <v>60.0</v>
      </c>
      <c r="I555" s="17">
        <v>50.0</v>
      </c>
      <c r="J555" s="17">
        <v>75.0</v>
      </c>
      <c r="K555" s="17">
        <v>51.0</v>
      </c>
      <c r="L555" s="29">
        <f t="shared" si="2"/>
        <v>340</v>
      </c>
    </row>
    <row r="556" ht="23.25" customHeight="1">
      <c r="A556" s="17" t="s">
        <v>3666</v>
      </c>
      <c r="B556" s="17" t="str">
        <f t="shared" si="1"/>
        <v/>
      </c>
      <c r="C556" s="17" t="s">
        <v>3667</v>
      </c>
      <c r="D556" s="17" t="s">
        <v>2711</v>
      </c>
      <c r="E556" s="17" t="s">
        <v>2723</v>
      </c>
      <c r="F556" s="17">
        <v>64.0</v>
      </c>
      <c r="G556" s="17">
        <v>120.0</v>
      </c>
      <c r="H556" s="17">
        <v>100.0</v>
      </c>
      <c r="I556" s="17">
        <v>85.0</v>
      </c>
      <c r="J556" s="17">
        <v>120.0</v>
      </c>
      <c r="K556" s="17">
        <v>58.0</v>
      </c>
      <c r="L556" s="29">
        <f t="shared" si="2"/>
        <v>547</v>
      </c>
    </row>
    <row r="557" ht="23.25" customHeight="1">
      <c r="A557" s="17" t="s">
        <v>3668</v>
      </c>
      <c r="B557" s="17" t="str">
        <f t="shared" si="1"/>
        <v/>
      </c>
      <c r="C557" s="17" t="s">
        <v>3669</v>
      </c>
      <c r="D557" s="17" t="s">
        <v>2716</v>
      </c>
      <c r="E557" s="17"/>
      <c r="F557" s="17">
        <v>40.0</v>
      </c>
      <c r="G557" s="17">
        <v>28.0</v>
      </c>
      <c r="H557" s="17">
        <v>28.0</v>
      </c>
      <c r="I557" s="17">
        <v>47.0</v>
      </c>
      <c r="J557" s="17">
        <v>52.0</v>
      </c>
      <c r="K557" s="17">
        <v>50.0</v>
      </c>
      <c r="L557" s="29">
        <f t="shared" si="2"/>
        <v>245</v>
      </c>
    </row>
    <row r="558" ht="23.25" customHeight="1">
      <c r="A558" s="17" t="s">
        <v>3670</v>
      </c>
      <c r="B558" s="17" t="str">
        <f t="shared" si="1"/>
        <v/>
      </c>
      <c r="C558" s="17" t="s">
        <v>2676</v>
      </c>
      <c r="D558" s="17" t="s">
        <v>2744</v>
      </c>
      <c r="E558" s="17" t="s">
        <v>2803</v>
      </c>
      <c r="F558" s="17">
        <v>81.0</v>
      </c>
      <c r="G558" s="17">
        <v>102.0</v>
      </c>
      <c r="H558" s="17">
        <v>77.0</v>
      </c>
      <c r="I558" s="17">
        <v>85.0</v>
      </c>
      <c r="J558" s="17">
        <v>75.0</v>
      </c>
      <c r="K558" s="17">
        <v>85.0</v>
      </c>
      <c r="L558" s="29">
        <f t="shared" si="2"/>
        <v>505</v>
      </c>
    </row>
    <row r="559" ht="23.25" customHeight="1">
      <c r="A559" s="17" t="s">
        <v>3671</v>
      </c>
      <c r="B559" s="17" t="str">
        <f t="shared" si="1"/>
        <v/>
      </c>
      <c r="C559" s="17" t="s">
        <v>3672</v>
      </c>
      <c r="D559" s="17" t="s">
        <v>2744</v>
      </c>
      <c r="E559" s="17" t="s">
        <v>2803</v>
      </c>
      <c r="F559" s="17">
        <v>90.0</v>
      </c>
      <c r="G559" s="17">
        <v>92.0</v>
      </c>
      <c r="H559" s="17">
        <v>87.0</v>
      </c>
      <c r="I559" s="17">
        <v>75.0</v>
      </c>
      <c r="J559" s="17">
        <v>85.0</v>
      </c>
      <c r="K559" s="17">
        <v>76.0</v>
      </c>
      <c r="L559" s="29">
        <f t="shared" si="2"/>
        <v>505</v>
      </c>
    </row>
    <row r="560" ht="23.25" customHeight="1">
      <c r="A560" s="17" t="s">
        <v>3673</v>
      </c>
      <c r="B560" s="17" t="str">
        <f t="shared" si="1"/>
        <v/>
      </c>
      <c r="C560" s="17" t="s">
        <v>3674</v>
      </c>
      <c r="D560" s="17" t="s">
        <v>2744</v>
      </c>
      <c r="E560" s="17"/>
      <c r="F560" s="17">
        <v>55.0</v>
      </c>
      <c r="G560" s="17">
        <v>47.0</v>
      </c>
      <c r="H560" s="17">
        <v>52.0</v>
      </c>
      <c r="I560" s="17">
        <v>40.0</v>
      </c>
      <c r="J560" s="17">
        <v>40.0</v>
      </c>
      <c r="K560" s="17">
        <v>41.0</v>
      </c>
      <c r="L560" s="29">
        <f t="shared" si="2"/>
        <v>275</v>
      </c>
    </row>
    <row r="561" ht="23.25" customHeight="1">
      <c r="A561" s="17" t="s">
        <v>3675</v>
      </c>
      <c r="B561" s="17" t="str">
        <f t="shared" si="1"/>
        <v/>
      </c>
      <c r="C561" s="17" t="s">
        <v>3676</v>
      </c>
      <c r="D561" s="17" t="s">
        <v>2744</v>
      </c>
      <c r="E561" s="17"/>
      <c r="F561" s="17">
        <v>46.0</v>
      </c>
      <c r="G561" s="17">
        <v>57.0</v>
      </c>
      <c r="H561" s="17">
        <v>40.0</v>
      </c>
      <c r="I561" s="17">
        <v>40.0</v>
      </c>
      <c r="J561" s="17">
        <v>40.0</v>
      </c>
      <c r="K561" s="17">
        <v>50.0</v>
      </c>
      <c r="L561" s="29">
        <f t="shared" si="2"/>
        <v>273</v>
      </c>
    </row>
    <row r="562" ht="23.25" customHeight="1">
      <c r="A562" s="17" t="s">
        <v>3677</v>
      </c>
      <c r="B562" s="17" t="str">
        <f t="shared" si="1"/>
        <v/>
      </c>
      <c r="C562" s="17" t="s">
        <v>3678</v>
      </c>
      <c r="D562" s="17" t="s">
        <v>2744</v>
      </c>
      <c r="E562" s="17"/>
      <c r="F562" s="17">
        <v>70.0</v>
      </c>
      <c r="G562" s="17">
        <v>62.0</v>
      </c>
      <c r="H562" s="17">
        <v>67.0</v>
      </c>
      <c r="I562" s="17">
        <v>55.0</v>
      </c>
      <c r="J562" s="17">
        <v>55.0</v>
      </c>
      <c r="K562" s="17">
        <v>56.0</v>
      </c>
      <c r="L562" s="29">
        <f t="shared" si="2"/>
        <v>365</v>
      </c>
    </row>
    <row r="563" ht="23.25" customHeight="1">
      <c r="A563" s="17" t="s">
        <v>3679</v>
      </c>
      <c r="B563" s="17" t="str">
        <f t="shared" si="1"/>
        <v/>
      </c>
      <c r="C563" s="17" t="s">
        <v>3680</v>
      </c>
      <c r="D563" s="17" t="s">
        <v>2744</v>
      </c>
      <c r="E563" s="17"/>
      <c r="F563" s="17">
        <v>61.0</v>
      </c>
      <c r="G563" s="17">
        <v>72.0</v>
      </c>
      <c r="H563" s="17">
        <v>57.0</v>
      </c>
      <c r="I563" s="17">
        <v>55.0</v>
      </c>
      <c r="J563" s="17">
        <v>55.0</v>
      </c>
      <c r="K563" s="17">
        <v>65.0</v>
      </c>
      <c r="L563" s="29">
        <f t="shared" si="2"/>
        <v>365</v>
      </c>
    </row>
    <row r="564" ht="23.25" customHeight="1">
      <c r="A564" s="17" t="s">
        <v>3681</v>
      </c>
      <c r="B564" s="17" t="str">
        <f t="shared" si="1"/>
        <v/>
      </c>
      <c r="C564" s="17" t="s">
        <v>3682</v>
      </c>
      <c r="D564" s="17" t="s">
        <v>2725</v>
      </c>
      <c r="E564" s="17" t="s">
        <v>2744</v>
      </c>
      <c r="F564" s="17">
        <v>109.0</v>
      </c>
      <c r="G564" s="17">
        <v>53.0</v>
      </c>
      <c r="H564" s="17">
        <v>47.0</v>
      </c>
      <c r="I564" s="17">
        <v>127.0</v>
      </c>
      <c r="J564" s="17">
        <v>131.0</v>
      </c>
      <c r="K564" s="17">
        <v>103.0</v>
      </c>
      <c r="L564" s="29">
        <f t="shared" si="2"/>
        <v>570</v>
      </c>
    </row>
    <row r="565" ht="23.25" customHeight="1">
      <c r="A565" s="17" t="s">
        <v>3683</v>
      </c>
      <c r="B565" s="17" t="str">
        <f t="shared" si="1"/>
        <v/>
      </c>
      <c r="C565" s="17" t="s">
        <v>3684</v>
      </c>
      <c r="D565" s="17" t="s">
        <v>2719</v>
      </c>
      <c r="E565" s="17" t="s">
        <v>2803</v>
      </c>
      <c r="F565" s="17">
        <v>31.0</v>
      </c>
      <c r="G565" s="17">
        <v>45.0</v>
      </c>
      <c r="H565" s="17">
        <v>90.0</v>
      </c>
      <c r="I565" s="17">
        <v>30.0</v>
      </c>
      <c r="J565" s="17">
        <v>30.0</v>
      </c>
      <c r="K565" s="17">
        <v>40.0</v>
      </c>
      <c r="L565" s="29">
        <f t="shared" si="2"/>
        <v>266</v>
      </c>
    </row>
    <row r="566" ht="23.25" customHeight="1">
      <c r="A566" s="17" t="s">
        <v>3685</v>
      </c>
      <c r="B566" s="17" t="str">
        <f t="shared" si="1"/>
        <v/>
      </c>
      <c r="C566" s="17" t="s">
        <v>2681</v>
      </c>
      <c r="D566" s="17" t="s">
        <v>2758</v>
      </c>
      <c r="E566" s="17"/>
      <c r="F566" s="17">
        <v>73.0</v>
      </c>
      <c r="G566" s="17">
        <v>76.0</v>
      </c>
      <c r="H566" s="17">
        <v>75.0</v>
      </c>
      <c r="I566" s="17">
        <v>81.0</v>
      </c>
      <c r="J566" s="17">
        <v>100.0</v>
      </c>
      <c r="K566" s="17">
        <v>100.0</v>
      </c>
      <c r="L566" s="29">
        <f t="shared" si="2"/>
        <v>505</v>
      </c>
    </row>
    <row r="567" ht="23.25" customHeight="1">
      <c r="A567" s="17" t="s">
        <v>3686</v>
      </c>
      <c r="B567" s="17" t="str">
        <f t="shared" si="1"/>
        <v/>
      </c>
      <c r="C567" s="17" t="s">
        <v>3687</v>
      </c>
      <c r="D567" s="17" t="s">
        <v>2719</v>
      </c>
      <c r="E567" s="17" t="s">
        <v>2726</v>
      </c>
      <c r="F567" s="17">
        <v>61.0</v>
      </c>
      <c r="G567" s="17">
        <v>90.0</v>
      </c>
      <c r="H567" s="17">
        <v>45.0</v>
      </c>
      <c r="I567" s="17">
        <v>50.0</v>
      </c>
      <c r="J567" s="17">
        <v>50.0</v>
      </c>
      <c r="K567" s="17">
        <v>160.0</v>
      </c>
      <c r="L567" s="29">
        <f t="shared" si="2"/>
        <v>456</v>
      </c>
    </row>
    <row r="568" ht="23.25" customHeight="1">
      <c r="A568" s="17" t="s">
        <v>3688</v>
      </c>
      <c r="B568" s="17" t="str">
        <f t="shared" si="1"/>
        <v/>
      </c>
      <c r="C568" s="17" t="s">
        <v>304</v>
      </c>
      <c r="D568" s="17" t="s">
        <v>2729</v>
      </c>
      <c r="E568" s="17" t="s">
        <v>2726</v>
      </c>
      <c r="F568" s="17">
        <v>100.0</v>
      </c>
      <c r="G568" s="17">
        <v>50.0</v>
      </c>
      <c r="H568" s="17">
        <v>50.0</v>
      </c>
      <c r="I568" s="17">
        <v>86.0</v>
      </c>
      <c r="J568" s="17">
        <v>96.0</v>
      </c>
      <c r="K568" s="17">
        <v>70.0</v>
      </c>
      <c r="L568" s="29">
        <f t="shared" si="2"/>
        <v>452</v>
      </c>
    </row>
    <row r="569" ht="23.25" customHeight="1">
      <c r="A569" s="17" t="s">
        <v>3689</v>
      </c>
      <c r="B569" s="17" t="str">
        <f t="shared" si="1"/>
        <v/>
      </c>
      <c r="C569" s="17" t="s">
        <v>3690</v>
      </c>
      <c r="D569" s="17" t="s">
        <v>2726</v>
      </c>
      <c r="E569" s="17" t="s">
        <v>2738</v>
      </c>
      <c r="F569" s="17">
        <v>40.0</v>
      </c>
      <c r="G569" s="17">
        <v>30.0</v>
      </c>
      <c r="H569" s="17">
        <v>35.0</v>
      </c>
      <c r="I569" s="17">
        <v>45.0</v>
      </c>
      <c r="J569" s="17">
        <v>40.0</v>
      </c>
      <c r="K569" s="17">
        <v>55.0</v>
      </c>
      <c r="L569" s="29">
        <f t="shared" si="2"/>
        <v>245</v>
      </c>
    </row>
    <row r="570" ht="23.25" customHeight="1">
      <c r="A570" s="17" t="s">
        <v>3691</v>
      </c>
      <c r="B570" s="17" t="str">
        <f t="shared" si="1"/>
        <v/>
      </c>
      <c r="C570" s="17" t="s">
        <v>3692</v>
      </c>
      <c r="D570" s="17" t="s">
        <v>2726</v>
      </c>
      <c r="E570" s="17" t="s">
        <v>2738</v>
      </c>
      <c r="F570" s="17">
        <v>85.0</v>
      </c>
      <c r="G570" s="17">
        <v>70.0</v>
      </c>
      <c r="H570" s="17">
        <v>80.0</v>
      </c>
      <c r="I570" s="17">
        <v>97.0</v>
      </c>
      <c r="J570" s="17">
        <v>80.0</v>
      </c>
      <c r="K570" s="17">
        <v>123.0</v>
      </c>
      <c r="L570" s="29">
        <f t="shared" si="2"/>
        <v>535</v>
      </c>
    </row>
    <row r="571" ht="23.25" customHeight="1">
      <c r="A571" s="17" t="s">
        <v>3693</v>
      </c>
      <c r="B571" s="17" t="str">
        <f t="shared" si="1"/>
        <v/>
      </c>
      <c r="C571" s="17" t="s">
        <v>3694</v>
      </c>
      <c r="D571" s="17" t="s">
        <v>2725</v>
      </c>
      <c r="E571" s="17"/>
      <c r="F571" s="17">
        <v>30.0</v>
      </c>
      <c r="G571" s="17">
        <v>45.0</v>
      </c>
      <c r="H571" s="17">
        <v>135.0</v>
      </c>
      <c r="I571" s="17">
        <v>45.0</v>
      </c>
      <c r="J571" s="17">
        <v>90.0</v>
      </c>
      <c r="K571" s="17">
        <v>30.0</v>
      </c>
      <c r="L571" s="29">
        <f t="shared" si="2"/>
        <v>375</v>
      </c>
    </row>
    <row r="572" ht="23.25" customHeight="1">
      <c r="A572" s="17" t="s">
        <v>3695</v>
      </c>
      <c r="B572" s="17" t="str">
        <f t="shared" si="1"/>
        <v/>
      </c>
      <c r="C572" s="17" t="s">
        <v>3696</v>
      </c>
      <c r="D572" s="17" t="s">
        <v>2758</v>
      </c>
      <c r="E572" s="17" t="s">
        <v>2803</v>
      </c>
      <c r="F572" s="17">
        <v>60.0</v>
      </c>
      <c r="G572" s="17">
        <v>60.0</v>
      </c>
      <c r="H572" s="17">
        <v>40.0</v>
      </c>
      <c r="I572" s="17">
        <v>65.0</v>
      </c>
      <c r="J572" s="17">
        <v>45.0</v>
      </c>
      <c r="K572" s="17">
        <v>35.0</v>
      </c>
      <c r="L572" s="29">
        <f t="shared" si="2"/>
        <v>305</v>
      </c>
    </row>
    <row r="573" ht="23.25" customHeight="1">
      <c r="A573" s="17" t="s">
        <v>3697</v>
      </c>
      <c r="B573" s="17" t="str">
        <f t="shared" si="1"/>
        <v/>
      </c>
      <c r="C573" s="17" t="s">
        <v>3698</v>
      </c>
      <c r="D573" s="17" t="s">
        <v>2711</v>
      </c>
      <c r="E573" s="17" t="s">
        <v>2716</v>
      </c>
      <c r="F573" s="17">
        <v>70.0</v>
      </c>
      <c r="G573" s="17">
        <v>70.0</v>
      </c>
      <c r="H573" s="17">
        <v>40.0</v>
      </c>
      <c r="I573" s="17">
        <v>60.0</v>
      </c>
      <c r="J573" s="17">
        <v>40.0</v>
      </c>
      <c r="K573" s="17">
        <v>60.0</v>
      </c>
      <c r="L573" s="29">
        <f t="shared" si="2"/>
        <v>340</v>
      </c>
    </row>
    <row r="574" ht="23.25" customHeight="1">
      <c r="A574" s="17" t="s">
        <v>3699</v>
      </c>
      <c r="B574" s="17" t="str">
        <f t="shared" si="1"/>
        <v/>
      </c>
      <c r="C574" s="17" t="s">
        <v>3700</v>
      </c>
      <c r="D574" s="17" t="s">
        <v>2716</v>
      </c>
      <c r="E574" s="17" t="s">
        <v>2729</v>
      </c>
      <c r="F574" s="17">
        <v>93.0</v>
      </c>
      <c r="G574" s="17">
        <v>90.0</v>
      </c>
      <c r="H574" s="17">
        <v>101.0</v>
      </c>
      <c r="I574" s="17">
        <v>60.0</v>
      </c>
      <c r="J574" s="17">
        <v>81.0</v>
      </c>
      <c r="K574" s="17">
        <v>95.0</v>
      </c>
      <c r="L574" s="29">
        <f t="shared" si="2"/>
        <v>520</v>
      </c>
    </row>
    <row r="575" ht="23.25" customHeight="1">
      <c r="A575" s="17" t="s">
        <v>3701</v>
      </c>
      <c r="B575" s="17" t="str">
        <f t="shared" si="1"/>
        <v/>
      </c>
      <c r="C575" s="17" t="s">
        <v>1148</v>
      </c>
      <c r="D575" s="17" t="s">
        <v>2736</v>
      </c>
      <c r="E575" s="17"/>
      <c r="F575" s="17">
        <v>75.0</v>
      </c>
      <c r="G575" s="17">
        <v>105.0</v>
      </c>
      <c r="H575" s="17">
        <v>75.0</v>
      </c>
      <c r="I575" s="17">
        <v>105.0</v>
      </c>
      <c r="J575" s="17">
        <v>75.0</v>
      </c>
      <c r="K575" s="17">
        <v>45.0</v>
      </c>
      <c r="L575" s="29">
        <f t="shared" si="2"/>
        <v>480</v>
      </c>
    </row>
    <row r="576" ht="23.25" customHeight="1">
      <c r="A576" s="17" t="s">
        <v>3702</v>
      </c>
      <c r="B576" s="17" t="str">
        <f t="shared" si="1"/>
        <v/>
      </c>
      <c r="C576" s="17" t="s">
        <v>3703</v>
      </c>
      <c r="D576" s="17" t="s">
        <v>2711</v>
      </c>
      <c r="E576" s="17" t="s">
        <v>2744</v>
      </c>
      <c r="F576" s="17">
        <v>45.0</v>
      </c>
      <c r="G576" s="17">
        <v>50.0</v>
      </c>
      <c r="H576" s="17">
        <v>55.0</v>
      </c>
      <c r="I576" s="17">
        <v>75.0</v>
      </c>
      <c r="J576" s="17">
        <v>65.0</v>
      </c>
      <c r="K576" s="17">
        <v>30.0</v>
      </c>
      <c r="L576" s="29">
        <f t="shared" si="2"/>
        <v>320</v>
      </c>
    </row>
    <row r="577" ht="23.25" customHeight="1">
      <c r="A577" s="17" t="s">
        <v>3704</v>
      </c>
      <c r="B577" s="17" t="str">
        <f t="shared" si="1"/>
        <v/>
      </c>
      <c r="C577" s="17" t="s">
        <v>3705</v>
      </c>
      <c r="D577" s="17" t="s">
        <v>2725</v>
      </c>
      <c r="E577" s="17" t="s">
        <v>2736</v>
      </c>
      <c r="F577" s="17">
        <v>35.0</v>
      </c>
      <c r="G577" s="17">
        <v>40.0</v>
      </c>
      <c r="H577" s="17">
        <v>100.0</v>
      </c>
      <c r="I577" s="17">
        <v>90.0</v>
      </c>
      <c r="J577" s="17">
        <v>55.0</v>
      </c>
      <c r="K577" s="17">
        <v>35.0</v>
      </c>
      <c r="L577" s="29">
        <f t="shared" si="2"/>
        <v>355</v>
      </c>
    </row>
    <row r="578" ht="23.25" customHeight="1">
      <c r="A578" s="17" t="s">
        <v>3706</v>
      </c>
      <c r="B578" s="17" t="str">
        <f t="shared" si="1"/>
        <v/>
      </c>
      <c r="C578" s="17" t="s">
        <v>3707</v>
      </c>
      <c r="D578" s="17" t="s">
        <v>2725</v>
      </c>
      <c r="E578" s="17" t="s">
        <v>2736</v>
      </c>
      <c r="F578" s="17">
        <v>70.0</v>
      </c>
      <c r="G578" s="17">
        <v>60.0</v>
      </c>
      <c r="H578" s="17">
        <v>125.0</v>
      </c>
      <c r="I578" s="17">
        <v>115.0</v>
      </c>
      <c r="J578" s="17">
        <v>70.0</v>
      </c>
      <c r="K578" s="17">
        <v>55.0</v>
      </c>
      <c r="L578" s="29">
        <f t="shared" si="2"/>
        <v>495</v>
      </c>
    </row>
    <row r="579" ht="23.25" customHeight="1">
      <c r="A579" s="17" t="s">
        <v>3708</v>
      </c>
      <c r="B579" s="17" t="str">
        <f t="shared" si="1"/>
        <v/>
      </c>
      <c r="C579" s="17" t="s">
        <v>97</v>
      </c>
      <c r="D579" s="17" t="s">
        <v>2725</v>
      </c>
      <c r="E579" s="17" t="s">
        <v>2803</v>
      </c>
      <c r="F579" s="17">
        <v>35.0</v>
      </c>
      <c r="G579" s="17">
        <v>45.0</v>
      </c>
      <c r="H579" s="17">
        <v>160.0</v>
      </c>
      <c r="I579" s="17">
        <v>30.0</v>
      </c>
      <c r="J579" s="17">
        <v>45.0</v>
      </c>
      <c r="K579" s="17">
        <v>70.0</v>
      </c>
      <c r="L579" s="29">
        <f t="shared" si="2"/>
        <v>385</v>
      </c>
    </row>
    <row r="580" ht="23.25" customHeight="1">
      <c r="A580" s="17" t="s">
        <v>3709</v>
      </c>
      <c r="B580" s="17" t="str">
        <f t="shared" si="1"/>
        <v/>
      </c>
      <c r="C580" s="17" t="s">
        <v>3710</v>
      </c>
      <c r="D580" s="17" t="s">
        <v>2729</v>
      </c>
      <c r="E580" s="17" t="s">
        <v>2714</v>
      </c>
      <c r="F580" s="17">
        <v>90.0</v>
      </c>
      <c r="G580" s="17">
        <v>60.0</v>
      </c>
      <c r="H580" s="17">
        <v>80.0</v>
      </c>
      <c r="I580" s="17">
        <v>90.0</v>
      </c>
      <c r="J580" s="17">
        <v>110.0</v>
      </c>
      <c r="K580" s="17">
        <v>60.0</v>
      </c>
      <c r="L580" s="29">
        <f t="shared" si="2"/>
        <v>490</v>
      </c>
    </row>
    <row r="581" ht="23.25" customHeight="1">
      <c r="A581" s="17" t="s">
        <v>3711</v>
      </c>
      <c r="B581" s="17" t="str">
        <f t="shared" si="1"/>
        <v/>
      </c>
      <c r="C581" s="17" t="s">
        <v>3712</v>
      </c>
      <c r="D581" s="17" t="s">
        <v>2719</v>
      </c>
      <c r="E581" s="17" t="s">
        <v>2714</v>
      </c>
      <c r="F581" s="17">
        <v>60.0</v>
      </c>
      <c r="G581" s="17">
        <v>45.0</v>
      </c>
      <c r="H581" s="17">
        <v>110.0</v>
      </c>
      <c r="I581" s="17">
        <v>80.0</v>
      </c>
      <c r="J581" s="17">
        <v>120.0</v>
      </c>
      <c r="K581" s="17">
        <v>90.0</v>
      </c>
      <c r="L581" s="29">
        <f t="shared" si="2"/>
        <v>505</v>
      </c>
    </row>
    <row r="582" ht="23.25" customHeight="1">
      <c r="A582" s="17" t="s">
        <v>3713</v>
      </c>
      <c r="B582" s="17" t="str">
        <f t="shared" si="1"/>
        <v/>
      </c>
      <c r="C582" s="17" t="s">
        <v>3714</v>
      </c>
      <c r="D582" s="17" t="s">
        <v>2758</v>
      </c>
      <c r="E582" s="17" t="s">
        <v>2726</v>
      </c>
      <c r="F582" s="17">
        <v>75.0</v>
      </c>
      <c r="G582" s="17">
        <v>70.0</v>
      </c>
      <c r="H582" s="17">
        <v>70.0</v>
      </c>
      <c r="I582" s="17">
        <v>98.0</v>
      </c>
      <c r="J582" s="17">
        <v>70.0</v>
      </c>
      <c r="K582" s="17">
        <v>93.0</v>
      </c>
      <c r="L582" s="29">
        <f t="shared" si="2"/>
        <v>476</v>
      </c>
    </row>
    <row r="583" ht="23.25" customHeight="1">
      <c r="A583" s="17" t="s">
        <v>3715</v>
      </c>
      <c r="B583" s="17" t="str">
        <f t="shared" si="1"/>
        <v/>
      </c>
      <c r="C583" s="17" t="s">
        <v>3716</v>
      </c>
      <c r="D583" s="17" t="s">
        <v>2736</v>
      </c>
      <c r="E583" s="17"/>
      <c r="F583" s="17">
        <v>55.0</v>
      </c>
      <c r="G583" s="17">
        <v>55.0</v>
      </c>
      <c r="H583" s="17">
        <v>45.0</v>
      </c>
      <c r="I583" s="17">
        <v>63.0</v>
      </c>
      <c r="J583" s="17">
        <v>45.0</v>
      </c>
      <c r="K583" s="17">
        <v>45.0</v>
      </c>
      <c r="L583" s="29">
        <f t="shared" si="2"/>
        <v>308</v>
      </c>
    </row>
    <row r="584" ht="23.25" customHeight="1">
      <c r="A584" s="17" t="s">
        <v>3717</v>
      </c>
      <c r="B584" s="17" t="str">
        <f t="shared" si="1"/>
        <v/>
      </c>
      <c r="C584" s="17" t="s">
        <v>70</v>
      </c>
      <c r="D584" s="17" t="s">
        <v>2746</v>
      </c>
      <c r="E584" s="17"/>
      <c r="F584" s="17">
        <v>60.0</v>
      </c>
      <c r="G584" s="17">
        <v>45.0</v>
      </c>
      <c r="H584" s="17">
        <v>70.0</v>
      </c>
      <c r="I584" s="17">
        <v>45.0</v>
      </c>
      <c r="J584" s="17">
        <v>90.0</v>
      </c>
      <c r="K584" s="17">
        <v>95.0</v>
      </c>
      <c r="L584" s="29">
        <f t="shared" si="2"/>
        <v>405</v>
      </c>
    </row>
    <row r="585" ht="23.25" customHeight="1">
      <c r="A585" s="17" t="s">
        <v>3718</v>
      </c>
      <c r="B585" s="17" t="str">
        <f t="shared" si="1"/>
        <v/>
      </c>
      <c r="C585" s="17" t="s">
        <v>3719</v>
      </c>
      <c r="D585" s="17" t="s">
        <v>2738</v>
      </c>
      <c r="E585" s="17" t="s">
        <v>2723</v>
      </c>
      <c r="F585" s="17">
        <v>84.0</v>
      </c>
      <c r="G585" s="17">
        <v>133.0</v>
      </c>
      <c r="H585" s="17">
        <v>71.0</v>
      </c>
      <c r="I585" s="17">
        <v>51.0</v>
      </c>
      <c r="J585" s="17">
        <v>111.0</v>
      </c>
      <c r="K585" s="17">
        <v>101.0</v>
      </c>
      <c r="L585" s="29">
        <f t="shared" si="2"/>
        <v>551</v>
      </c>
    </row>
    <row r="586" ht="23.25" customHeight="1">
      <c r="A586" s="17" t="s">
        <v>3720</v>
      </c>
      <c r="B586" s="17" t="str">
        <f t="shared" si="1"/>
        <v/>
      </c>
      <c r="C586" s="17" t="s">
        <v>3721</v>
      </c>
      <c r="D586" s="17" t="s">
        <v>2736</v>
      </c>
      <c r="E586" s="17" t="s">
        <v>2738</v>
      </c>
      <c r="F586" s="17">
        <v>90.0</v>
      </c>
      <c r="G586" s="17">
        <v>120.0</v>
      </c>
      <c r="H586" s="17">
        <v>100.0</v>
      </c>
      <c r="I586" s="17">
        <v>150.0</v>
      </c>
      <c r="J586" s="17">
        <v>120.0</v>
      </c>
      <c r="K586" s="17">
        <v>100.0</v>
      </c>
      <c r="L586" s="29">
        <f t="shared" si="2"/>
        <v>680</v>
      </c>
    </row>
    <row r="587" ht="23.25" customHeight="1">
      <c r="A587" s="17" t="s">
        <v>3722</v>
      </c>
      <c r="B587" s="17" t="str">
        <f t="shared" si="1"/>
        <v/>
      </c>
      <c r="C587" s="17" t="s">
        <v>3723</v>
      </c>
      <c r="D587" s="17" t="s">
        <v>2723</v>
      </c>
      <c r="E587" s="17" t="s">
        <v>2803</v>
      </c>
      <c r="F587" s="17">
        <v>85.0</v>
      </c>
      <c r="G587" s="17">
        <v>75.0</v>
      </c>
      <c r="H587" s="17">
        <v>110.0</v>
      </c>
      <c r="I587" s="17">
        <v>100.0</v>
      </c>
      <c r="J587" s="17">
        <v>75.0</v>
      </c>
      <c r="K587" s="17">
        <v>35.0</v>
      </c>
      <c r="L587" s="29">
        <f t="shared" si="2"/>
        <v>480</v>
      </c>
    </row>
    <row r="588" ht="23.25" customHeight="1">
      <c r="A588" s="17" t="s">
        <v>3724</v>
      </c>
      <c r="B588" s="17" t="str">
        <f t="shared" si="1"/>
        <v/>
      </c>
      <c r="C588" s="17" t="s">
        <v>3725</v>
      </c>
      <c r="D588" s="17" t="s">
        <v>2736</v>
      </c>
      <c r="E588" s="17" t="s">
        <v>2803</v>
      </c>
      <c r="F588" s="17">
        <v>75.0</v>
      </c>
      <c r="G588" s="17">
        <v>65.0</v>
      </c>
      <c r="H588" s="17">
        <v>55.0</v>
      </c>
      <c r="I588" s="17">
        <v>65.0</v>
      </c>
      <c r="J588" s="17">
        <v>55.0</v>
      </c>
      <c r="K588" s="17">
        <v>69.0</v>
      </c>
      <c r="L588" s="29">
        <f t="shared" si="2"/>
        <v>384</v>
      </c>
    </row>
    <row r="589" ht="23.25" customHeight="1">
      <c r="A589" s="17" t="s">
        <v>3726</v>
      </c>
      <c r="B589" s="17" t="str">
        <f t="shared" si="1"/>
        <v/>
      </c>
      <c r="C589" s="17" t="s">
        <v>3727</v>
      </c>
      <c r="D589" s="17" t="s">
        <v>2773</v>
      </c>
      <c r="E589" s="17"/>
      <c r="F589" s="17">
        <v>67.0</v>
      </c>
      <c r="G589" s="17">
        <v>82.0</v>
      </c>
      <c r="H589" s="17">
        <v>62.0</v>
      </c>
      <c r="I589" s="17">
        <v>46.0</v>
      </c>
      <c r="J589" s="17">
        <v>48.0</v>
      </c>
      <c r="K589" s="17">
        <v>43.0</v>
      </c>
      <c r="L589" s="29">
        <f t="shared" si="2"/>
        <v>348</v>
      </c>
    </row>
    <row r="590" ht="23.25" customHeight="1">
      <c r="A590" s="17" t="s">
        <v>3728</v>
      </c>
      <c r="B590" s="17" t="str">
        <f t="shared" si="1"/>
        <v/>
      </c>
      <c r="C590" s="17" t="s">
        <v>3729</v>
      </c>
      <c r="D590" s="17" t="s">
        <v>2773</v>
      </c>
      <c r="E590" s="17" t="s">
        <v>2716</v>
      </c>
      <c r="F590" s="17">
        <v>95.0</v>
      </c>
      <c r="G590" s="17">
        <v>124.0</v>
      </c>
      <c r="H590" s="17">
        <v>78.0</v>
      </c>
      <c r="I590" s="17">
        <v>69.0</v>
      </c>
      <c r="J590" s="17">
        <v>71.0</v>
      </c>
      <c r="K590" s="17">
        <v>58.0</v>
      </c>
      <c r="L590" s="29">
        <f t="shared" si="2"/>
        <v>495</v>
      </c>
    </row>
    <row r="591" ht="23.25" customHeight="1">
      <c r="A591" s="17" t="s">
        <v>3730</v>
      </c>
      <c r="B591" s="17" t="str">
        <f t="shared" si="1"/>
        <v/>
      </c>
      <c r="C591" s="17" t="s">
        <v>3731</v>
      </c>
      <c r="D591" s="17" t="s">
        <v>2736</v>
      </c>
      <c r="E591" s="17"/>
      <c r="F591" s="17">
        <v>50.0</v>
      </c>
      <c r="G591" s="17">
        <v>53.0</v>
      </c>
      <c r="H591" s="17">
        <v>48.0</v>
      </c>
      <c r="I591" s="17">
        <v>53.0</v>
      </c>
      <c r="J591" s="17">
        <v>48.0</v>
      </c>
      <c r="K591" s="17">
        <v>64.0</v>
      </c>
      <c r="L591" s="29">
        <f t="shared" si="2"/>
        <v>316</v>
      </c>
    </row>
    <row r="592" ht="23.25" customHeight="1">
      <c r="A592" s="17" t="s">
        <v>3732</v>
      </c>
      <c r="B592" s="17" t="str">
        <f t="shared" si="1"/>
        <v/>
      </c>
      <c r="C592" s="17" t="s">
        <v>3733</v>
      </c>
      <c r="D592" s="17" t="s">
        <v>2711</v>
      </c>
      <c r="E592" s="17"/>
      <c r="F592" s="17">
        <v>50.0</v>
      </c>
      <c r="G592" s="17">
        <v>53.0</v>
      </c>
      <c r="H592" s="17">
        <v>48.0</v>
      </c>
      <c r="I592" s="17">
        <v>53.0</v>
      </c>
      <c r="J592" s="17">
        <v>48.0</v>
      </c>
      <c r="K592" s="17">
        <v>64.0</v>
      </c>
      <c r="L592" s="29">
        <f t="shared" si="2"/>
        <v>316</v>
      </c>
    </row>
    <row r="593" ht="23.25" customHeight="1">
      <c r="A593" s="17" t="s">
        <v>3734</v>
      </c>
      <c r="B593" s="17" t="str">
        <f t="shared" si="1"/>
        <v/>
      </c>
      <c r="C593" s="17" t="s">
        <v>3735</v>
      </c>
      <c r="D593" s="17" t="s">
        <v>2758</v>
      </c>
      <c r="E593" s="17"/>
      <c r="F593" s="17">
        <v>50.0</v>
      </c>
      <c r="G593" s="17">
        <v>53.0</v>
      </c>
      <c r="H593" s="17">
        <v>48.0</v>
      </c>
      <c r="I593" s="17">
        <v>53.0</v>
      </c>
      <c r="J593" s="17">
        <v>48.0</v>
      </c>
      <c r="K593" s="17">
        <v>64.0</v>
      </c>
      <c r="L593" s="29">
        <f t="shared" si="2"/>
        <v>316</v>
      </c>
    </row>
    <row r="594" ht="23.25" customHeight="1">
      <c r="A594" s="17" t="s">
        <v>3736</v>
      </c>
      <c r="B594" s="17" t="str">
        <f t="shared" si="1"/>
        <v/>
      </c>
      <c r="C594" s="17" t="s">
        <v>3737</v>
      </c>
      <c r="D594" s="17" t="s">
        <v>2719</v>
      </c>
      <c r="E594" s="17" t="s">
        <v>2711</v>
      </c>
      <c r="F594" s="17">
        <v>35.0</v>
      </c>
      <c r="G594" s="17">
        <v>70.0</v>
      </c>
      <c r="H594" s="17">
        <v>55.0</v>
      </c>
      <c r="I594" s="17">
        <v>45.0</v>
      </c>
      <c r="J594" s="17">
        <v>55.0</v>
      </c>
      <c r="K594" s="17">
        <v>25.0</v>
      </c>
      <c r="L594" s="29">
        <f t="shared" si="2"/>
        <v>285</v>
      </c>
    </row>
    <row r="595" ht="23.25" customHeight="1">
      <c r="A595" s="17" t="s">
        <v>3738</v>
      </c>
      <c r="B595" s="17" t="str">
        <f t="shared" si="1"/>
        <v/>
      </c>
      <c r="C595" s="17" t="s">
        <v>3739</v>
      </c>
      <c r="D595" s="17" t="s">
        <v>2719</v>
      </c>
      <c r="E595" s="17" t="s">
        <v>2711</v>
      </c>
      <c r="F595" s="17">
        <v>60.0</v>
      </c>
      <c r="G595" s="17">
        <v>95.0</v>
      </c>
      <c r="H595" s="17">
        <v>80.0</v>
      </c>
      <c r="I595" s="17">
        <v>60.0</v>
      </c>
      <c r="J595" s="17">
        <v>80.0</v>
      </c>
      <c r="K595" s="17">
        <v>30.0</v>
      </c>
      <c r="L595" s="29">
        <f t="shared" si="2"/>
        <v>405</v>
      </c>
    </row>
    <row r="596" ht="23.25" customHeight="1">
      <c r="A596" s="17" t="s">
        <v>3740</v>
      </c>
      <c r="B596" s="17" t="str">
        <f t="shared" si="1"/>
        <v/>
      </c>
      <c r="C596" s="17" t="s">
        <v>3741</v>
      </c>
      <c r="D596" s="17" t="s">
        <v>2773</v>
      </c>
      <c r="E596" s="17"/>
      <c r="F596" s="17">
        <v>100.0</v>
      </c>
      <c r="G596" s="17">
        <v>120.0</v>
      </c>
      <c r="H596" s="17">
        <v>90.0</v>
      </c>
      <c r="I596" s="17">
        <v>40.0</v>
      </c>
      <c r="J596" s="17">
        <v>60.0</v>
      </c>
      <c r="K596" s="17">
        <v>80.0</v>
      </c>
      <c r="L596" s="29">
        <f t="shared" si="2"/>
        <v>490</v>
      </c>
    </row>
    <row r="597" ht="23.25" customHeight="1">
      <c r="A597" s="17" t="s">
        <v>3742</v>
      </c>
      <c r="B597" s="17" t="str">
        <f t="shared" si="1"/>
        <v/>
      </c>
      <c r="C597" s="17" t="s">
        <v>3743</v>
      </c>
      <c r="D597" s="17" t="s">
        <v>2729</v>
      </c>
      <c r="E597" s="17"/>
      <c r="F597" s="17">
        <v>45.0</v>
      </c>
      <c r="G597" s="17">
        <v>55.0</v>
      </c>
      <c r="H597" s="17">
        <v>39.0</v>
      </c>
      <c r="I597" s="17">
        <v>35.0</v>
      </c>
      <c r="J597" s="17">
        <v>39.0</v>
      </c>
      <c r="K597" s="17">
        <v>42.0</v>
      </c>
      <c r="L597" s="29">
        <f t="shared" si="2"/>
        <v>255</v>
      </c>
    </row>
    <row r="598" ht="23.25" customHeight="1">
      <c r="A598" s="17" t="s">
        <v>3744</v>
      </c>
      <c r="B598" s="17" t="str">
        <f t="shared" si="1"/>
        <v/>
      </c>
      <c r="C598" s="17" t="s">
        <v>3745</v>
      </c>
      <c r="D598" s="17" t="s">
        <v>2716</v>
      </c>
      <c r="E598" s="17" t="s">
        <v>2722</v>
      </c>
      <c r="F598" s="17">
        <v>45.0</v>
      </c>
      <c r="G598" s="17">
        <v>85.0</v>
      </c>
      <c r="H598" s="17">
        <v>70.0</v>
      </c>
      <c r="I598" s="17">
        <v>40.0</v>
      </c>
      <c r="J598" s="17">
        <v>40.0</v>
      </c>
      <c r="K598" s="17">
        <v>60.0</v>
      </c>
      <c r="L598" s="29">
        <f t="shared" si="2"/>
        <v>340</v>
      </c>
    </row>
    <row r="599" ht="23.25" customHeight="1">
      <c r="A599" s="17" t="s">
        <v>3746</v>
      </c>
      <c r="B599" s="17" t="str">
        <f t="shared" si="1"/>
        <v/>
      </c>
      <c r="C599" s="17" t="s">
        <v>410</v>
      </c>
      <c r="D599" s="17" t="s">
        <v>2736</v>
      </c>
      <c r="E599" s="17" t="s">
        <v>2726</v>
      </c>
      <c r="F599" s="17">
        <v>60.0</v>
      </c>
      <c r="G599" s="17">
        <v>50.0</v>
      </c>
      <c r="H599" s="17">
        <v>100.0</v>
      </c>
      <c r="I599" s="17">
        <v>95.0</v>
      </c>
      <c r="J599" s="17">
        <v>70.0</v>
      </c>
      <c r="K599" s="17">
        <v>65.0</v>
      </c>
      <c r="L599" s="29">
        <f t="shared" si="2"/>
        <v>440</v>
      </c>
    </row>
    <row r="600" ht="23.25" customHeight="1">
      <c r="A600" s="17" t="s">
        <v>3747</v>
      </c>
      <c r="B600" s="17" t="str">
        <f t="shared" si="1"/>
        <v/>
      </c>
      <c r="C600" s="17" t="s">
        <v>3748</v>
      </c>
      <c r="D600" s="17" t="s">
        <v>2722</v>
      </c>
      <c r="E600" s="17"/>
      <c r="F600" s="17">
        <v>70.0</v>
      </c>
      <c r="G600" s="17">
        <v>110.0</v>
      </c>
      <c r="H600" s="17">
        <v>100.0</v>
      </c>
      <c r="I600" s="17">
        <v>50.0</v>
      </c>
      <c r="J600" s="17">
        <v>60.0</v>
      </c>
      <c r="K600" s="17">
        <v>50.0</v>
      </c>
      <c r="L600" s="29">
        <f t="shared" si="2"/>
        <v>440</v>
      </c>
    </row>
    <row r="601" ht="23.25" customHeight="1">
      <c r="A601" s="17" t="s">
        <v>3749</v>
      </c>
      <c r="B601" s="17" t="str">
        <f t="shared" si="1"/>
        <v/>
      </c>
      <c r="C601" s="17" t="s">
        <v>1843</v>
      </c>
      <c r="D601" s="17" t="s">
        <v>2729</v>
      </c>
      <c r="E601" s="17"/>
      <c r="F601" s="17">
        <v>65.0</v>
      </c>
      <c r="G601" s="17">
        <v>70.0</v>
      </c>
      <c r="H601" s="17">
        <v>60.0</v>
      </c>
      <c r="I601" s="17">
        <v>65.0</v>
      </c>
      <c r="J601" s="17">
        <v>65.0</v>
      </c>
      <c r="K601" s="17">
        <v>115.0</v>
      </c>
      <c r="L601" s="29">
        <f t="shared" si="2"/>
        <v>440</v>
      </c>
    </row>
    <row r="602" ht="23.25" customHeight="1">
      <c r="A602" s="17" t="s">
        <v>3750</v>
      </c>
      <c r="B602" s="17" t="str">
        <f t="shared" si="1"/>
        <v/>
      </c>
      <c r="C602" s="17" t="s">
        <v>3751</v>
      </c>
      <c r="D602" s="17" t="s">
        <v>2711</v>
      </c>
      <c r="E602" s="17"/>
      <c r="F602" s="17">
        <v>45.0</v>
      </c>
      <c r="G602" s="17">
        <v>35.0</v>
      </c>
      <c r="H602" s="17">
        <v>50.0</v>
      </c>
      <c r="I602" s="17">
        <v>70.0</v>
      </c>
      <c r="J602" s="17">
        <v>50.0</v>
      </c>
      <c r="K602" s="17">
        <v>30.0</v>
      </c>
      <c r="L602" s="29">
        <f t="shared" si="2"/>
        <v>280</v>
      </c>
    </row>
    <row r="603" ht="23.25" customHeight="1">
      <c r="A603" s="17" t="s">
        <v>3752</v>
      </c>
      <c r="B603" s="17" t="str">
        <f t="shared" si="1"/>
        <v/>
      </c>
      <c r="C603" s="17" t="s">
        <v>3753</v>
      </c>
      <c r="D603" s="17" t="s">
        <v>2803</v>
      </c>
      <c r="E603" s="17"/>
      <c r="F603" s="17">
        <v>90.0</v>
      </c>
      <c r="G603" s="17">
        <v>60.0</v>
      </c>
      <c r="H603" s="17">
        <v>60.0</v>
      </c>
      <c r="I603" s="17">
        <v>40.0</v>
      </c>
      <c r="J603" s="17">
        <v>40.0</v>
      </c>
      <c r="K603" s="17">
        <v>40.0</v>
      </c>
      <c r="L603" s="29">
        <f t="shared" si="2"/>
        <v>330</v>
      </c>
    </row>
    <row r="604" ht="23.25" customHeight="1">
      <c r="A604" s="17" t="s">
        <v>3754</v>
      </c>
      <c r="B604" s="17" t="str">
        <f t="shared" si="1"/>
        <v/>
      </c>
      <c r="C604" s="17" t="s">
        <v>3755</v>
      </c>
      <c r="D604" s="17" t="s">
        <v>2723</v>
      </c>
      <c r="E604" s="17" t="s">
        <v>2711</v>
      </c>
      <c r="F604" s="17">
        <v>43.0</v>
      </c>
      <c r="G604" s="17">
        <v>70.0</v>
      </c>
      <c r="H604" s="17">
        <v>48.0</v>
      </c>
      <c r="I604" s="17">
        <v>50.0</v>
      </c>
      <c r="J604" s="17">
        <v>60.0</v>
      </c>
      <c r="K604" s="17">
        <v>38.0</v>
      </c>
      <c r="L604" s="29">
        <f t="shared" si="2"/>
        <v>309</v>
      </c>
    </row>
    <row r="605" ht="23.25" customHeight="1">
      <c r="A605" s="17" t="s">
        <v>3756</v>
      </c>
      <c r="B605" s="17" t="str">
        <f t="shared" si="1"/>
        <v/>
      </c>
      <c r="C605" s="17" t="s">
        <v>3757</v>
      </c>
      <c r="D605" s="17" t="s">
        <v>2719</v>
      </c>
      <c r="E605" s="17" t="s">
        <v>2773</v>
      </c>
      <c r="F605" s="17">
        <v>71.0</v>
      </c>
      <c r="G605" s="17">
        <v>137.0</v>
      </c>
      <c r="H605" s="17">
        <v>37.0</v>
      </c>
      <c r="I605" s="17">
        <v>137.0</v>
      </c>
      <c r="J605" s="17">
        <v>37.0</v>
      </c>
      <c r="K605" s="17">
        <v>151.0</v>
      </c>
      <c r="L605" s="29">
        <f t="shared" si="2"/>
        <v>570</v>
      </c>
    </row>
    <row r="606" ht="23.25" customHeight="1">
      <c r="A606" s="17" t="s">
        <v>3758</v>
      </c>
      <c r="B606" s="17" t="str">
        <f t="shared" si="1"/>
        <v/>
      </c>
      <c r="C606" s="17" t="s">
        <v>3759</v>
      </c>
      <c r="D606" s="17" t="s">
        <v>2736</v>
      </c>
      <c r="E606" s="17"/>
      <c r="F606" s="17">
        <v>80.0</v>
      </c>
      <c r="G606" s="17">
        <v>80.0</v>
      </c>
      <c r="H606" s="17">
        <v>80.0</v>
      </c>
      <c r="I606" s="17">
        <v>80.0</v>
      </c>
      <c r="J606" s="17">
        <v>80.0</v>
      </c>
      <c r="K606" s="17">
        <v>80.0</v>
      </c>
      <c r="L606" s="29">
        <f t="shared" si="2"/>
        <v>480</v>
      </c>
    </row>
    <row r="607" ht="23.25" customHeight="1">
      <c r="A607" s="17" t="s">
        <v>3760</v>
      </c>
      <c r="B607" s="17" t="str">
        <f t="shared" si="1"/>
        <v/>
      </c>
      <c r="C607" s="17" t="s">
        <v>212</v>
      </c>
      <c r="D607" s="17" t="s">
        <v>2746</v>
      </c>
      <c r="E607" s="17"/>
      <c r="F607" s="17">
        <v>20.0</v>
      </c>
      <c r="G607" s="17">
        <v>40.0</v>
      </c>
      <c r="H607" s="17">
        <v>15.0</v>
      </c>
      <c r="I607" s="17">
        <v>35.0</v>
      </c>
      <c r="J607" s="17">
        <v>35.0</v>
      </c>
      <c r="K607" s="17">
        <v>60.0</v>
      </c>
      <c r="L607" s="29">
        <f t="shared" si="2"/>
        <v>205</v>
      </c>
    </row>
    <row r="608" ht="23.25" customHeight="1">
      <c r="A608" s="17" t="s">
        <v>3761</v>
      </c>
      <c r="B608" s="17" t="str">
        <f t="shared" si="1"/>
        <v/>
      </c>
      <c r="C608" s="17" t="s">
        <v>3762</v>
      </c>
      <c r="D608" s="17" t="s">
        <v>2729</v>
      </c>
      <c r="E608" s="17" t="s">
        <v>2726</v>
      </c>
      <c r="F608" s="17">
        <v>83.0</v>
      </c>
      <c r="G608" s="17">
        <v>80.0</v>
      </c>
      <c r="H608" s="17">
        <v>75.0</v>
      </c>
      <c r="I608" s="17">
        <v>70.0</v>
      </c>
      <c r="J608" s="17">
        <v>70.0</v>
      </c>
      <c r="K608" s="17">
        <v>101.0</v>
      </c>
      <c r="L608" s="29">
        <f t="shared" si="2"/>
        <v>479</v>
      </c>
    </row>
    <row r="609" ht="23.25" customHeight="1">
      <c r="A609" s="17" t="s">
        <v>3763</v>
      </c>
      <c r="B609" s="17" t="str">
        <f t="shared" si="1"/>
        <v/>
      </c>
      <c r="C609" s="17" t="s">
        <v>3764</v>
      </c>
      <c r="D609" s="17" t="s">
        <v>2729</v>
      </c>
      <c r="E609" s="17" t="s">
        <v>2726</v>
      </c>
      <c r="F609" s="17">
        <v>63.0</v>
      </c>
      <c r="G609" s="17">
        <v>60.0</v>
      </c>
      <c r="H609" s="17">
        <v>55.0</v>
      </c>
      <c r="I609" s="17">
        <v>50.0</v>
      </c>
      <c r="J609" s="17">
        <v>50.0</v>
      </c>
      <c r="K609" s="17">
        <v>71.0</v>
      </c>
      <c r="L609" s="29">
        <f t="shared" si="2"/>
        <v>349</v>
      </c>
    </row>
    <row r="610" ht="23.25" customHeight="1">
      <c r="A610" s="17" t="s">
        <v>3765</v>
      </c>
      <c r="B610" s="17" t="str">
        <f t="shared" si="1"/>
        <v/>
      </c>
      <c r="C610" s="17" t="s">
        <v>3766</v>
      </c>
      <c r="D610" s="17" t="s">
        <v>2729</v>
      </c>
      <c r="E610" s="17" t="s">
        <v>2726</v>
      </c>
      <c r="F610" s="17">
        <v>40.0</v>
      </c>
      <c r="G610" s="17">
        <v>45.0</v>
      </c>
      <c r="H610" s="17">
        <v>40.0</v>
      </c>
      <c r="I610" s="17">
        <v>35.0</v>
      </c>
      <c r="J610" s="17">
        <v>35.0</v>
      </c>
      <c r="K610" s="17">
        <v>56.0</v>
      </c>
      <c r="L610" s="29">
        <f t="shared" si="2"/>
        <v>251</v>
      </c>
    </row>
    <row r="611" ht="23.25" customHeight="1">
      <c r="A611" s="17" t="s">
        <v>3767</v>
      </c>
      <c r="B611" s="17" t="str">
        <f t="shared" si="1"/>
        <v/>
      </c>
      <c r="C611" s="17" t="s">
        <v>3768</v>
      </c>
      <c r="D611" s="17" t="s">
        <v>2729</v>
      </c>
      <c r="E611" s="17" t="s">
        <v>2726</v>
      </c>
      <c r="F611" s="17">
        <v>50.0</v>
      </c>
      <c r="G611" s="17">
        <v>55.0</v>
      </c>
      <c r="H611" s="17">
        <v>50.0</v>
      </c>
      <c r="I611" s="17">
        <v>36.0</v>
      </c>
      <c r="J611" s="17">
        <v>30.0</v>
      </c>
      <c r="K611" s="17">
        <v>43.0</v>
      </c>
      <c r="L611" s="29">
        <f t="shared" si="2"/>
        <v>264</v>
      </c>
    </row>
    <row r="612" ht="23.25" customHeight="1">
      <c r="A612" s="17" t="s">
        <v>3769</v>
      </c>
      <c r="B612" s="17" t="str">
        <f t="shared" si="1"/>
        <v/>
      </c>
      <c r="C612" s="17" t="s">
        <v>3770</v>
      </c>
      <c r="D612" s="17" t="s">
        <v>2758</v>
      </c>
      <c r="E612" s="17" t="s">
        <v>2773</v>
      </c>
      <c r="F612" s="17">
        <v>90.0</v>
      </c>
      <c r="G612" s="17">
        <v>93.0</v>
      </c>
      <c r="H612" s="17">
        <v>55.0</v>
      </c>
      <c r="I612" s="17">
        <v>70.0</v>
      </c>
      <c r="J612" s="17">
        <v>55.0</v>
      </c>
      <c r="K612" s="17">
        <v>55.0</v>
      </c>
      <c r="L612" s="29">
        <f t="shared" si="2"/>
        <v>418</v>
      </c>
    </row>
    <row r="613" ht="23.25" customHeight="1">
      <c r="A613" s="17" t="s">
        <v>3771</v>
      </c>
      <c r="B613" s="17" t="str">
        <f t="shared" si="1"/>
        <v/>
      </c>
      <c r="C613" s="17" t="s">
        <v>136</v>
      </c>
      <c r="D613" s="17" t="s">
        <v>2746</v>
      </c>
      <c r="E613" s="17"/>
      <c r="F613" s="17">
        <v>35.0</v>
      </c>
      <c r="G613" s="17">
        <v>55.0</v>
      </c>
      <c r="H613" s="17">
        <v>40.0</v>
      </c>
      <c r="I613" s="17">
        <v>50.0</v>
      </c>
      <c r="J613" s="17">
        <v>50.0</v>
      </c>
      <c r="K613" s="17">
        <v>90.0</v>
      </c>
      <c r="L613" s="29">
        <f t="shared" si="2"/>
        <v>320</v>
      </c>
    </row>
    <row r="614" ht="23.25" customHeight="1">
      <c r="A614" s="17" t="s">
        <v>3772</v>
      </c>
      <c r="B614" s="17" t="str">
        <f t="shared" si="1"/>
        <v/>
      </c>
      <c r="C614" s="17" t="s">
        <v>3773</v>
      </c>
      <c r="D614" s="17" t="s">
        <v>2729</v>
      </c>
      <c r="E614" s="17" t="s">
        <v>2726</v>
      </c>
      <c r="F614" s="17">
        <v>35.0</v>
      </c>
      <c r="G614" s="17">
        <v>75.0</v>
      </c>
      <c r="H614" s="17">
        <v>30.0</v>
      </c>
      <c r="I614" s="17">
        <v>30.0</v>
      </c>
      <c r="J614" s="17">
        <v>30.0</v>
      </c>
      <c r="K614" s="17">
        <v>65.0</v>
      </c>
      <c r="L614" s="29">
        <f t="shared" si="2"/>
        <v>265</v>
      </c>
    </row>
    <row r="615" ht="23.25" customHeight="1">
      <c r="A615" s="17" t="s">
        <v>3774</v>
      </c>
      <c r="B615" s="17" t="str">
        <f t="shared" si="1"/>
        <v/>
      </c>
      <c r="C615" s="17" t="s">
        <v>3775</v>
      </c>
      <c r="D615" s="17" t="s">
        <v>2712</v>
      </c>
      <c r="E615" s="17" t="s">
        <v>2803</v>
      </c>
      <c r="F615" s="17">
        <v>100.0</v>
      </c>
      <c r="G615" s="17">
        <v>100.0</v>
      </c>
      <c r="H615" s="17">
        <v>80.0</v>
      </c>
      <c r="I615" s="17">
        <v>60.0</v>
      </c>
      <c r="J615" s="17">
        <v>60.0</v>
      </c>
      <c r="K615" s="17">
        <v>50.0</v>
      </c>
      <c r="L615" s="29">
        <f t="shared" si="2"/>
        <v>450</v>
      </c>
    </row>
    <row r="616" ht="23.25" customHeight="1">
      <c r="A616" s="17" t="s">
        <v>3776</v>
      </c>
      <c r="B616" s="17" t="str">
        <f t="shared" si="1"/>
        <v/>
      </c>
      <c r="C616" s="17" t="s">
        <v>3777</v>
      </c>
      <c r="D616" s="17" t="s">
        <v>2746</v>
      </c>
      <c r="E616" s="17"/>
      <c r="F616" s="17">
        <v>48.0</v>
      </c>
      <c r="G616" s="17">
        <v>101.0</v>
      </c>
      <c r="H616" s="17">
        <v>95.0</v>
      </c>
      <c r="I616" s="17">
        <v>91.0</v>
      </c>
      <c r="J616" s="17">
        <v>85.0</v>
      </c>
      <c r="K616" s="17">
        <v>15.0</v>
      </c>
      <c r="L616" s="29">
        <f t="shared" si="2"/>
        <v>435</v>
      </c>
    </row>
    <row r="617" ht="23.25" customHeight="1">
      <c r="A617" s="17" t="s">
        <v>3778</v>
      </c>
      <c r="B617" s="17" t="str">
        <f t="shared" si="1"/>
        <v/>
      </c>
      <c r="C617" s="17" t="s">
        <v>3779</v>
      </c>
      <c r="D617" s="17" t="s">
        <v>2719</v>
      </c>
      <c r="E617" s="17"/>
      <c r="F617" s="17">
        <v>50.0</v>
      </c>
      <c r="G617" s="17">
        <v>65.0</v>
      </c>
      <c r="H617" s="17">
        <v>90.0</v>
      </c>
      <c r="I617" s="17">
        <v>35.0</v>
      </c>
      <c r="J617" s="17">
        <v>35.0</v>
      </c>
      <c r="K617" s="17">
        <v>15.0</v>
      </c>
      <c r="L617" s="29">
        <f t="shared" si="2"/>
        <v>290</v>
      </c>
    </row>
    <row r="618" ht="23.25" customHeight="1">
      <c r="A618" s="17" t="s">
        <v>3780</v>
      </c>
      <c r="B618" s="17" t="str">
        <f t="shared" si="1"/>
        <v/>
      </c>
      <c r="C618" s="17" t="s">
        <v>1790</v>
      </c>
      <c r="D618" s="17" t="s">
        <v>2719</v>
      </c>
      <c r="E618" s="17"/>
      <c r="F618" s="17">
        <v>65.0</v>
      </c>
      <c r="G618" s="17">
        <v>125.0</v>
      </c>
      <c r="H618" s="17">
        <v>100.0</v>
      </c>
      <c r="I618" s="17">
        <v>55.0</v>
      </c>
      <c r="J618" s="17">
        <v>70.0</v>
      </c>
      <c r="K618" s="17">
        <v>85.0</v>
      </c>
      <c r="L618" s="29">
        <f t="shared" si="2"/>
        <v>500</v>
      </c>
    </row>
    <row r="619" ht="23.25" customHeight="1">
      <c r="A619" s="17" t="s">
        <v>3781</v>
      </c>
      <c r="B619" s="17" t="str">
        <f t="shared" si="1"/>
        <v/>
      </c>
      <c r="C619" s="17" t="s">
        <v>815</v>
      </c>
      <c r="D619" s="17" t="s">
        <v>2736</v>
      </c>
      <c r="E619" s="17"/>
      <c r="F619" s="17">
        <v>53.0</v>
      </c>
      <c r="G619" s="17">
        <v>51.0</v>
      </c>
      <c r="H619" s="17">
        <v>53.0</v>
      </c>
      <c r="I619" s="17">
        <v>61.0</v>
      </c>
      <c r="J619" s="17">
        <v>56.0</v>
      </c>
      <c r="K619" s="17">
        <v>40.0</v>
      </c>
      <c r="L619" s="29">
        <f t="shared" si="2"/>
        <v>314</v>
      </c>
    </row>
    <row r="620" ht="23.25" customHeight="1">
      <c r="A620" s="17" t="s">
        <v>3782</v>
      </c>
      <c r="B620" s="17" t="str">
        <f t="shared" si="1"/>
        <v/>
      </c>
      <c r="C620" s="17" t="s">
        <v>3783</v>
      </c>
      <c r="D620" s="17" t="s">
        <v>2746</v>
      </c>
      <c r="E620" s="17" t="s">
        <v>2744</v>
      </c>
      <c r="F620" s="17">
        <v>60.0</v>
      </c>
      <c r="G620" s="17">
        <v>57.0</v>
      </c>
      <c r="H620" s="17">
        <v>119.0</v>
      </c>
      <c r="I620" s="17">
        <v>131.0</v>
      </c>
      <c r="J620" s="17">
        <v>98.0</v>
      </c>
      <c r="K620" s="17">
        <v>100.0</v>
      </c>
      <c r="L620" s="29">
        <f t="shared" si="2"/>
        <v>565</v>
      </c>
    </row>
    <row r="621" ht="23.25" customHeight="1">
      <c r="A621" s="17" t="s">
        <v>3784</v>
      </c>
      <c r="B621" s="17" t="str">
        <f t="shared" si="1"/>
        <v/>
      </c>
      <c r="C621" s="17" t="s">
        <v>3785</v>
      </c>
      <c r="D621" s="17" t="s">
        <v>2733</v>
      </c>
      <c r="E621" s="17"/>
      <c r="F621" s="17">
        <v>74.0</v>
      </c>
      <c r="G621" s="17">
        <v>38.0</v>
      </c>
      <c r="H621" s="17">
        <v>51.0</v>
      </c>
      <c r="I621" s="17">
        <v>65.0</v>
      </c>
      <c r="J621" s="17">
        <v>78.0</v>
      </c>
      <c r="K621" s="17">
        <v>49.0</v>
      </c>
      <c r="L621" s="29">
        <f t="shared" si="2"/>
        <v>355</v>
      </c>
    </row>
    <row r="622" ht="23.25" customHeight="1">
      <c r="A622" s="17" t="s">
        <v>3786</v>
      </c>
      <c r="B622" s="17" t="str">
        <f t="shared" si="1"/>
        <v/>
      </c>
      <c r="C622" s="17" t="s">
        <v>3787</v>
      </c>
      <c r="D622" s="17" t="s">
        <v>2746</v>
      </c>
      <c r="E622" s="17"/>
      <c r="F622" s="17">
        <v>60.0</v>
      </c>
      <c r="G622" s="17">
        <v>50.0</v>
      </c>
      <c r="H622" s="17">
        <v>40.0</v>
      </c>
      <c r="I622" s="17">
        <v>85.0</v>
      </c>
      <c r="J622" s="17">
        <v>75.0</v>
      </c>
      <c r="K622" s="17">
        <v>95.0</v>
      </c>
      <c r="L622" s="29">
        <f t="shared" si="2"/>
        <v>405</v>
      </c>
    </row>
    <row r="623" ht="23.25" customHeight="1">
      <c r="A623" s="17" t="s">
        <v>3788</v>
      </c>
      <c r="B623" s="17" t="str">
        <f t="shared" si="1"/>
        <v/>
      </c>
      <c r="C623" s="17" t="s">
        <v>3789</v>
      </c>
      <c r="D623" s="17" t="s">
        <v>2744</v>
      </c>
      <c r="E623" s="17"/>
      <c r="F623" s="17">
        <v>67.0</v>
      </c>
      <c r="G623" s="17">
        <v>73.0</v>
      </c>
      <c r="H623" s="17">
        <v>67.0</v>
      </c>
      <c r="I623" s="17">
        <v>73.0</v>
      </c>
      <c r="J623" s="17">
        <v>67.0</v>
      </c>
      <c r="K623" s="17">
        <v>73.0</v>
      </c>
      <c r="L623" s="29">
        <f t="shared" si="2"/>
        <v>420</v>
      </c>
    </row>
    <row r="624" ht="23.25" customHeight="1">
      <c r="A624" s="17" t="s">
        <v>3790</v>
      </c>
      <c r="B624" s="17" t="str">
        <f t="shared" si="1"/>
        <v/>
      </c>
      <c r="C624" s="17" t="s">
        <v>3791</v>
      </c>
      <c r="D624" s="17" t="s">
        <v>2773</v>
      </c>
      <c r="E624" s="17"/>
      <c r="F624" s="17">
        <v>100.0</v>
      </c>
      <c r="G624" s="17">
        <v>100.0</v>
      </c>
      <c r="H624" s="17">
        <v>100.0</v>
      </c>
      <c r="I624" s="17">
        <v>100.0</v>
      </c>
      <c r="J624" s="17">
        <v>100.0</v>
      </c>
      <c r="K624" s="17">
        <v>100.0</v>
      </c>
      <c r="L624" s="29">
        <f t="shared" si="2"/>
        <v>600</v>
      </c>
    </row>
    <row r="625" ht="23.25" customHeight="1">
      <c r="A625" s="17" t="s">
        <v>3792</v>
      </c>
      <c r="B625" s="17" t="str">
        <f t="shared" si="1"/>
        <v/>
      </c>
      <c r="C625" s="17" t="s">
        <v>3793</v>
      </c>
      <c r="D625" s="17" t="s">
        <v>2711</v>
      </c>
      <c r="E625" s="17"/>
      <c r="F625" s="17">
        <v>100.0</v>
      </c>
      <c r="G625" s="17">
        <v>100.0</v>
      </c>
      <c r="H625" s="17">
        <v>100.0</v>
      </c>
      <c r="I625" s="17">
        <v>100.0</v>
      </c>
      <c r="J625" s="17">
        <v>100.0</v>
      </c>
      <c r="K625" s="17">
        <v>100.0</v>
      </c>
      <c r="L625" s="29">
        <f t="shared" si="2"/>
        <v>600</v>
      </c>
    </row>
    <row r="626" ht="23.25" customHeight="1">
      <c r="A626" s="17" t="s">
        <v>3794</v>
      </c>
      <c r="B626" s="17" t="str">
        <f t="shared" si="1"/>
        <v/>
      </c>
      <c r="C626" s="17" t="s">
        <v>3795</v>
      </c>
      <c r="D626" s="17" t="s">
        <v>2716</v>
      </c>
      <c r="E626" s="17" t="s">
        <v>2714</v>
      </c>
      <c r="F626" s="17">
        <v>100.0</v>
      </c>
      <c r="G626" s="17">
        <v>100.0</v>
      </c>
      <c r="H626" s="17">
        <v>100.0</v>
      </c>
      <c r="I626" s="17">
        <v>100.0</v>
      </c>
      <c r="J626" s="17">
        <v>100.0</v>
      </c>
      <c r="K626" s="17">
        <v>100.0</v>
      </c>
      <c r="L626" s="29">
        <f t="shared" si="2"/>
        <v>600</v>
      </c>
    </row>
    <row r="627" ht="23.25" customHeight="1">
      <c r="A627" s="17" t="s">
        <v>3796</v>
      </c>
      <c r="B627" s="17" t="str">
        <f t="shared" si="1"/>
        <v/>
      </c>
      <c r="C627" s="17" t="s">
        <v>3797</v>
      </c>
      <c r="D627" s="17" t="s">
        <v>2722</v>
      </c>
      <c r="E627" s="17" t="s">
        <v>2729</v>
      </c>
      <c r="F627" s="17">
        <v>100.0</v>
      </c>
      <c r="G627" s="17">
        <v>100.0</v>
      </c>
      <c r="H627" s="17">
        <v>100.0</v>
      </c>
      <c r="I627" s="17">
        <v>100.0</v>
      </c>
      <c r="J627" s="17">
        <v>100.0</v>
      </c>
      <c r="K627" s="17">
        <v>100.0</v>
      </c>
      <c r="L627" s="29">
        <f t="shared" si="2"/>
        <v>600</v>
      </c>
    </row>
    <row r="628" ht="23.25" customHeight="1">
      <c r="A628" s="17" t="s">
        <v>3798</v>
      </c>
      <c r="B628" s="17" t="str">
        <f t="shared" si="1"/>
        <v/>
      </c>
      <c r="C628" s="17" t="s">
        <v>3799</v>
      </c>
      <c r="D628" s="17" t="s">
        <v>2722</v>
      </c>
      <c r="E628" s="17" t="s">
        <v>2729</v>
      </c>
      <c r="F628" s="17">
        <v>100.0</v>
      </c>
      <c r="G628" s="17">
        <v>100.0</v>
      </c>
      <c r="H628" s="17">
        <v>100.0</v>
      </c>
      <c r="I628" s="17">
        <v>100.0</v>
      </c>
      <c r="J628" s="17">
        <v>100.0</v>
      </c>
      <c r="K628" s="17">
        <v>100.0</v>
      </c>
      <c r="L628" s="29">
        <f t="shared" si="2"/>
        <v>600</v>
      </c>
    </row>
    <row r="629" ht="23.25" customHeight="1">
      <c r="A629" s="17" t="s">
        <v>3800</v>
      </c>
      <c r="B629" s="17" t="str">
        <f t="shared" si="1"/>
        <v/>
      </c>
      <c r="C629" s="17" t="s">
        <v>3801</v>
      </c>
      <c r="D629" s="17" t="s">
        <v>2729</v>
      </c>
      <c r="E629" s="17"/>
      <c r="F629" s="17">
        <v>100.0</v>
      </c>
      <c r="G629" s="17">
        <v>100.0</v>
      </c>
      <c r="H629" s="17">
        <v>100.0</v>
      </c>
      <c r="I629" s="17">
        <v>100.0</v>
      </c>
      <c r="J629" s="17">
        <v>100.0</v>
      </c>
      <c r="K629" s="17">
        <v>100.0</v>
      </c>
      <c r="L629" s="29">
        <f t="shared" si="2"/>
        <v>600</v>
      </c>
    </row>
    <row r="630" ht="23.25" customHeight="1">
      <c r="A630" s="17" t="s">
        <v>3802</v>
      </c>
      <c r="B630" s="17" t="str">
        <f t="shared" si="1"/>
        <v/>
      </c>
      <c r="C630" s="17" t="s">
        <v>3803</v>
      </c>
      <c r="D630" s="17" t="s">
        <v>2729</v>
      </c>
      <c r="E630" s="17"/>
      <c r="F630" s="17">
        <v>100.0</v>
      </c>
      <c r="G630" s="17">
        <v>100.0</v>
      </c>
      <c r="H630" s="17">
        <v>100.0</v>
      </c>
      <c r="I630" s="17">
        <v>100.0</v>
      </c>
      <c r="J630" s="17">
        <v>100.0</v>
      </c>
      <c r="K630" s="17">
        <v>100.0</v>
      </c>
      <c r="L630" s="29">
        <f t="shared" si="2"/>
        <v>600</v>
      </c>
    </row>
    <row r="631" ht="23.25" customHeight="1">
      <c r="A631" s="17" t="s">
        <v>3804</v>
      </c>
      <c r="B631" s="17" t="str">
        <f t="shared" si="1"/>
        <v/>
      </c>
      <c r="C631" s="17" t="s">
        <v>3805</v>
      </c>
      <c r="D631" s="17" t="s">
        <v>2716</v>
      </c>
      <c r="E631" s="17"/>
      <c r="F631" s="17">
        <v>100.0</v>
      </c>
      <c r="G631" s="17">
        <v>100.0</v>
      </c>
      <c r="H631" s="17">
        <v>100.0</v>
      </c>
      <c r="I631" s="17">
        <v>100.0</v>
      </c>
      <c r="J631" s="17">
        <v>100.0</v>
      </c>
      <c r="K631" s="17">
        <v>100.0</v>
      </c>
      <c r="L631" s="29">
        <f t="shared" si="2"/>
        <v>600</v>
      </c>
    </row>
    <row r="632" ht="23.25" customHeight="1">
      <c r="A632" s="17" t="s">
        <v>3806</v>
      </c>
      <c r="B632" s="17" t="str">
        <f t="shared" si="1"/>
        <v/>
      </c>
      <c r="C632" s="17" t="s">
        <v>3807</v>
      </c>
      <c r="D632" s="17" t="s">
        <v>2722</v>
      </c>
      <c r="E632" s="17"/>
      <c r="F632" s="17">
        <v>100.0</v>
      </c>
      <c r="G632" s="17">
        <v>100.0</v>
      </c>
      <c r="H632" s="17">
        <v>100.0</v>
      </c>
      <c r="I632" s="17">
        <v>100.0</v>
      </c>
      <c r="J632" s="17">
        <v>100.0</v>
      </c>
      <c r="K632" s="17">
        <v>100.0</v>
      </c>
      <c r="L632" s="29">
        <f t="shared" si="2"/>
        <v>600</v>
      </c>
    </row>
    <row r="633" ht="23.25" customHeight="1">
      <c r="A633" s="17" t="s">
        <v>3808</v>
      </c>
      <c r="B633" s="17" t="str">
        <f t="shared" si="1"/>
        <v/>
      </c>
      <c r="C633" s="17" t="s">
        <v>3809</v>
      </c>
      <c r="D633" s="17" t="s">
        <v>2722</v>
      </c>
      <c r="E633" s="17" t="s">
        <v>2746</v>
      </c>
      <c r="F633" s="17">
        <v>100.0</v>
      </c>
      <c r="G633" s="17">
        <v>100.0</v>
      </c>
      <c r="H633" s="17">
        <v>100.0</v>
      </c>
      <c r="I633" s="17">
        <v>100.0</v>
      </c>
      <c r="J633" s="17">
        <v>100.0</v>
      </c>
      <c r="K633" s="17">
        <v>100.0</v>
      </c>
      <c r="L633" s="29">
        <f t="shared" si="2"/>
        <v>600</v>
      </c>
    </row>
    <row r="634" ht="23.25" customHeight="1">
      <c r="A634" s="17" t="s">
        <v>3810</v>
      </c>
      <c r="B634" s="17" t="str">
        <f t="shared" si="1"/>
        <v/>
      </c>
      <c r="C634" s="17" t="s">
        <v>3811</v>
      </c>
      <c r="D634" s="17" t="s">
        <v>2729</v>
      </c>
      <c r="E634" s="17"/>
      <c r="F634" s="17">
        <v>55.0</v>
      </c>
      <c r="G634" s="17">
        <v>20.0</v>
      </c>
      <c r="H634" s="17">
        <v>35.0</v>
      </c>
      <c r="I634" s="17">
        <v>20.0</v>
      </c>
      <c r="J634" s="17">
        <v>45.0</v>
      </c>
      <c r="K634" s="17">
        <v>75.0</v>
      </c>
      <c r="L634" s="29">
        <f t="shared" si="2"/>
        <v>250</v>
      </c>
    </row>
    <row r="635" ht="23.25" customHeight="1">
      <c r="A635" s="17" t="s">
        <v>3812</v>
      </c>
      <c r="B635" s="17" t="str">
        <f t="shared" si="1"/>
        <v/>
      </c>
      <c r="C635" s="17" t="s">
        <v>3813</v>
      </c>
      <c r="D635" s="17" t="s">
        <v>2716</v>
      </c>
      <c r="E635" s="17" t="s">
        <v>2723</v>
      </c>
      <c r="F635" s="17">
        <v>100.0</v>
      </c>
      <c r="G635" s="17">
        <v>100.0</v>
      </c>
      <c r="H635" s="17">
        <v>100.0</v>
      </c>
      <c r="I635" s="17">
        <v>100.0</v>
      </c>
      <c r="J635" s="17">
        <v>100.0</v>
      </c>
      <c r="K635" s="17">
        <v>100.0</v>
      </c>
      <c r="L635" s="29">
        <f t="shared" si="2"/>
        <v>600</v>
      </c>
    </row>
    <row r="636" ht="23.25" customHeight="1">
      <c r="A636" s="17" t="s">
        <v>3814</v>
      </c>
      <c r="B636" s="17" t="str">
        <f t="shared" si="1"/>
        <v/>
      </c>
      <c r="C636" s="17" t="s">
        <v>3815</v>
      </c>
      <c r="D636" s="17" t="s">
        <v>2722</v>
      </c>
      <c r="E636" s="17"/>
      <c r="F636" s="17">
        <v>100.0</v>
      </c>
      <c r="G636" s="17">
        <v>100.0</v>
      </c>
      <c r="H636" s="17">
        <v>100.0</v>
      </c>
      <c r="I636" s="17">
        <v>100.0</v>
      </c>
      <c r="J636" s="17">
        <v>100.0</v>
      </c>
      <c r="K636" s="17">
        <v>100.0</v>
      </c>
      <c r="L636" s="29">
        <f t="shared" si="2"/>
        <v>600</v>
      </c>
    </row>
    <row r="637" ht="23.25" customHeight="1">
      <c r="A637" s="17" t="s">
        <v>3816</v>
      </c>
      <c r="B637" s="17" t="str">
        <f t="shared" si="1"/>
        <v/>
      </c>
      <c r="C637" s="17" t="s">
        <v>3817</v>
      </c>
      <c r="D637" s="17" t="s">
        <v>2726</v>
      </c>
      <c r="E637" s="17" t="s">
        <v>2746</v>
      </c>
      <c r="F637" s="17">
        <v>100.0</v>
      </c>
      <c r="G637" s="17">
        <v>100.0</v>
      </c>
      <c r="H637" s="17">
        <v>100.0</v>
      </c>
      <c r="I637" s="17">
        <v>100.0</v>
      </c>
      <c r="J637" s="17">
        <v>100.0</v>
      </c>
      <c r="K637" s="17">
        <v>100.0</v>
      </c>
      <c r="L637" s="29">
        <f t="shared" si="2"/>
        <v>600</v>
      </c>
    </row>
    <row r="638" ht="23.25" customHeight="1">
      <c r="A638" s="17" t="s">
        <v>3818</v>
      </c>
      <c r="B638" s="17" t="str">
        <f t="shared" si="1"/>
        <v/>
      </c>
      <c r="C638" s="17" t="s">
        <v>3819</v>
      </c>
      <c r="D638" s="17" t="s">
        <v>2714</v>
      </c>
      <c r="E638" s="17" t="s">
        <v>2746</v>
      </c>
      <c r="F638" s="17">
        <v>100.0</v>
      </c>
      <c r="G638" s="17">
        <v>100.0</v>
      </c>
      <c r="H638" s="17">
        <v>100.0</v>
      </c>
      <c r="I638" s="17">
        <v>100.0</v>
      </c>
      <c r="J638" s="17">
        <v>100.0</v>
      </c>
      <c r="K638" s="17">
        <v>100.0</v>
      </c>
      <c r="L638" s="29">
        <f t="shared" si="2"/>
        <v>600</v>
      </c>
    </row>
    <row r="639" ht="23.25" customHeight="1">
      <c r="A639" s="17" t="s">
        <v>3820</v>
      </c>
      <c r="B639" s="17" t="str">
        <f t="shared" si="1"/>
        <v/>
      </c>
      <c r="C639" s="17" t="s">
        <v>3821</v>
      </c>
      <c r="D639" s="17" t="s">
        <v>2758</v>
      </c>
      <c r="E639" s="17"/>
      <c r="F639" s="17">
        <v>100.0</v>
      </c>
      <c r="G639" s="17">
        <v>100.0</v>
      </c>
      <c r="H639" s="17">
        <v>100.0</v>
      </c>
      <c r="I639" s="17">
        <v>100.0</v>
      </c>
      <c r="J639" s="17">
        <v>100.0</v>
      </c>
      <c r="K639" s="17">
        <v>100.0</v>
      </c>
      <c r="L639" s="29">
        <f t="shared" si="2"/>
        <v>600</v>
      </c>
    </row>
    <row r="640" ht="23.25" customHeight="1">
      <c r="A640" s="17" t="s">
        <v>3822</v>
      </c>
      <c r="B640" s="17" t="str">
        <f t="shared" si="1"/>
        <v/>
      </c>
      <c r="C640" s="17" t="s">
        <v>2482</v>
      </c>
      <c r="D640" s="17" t="s">
        <v>2736</v>
      </c>
      <c r="E640" s="17"/>
      <c r="F640" s="17">
        <v>90.0</v>
      </c>
      <c r="G640" s="17">
        <v>75.0</v>
      </c>
      <c r="H640" s="17">
        <v>75.0</v>
      </c>
      <c r="I640" s="17">
        <v>90.0</v>
      </c>
      <c r="J640" s="17">
        <v>100.0</v>
      </c>
      <c r="K640" s="17">
        <v>70.0</v>
      </c>
      <c r="L640" s="29">
        <f t="shared" si="2"/>
        <v>500</v>
      </c>
    </row>
    <row r="641" ht="23.25" customHeight="1">
      <c r="A641" s="17" t="s">
        <v>3823</v>
      </c>
      <c r="B641" s="17" t="str">
        <f t="shared" si="1"/>
        <v/>
      </c>
      <c r="C641" s="17" t="s">
        <v>3824</v>
      </c>
      <c r="D641" s="17" t="s">
        <v>2736</v>
      </c>
      <c r="E641" s="17"/>
      <c r="F641" s="17">
        <v>40.0</v>
      </c>
      <c r="G641" s="17">
        <v>50.0</v>
      </c>
      <c r="H641" s="17">
        <v>40.0</v>
      </c>
      <c r="I641" s="17">
        <v>40.0</v>
      </c>
      <c r="J641" s="17">
        <v>40.0</v>
      </c>
      <c r="K641" s="17">
        <v>90.0</v>
      </c>
      <c r="L641" s="29">
        <f t="shared" si="2"/>
        <v>300</v>
      </c>
    </row>
    <row r="642" ht="23.25" customHeight="1">
      <c r="A642" s="17" t="s">
        <v>3825</v>
      </c>
      <c r="B642" s="17" t="str">
        <f t="shared" si="1"/>
        <v/>
      </c>
      <c r="C642" s="17" t="s">
        <v>982</v>
      </c>
      <c r="D642" s="17" t="s">
        <v>2736</v>
      </c>
      <c r="E642" s="17"/>
      <c r="F642" s="17">
        <v>65.0</v>
      </c>
      <c r="G642" s="17">
        <v>65.0</v>
      </c>
      <c r="H642" s="17">
        <v>65.0</v>
      </c>
      <c r="I642" s="17">
        <v>50.0</v>
      </c>
      <c r="J642" s="17">
        <v>50.0</v>
      </c>
      <c r="K642" s="17">
        <v>90.0</v>
      </c>
      <c r="L642" s="29">
        <f t="shared" si="2"/>
        <v>385</v>
      </c>
    </row>
    <row r="643" ht="23.25" customHeight="1">
      <c r="A643" s="17" t="s">
        <v>3826</v>
      </c>
      <c r="B643" s="17" t="str">
        <f t="shared" si="1"/>
        <v/>
      </c>
      <c r="C643" s="17" t="s">
        <v>3827</v>
      </c>
      <c r="D643" s="17" t="s">
        <v>2736</v>
      </c>
      <c r="E643" s="17" t="s">
        <v>2773</v>
      </c>
      <c r="F643" s="17">
        <v>90.0</v>
      </c>
      <c r="G643" s="17">
        <v>95.0</v>
      </c>
      <c r="H643" s="17">
        <v>95.0</v>
      </c>
      <c r="I643" s="17">
        <v>70.0</v>
      </c>
      <c r="J643" s="17">
        <v>90.0</v>
      </c>
      <c r="K643" s="17">
        <v>70.0</v>
      </c>
      <c r="L643" s="29">
        <f t="shared" si="2"/>
        <v>510</v>
      </c>
    </row>
    <row r="644" ht="23.25" customHeight="1">
      <c r="A644" s="17" t="s">
        <v>3828</v>
      </c>
      <c r="B644" s="17" t="str">
        <f t="shared" si="1"/>
        <v/>
      </c>
      <c r="C644" s="17" t="s">
        <v>3829</v>
      </c>
      <c r="D644" s="17" t="s">
        <v>2723</v>
      </c>
      <c r="E644" s="17"/>
      <c r="F644" s="17">
        <v>60.0</v>
      </c>
      <c r="G644" s="17">
        <v>65.0</v>
      </c>
      <c r="H644" s="17">
        <v>65.0</v>
      </c>
      <c r="I644" s="17">
        <v>134.0</v>
      </c>
      <c r="J644" s="17">
        <v>114.0</v>
      </c>
      <c r="K644" s="17">
        <v>70.0</v>
      </c>
      <c r="L644" s="29">
        <f t="shared" si="2"/>
        <v>508</v>
      </c>
    </row>
    <row r="645" ht="23.25" customHeight="1">
      <c r="A645" s="17" t="s">
        <v>3830</v>
      </c>
      <c r="B645" s="17" t="str">
        <f t="shared" si="1"/>
        <v/>
      </c>
      <c r="C645" s="17" t="s">
        <v>78</v>
      </c>
      <c r="D645" s="17" t="s">
        <v>2758</v>
      </c>
      <c r="E645" s="17"/>
      <c r="F645" s="17">
        <v>50.0</v>
      </c>
      <c r="G645" s="17">
        <v>85.0</v>
      </c>
      <c r="H645" s="17">
        <v>55.0</v>
      </c>
      <c r="I645" s="17">
        <v>65.0</v>
      </c>
      <c r="J645" s="17">
        <v>65.0</v>
      </c>
      <c r="K645" s="17">
        <v>90.0</v>
      </c>
      <c r="L645" s="29">
        <f t="shared" si="2"/>
        <v>410</v>
      </c>
    </row>
    <row r="646" ht="23.25" customHeight="1">
      <c r="A646" s="17" t="s">
        <v>3831</v>
      </c>
      <c r="B646" s="17" t="str">
        <f t="shared" si="1"/>
        <v/>
      </c>
      <c r="C646" s="17" t="s">
        <v>3832</v>
      </c>
      <c r="D646" s="17" t="s">
        <v>2716</v>
      </c>
      <c r="E646" s="17"/>
      <c r="F646" s="17">
        <v>35.0</v>
      </c>
      <c r="G646" s="17">
        <v>55.0</v>
      </c>
      <c r="H646" s="17">
        <v>35.0</v>
      </c>
      <c r="I646" s="17">
        <v>30.0</v>
      </c>
      <c r="J646" s="17">
        <v>30.0</v>
      </c>
      <c r="K646" s="17">
        <v>35.0</v>
      </c>
      <c r="L646" s="29">
        <f t="shared" si="2"/>
        <v>220</v>
      </c>
    </row>
    <row r="647" ht="23.25" customHeight="1">
      <c r="A647" s="17" t="s">
        <v>3833</v>
      </c>
      <c r="B647" s="17" t="str">
        <f t="shared" si="1"/>
        <v/>
      </c>
      <c r="C647" s="17" t="s">
        <v>3834</v>
      </c>
      <c r="D647" s="17" t="s">
        <v>2736</v>
      </c>
      <c r="E647" s="17"/>
      <c r="F647" s="17">
        <v>50.0</v>
      </c>
      <c r="G647" s="17">
        <v>54.0</v>
      </c>
      <c r="H647" s="17">
        <v>54.0</v>
      </c>
      <c r="I647" s="17">
        <v>66.0</v>
      </c>
      <c r="J647" s="17">
        <v>56.0</v>
      </c>
      <c r="K647" s="17">
        <v>40.0</v>
      </c>
      <c r="L647" s="29">
        <f t="shared" si="2"/>
        <v>320</v>
      </c>
    </row>
    <row r="648" ht="23.25" customHeight="1">
      <c r="A648" s="17" t="s">
        <v>3835</v>
      </c>
      <c r="B648" s="17" t="str">
        <f t="shared" si="1"/>
        <v/>
      </c>
      <c r="C648" s="17" t="s">
        <v>3836</v>
      </c>
      <c r="D648" s="17" t="s">
        <v>2729</v>
      </c>
      <c r="E648" s="17"/>
      <c r="F648" s="17">
        <v>65.0</v>
      </c>
      <c r="G648" s="17">
        <v>60.0</v>
      </c>
      <c r="H648" s="17">
        <v>70.0</v>
      </c>
      <c r="I648" s="17">
        <v>85.0</v>
      </c>
      <c r="J648" s="17">
        <v>75.0</v>
      </c>
      <c r="K648" s="17">
        <v>40.0</v>
      </c>
      <c r="L648" s="29">
        <f t="shared" si="2"/>
        <v>395</v>
      </c>
    </row>
    <row r="649" ht="23.25" customHeight="1">
      <c r="A649" s="17" t="s">
        <v>3837</v>
      </c>
      <c r="B649" s="17" t="str">
        <f t="shared" si="1"/>
        <v/>
      </c>
      <c r="C649" s="17" t="s">
        <v>2585</v>
      </c>
      <c r="D649" s="17" t="s">
        <v>2729</v>
      </c>
      <c r="E649" s="17"/>
      <c r="F649" s="17">
        <v>85.0</v>
      </c>
      <c r="G649" s="17">
        <v>80.0</v>
      </c>
      <c r="H649" s="17">
        <v>70.0</v>
      </c>
      <c r="I649" s="17">
        <v>135.0</v>
      </c>
      <c r="J649" s="17">
        <v>75.0</v>
      </c>
      <c r="K649" s="17">
        <v>90.0</v>
      </c>
      <c r="L649" s="29">
        <f t="shared" si="2"/>
        <v>535</v>
      </c>
    </row>
    <row r="650" ht="23.25" customHeight="1">
      <c r="A650" s="17" t="s">
        <v>3838</v>
      </c>
      <c r="B650" s="17" t="str">
        <f t="shared" si="1"/>
        <v/>
      </c>
      <c r="C650" s="17" t="s">
        <v>3839</v>
      </c>
      <c r="D650" s="17" t="s">
        <v>2729</v>
      </c>
      <c r="E650" s="17"/>
      <c r="F650" s="17">
        <v>85.0</v>
      </c>
      <c r="G650" s="17">
        <v>80.0</v>
      </c>
      <c r="H650" s="17">
        <v>90.0</v>
      </c>
      <c r="I650" s="17">
        <v>105.0</v>
      </c>
      <c r="J650" s="17">
        <v>95.0</v>
      </c>
      <c r="K650" s="17">
        <v>60.0</v>
      </c>
      <c r="L650" s="29">
        <f t="shared" si="2"/>
        <v>515</v>
      </c>
    </row>
    <row r="651" ht="23.25" customHeight="1">
      <c r="A651" s="17" t="s">
        <v>3840</v>
      </c>
      <c r="B651" s="17" t="str">
        <f t="shared" si="1"/>
        <v/>
      </c>
      <c r="C651" s="17" t="s">
        <v>3841</v>
      </c>
      <c r="D651" s="17" t="s">
        <v>2736</v>
      </c>
      <c r="E651" s="17" t="s">
        <v>2733</v>
      </c>
      <c r="F651" s="17">
        <v>80.0</v>
      </c>
      <c r="G651" s="17">
        <v>74.0</v>
      </c>
      <c r="H651" s="17">
        <v>74.0</v>
      </c>
      <c r="I651" s="17">
        <v>126.0</v>
      </c>
      <c r="J651" s="17">
        <v>116.0</v>
      </c>
      <c r="K651" s="17">
        <v>60.0</v>
      </c>
      <c r="L651" s="29">
        <f t="shared" si="2"/>
        <v>530</v>
      </c>
    </row>
    <row r="652" ht="23.25" customHeight="1">
      <c r="A652" s="17" t="s">
        <v>3842</v>
      </c>
      <c r="B652" s="17" t="str">
        <f t="shared" si="1"/>
        <v/>
      </c>
      <c r="C652" s="17" t="s">
        <v>1801</v>
      </c>
      <c r="D652" s="17" t="s">
        <v>2773</v>
      </c>
      <c r="E652" s="17"/>
      <c r="F652" s="17">
        <v>65.0</v>
      </c>
      <c r="G652" s="17">
        <v>105.0</v>
      </c>
      <c r="H652" s="17">
        <v>60.0</v>
      </c>
      <c r="I652" s="17">
        <v>60.0</v>
      </c>
      <c r="J652" s="17">
        <v>70.0</v>
      </c>
      <c r="K652" s="17">
        <v>95.0</v>
      </c>
      <c r="L652" s="29">
        <f t="shared" si="2"/>
        <v>455</v>
      </c>
    </row>
    <row r="653" ht="23.25" customHeight="1">
      <c r="A653" s="17" t="s">
        <v>3843</v>
      </c>
      <c r="B653" s="17" t="str">
        <f t="shared" si="1"/>
        <v/>
      </c>
      <c r="C653" s="17" t="s">
        <v>373</v>
      </c>
      <c r="D653" s="17" t="s">
        <v>2736</v>
      </c>
      <c r="E653" s="17"/>
      <c r="F653" s="17">
        <v>64.0</v>
      </c>
      <c r="G653" s="17">
        <v>66.0</v>
      </c>
      <c r="H653" s="17">
        <v>68.0</v>
      </c>
      <c r="I653" s="17">
        <v>81.0</v>
      </c>
      <c r="J653" s="17">
        <v>76.0</v>
      </c>
      <c r="K653" s="17">
        <v>50.0</v>
      </c>
      <c r="L653" s="29">
        <f t="shared" si="2"/>
        <v>405</v>
      </c>
    </row>
    <row r="654" ht="23.25" customHeight="1">
      <c r="A654" s="17" t="s">
        <v>3844</v>
      </c>
      <c r="B654" s="17" t="str">
        <f t="shared" si="1"/>
        <v/>
      </c>
      <c r="C654" s="17" t="s">
        <v>3845</v>
      </c>
      <c r="D654" s="17" t="s">
        <v>2736</v>
      </c>
      <c r="E654" s="17" t="s">
        <v>2773</v>
      </c>
      <c r="F654" s="17">
        <v>65.0</v>
      </c>
      <c r="G654" s="17">
        <v>75.0</v>
      </c>
      <c r="H654" s="17">
        <v>65.0</v>
      </c>
      <c r="I654" s="17">
        <v>40.0</v>
      </c>
      <c r="J654" s="17">
        <v>60.0</v>
      </c>
      <c r="K654" s="17">
        <v>45.0</v>
      </c>
      <c r="L654" s="29">
        <f t="shared" si="2"/>
        <v>350</v>
      </c>
    </row>
    <row r="655" ht="23.25" customHeight="1">
      <c r="A655" s="17" t="s">
        <v>3846</v>
      </c>
      <c r="B655" s="17" t="str">
        <f t="shared" si="1"/>
        <v/>
      </c>
      <c r="C655" s="17" t="s">
        <v>2459</v>
      </c>
      <c r="D655" s="17" t="s">
        <v>2725</v>
      </c>
      <c r="E655" s="17" t="s">
        <v>2722</v>
      </c>
      <c r="F655" s="17">
        <v>60.0</v>
      </c>
      <c r="G655" s="17">
        <v>55.0</v>
      </c>
      <c r="H655" s="17">
        <v>145.0</v>
      </c>
      <c r="I655" s="17">
        <v>75.0</v>
      </c>
      <c r="J655" s="17">
        <v>150.0</v>
      </c>
      <c r="K655" s="17">
        <v>40.0</v>
      </c>
      <c r="L655" s="29">
        <f t="shared" si="2"/>
        <v>525</v>
      </c>
    </row>
    <row r="656" ht="23.25" customHeight="1">
      <c r="A656" s="17" t="s">
        <v>3847</v>
      </c>
      <c r="B656" s="17" t="str">
        <f t="shared" si="1"/>
        <v/>
      </c>
      <c r="C656" s="17" t="s">
        <v>577</v>
      </c>
      <c r="D656" s="17" t="s">
        <v>2736</v>
      </c>
      <c r="E656" s="17"/>
      <c r="F656" s="17">
        <v>50.0</v>
      </c>
      <c r="G656" s="17">
        <v>52.0</v>
      </c>
      <c r="H656" s="17">
        <v>48.0</v>
      </c>
      <c r="I656" s="17">
        <v>65.0</v>
      </c>
      <c r="J656" s="17">
        <v>50.0</v>
      </c>
      <c r="K656" s="17">
        <v>55.0</v>
      </c>
      <c r="L656" s="29">
        <f t="shared" si="2"/>
        <v>320</v>
      </c>
    </row>
    <row r="657" ht="23.25" customHeight="1">
      <c r="A657" s="17" t="s">
        <v>3848</v>
      </c>
      <c r="B657" s="17" t="str">
        <f t="shared" si="1"/>
        <v/>
      </c>
      <c r="C657" s="17" t="s">
        <v>3849</v>
      </c>
      <c r="D657" s="17" t="s">
        <v>2723</v>
      </c>
      <c r="E657" s="17" t="s">
        <v>2711</v>
      </c>
      <c r="F657" s="17">
        <v>49.0</v>
      </c>
      <c r="G657" s="17">
        <v>66.0</v>
      </c>
      <c r="H657" s="17">
        <v>70.0</v>
      </c>
      <c r="I657" s="17">
        <v>44.0</v>
      </c>
      <c r="J657" s="17">
        <v>55.0</v>
      </c>
      <c r="K657" s="17">
        <v>51.0</v>
      </c>
      <c r="L657" s="29">
        <f t="shared" si="2"/>
        <v>335</v>
      </c>
    </row>
    <row r="658" ht="23.25" customHeight="1">
      <c r="A658" s="17" t="s">
        <v>3850</v>
      </c>
      <c r="B658" s="17" t="str">
        <f t="shared" si="1"/>
        <v/>
      </c>
      <c r="C658" s="17" t="s">
        <v>3851</v>
      </c>
      <c r="D658" s="17" t="s">
        <v>2725</v>
      </c>
      <c r="E658" s="17" t="s">
        <v>2803</v>
      </c>
      <c r="F658" s="17">
        <v>70.0</v>
      </c>
      <c r="G658" s="17">
        <v>84.0</v>
      </c>
      <c r="H658" s="17">
        <v>70.0</v>
      </c>
      <c r="I658" s="17">
        <v>65.0</v>
      </c>
      <c r="J658" s="17">
        <v>70.0</v>
      </c>
      <c r="K658" s="17">
        <v>51.0</v>
      </c>
      <c r="L658" s="29">
        <f t="shared" si="2"/>
        <v>410</v>
      </c>
    </row>
    <row r="659" ht="23.25" customHeight="1">
      <c r="A659" s="17" t="s">
        <v>3852</v>
      </c>
      <c r="B659" s="17" t="str">
        <f t="shared" si="1"/>
        <v/>
      </c>
      <c r="C659" s="17" t="s">
        <v>3853</v>
      </c>
      <c r="D659" s="17" t="s">
        <v>2716</v>
      </c>
      <c r="E659" s="17"/>
      <c r="F659" s="17">
        <v>41.0</v>
      </c>
      <c r="G659" s="17">
        <v>50.0</v>
      </c>
      <c r="H659" s="17">
        <v>37.0</v>
      </c>
      <c r="I659" s="17">
        <v>50.0</v>
      </c>
      <c r="J659" s="17">
        <v>37.0</v>
      </c>
      <c r="K659" s="17">
        <v>66.0</v>
      </c>
      <c r="L659" s="29">
        <f t="shared" si="2"/>
        <v>281</v>
      </c>
    </row>
    <row r="660" ht="23.25" customHeight="1">
      <c r="A660" s="17" t="s">
        <v>3854</v>
      </c>
      <c r="B660" s="17" t="str">
        <f t="shared" si="1"/>
        <v/>
      </c>
      <c r="C660" s="17" t="s">
        <v>1040</v>
      </c>
      <c r="D660" s="17" t="s">
        <v>2729</v>
      </c>
      <c r="E660" s="17"/>
      <c r="F660" s="17">
        <v>71.0</v>
      </c>
      <c r="G660" s="17">
        <v>82.0</v>
      </c>
      <c r="H660" s="17">
        <v>64.0</v>
      </c>
      <c r="I660" s="17">
        <v>64.0</v>
      </c>
      <c r="J660" s="17">
        <v>59.0</v>
      </c>
      <c r="K660" s="17">
        <v>112.0</v>
      </c>
      <c r="L660" s="29">
        <f t="shared" si="2"/>
        <v>452</v>
      </c>
    </row>
    <row r="661" ht="23.25" customHeight="1">
      <c r="A661" s="17" t="s">
        <v>3855</v>
      </c>
      <c r="B661" s="17" t="str">
        <f t="shared" si="1"/>
        <v/>
      </c>
      <c r="C661" s="17" t="s">
        <v>3856</v>
      </c>
      <c r="D661" s="17" t="s">
        <v>2758</v>
      </c>
      <c r="E661" s="17" t="s">
        <v>2711</v>
      </c>
      <c r="F661" s="17">
        <v>120.0</v>
      </c>
      <c r="G661" s="17">
        <v>70.0</v>
      </c>
      <c r="H661" s="17">
        <v>105.0</v>
      </c>
      <c r="I661" s="17">
        <v>95.0</v>
      </c>
      <c r="J661" s="17">
        <v>90.0</v>
      </c>
      <c r="K661" s="17">
        <v>60.0</v>
      </c>
      <c r="L661" s="29">
        <f t="shared" si="2"/>
        <v>540</v>
      </c>
    </row>
    <row r="662" ht="23.25" customHeight="1">
      <c r="A662" s="17" t="s">
        <v>3857</v>
      </c>
      <c r="B662" s="17" t="str">
        <f t="shared" si="1"/>
        <v/>
      </c>
      <c r="C662" s="17" t="s">
        <v>3858</v>
      </c>
      <c r="D662" s="17" t="s">
        <v>2758</v>
      </c>
      <c r="E662" s="17" t="s">
        <v>2729</v>
      </c>
      <c r="F662" s="17">
        <v>86.0</v>
      </c>
      <c r="G662" s="17">
        <v>68.0</v>
      </c>
      <c r="H662" s="17">
        <v>72.0</v>
      </c>
      <c r="I662" s="17">
        <v>109.0</v>
      </c>
      <c r="J662" s="17">
        <v>66.0</v>
      </c>
      <c r="K662" s="17">
        <v>106.0</v>
      </c>
      <c r="L662" s="29">
        <f t="shared" si="2"/>
        <v>507</v>
      </c>
    </row>
    <row r="663" ht="23.25" customHeight="1">
      <c r="A663" s="17" t="s">
        <v>3859</v>
      </c>
      <c r="B663" s="17" t="str">
        <f t="shared" si="1"/>
        <v/>
      </c>
      <c r="C663" s="17" t="s">
        <v>3860</v>
      </c>
      <c r="D663" s="17" t="s">
        <v>2736</v>
      </c>
      <c r="E663" s="17"/>
      <c r="F663" s="17">
        <v>55.0</v>
      </c>
      <c r="G663" s="17">
        <v>60.0</v>
      </c>
      <c r="H663" s="17">
        <v>130.0</v>
      </c>
      <c r="I663" s="17">
        <v>30.0</v>
      </c>
      <c r="J663" s="17">
        <v>130.0</v>
      </c>
      <c r="K663" s="17">
        <v>5.0</v>
      </c>
      <c r="L663" s="29">
        <f t="shared" si="2"/>
        <v>410</v>
      </c>
    </row>
    <row r="664" ht="23.25" customHeight="1">
      <c r="A664" s="17" t="s">
        <v>3861</v>
      </c>
      <c r="B664" s="17" t="str">
        <f t="shared" si="1"/>
        <v/>
      </c>
      <c r="C664" s="17" t="s">
        <v>643</v>
      </c>
      <c r="D664" s="17" t="s">
        <v>2736</v>
      </c>
      <c r="E664" s="17" t="s">
        <v>2803</v>
      </c>
      <c r="F664" s="17">
        <v>95.0</v>
      </c>
      <c r="G664" s="17">
        <v>85.0</v>
      </c>
      <c r="H664" s="17">
        <v>85.0</v>
      </c>
      <c r="I664" s="17">
        <v>65.0</v>
      </c>
      <c r="J664" s="17">
        <v>65.0</v>
      </c>
      <c r="K664" s="17">
        <v>35.0</v>
      </c>
      <c r="L664" s="29">
        <f t="shared" si="2"/>
        <v>430</v>
      </c>
    </row>
    <row r="665" ht="23.25" customHeight="1">
      <c r="A665" s="17" t="s">
        <v>3862</v>
      </c>
      <c r="B665" s="17" t="str">
        <f t="shared" si="1"/>
        <v/>
      </c>
      <c r="C665" s="17" t="s">
        <v>3863</v>
      </c>
      <c r="D665" s="17" t="s">
        <v>2758</v>
      </c>
      <c r="E665" s="17"/>
      <c r="F665" s="17">
        <v>58.0</v>
      </c>
      <c r="G665" s="17">
        <v>64.0</v>
      </c>
      <c r="H665" s="17">
        <v>58.0</v>
      </c>
      <c r="I665" s="17">
        <v>80.0</v>
      </c>
      <c r="J665" s="17">
        <v>65.0</v>
      </c>
      <c r="K665" s="17">
        <v>80.0</v>
      </c>
      <c r="L665" s="29">
        <f t="shared" si="2"/>
        <v>405</v>
      </c>
    </row>
    <row r="666" ht="23.25" customHeight="1">
      <c r="A666" s="17" t="s">
        <v>3864</v>
      </c>
      <c r="B666" s="17" t="str">
        <f t="shared" si="1"/>
        <v/>
      </c>
      <c r="C666" s="17" t="s">
        <v>3865</v>
      </c>
      <c r="D666" s="17" t="s">
        <v>2711</v>
      </c>
      <c r="E666" s="17"/>
      <c r="F666" s="17">
        <v>61.0</v>
      </c>
      <c r="G666" s="17">
        <v>78.0</v>
      </c>
      <c r="H666" s="17">
        <v>95.0</v>
      </c>
      <c r="I666" s="17">
        <v>56.0</v>
      </c>
      <c r="J666" s="17">
        <v>58.0</v>
      </c>
      <c r="K666" s="17">
        <v>57.0</v>
      </c>
      <c r="L666" s="29">
        <f t="shared" si="2"/>
        <v>405</v>
      </c>
    </row>
    <row r="667" ht="23.25" customHeight="1">
      <c r="A667" s="17" t="s">
        <v>3866</v>
      </c>
      <c r="B667" s="17" t="str">
        <f t="shared" si="1"/>
        <v/>
      </c>
      <c r="C667" s="17" t="s">
        <v>3867</v>
      </c>
      <c r="D667" s="17" t="s">
        <v>2736</v>
      </c>
      <c r="E667" s="17" t="s">
        <v>2744</v>
      </c>
      <c r="F667" s="17">
        <v>65.0</v>
      </c>
      <c r="G667" s="17">
        <v>95.0</v>
      </c>
      <c r="H667" s="17">
        <v>85.0</v>
      </c>
      <c r="I667" s="17">
        <v>55.0</v>
      </c>
      <c r="J667" s="17">
        <v>55.0</v>
      </c>
      <c r="K667" s="17">
        <v>85.0</v>
      </c>
      <c r="L667" s="29">
        <f t="shared" si="2"/>
        <v>440</v>
      </c>
    </row>
    <row r="668" ht="23.25" customHeight="1">
      <c r="A668" s="17" t="s">
        <v>3868</v>
      </c>
      <c r="B668" s="17" t="str">
        <f t="shared" si="1"/>
        <v/>
      </c>
      <c r="C668" s="17" t="s">
        <v>3869</v>
      </c>
      <c r="D668" s="17" t="s">
        <v>2758</v>
      </c>
      <c r="E668" s="17"/>
      <c r="F668" s="17">
        <v>65.0</v>
      </c>
      <c r="G668" s="17">
        <v>86.0</v>
      </c>
      <c r="H668" s="17">
        <v>60.0</v>
      </c>
      <c r="I668" s="17">
        <v>55.0</v>
      </c>
      <c r="J668" s="17">
        <v>60.0</v>
      </c>
      <c r="K668" s="17">
        <v>94.0</v>
      </c>
      <c r="L668" s="29">
        <f t="shared" si="2"/>
        <v>420</v>
      </c>
    </row>
    <row r="669" ht="23.25" customHeight="1">
      <c r="A669" s="17" t="s">
        <v>3870</v>
      </c>
      <c r="B669" s="17" t="str">
        <f t="shared" si="1"/>
        <v/>
      </c>
      <c r="C669" s="17" t="s">
        <v>311</v>
      </c>
      <c r="D669" s="17" t="s">
        <v>2746</v>
      </c>
      <c r="E669" s="17"/>
      <c r="F669" s="17">
        <v>60.0</v>
      </c>
      <c r="G669" s="17">
        <v>90.0</v>
      </c>
      <c r="H669" s="17">
        <v>55.0</v>
      </c>
      <c r="I669" s="17">
        <v>90.0</v>
      </c>
      <c r="J669" s="17">
        <v>80.0</v>
      </c>
      <c r="K669" s="17">
        <v>110.0</v>
      </c>
      <c r="L669" s="29">
        <f t="shared" si="2"/>
        <v>485</v>
      </c>
    </row>
    <row r="670" ht="23.25" customHeight="1">
      <c r="A670" s="17" t="s">
        <v>3871</v>
      </c>
      <c r="B670" s="17" t="str">
        <f t="shared" si="1"/>
        <v/>
      </c>
      <c r="C670" s="17" t="s">
        <v>3872</v>
      </c>
      <c r="D670" s="17" t="s">
        <v>2746</v>
      </c>
      <c r="E670" s="17"/>
      <c r="F670" s="17">
        <v>90.0</v>
      </c>
      <c r="G670" s="17">
        <v>85.0</v>
      </c>
      <c r="H670" s="17">
        <v>75.0</v>
      </c>
      <c r="I670" s="17">
        <v>115.0</v>
      </c>
      <c r="J670" s="17">
        <v>100.0</v>
      </c>
      <c r="K670" s="17">
        <v>115.0</v>
      </c>
      <c r="L670" s="29">
        <f t="shared" si="2"/>
        <v>580</v>
      </c>
    </row>
    <row r="671" ht="23.25" customHeight="1">
      <c r="A671" s="17" t="s">
        <v>3873</v>
      </c>
      <c r="B671" s="17" t="str">
        <f t="shared" si="1"/>
        <v/>
      </c>
      <c r="C671" s="17" t="s">
        <v>3874</v>
      </c>
      <c r="D671" s="17" t="s">
        <v>2714</v>
      </c>
      <c r="E671" s="17" t="s">
        <v>2733</v>
      </c>
      <c r="F671" s="17">
        <v>28.0</v>
      </c>
      <c r="G671" s="17">
        <v>25.0</v>
      </c>
      <c r="H671" s="17">
        <v>25.0</v>
      </c>
      <c r="I671" s="17">
        <v>45.0</v>
      </c>
      <c r="J671" s="17">
        <v>35.0</v>
      </c>
      <c r="K671" s="17">
        <v>40.0</v>
      </c>
      <c r="L671" s="29">
        <f t="shared" si="2"/>
        <v>198</v>
      </c>
    </row>
    <row r="672" ht="23.25" customHeight="1">
      <c r="A672" s="17" t="s">
        <v>3875</v>
      </c>
      <c r="B672" s="17" t="str">
        <f t="shared" si="1"/>
        <v/>
      </c>
      <c r="C672" s="17" t="s">
        <v>714</v>
      </c>
      <c r="D672" s="17" t="s">
        <v>2725</v>
      </c>
      <c r="E672" s="17"/>
      <c r="F672" s="17">
        <v>97.0</v>
      </c>
      <c r="G672" s="17">
        <v>165.0</v>
      </c>
      <c r="H672" s="17">
        <v>60.0</v>
      </c>
      <c r="I672" s="17">
        <v>65.0</v>
      </c>
      <c r="J672" s="17">
        <v>50.0</v>
      </c>
      <c r="K672" s="17">
        <v>58.0</v>
      </c>
      <c r="L672" s="29">
        <f t="shared" si="2"/>
        <v>495</v>
      </c>
    </row>
    <row r="673" ht="23.25" customHeight="1">
      <c r="A673" s="17" t="s">
        <v>3876</v>
      </c>
      <c r="B673" s="17" t="str">
        <f t="shared" si="1"/>
        <v/>
      </c>
      <c r="C673" s="17" t="s">
        <v>710</v>
      </c>
      <c r="D673" s="17" t="s">
        <v>2758</v>
      </c>
      <c r="E673" s="17"/>
      <c r="F673" s="17">
        <v>65.0</v>
      </c>
      <c r="G673" s="17">
        <v>100.0</v>
      </c>
      <c r="H673" s="17">
        <v>70.0</v>
      </c>
      <c r="I673" s="17">
        <v>80.0</v>
      </c>
      <c r="J673" s="17">
        <v>80.0</v>
      </c>
      <c r="K673" s="17">
        <v>105.0</v>
      </c>
      <c r="L673" s="29">
        <f t="shared" si="2"/>
        <v>500</v>
      </c>
    </row>
    <row r="674" ht="23.25" customHeight="1">
      <c r="A674" s="17" t="s">
        <v>3877</v>
      </c>
      <c r="B674" s="17" t="str">
        <f t="shared" si="1"/>
        <v/>
      </c>
      <c r="C674" s="17" t="s">
        <v>3878</v>
      </c>
      <c r="D674" s="17" t="s">
        <v>2729</v>
      </c>
      <c r="E674" s="17"/>
      <c r="F674" s="17">
        <v>55.0</v>
      </c>
      <c r="G674" s="17">
        <v>81.0</v>
      </c>
      <c r="H674" s="17">
        <v>60.0</v>
      </c>
      <c r="I674" s="17">
        <v>50.0</v>
      </c>
      <c r="J674" s="17">
        <v>70.0</v>
      </c>
      <c r="K674" s="17">
        <v>97.0</v>
      </c>
      <c r="L674" s="29">
        <f t="shared" si="2"/>
        <v>413</v>
      </c>
    </row>
    <row r="675" ht="23.25" customHeight="1">
      <c r="A675" s="17" t="s">
        <v>3879</v>
      </c>
      <c r="B675" s="17" t="str">
        <f t="shared" si="1"/>
        <v/>
      </c>
      <c r="C675" s="17" t="s">
        <v>2394</v>
      </c>
      <c r="D675" s="17" t="s">
        <v>2729</v>
      </c>
      <c r="E675" s="17"/>
      <c r="F675" s="17">
        <v>30.0</v>
      </c>
      <c r="G675" s="17">
        <v>56.0</v>
      </c>
      <c r="H675" s="17">
        <v>35.0</v>
      </c>
      <c r="I675" s="17">
        <v>25.0</v>
      </c>
      <c r="J675" s="17">
        <v>35.0</v>
      </c>
      <c r="K675" s="17">
        <v>72.0</v>
      </c>
      <c r="L675" s="29">
        <f t="shared" si="2"/>
        <v>253</v>
      </c>
    </row>
    <row r="676" ht="23.25" customHeight="1">
      <c r="A676" s="17" t="s">
        <v>3880</v>
      </c>
      <c r="B676" s="17" t="str">
        <f t="shared" si="1"/>
        <v/>
      </c>
      <c r="C676" s="17" t="s">
        <v>3881</v>
      </c>
      <c r="D676" s="17" t="s">
        <v>2738</v>
      </c>
      <c r="E676" s="17" t="s">
        <v>2726</v>
      </c>
      <c r="F676" s="17">
        <v>105.0</v>
      </c>
      <c r="G676" s="17">
        <v>150.0</v>
      </c>
      <c r="H676" s="17">
        <v>90.0</v>
      </c>
      <c r="I676" s="17">
        <v>150.0</v>
      </c>
      <c r="J676" s="17">
        <v>90.0</v>
      </c>
      <c r="K676" s="17">
        <v>95.0</v>
      </c>
      <c r="L676" s="29">
        <f t="shared" si="2"/>
        <v>680</v>
      </c>
    </row>
    <row r="677" ht="23.25" customHeight="1">
      <c r="A677" s="17" t="s">
        <v>3882</v>
      </c>
      <c r="B677" s="17" t="str">
        <f t="shared" si="1"/>
        <v/>
      </c>
      <c r="C677" s="17" t="s">
        <v>3883</v>
      </c>
      <c r="D677" s="17" t="s">
        <v>2725</v>
      </c>
      <c r="E677" s="17"/>
      <c r="F677" s="17">
        <v>45.0</v>
      </c>
      <c r="G677" s="17">
        <v>25.0</v>
      </c>
      <c r="H677" s="17">
        <v>65.0</v>
      </c>
      <c r="I677" s="17">
        <v>75.0</v>
      </c>
      <c r="J677" s="17">
        <v>55.0</v>
      </c>
      <c r="K677" s="17">
        <v>80.0</v>
      </c>
      <c r="L677" s="29">
        <f t="shared" si="2"/>
        <v>345</v>
      </c>
    </row>
    <row r="678" ht="23.25" customHeight="1">
      <c r="A678" s="17" t="s">
        <v>3884</v>
      </c>
      <c r="B678" s="17" t="str">
        <f t="shared" si="1"/>
        <v/>
      </c>
      <c r="C678" s="17" t="s">
        <v>3885</v>
      </c>
      <c r="D678" s="17" t="s">
        <v>2712</v>
      </c>
      <c r="E678" s="17"/>
      <c r="F678" s="17">
        <v>80.0</v>
      </c>
      <c r="G678" s="17">
        <v>50.0</v>
      </c>
      <c r="H678" s="17">
        <v>100.0</v>
      </c>
      <c r="I678" s="17">
        <v>100.0</v>
      </c>
      <c r="J678" s="17">
        <v>200.0</v>
      </c>
      <c r="K678" s="17">
        <v>50.0</v>
      </c>
      <c r="L678" s="29">
        <f t="shared" si="2"/>
        <v>580</v>
      </c>
    </row>
    <row r="679" ht="23.25" customHeight="1">
      <c r="A679" s="17" t="s">
        <v>3886</v>
      </c>
      <c r="B679" s="17" t="str">
        <f t="shared" si="1"/>
        <v/>
      </c>
      <c r="C679" s="17" t="s">
        <v>3887</v>
      </c>
      <c r="D679" s="17" t="s">
        <v>2738</v>
      </c>
      <c r="E679" s="17"/>
      <c r="F679" s="17">
        <v>200.0</v>
      </c>
      <c r="G679" s="17">
        <v>100.0</v>
      </c>
      <c r="H679" s="17">
        <v>50.0</v>
      </c>
      <c r="I679" s="17">
        <v>100.0</v>
      </c>
      <c r="J679" s="17">
        <v>50.0</v>
      </c>
      <c r="K679" s="17">
        <v>80.0</v>
      </c>
      <c r="L679" s="29">
        <f t="shared" si="2"/>
        <v>580</v>
      </c>
    </row>
    <row r="680" ht="23.25" customHeight="1">
      <c r="A680" s="17" t="s">
        <v>3888</v>
      </c>
      <c r="B680" s="17" t="str">
        <f t="shared" si="1"/>
        <v/>
      </c>
      <c r="C680" s="17" t="s">
        <v>3889</v>
      </c>
      <c r="D680" s="17" t="s">
        <v>2746</v>
      </c>
      <c r="E680" s="17"/>
      <c r="F680" s="17">
        <v>80.0</v>
      </c>
      <c r="G680" s="17">
        <v>100.0</v>
      </c>
      <c r="H680" s="17">
        <v>50.0</v>
      </c>
      <c r="I680" s="17">
        <v>100.0</v>
      </c>
      <c r="J680" s="17">
        <v>50.0</v>
      </c>
      <c r="K680" s="17">
        <v>200.0</v>
      </c>
      <c r="L680" s="29">
        <f t="shared" si="2"/>
        <v>580</v>
      </c>
    </row>
    <row r="681" ht="23.25" customHeight="1">
      <c r="A681" s="17" t="s">
        <v>3890</v>
      </c>
      <c r="B681" s="17" t="str">
        <f t="shared" si="1"/>
        <v/>
      </c>
      <c r="C681" s="17" t="s">
        <v>3891</v>
      </c>
      <c r="D681" s="17" t="s">
        <v>2729</v>
      </c>
      <c r="E681" s="17"/>
      <c r="F681" s="17">
        <v>110.0</v>
      </c>
      <c r="G681" s="17">
        <v>160.0</v>
      </c>
      <c r="H681" s="17">
        <v>110.0</v>
      </c>
      <c r="I681" s="17">
        <v>80.0</v>
      </c>
      <c r="J681" s="17">
        <v>110.0</v>
      </c>
      <c r="K681" s="17">
        <v>100.0</v>
      </c>
      <c r="L681" s="29">
        <f t="shared" si="2"/>
        <v>670</v>
      </c>
    </row>
    <row r="682" ht="23.25" customHeight="1">
      <c r="A682" s="17" t="s">
        <v>3892</v>
      </c>
      <c r="B682" s="17" t="str">
        <f t="shared" si="1"/>
        <v/>
      </c>
      <c r="C682" s="17" t="s">
        <v>3893</v>
      </c>
      <c r="D682" s="17" t="s">
        <v>2725</v>
      </c>
      <c r="E682" s="17"/>
      <c r="F682" s="17">
        <v>80.0</v>
      </c>
      <c r="G682" s="17">
        <v>100.0</v>
      </c>
      <c r="H682" s="17">
        <v>200.0</v>
      </c>
      <c r="I682" s="17">
        <v>50.0</v>
      </c>
      <c r="J682" s="17">
        <v>100.0</v>
      </c>
      <c r="K682" s="17">
        <v>50.0</v>
      </c>
      <c r="L682" s="29">
        <f t="shared" si="2"/>
        <v>580</v>
      </c>
    </row>
    <row r="683" ht="23.25" customHeight="1">
      <c r="A683" s="17" t="s">
        <v>3894</v>
      </c>
      <c r="B683" s="17" t="str">
        <f t="shared" si="1"/>
        <v/>
      </c>
      <c r="C683" s="17" t="s">
        <v>3895</v>
      </c>
      <c r="D683" s="17" t="s">
        <v>2722</v>
      </c>
      <c r="E683" s="17"/>
      <c r="F683" s="17">
        <v>80.0</v>
      </c>
      <c r="G683" s="17">
        <v>75.0</v>
      </c>
      <c r="H683" s="17">
        <v>150.0</v>
      </c>
      <c r="I683" s="17">
        <v>75.0</v>
      </c>
      <c r="J683" s="17">
        <v>150.0</v>
      </c>
      <c r="K683" s="17">
        <v>50.0</v>
      </c>
      <c r="L683" s="29">
        <f t="shared" si="2"/>
        <v>580</v>
      </c>
    </row>
    <row r="684" ht="23.25" customHeight="1">
      <c r="A684" s="17" t="s">
        <v>3896</v>
      </c>
      <c r="B684" s="17" t="str">
        <f t="shared" si="1"/>
        <v/>
      </c>
      <c r="C684" s="17" t="s">
        <v>2462</v>
      </c>
      <c r="D684" s="17" t="s">
        <v>2736</v>
      </c>
      <c r="E684" s="17" t="s">
        <v>2725</v>
      </c>
      <c r="F684" s="17">
        <v>100.0</v>
      </c>
      <c r="G684" s="17">
        <v>90.0</v>
      </c>
      <c r="H684" s="17">
        <v>130.0</v>
      </c>
      <c r="I684" s="17">
        <v>45.0</v>
      </c>
      <c r="J684" s="17">
        <v>65.0</v>
      </c>
      <c r="K684" s="17">
        <v>55.0</v>
      </c>
      <c r="L684" s="29">
        <f t="shared" si="2"/>
        <v>485</v>
      </c>
    </row>
    <row r="685" ht="23.25" customHeight="1">
      <c r="A685" s="17" t="s">
        <v>3897</v>
      </c>
      <c r="B685" s="17" t="str">
        <f t="shared" si="1"/>
        <v/>
      </c>
      <c r="C685" s="17" t="s">
        <v>427</v>
      </c>
      <c r="D685" s="17" t="s">
        <v>2736</v>
      </c>
      <c r="E685" s="17"/>
      <c r="F685" s="17">
        <v>35.0</v>
      </c>
      <c r="G685" s="17">
        <v>65.0</v>
      </c>
      <c r="H685" s="17">
        <v>35.0</v>
      </c>
      <c r="I685" s="17">
        <v>65.0</v>
      </c>
      <c r="J685" s="17">
        <v>35.0</v>
      </c>
      <c r="K685" s="17">
        <v>65.0</v>
      </c>
      <c r="L685" s="29">
        <f t="shared" si="2"/>
        <v>300</v>
      </c>
    </row>
    <row r="686" ht="23.25" customHeight="1">
      <c r="A686" s="17" t="s">
        <v>3898</v>
      </c>
      <c r="B686" s="17" t="str">
        <f t="shared" si="1"/>
        <v/>
      </c>
      <c r="C686" s="17" t="s">
        <v>3899</v>
      </c>
      <c r="D686" s="17" t="s">
        <v>2738</v>
      </c>
      <c r="E686" s="17" t="s">
        <v>2758</v>
      </c>
      <c r="F686" s="17">
        <v>100.0</v>
      </c>
      <c r="G686" s="17">
        <v>120.0</v>
      </c>
      <c r="H686" s="17">
        <v>100.0</v>
      </c>
      <c r="I686" s="17">
        <v>150.0</v>
      </c>
      <c r="J686" s="17">
        <v>120.0</v>
      </c>
      <c r="K686" s="17">
        <v>90.0</v>
      </c>
      <c r="L686" s="29">
        <f t="shared" si="2"/>
        <v>680</v>
      </c>
    </row>
    <row r="687" ht="23.25" customHeight="1">
      <c r="A687" s="17" t="s">
        <v>3900</v>
      </c>
      <c r="B687" s="17" t="str">
        <f t="shared" si="1"/>
        <v/>
      </c>
      <c r="C687" s="17" t="s">
        <v>3901</v>
      </c>
      <c r="D687" s="17" t="s">
        <v>2714</v>
      </c>
      <c r="E687" s="17"/>
      <c r="F687" s="17">
        <v>110.0</v>
      </c>
      <c r="G687" s="17">
        <v>65.0</v>
      </c>
      <c r="H687" s="17">
        <v>75.0</v>
      </c>
      <c r="I687" s="17">
        <v>125.0</v>
      </c>
      <c r="J687" s="17">
        <v>85.0</v>
      </c>
      <c r="K687" s="17">
        <v>30.0</v>
      </c>
      <c r="L687" s="29">
        <f t="shared" si="2"/>
        <v>490</v>
      </c>
    </row>
    <row r="688" ht="23.25" customHeight="1">
      <c r="A688" s="17" t="s">
        <v>3902</v>
      </c>
      <c r="B688" s="17" t="str">
        <f t="shared" si="1"/>
        <v/>
      </c>
      <c r="C688" s="17" t="s">
        <v>3903</v>
      </c>
      <c r="D688" s="17" t="s">
        <v>2723</v>
      </c>
      <c r="E688" s="17" t="s">
        <v>2773</v>
      </c>
      <c r="F688" s="17">
        <v>90.0</v>
      </c>
      <c r="G688" s="17">
        <v>105.0</v>
      </c>
      <c r="H688" s="17">
        <v>90.0</v>
      </c>
      <c r="I688" s="17">
        <v>65.0</v>
      </c>
      <c r="J688" s="17">
        <v>110.0</v>
      </c>
      <c r="K688" s="17">
        <v>65.0</v>
      </c>
      <c r="L688" s="29">
        <f t="shared" si="2"/>
        <v>525</v>
      </c>
    </row>
    <row r="689" ht="23.25" customHeight="1">
      <c r="A689" s="17" t="s">
        <v>3904</v>
      </c>
      <c r="B689" s="17" t="str">
        <f t="shared" si="1"/>
        <v/>
      </c>
      <c r="C689" s="17" t="s">
        <v>3905</v>
      </c>
      <c r="D689" s="17" t="s">
        <v>2803</v>
      </c>
      <c r="E689" s="17" t="s">
        <v>2725</v>
      </c>
      <c r="F689" s="17">
        <v>105.0</v>
      </c>
      <c r="G689" s="17">
        <v>130.0</v>
      </c>
      <c r="H689" s="17">
        <v>120.0</v>
      </c>
      <c r="I689" s="17">
        <v>45.0</v>
      </c>
      <c r="J689" s="17">
        <v>45.0</v>
      </c>
      <c r="K689" s="17">
        <v>40.0</v>
      </c>
      <c r="L689" s="29">
        <f t="shared" si="2"/>
        <v>485</v>
      </c>
    </row>
    <row r="690" ht="23.25" customHeight="1">
      <c r="A690" s="17" t="s">
        <v>3906</v>
      </c>
      <c r="B690" s="17" t="str">
        <f t="shared" si="1"/>
        <v/>
      </c>
      <c r="C690" s="17" t="s">
        <v>3907</v>
      </c>
      <c r="D690" s="17" t="s">
        <v>2803</v>
      </c>
      <c r="E690" s="17" t="s">
        <v>2725</v>
      </c>
      <c r="F690" s="17">
        <v>80.0</v>
      </c>
      <c r="G690" s="17">
        <v>85.0</v>
      </c>
      <c r="H690" s="17">
        <v>95.0</v>
      </c>
      <c r="I690" s="17">
        <v>30.0</v>
      </c>
      <c r="J690" s="17">
        <v>30.0</v>
      </c>
      <c r="K690" s="17">
        <v>25.0</v>
      </c>
      <c r="L690" s="29">
        <f t="shared" si="2"/>
        <v>345</v>
      </c>
    </row>
    <row r="691" ht="23.25" customHeight="1">
      <c r="A691" s="17" t="s">
        <v>3908</v>
      </c>
      <c r="B691" s="17" t="str">
        <f t="shared" si="1"/>
        <v/>
      </c>
      <c r="C691" s="17" t="s">
        <v>2654</v>
      </c>
      <c r="D691" s="17" t="s">
        <v>2803</v>
      </c>
      <c r="E691" s="17" t="s">
        <v>2725</v>
      </c>
      <c r="F691" s="17">
        <v>115.0</v>
      </c>
      <c r="G691" s="17">
        <v>140.0</v>
      </c>
      <c r="H691" s="17">
        <v>130.0</v>
      </c>
      <c r="I691" s="17">
        <v>55.0</v>
      </c>
      <c r="J691" s="17">
        <v>55.0</v>
      </c>
      <c r="K691" s="17">
        <v>40.0</v>
      </c>
      <c r="L691" s="29">
        <f t="shared" si="2"/>
        <v>535</v>
      </c>
    </row>
    <row r="692" ht="23.25" customHeight="1">
      <c r="A692" s="17" t="s">
        <v>3909</v>
      </c>
      <c r="B692" s="17" t="str">
        <f t="shared" si="1"/>
        <v/>
      </c>
      <c r="C692" s="17" t="s">
        <v>3910</v>
      </c>
      <c r="D692" s="17" t="s">
        <v>2719</v>
      </c>
      <c r="E692" s="17" t="s">
        <v>2733</v>
      </c>
      <c r="F692" s="17">
        <v>60.0</v>
      </c>
      <c r="G692" s="17">
        <v>55.0</v>
      </c>
      <c r="H692" s="17">
        <v>60.0</v>
      </c>
      <c r="I692" s="17">
        <v>95.0</v>
      </c>
      <c r="J692" s="17">
        <v>70.0</v>
      </c>
      <c r="K692" s="17">
        <v>124.0</v>
      </c>
      <c r="L692" s="29">
        <f t="shared" si="2"/>
        <v>464</v>
      </c>
    </row>
    <row r="693" ht="23.25" customHeight="1">
      <c r="A693" s="17" t="s">
        <v>3911</v>
      </c>
      <c r="B693" s="17" t="str">
        <f t="shared" si="1"/>
        <v/>
      </c>
      <c r="C693" s="17" t="s">
        <v>3912</v>
      </c>
      <c r="D693" s="17" t="s">
        <v>2711</v>
      </c>
      <c r="E693" s="17"/>
      <c r="F693" s="17">
        <v>100.0</v>
      </c>
      <c r="G693" s="17">
        <v>125.0</v>
      </c>
      <c r="H693" s="17">
        <v>90.0</v>
      </c>
      <c r="I693" s="17">
        <v>60.0</v>
      </c>
      <c r="J693" s="17">
        <v>70.0</v>
      </c>
      <c r="K693" s="17">
        <v>85.0</v>
      </c>
      <c r="L693" s="29">
        <f t="shared" si="2"/>
        <v>530</v>
      </c>
    </row>
    <row r="694" ht="23.25" customHeight="1">
      <c r="A694" s="17" t="s">
        <v>3913</v>
      </c>
      <c r="B694" s="17" t="str">
        <f t="shared" si="1"/>
        <v/>
      </c>
      <c r="C694" s="17" t="s">
        <v>789</v>
      </c>
      <c r="D694" s="17" t="s">
        <v>2773</v>
      </c>
      <c r="E694" s="17"/>
      <c r="F694" s="17">
        <v>40.0</v>
      </c>
      <c r="G694" s="17">
        <v>70.0</v>
      </c>
      <c r="H694" s="17">
        <v>40.0</v>
      </c>
      <c r="I694" s="17">
        <v>35.0</v>
      </c>
      <c r="J694" s="17">
        <v>40.0</v>
      </c>
      <c r="K694" s="17">
        <v>60.0</v>
      </c>
      <c r="L694" s="29">
        <f t="shared" si="2"/>
        <v>285</v>
      </c>
    </row>
    <row r="695" ht="23.25" customHeight="1">
      <c r="A695" s="17" t="s">
        <v>3914</v>
      </c>
      <c r="B695" s="17" t="str">
        <f t="shared" si="1"/>
        <v/>
      </c>
      <c r="C695" s="17" t="s">
        <v>3915</v>
      </c>
      <c r="D695" s="17" t="s">
        <v>2725</v>
      </c>
      <c r="E695" s="17"/>
      <c r="F695" s="17">
        <v>45.0</v>
      </c>
      <c r="G695" s="17">
        <v>65.0</v>
      </c>
      <c r="H695" s="17">
        <v>40.0</v>
      </c>
      <c r="I695" s="17">
        <v>30.0</v>
      </c>
      <c r="J695" s="17">
        <v>40.0</v>
      </c>
      <c r="K695" s="17">
        <v>60.0</v>
      </c>
      <c r="L695" s="29">
        <f t="shared" si="2"/>
        <v>280</v>
      </c>
    </row>
    <row r="696" ht="23.25" customHeight="1">
      <c r="A696" s="17" t="s">
        <v>3916</v>
      </c>
      <c r="B696" s="17" t="str">
        <f t="shared" si="1"/>
        <v/>
      </c>
      <c r="C696" s="17" t="s">
        <v>3917</v>
      </c>
      <c r="D696" s="17" t="s">
        <v>2725</v>
      </c>
      <c r="E696" s="17"/>
      <c r="F696" s="17">
        <v>55.0</v>
      </c>
      <c r="G696" s="17">
        <v>75.0</v>
      </c>
      <c r="H696" s="17">
        <v>85.0</v>
      </c>
      <c r="I696" s="17">
        <v>25.0</v>
      </c>
      <c r="J696" s="17">
        <v>25.0</v>
      </c>
      <c r="K696" s="17">
        <v>15.0</v>
      </c>
      <c r="L696" s="29">
        <f t="shared" si="2"/>
        <v>280</v>
      </c>
    </row>
    <row r="697" ht="23.25" customHeight="1">
      <c r="A697" s="17" t="s">
        <v>3918</v>
      </c>
      <c r="B697" s="17" t="str">
        <f t="shared" si="1"/>
        <v/>
      </c>
      <c r="C697" s="17" t="s">
        <v>3919</v>
      </c>
      <c r="D697" s="17" t="s">
        <v>2725</v>
      </c>
      <c r="E697" s="17"/>
      <c r="F697" s="17">
        <v>30.0</v>
      </c>
      <c r="G697" s="17">
        <v>40.0</v>
      </c>
      <c r="H697" s="17">
        <v>50.0</v>
      </c>
      <c r="I697" s="17">
        <v>40.0</v>
      </c>
      <c r="J697" s="17">
        <v>50.0</v>
      </c>
      <c r="K697" s="17">
        <v>30.0</v>
      </c>
      <c r="L697" s="29">
        <f t="shared" si="2"/>
        <v>240</v>
      </c>
    </row>
    <row r="698" ht="23.25" customHeight="1">
      <c r="A698" s="17" t="s">
        <v>3920</v>
      </c>
      <c r="B698" s="17" t="str">
        <f t="shared" si="1"/>
        <v/>
      </c>
      <c r="C698" s="17" t="s">
        <v>3921</v>
      </c>
      <c r="D698" s="17" t="s">
        <v>2726</v>
      </c>
      <c r="E698" s="17"/>
      <c r="F698" s="17">
        <v>38.0</v>
      </c>
      <c r="G698" s="17">
        <v>47.0</v>
      </c>
      <c r="H698" s="17">
        <v>35.0</v>
      </c>
      <c r="I698" s="17">
        <v>33.0</v>
      </c>
      <c r="J698" s="17">
        <v>35.0</v>
      </c>
      <c r="K698" s="17">
        <v>57.0</v>
      </c>
      <c r="L698" s="29">
        <f t="shared" si="2"/>
        <v>245</v>
      </c>
    </row>
    <row r="699" ht="23.25" customHeight="1">
      <c r="A699" s="17" t="s">
        <v>3922</v>
      </c>
      <c r="B699" s="17" t="str">
        <f t="shared" si="1"/>
        <v/>
      </c>
      <c r="C699" s="17" t="s">
        <v>198</v>
      </c>
      <c r="D699" s="17" t="s">
        <v>2711</v>
      </c>
      <c r="E699" s="17" t="s">
        <v>2744</v>
      </c>
      <c r="F699" s="17">
        <v>50.0</v>
      </c>
      <c r="G699" s="17">
        <v>60.0</v>
      </c>
      <c r="H699" s="17">
        <v>45.0</v>
      </c>
      <c r="I699" s="17">
        <v>100.0</v>
      </c>
      <c r="J699" s="17">
        <v>80.0</v>
      </c>
      <c r="K699" s="17">
        <v>65.0</v>
      </c>
      <c r="L699" s="29">
        <f t="shared" si="2"/>
        <v>400</v>
      </c>
    </row>
    <row r="700" ht="23.25" customHeight="1">
      <c r="A700" s="17" t="s">
        <v>3923</v>
      </c>
      <c r="B700" s="17" t="str">
        <f t="shared" si="1"/>
        <v/>
      </c>
      <c r="C700" s="17" t="s">
        <v>906</v>
      </c>
      <c r="D700" s="17" t="s">
        <v>2711</v>
      </c>
      <c r="E700" s="17" t="s">
        <v>2744</v>
      </c>
      <c r="F700" s="17">
        <v>60.0</v>
      </c>
      <c r="G700" s="17">
        <v>70.0</v>
      </c>
      <c r="H700" s="17">
        <v>65.0</v>
      </c>
      <c r="I700" s="17">
        <v>125.0</v>
      </c>
      <c r="J700" s="17">
        <v>105.0</v>
      </c>
      <c r="K700" s="17">
        <v>90.0</v>
      </c>
      <c r="L700" s="29">
        <f t="shared" si="2"/>
        <v>515</v>
      </c>
    </row>
    <row r="701" ht="23.25" customHeight="1">
      <c r="A701" s="17" t="s">
        <v>3924</v>
      </c>
      <c r="B701" s="17" t="str">
        <f t="shared" si="1"/>
        <v/>
      </c>
      <c r="C701" s="17" t="s">
        <v>3925</v>
      </c>
      <c r="D701" s="17" t="s">
        <v>2746</v>
      </c>
      <c r="E701" s="17" t="s">
        <v>2723</v>
      </c>
      <c r="F701" s="17">
        <v>50.0</v>
      </c>
      <c r="G701" s="17">
        <v>50.0</v>
      </c>
      <c r="H701" s="17">
        <v>77.0</v>
      </c>
      <c r="I701" s="17">
        <v>95.0</v>
      </c>
      <c r="J701" s="17">
        <v>77.0</v>
      </c>
      <c r="K701" s="17">
        <v>91.0</v>
      </c>
      <c r="L701" s="29">
        <f t="shared" si="2"/>
        <v>440</v>
      </c>
    </row>
    <row r="702" ht="23.25" customHeight="1">
      <c r="A702" s="17" t="s">
        <v>3926</v>
      </c>
      <c r="B702" s="17" t="str">
        <f t="shared" si="1"/>
        <v/>
      </c>
      <c r="C702" s="17" t="s">
        <v>3927</v>
      </c>
      <c r="D702" s="17" t="s">
        <v>2711</v>
      </c>
      <c r="E702" s="17" t="s">
        <v>2726</v>
      </c>
      <c r="F702" s="17">
        <v>68.0</v>
      </c>
      <c r="G702" s="17">
        <v>55.0</v>
      </c>
      <c r="H702" s="17">
        <v>55.0</v>
      </c>
      <c r="I702" s="17">
        <v>50.0</v>
      </c>
      <c r="J702" s="17">
        <v>50.0</v>
      </c>
      <c r="K702" s="17">
        <v>42.0</v>
      </c>
      <c r="L702" s="29">
        <f t="shared" si="2"/>
        <v>320</v>
      </c>
    </row>
    <row r="703" ht="23.25" customHeight="1">
      <c r="A703" s="17" t="s">
        <v>3928</v>
      </c>
      <c r="B703" s="17" t="str">
        <f t="shared" si="1"/>
        <v/>
      </c>
      <c r="C703" s="17" t="s">
        <v>3929</v>
      </c>
      <c r="D703" s="17" t="s">
        <v>2729</v>
      </c>
      <c r="E703" s="17" t="s">
        <v>2726</v>
      </c>
      <c r="F703" s="17">
        <v>70.0</v>
      </c>
      <c r="G703" s="17">
        <v>83.0</v>
      </c>
      <c r="H703" s="17">
        <v>50.0</v>
      </c>
      <c r="I703" s="17">
        <v>37.0</v>
      </c>
      <c r="J703" s="17">
        <v>50.0</v>
      </c>
      <c r="K703" s="17">
        <v>60.0</v>
      </c>
      <c r="L703" s="29">
        <f t="shared" si="2"/>
        <v>350</v>
      </c>
    </row>
    <row r="704" ht="23.25" customHeight="1">
      <c r="A704" s="17" t="s">
        <v>3930</v>
      </c>
      <c r="B704" s="17" t="str">
        <f t="shared" si="1"/>
        <v/>
      </c>
      <c r="C704" s="17" t="s">
        <v>3931</v>
      </c>
      <c r="D704" s="17" t="s">
        <v>2803</v>
      </c>
      <c r="E704" s="17" t="s">
        <v>2723</v>
      </c>
      <c r="F704" s="17">
        <v>58.0</v>
      </c>
      <c r="G704" s="17">
        <v>95.0</v>
      </c>
      <c r="H704" s="17">
        <v>145.0</v>
      </c>
      <c r="I704" s="17">
        <v>50.0</v>
      </c>
      <c r="J704" s="17">
        <v>105.0</v>
      </c>
      <c r="K704" s="17">
        <v>30.0</v>
      </c>
      <c r="L704" s="29">
        <f t="shared" si="2"/>
        <v>483</v>
      </c>
    </row>
    <row r="705" ht="23.25" customHeight="1">
      <c r="A705" s="17" t="s">
        <v>3932</v>
      </c>
      <c r="B705" s="17" t="str">
        <f t="shared" si="1"/>
        <v/>
      </c>
      <c r="C705" s="17" t="s">
        <v>3933</v>
      </c>
      <c r="D705" s="17" t="s">
        <v>2716</v>
      </c>
      <c r="E705" s="17" t="s">
        <v>2723</v>
      </c>
      <c r="F705" s="17">
        <v>50.0</v>
      </c>
      <c r="G705" s="17">
        <v>75.0</v>
      </c>
      <c r="H705" s="17">
        <v>75.0</v>
      </c>
      <c r="I705" s="17">
        <v>65.0</v>
      </c>
      <c r="J705" s="17">
        <v>65.0</v>
      </c>
      <c r="K705" s="17">
        <v>50.0</v>
      </c>
      <c r="L705" s="29">
        <f t="shared" si="2"/>
        <v>380</v>
      </c>
    </row>
    <row r="706" ht="23.25" customHeight="1">
      <c r="A706" s="17" t="s">
        <v>3934</v>
      </c>
      <c r="B706" s="17" t="str">
        <f t="shared" si="1"/>
        <v/>
      </c>
      <c r="C706" s="17" t="s">
        <v>1786</v>
      </c>
      <c r="D706" s="17" t="s">
        <v>2738</v>
      </c>
      <c r="E706" s="17" t="s">
        <v>2726</v>
      </c>
      <c r="F706" s="17">
        <v>95.0</v>
      </c>
      <c r="G706" s="17">
        <v>135.0</v>
      </c>
      <c r="H706" s="17">
        <v>80.0</v>
      </c>
      <c r="I706" s="17">
        <v>110.0</v>
      </c>
      <c r="J706" s="17">
        <v>80.0</v>
      </c>
      <c r="K706" s="17">
        <v>100.0</v>
      </c>
      <c r="L706" s="29">
        <f t="shared" si="2"/>
        <v>600</v>
      </c>
    </row>
    <row r="707" ht="23.25" customHeight="1">
      <c r="A707" s="17" t="s">
        <v>3935</v>
      </c>
      <c r="B707" s="17" t="str">
        <f t="shared" si="1"/>
        <v/>
      </c>
      <c r="C707" s="17" t="s">
        <v>3936</v>
      </c>
      <c r="D707" s="17" t="s">
        <v>2744</v>
      </c>
      <c r="E707" s="17" t="s">
        <v>2758</v>
      </c>
      <c r="F707" s="17">
        <v>48.0</v>
      </c>
      <c r="G707" s="17">
        <v>44.0</v>
      </c>
      <c r="H707" s="17">
        <v>40.0</v>
      </c>
      <c r="I707" s="17">
        <v>71.0</v>
      </c>
      <c r="J707" s="17">
        <v>40.0</v>
      </c>
      <c r="K707" s="17">
        <v>77.0</v>
      </c>
      <c r="L707" s="29">
        <f t="shared" si="2"/>
        <v>320</v>
      </c>
    </row>
    <row r="708" ht="23.25" customHeight="1">
      <c r="A708" s="17" t="s">
        <v>3937</v>
      </c>
      <c r="B708" s="17" t="str">
        <f t="shared" si="1"/>
        <v/>
      </c>
      <c r="C708" s="17" t="s">
        <v>3938</v>
      </c>
      <c r="D708" s="17" t="s">
        <v>2744</v>
      </c>
      <c r="E708" s="17" t="s">
        <v>2758</v>
      </c>
      <c r="F708" s="17">
        <v>68.0</v>
      </c>
      <c r="G708" s="17">
        <v>64.0</v>
      </c>
      <c r="H708" s="17">
        <v>60.0</v>
      </c>
      <c r="I708" s="17">
        <v>111.0</v>
      </c>
      <c r="J708" s="17">
        <v>60.0</v>
      </c>
      <c r="K708" s="17">
        <v>117.0</v>
      </c>
      <c r="L708" s="29">
        <f t="shared" si="2"/>
        <v>480</v>
      </c>
    </row>
    <row r="709" ht="23.25" customHeight="1">
      <c r="A709" s="17" t="s">
        <v>3939</v>
      </c>
      <c r="B709" s="17" t="str">
        <f t="shared" si="1"/>
        <v/>
      </c>
      <c r="C709" s="17" t="s">
        <v>3940</v>
      </c>
      <c r="D709" s="17" t="s">
        <v>2736</v>
      </c>
      <c r="E709" s="17"/>
      <c r="F709" s="17">
        <v>95.0</v>
      </c>
      <c r="G709" s="17">
        <v>100.0</v>
      </c>
      <c r="H709" s="17">
        <v>85.0</v>
      </c>
      <c r="I709" s="17">
        <v>108.0</v>
      </c>
      <c r="J709" s="17">
        <v>70.0</v>
      </c>
      <c r="K709" s="17">
        <v>70.0</v>
      </c>
      <c r="L709" s="29">
        <f t="shared" si="2"/>
        <v>528</v>
      </c>
    </row>
    <row r="710" ht="23.25" customHeight="1">
      <c r="A710" s="17" t="s">
        <v>3941</v>
      </c>
      <c r="B710" s="17" t="str">
        <f t="shared" si="1"/>
        <v/>
      </c>
      <c r="C710" s="17" t="s">
        <v>3942</v>
      </c>
      <c r="D710" s="17" t="s">
        <v>2803</v>
      </c>
      <c r="E710" s="17"/>
      <c r="F710" s="17">
        <v>72.0</v>
      </c>
      <c r="G710" s="17">
        <v>107.0</v>
      </c>
      <c r="H710" s="17">
        <v>125.0</v>
      </c>
      <c r="I710" s="17">
        <v>65.0</v>
      </c>
      <c r="J710" s="17">
        <v>70.0</v>
      </c>
      <c r="K710" s="17">
        <v>71.0</v>
      </c>
      <c r="L710" s="29">
        <f t="shared" si="2"/>
        <v>510</v>
      </c>
    </row>
    <row r="711" ht="23.25" customHeight="1">
      <c r="A711" s="17" t="s">
        <v>3943</v>
      </c>
      <c r="B711" s="17" t="str">
        <f t="shared" si="1"/>
        <v/>
      </c>
      <c r="C711" s="17" t="s">
        <v>3944</v>
      </c>
      <c r="D711" s="17" t="s">
        <v>2803</v>
      </c>
      <c r="E711" s="17" t="s">
        <v>2716</v>
      </c>
      <c r="F711" s="17">
        <v>50.0</v>
      </c>
      <c r="G711" s="17">
        <v>72.0</v>
      </c>
      <c r="H711" s="17">
        <v>35.0</v>
      </c>
      <c r="I711" s="17">
        <v>35.0</v>
      </c>
      <c r="J711" s="17">
        <v>35.0</v>
      </c>
      <c r="K711" s="17">
        <v>65.0</v>
      </c>
      <c r="L711" s="29">
        <f t="shared" si="2"/>
        <v>292</v>
      </c>
    </row>
    <row r="712" ht="23.25" customHeight="1">
      <c r="A712" s="17" t="s">
        <v>3945</v>
      </c>
      <c r="B712" s="17" t="str">
        <f t="shared" si="1"/>
        <v/>
      </c>
      <c r="C712" s="17" t="s">
        <v>3946</v>
      </c>
      <c r="D712" s="17" t="s">
        <v>2803</v>
      </c>
      <c r="E712" s="17"/>
      <c r="F712" s="17">
        <v>50.0</v>
      </c>
      <c r="G712" s="17">
        <v>75.0</v>
      </c>
      <c r="H712" s="17">
        <v>85.0</v>
      </c>
      <c r="I712" s="17">
        <v>20.0</v>
      </c>
      <c r="J712" s="17">
        <v>30.0</v>
      </c>
      <c r="K712" s="17">
        <v>40.0</v>
      </c>
      <c r="L712" s="29">
        <f t="shared" si="2"/>
        <v>300</v>
      </c>
    </row>
    <row r="713" ht="23.25" customHeight="1">
      <c r="A713" s="17" t="s">
        <v>3947</v>
      </c>
      <c r="B713" s="17" t="str">
        <f t="shared" si="1"/>
        <v/>
      </c>
      <c r="C713" s="17" t="s">
        <v>1780</v>
      </c>
      <c r="D713" s="17" t="s">
        <v>2803</v>
      </c>
      <c r="E713" s="17"/>
      <c r="F713" s="17">
        <v>75.0</v>
      </c>
      <c r="G713" s="17">
        <v>100.0</v>
      </c>
      <c r="H713" s="17">
        <v>110.0</v>
      </c>
      <c r="I713" s="17">
        <v>45.0</v>
      </c>
      <c r="J713" s="17">
        <v>55.0</v>
      </c>
      <c r="K713" s="17">
        <v>65.0</v>
      </c>
      <c r="L713" s="29">
        <f t="shared" si="2"/>
        <v>450</v>
      </c>
    </row>
    <row r="714" ht="23.25" customHeight="1">
      <c r="A714" s="17" t="s">
        <v>3948</v>
      </c>
      <c r="B714" s="17" t="str">
        <f t="shared" si="1"/>
        <v/>
      </c>
      <c r="C714" s="17" t="s">
        <v>3949</v>
      </c>
      <c r="D714" s="17" t="s">
        <v>2723</v>
      </c>
      <c r="E714" s="17" t="s">
        <v>2803</v>
      </c>
      <c r="F714" s="17">
        <v>55.0</v>
      </c>
      <c r="G714" s="17">
        <v>55.0</v>
      </c>
      <c r="H714" s="17">
        <v>80.0</v>
      </c>
      <c r="I714" s="17">
        <v>70.0</v>
      </c>
      <c r="J714" s="17">
        <v>45.0</v>
      </c>
      <c r="K714" s="17">
        <v>15.0</v>
      </c>
      <c r="L714" s="29">
        <f t="shared" si="2"/>
        <v>320</v>
      </c>
    </row>
    <row r="715" ht="23.25" customHeight="1">
      <c r="A715" s="17" t="s">
        <v>3950</v>
      </c>
      <c r="B715" s="17" t="str">
        <f t="shared" si="1"/>
        <v/>
      </c>
      <c r="C715" s="17" t="s">
        <v>3951</v>
      </c>
      <c r="D715" s="17" t="s">
        <v>2773</v>
      </c>
      <c r="E715" s="17"/>
      <c r="F715" s="17">
        <v>75.0</v>
      </c>
      <c r="G715" s="17">
        <v>125.0</v>
      </c>
      <c r="H715" s="17">
        <v>75.0</v>
      </c>
      <c r="I715" s="17">
        <v>30.0</v>
      </c>
      <c r="J715" s="17">
        <v>75.0</v>
      </c>
      <c r="K715" s="17">
        <v>85.0</v>
      </c>
      <c r="L715" s="29">
        <f t="shared" si="2"/>
        <v>465</v>
      </c>
    </row>
    <row r="716" ht="23.25" customHeight="1">
      <c r="A716" s="17" t="s">
        <v>3952</v>
      </c>
      <c r="B716" s="17" t="str">
        <f t="shared" si="1"/>
        <v/>
      </c>
      <c r="C716" s="17" t="s">
        <v>3953</v>
      </c>
      <c r="D716" s="17" t="s">
        <v>2729</v>
      </c>
      <c r="E716" s="17" t="s">
        <v>2711</v>
      </c>
      <c r="F716" s="17">
        <v>80.0</v>
      </c>
      <c r="G716" s="17">
        <v>100.0</v>
      </c>
      <c r="H716" s="17">
        <v>70.0</v>
      </c>
      <c r="I716" s="17">
        <v>60.0</v>
      </c>
      <c r="J716" s="17">
        <v>70.0</v>
      </c>
      <c r="K716" s="17">
        <v>95.0</v>
      </c>
      <c r="L716" s="29">
        <f t="shared" si="2"/>
        <v>475</v>
      </c>
    </row>
    <row r="717" ht="23.25" customHeight="1">
      <c r="A717" s="17" t="s">
        <v>3954</v>
      </c>
      <c r="B717" s="17" t="str">
        <f t="shared" si="1"/>
        <v/>
      </c>
      <c r="C717" s="17" t="s">
        <v>3955</v>
      </c>
      <c r="D717" s="17" t="s">
        <v>2719</v>
      </c>
      <c r="E717" s="17"/>
      <c r="F717" s="17">
        <v>38.0</v>
      </c>
      <c r="G717" s="17">
        <v>35.0</v>
      </c>
      <c r="H717" s="17">
        <v>40.0</v>
      </c>
      <c r="I717" s="17">
        <v>27.0</v>
      </c>
      <c r="J717" s="17">
        <v>25.0</v>
      </c>
      <c r="K717" s="17">
        <v>35.0</v>
      </c>
      <c r="L717" s="29">
        <f t="shared" si="2"/>
        <v>200</v>
      </c>
    </row>
    <row r="718" ht="23.25" customHeight="1">
      <c r="A718" s="17" t="s">
        <v>3956</v>
      </c>
      <c r="B718" s="17" t="str">
        <f t="shared" si="1"/>
        <v/>
      </c>
      <c r="C718" s="17" t="s">
        <v>2628</v>
      </c>
      <c r="D718" s="17" t="s">
        <v>2711</v>
      </c>
      <c r="E718" s="17"/>
      <c r="F718" s="17">
        <v>70.0</v>
      </c>
      <c r="G718" s="17">
        <v>85.0</v>
      </c>
      <c r="H718" s="17">
        <v>65.0</v>
      </c>
      <c r="I718" s="17">
        <v>105.0</v>
      </c>
      <c r="J718" s="17">
        <v>85.0</v>
      </c>
      <c r="K718" s="17">
        <v>120.0</v>
      </c>
      <c r="L718" s="29">
        <f t="shared" si="2"/>
        <v>530</v>
      </c>
    </row>
    <row r="719" ht="23.25" customHeight="1">
      <c r="A719" s="17" t="s">
        <v>3957</v>
      </c>
      <c r="B719" s="17" t="str">
        <f t="shared" si="1"/>
        <v/>
      </c>
      <c r="C719" s="17" t="s">
        <v>2646</v>
      </c>
      <c r="D719" s="17" t="s">
        <v>2719</v>
      </c>
      <c r="E719" s="17" t="s">
        <v>2722</v>
      </c>
      <c r="F719" s="17">
        <v>70.0</v>
      </c>
      <c r="G719" s="17">
        <v>130.0</v>
      </c>
      <c r="H719" s="17">
        <v>100.0</v>
      </c>
      <c r="I719" s="17">
        <v>55.0</v>
      </c>
      <c r="J719" s="17">
        <v>80.0</v>
      </c>
      <c r="K719" s="17">
        <v>65.0</v>
      </c>
      <c r="L719" s="29">
        <f t="shared" si="2"/>
        <v>500</v>
      </c>
    </row>
    <row r="720" ht="23.25" customHeight="1">
      <c r="A720" s="17" t="s">
        <v>3958</v>
      </c>
      <c r="B720" s="17" t="str">
        <f t="shared" si="1"/>
        <v/>
      </c>
      <c r="C720" s="17" t="s">
        <v>3959</v>
      </c>
      <c r="D720" s="17" t="s">
        <v>2719</v>
      </c>
      <c r="E720" s="17" t="s">
        <v>2744</v>
      </c>
      <c r="F720" s="17">
        <v>60.0</v>
      </c>
      <c r="G720" s="17">
        <v>100.0</v>
      </c>
      <c r="H720" s="17">
        <v>89.0</v>
      </c>
      <c r="I720" s="17">
        <v>55.0</v>
      </c>
      <c r="J720" s="17">
        <v>69.0</v>
      </c>
      <c r="K720" s="17">
        <v>112.0</v>
      </c>
      <c r="L720" s="29">
        <f t="shared" si="2"/>
        <v>485</v>
      </c>
    </row>
    <row r="721" ht="23.25" customHeight="1">
      <c r="A721" s="17" t="s">
        <v>3960</v>
      </c>
      <c r="B721" s="17" t="str">
        <f t="shared" si="1"/>
        <v/>
      </c>
      <c r="C721" s="17" t="s">
        <v>3961</v>
      </c>
      <c r="D721" s="17" t="s">
        <v>2758</v>
      </c>
      <c r="E721" s="17"/>
      <c r="F721" s="17">
        <v>50.0</v>
      </c>
      <c r="G721" s="17">
        <v>71.0</v>
      </c>
      <c r="H721" s="17">
        <v>40.0</v>
      </c>
      <c r="I721" s="17">
        <v>40.0</v>
      </c>
      <c r="J721" s="17">
        <v>40.0</v>
      </c>
      <c r="K721" s="17">
        <v>69.0</v>
      </c>
      <c r="L721" s="29">
        <f t="shared" si="2"/>
        <v>310</v>
      </c>
    </row>
    <row r="722" ht="23.25" customHeight="1">
      <c r="A722" s="17" t="s">
        <v>3962</v>
      </c>
      <c r="B722" s="17" t="str">
        <f t="shared" si="1"/>
        <v/>
      </c>
      <c r="C722" s="17" t="s">
        <v>3963</v>
      </c>
      <c r="D722" s="17" t="s">
        <v>2716</v>
      </c>
      <c r="E722" s="17" t="s">
        <v>2773</v>
      </c>
      <c r="F722" s="17">
        <v>65.0</v>
      </c>
      <c r="G722" s="17">
        <v>90.0</v>
      </c>
      <c r="H722" s="17">
        <v>115.0</v>
      </c>
      <c r="I722" s="17">
        <v>45.0</v>
      </c>
      <c r="J722" s="17">
        <v>115.0</v>
      </c>
      <c r="K722" s="17">
        <v>58.0</v>
      </c>
      <c r="L722" s="29">
        <f t="shared" si="2"/>
        <v>488</v>
      </c>
    </row>
    <row r="723" ht="23.25" customHeight="1">
      <c r="A723" s="17" t="s">
        <v>3964</v>
      </c>
      <c r="B723" s="17" t="str">
        <f t="shared" si="1"/>
        <v/>
      </c>
      <c r="C723" s="17" t="s">
        <v>3965</v>
      </c>
      <c r="D723" s="17" t="s">
        <v>2716</v>
      </c>
      <c r="E723" s="17" t="s">
        <v>2773</v>
      </c>
      <c r="F723" s="17">
        <v>50.0</v>
      </c>
      <c r="G723" s="17">
        <v>75.0</v>
      </c>
      <c r="H723" s="17">
        <v>70.0</v>
      </c>
      <c r="I723" s="17">
        <v>35.0</v>
      </c>
      <c r="J723" s="17">
        <v>70.0</v>
      </c>
      <c r="K723" s="17">
        <v>48.0</v>
      </c>
      <c r="L723" s="29">
        <f t="shared" si="2"/>
        <v>348</v>
      </c>
    </row>
    <row r="724" ht="23.25" customHeight="1">
      <c r="A724" s="17" t="s">
        <v>3966</v>
      </c>
      <c r="B724" s="17" t="str">
        <f t="shared" si="1"/>
        <v/>
      </c>
      <c r="C724" s="17" t="s">
        <v>3967</v>
      </c>
      <c r="D724" s="17" t="s">
        <v>2729</v>
      </c>
      <c r="E724" s="17" t="s">
        <v>2773</v>
      </c>
      <c r="F724" s="17">
        <v>55.0</v>
      </c>
      <c r="G724" s="17">
        <v>85.0</v>
      </c>
      <c r="H724" s="17">
        <v>80.0</v>
      </c>
      <c r="I724" s="17">
        <v>20.0</v>
      </c>
      <c r="J724" s="17">
        <v>70.0</v>
      </c>
      <c r="K724" s="17">
        <v>40.0</v>
      </c>
      <c r="L724" s="29">
        <f t="shared" si="2"/>
        <v>350</v>
      </c>
    </row>
    <row r="725" ht="23.25" customHeight="1">
      <c r="A725" s="17" t="s">
        <v>3968</v>
      </c>
      <c r="B725" s="17" t="str">
        <f t="shared" si="1"/>
        <v/>
      </c>
      <c r="C725" s="17" t="s">
        <v>1870</v>
      </c>
      <c r="D725" s="17" t="s">
        <v>2719</v>
      </c>
      <c r="E725" s="17" t="s">
        <v>2726</v>
      </c>
      <c r="F725" s="17">
        <v>70.0</v>
      </c>
      <c r="G725" s="17">
        <v>110.0</v>
      </c>
      <c r="H725" s="17">
        <v>80.0</v>
      </c>
      <c r="I725" s="17">
        <v>55.0</v>
      </c>
      <c r="J725" s="17">
        <v>80.0</v>
      </c>
      <c r="K725" s="17">
        <v>105.0</v>
      </c>
      <c r="L725" s="29">
        <f t="shared" si="2"/>
        <v>500</v>
      </c>
    </row>
    <row r="726" ht="23.25" customHeight="1">
      <c r="A726" s="17" t="s">
        <v>3969</v>
      </c>
      <c r="B726" s="17" t="str">
        <f t="shared" si="1"/>
        <v/>
      </c>
      <c r="C726" s="17" t="s">
        <v>1751</v>
      </c>
      <c r="D726" s="17" t="s">
        <v>2736</v>
      </c>
      <c r="E726" s="17"/>
      <c r="F726" s="17">
        <v>55.0</v>
      </c>
      <c r="G726" s="17">
        <v>65.0</v>
      </c>
      <c r="H726" s="17">
        <v>95.0</v>
      </c>
      <c r="I726" s="17">
        <v>95.0</v>
      </c>
      <c r="J726" s="17">
        <v>45.0</v>
      </c>
      <c r="K726" s="17">
        <v>85.0</v>
      </c>
      <c r="L726" s="29">
        <f t="shared" si="2"/>
        <v>440</v>
      </c>
    </row>
    <row r="727" ht="23.25" customHeight="1">
      <c r="A727" s="17" t="s">
        <v>3970</v>
      </c>
      <c r="B727" s="17" t="str">
        <f t="shared" si="1"/>
        <v/>
      </c>
      <c r="C727" s="17" t="s">
        <v>515</v>
      </c>
      <c r="D727" s="17" t="s">
        <v>2736</v>
      </c>
      <c r="E727" s="17"/>
      <c r="F727" s="17">
        <v>80.0</v>
      </c>
      <c r="G727" s="17">
        <v>92.0</v>
      </c>
      <c r="H727" s="17">
        <v>65.0</v>
      </c>
      <c r="I727" s="17">
        <v>65.0</v>
      </c>
      <c r="J727" s="17">
        <v>80.0</v>
      </c>
      <c r="K727" s="17">
        <v>68.0</v>
      </c>
      <c r="L727" s="29">
        <f t="shared" si="2"/>
        <v>450</v>
      </c>
    </row>
    <row r="728" ht="23.25" customHeight="1">
      <c r="A728" s="17" t="s">
        <v>3971</v>
      </c>
      <c r="B728" s="17" t="str">
        <f t="shared" si="1"/>
        <v/>
      </c>
      <c r="C728" s="17" t="s">
        <v>1999</v>
      </c>
      <c r="D728" s="17" t="s">
        <v>2712</v>
      </c>
      <c r="E728" s="17" t="s">
        <v>2736</v>
      </c>
      <c r="F728" s="17">
        <v>90.0</v>
      </c>
      <c r="G728" s="17">
        <v>60.0</v>
      </c>
      <c r="H728" s="17">
        <v>70.0</v>
      </c>
      <c r="I728" s="17">
        <v>75.0</v>
      </c>
      <c r="J728" s="17">
        <v>70.0</v>
      </c>
      <c r="K728" s="17">
        <v>45.0</v>
      </c>
      <c r="L728" s="29">
        <f t="shared" si="2"/>
        <v>410</v>
      </c>
    </row>
    <row r="729" ht="23.25" customHeight="1">
      <c r="A729" s="17" t="s">
        <v>3972</v>
      </c>
      <c r="B729" s="17" t="str">
        <f t="shared" si="1"/>
        <v/>
      </c>
      <c r="C729" s="17" t="s">
        <v>3973</v>
      </c>
      <c r="D729" s="17" t="s">
        <v>2711</v>
      </c>
      <c r="E729" s="17"/>
      <c r="F729" s="17">
        <v>40.0</v>
      </c>
      <c r="G729" s="17">
        <v>40.0</v>
      </c>
      <c r="H729" s="17">
        <v>50.0</v>
      </c>
      <c r="I729" s="17">
        <v>30.0</v>
      </c>
      <c r="J729" s="17">
        <v>30.0</v>
      </c>
      <c r="K729" s="17">
        <v>30.0</v>
      </c>
      <c r="L729" s="29">
        <f t="shared" si="2"/>
        <v>220</v>
      </c>
    </row>
    <row r="730" ht="23.25" customHeight="1">
      <c r="A730" s="17" t="s">
        <v>3974</v>
      </c>
      <c r="B730" s="17" t="str">
        <f t="shared" si="1"/>
        <v/>
      </c>
      <c r="C730" s="17" t="s">
        <v>1959</v>
      </c>
      <c r="D730" s="17" t="s">
        <v>2736</v>
      </c>
      <c r="E730" s="17"/>
      <c r="F730" s="17">
        <v>65.0</v>
      </c>
      <c r="G730" s="17">
        <v>45.0</v>
      </c>
      <c r="H730" s="17">
        <v>55.0</v>
      </c>
      <c r="I730" s="17">
        <v>45.0</v>
      </c>
      <c r="J730" s="17">
        <v>70.0</v>
      </c>
      <c r="K730" s="17">
        <v>45.0</v>
      </c>
      <c r="L730" s="29">
        <f t="shared" si="2"/>
        <v>325</v>
      </c>
    </row>
    <row r="731" ht="23.25" customHeight="1">
      <c r="A731" s="17" t="s">
        <v>3975</v>
      </c>
      <c r="B731" s="17" t="str">
        <f t="shared" si="1"/>
        <v/>
      </c>
      <c r="C731" s="17" t="s">
        <v>3976</v>
      </c>
      <c r="D731" s="17" t="s">
        <v>2736</v>
      </c>
      <c r="E731" s="17" t="s">
        <v>2803</v>
      </c>
      <c r="F731" s="17">
        <v>105.0</v>
      </c>
      <c r="G731" s="17">
        <v>95.0</v>
      </c>
      <c r="H731" s="17">
        <v>75.0</v>
      </c>
      <c r="I731" s="17">
        <v>85.0</v>
      </c>
      <c r="J731" s="17">
        <v>75.0</v>
      </c>
      <c r="K731" s="17">
        <v>74.0</v>
      </c>
      <c r="L731" s="29">
        <f t="shared" si="2"/>
        <v>509</v>
      </c>
    </row>
    <row r="732" ht="23.25" customHeight="1">
      <c r="A732" s="17" t="s">
        <v>3977</v>
      </c>
      <c r="B732" s="17" t="str">
        <f t="shared" si="1"/>
        <v/>
      </c>
      <c r="C732" s="17" t="s">
        <v>3978</v>
      </c>
      <c r="D732" s="17" t="s">
        <v>2729</v>
      </c>
      <c r="E732" s="17"/>
      <c r="F732" s="17">
        <v>35.0</v>
      </c>
      <c r="G732" s="17">
        <v>46.0</v>
      </c>
      <c r="H732" s="17">
        <v>34.0</v>
      </c>
      <c r="I732" s="17">
        <v>35.0</v>
      </c>
      <c r="J732" s="17">
        <v>45.0</v>
      </c>
      <c r="K732" s="17">
        <v>20.0</v>
      </c>
      <c r="L732" s="29">
        <f t="shared" si="2"/>
        <v>215</v>
      </c>
    </row>
    <row r="733" ht="23.25" customHeight="1">
      <c r="A733" s="17" t="s">
        <v>3979</v>
      </c>
      <c r="B733" s="17" t="str">
        <f t="shared" si="1"/>
        <v/>
      </c>
      <c r="C733" s="17" t="s">
        <v>3980</v>
      </c>
      <c r="D733" s="17" t="s">
        <v>2711</v>
      </c>
      <c r="E733" s="17"/>
      <c r="F733" s="17">
        <v>75.0</v>
      </c>
      <c r="G733" s="17">
        <v>75.0</v>
      </c>
      <c r="H733" s="17">
        <v>95.0</v>
      </c>
      <c r="I733" s="17">
        <v>75.0</v>
      </c>
      <c r="J733" s="17">
        <v>95.0</v>
      </c>
      <c r="K733" s="17">
        <v>113.0</v>
      </c>
      <c r="L733" s="29">
        <f t="shared" si="2"/>
        <v>528</v>
      </c>
    </row>
    <row r="734" ht="23.25" customHeight="1">
      <c r="A734" s="17" t="s">
        <v>3981</v>
      </c>
      <c r="B734" s="17" t="str">
        <f t="shared" si="1"/>
        <v/>
      </c>
      <c r="C734" s="17" t="s">
        <v>3982</v>
      </c>
      <c r="D734" s="17" t="s">
        <v>2711</v>
      </c>
      <c r="E734" s="17"/>
      <c r="F734" s="17">
        <v>60.0</v>
      </c>
      <c r="G734" s="17">
        <v>60.0</v>
      </c>
      <c r="H734" s="17">
        <v>75.0</v>
      </c>
      <c r="I734" s="17">
        <v>60.0</v>
      </c>
      <c r="J734" s="17">
        <v>75.0</v>
      </c>
      <c r="K734" s="17">
        <v>83.0</v>
      </c>
      <c r="L734" s="29">
        <f t="shared" si="2"/>
        <v>413</v>
      </c>
    </row>
    <row r="735" ht="23.25" customHeight="1">
      <c r="A735" s="17" t="s">
        <v>3983</v>
      </c>
      <c r="B735" s="17" t="str">
        <f t="shared" si="1"/>
        <v/>
      </c>
      <c r="C735" s="17" t="s">
        <v>3984</v>
      </c>
      <c r="D735" s="17" t="s">
        <v>2744</v>
      </c>
      <c r="E735" s="17"/>
      <c r="F735" s="17">
        <v>73.0</v>
      </c>
      <c r="G735" s="17">
        <v>100.0</v>
      </c>
      <c r="H735" s="17">
        <v>60.0</v>
      </c>
      <c r="I735" s="17">
        <v>100.0</v>
      </c>
      <c r="J735" s="17">
        <v>60.0</v>
      </c>
      <c r="K735" s="17">
        <v>65.0</v>
      </c>
      <c r="L735" s="29">
        <f t="shared" si="2"/>
        <v>458</v>
      </c>
    </row>
    <row r="736" ht="23.25" customHeight="1">
      <c r="A736" s="17" t="s">
        <v>3985</v>
      </c>
      <c r="B736" s="17" t="str">
        <f t="shared" si="1"/>
        <v/>
      </c>
      <c r="C736" s="17" t="s">
        <v>3986</v>
      </c>
      <c r="D736" s="17" t="s">
        <v>2719</v>
      </c>
      <c r="E736" s="17" t="s">
        <v>2711</v>
      </c>
      <c r="F736" s="17">
        <v>45.0</v>
      </c>
      <c r="G736" s="17">
        <v>53.0</v>
      </c>
      <c r="H736" s="17">
        <v>70.0</v>
      </c>
      <c r="I736" s="17">
        <v>40.0</v>
      </c>
      <c r="J736" s="17">
        <v>60.0</v>
      </c>
      <c r="K736" s="17">
        <v>42.0</v>
      </c>
      <c r="L736" s="29">
        <f t="shared" si="2"/>
        <v>310</v>
      </c>
    </row>
    <row r="737" ht="23.25" customHeight="1">
      <c r="A737" s="17" t="s">
        <v>3987</v>
      </c>
      <c r="B737" s="17" t="str">
        <f t="shared" si="1"/>
        <v/>
      </c>
      <c r="C737" s="17" t="s">
        <v>1978</v>
      </c>
      <c r="D737" s="17" t="s">
        <v>2736</v>
      </c>
      <c r="E737" s="17" t="s">
        <v>2716</v>
      </c>
      <c r="F737" s="17">
        <v>70.0</v>
      </c>
      <c r="G737" s="17">
        <v>120.0</v>
      </c>
      <c r="H737" s="17">
        <v>40.0</v>
      </c>
      <c r="I737" s="17">
        <v>95.0</v>
      </c>
      <c r="J737" s="17">
        <v>40.0</v>
      </c>
      <c r="K737" s="17">
        <v>95.0</v>
      </c>
      <c r="L737" s="29">
        <f t="shared" si="2"/>
        <v>460</v>
      </c>
    </row>
    <row r="738" ht="23.25" customHeight="1">
      <c r="A738" s="17" t="s">
        <v>3988</v>
      </c>
      <c r="B738" s="17" t="str">
        <f t="shared" si="1"/>
        <v/>
      </c>
      <c r="C738" s="17" t="s">
        <v>3989</v>
      </c>
      <c r="D738" s="17" t="s">
        <v>2711</v>
      </c>
      <c r="E738" s="17"/>
      <c r="F738" s="17">
        <v>100.0</v>
      </c>
      <c r="G738" s="17">
        <v>100.0</v>
      </c>
      <c r="H738" s="17">
        <v>100.0</v>
      </c>
      <c r="I738" s="17">
        <v>100.0</v>
      </c>
      <c r="J738" s="17">
        <v>100.0</v>
      </c>
      <c r="K738" s="17">
        <v>100.0</v>
      </c>
      <c r="L738" s="29">
        <f t="shared" si="2"/>
        <v>600</v>
      </c>
    </row>
    <row r="739" ht="23.25" customHeight="1">
      <c r="A739" s="17" t="s">
        <v>3990</v>
      </c>
      <c r="B739" s="17" t="str">
        <f t="shared" si="1"/>
        <v/>
      </c>
      <c r="C739" s="17" t="s">
        <v>3991</v>
      </c>
      <c r="D739" s="17" t="s">
        <v>2719</v>
      </c>
      <c r="E739" s="17" t="s">
        <v>2723</v>
      </c>
      <c r="F739" s="17">
        <v>1.0</v>
      </c>
      <c r="G739" s="17">
        <v>90.0</v>
      </c>
      <c r="H739" s="17">
        <v>45.0</v>
      </c>
      <c r="I739" s="17">
        <v>30.0</v>
      </c>
      <c r="J739" s="17">
        <v>30.0</v>
      </c>
      <c r="K739" s="17">
        <v>40.0</v>
      </c>
      <c r="L739" s="29">
        <f t="shared" si="2"/>
        <v>236</v>
      </c>
    </row>
    <row r="740" ht="23.25" customHeight="1">
      <c r="A740" s="17" t="s">
        <v>3992</v>
      </c>
      <c r="B740" s="17" t="str">
        <f t="shared" si="1"/>
        <v/>
      </c>
      <c r="C740" s="17" t="s">
        <v>1764</v>
      </c>
      <c r="D740" s="17" t="s">
        <v>2738</v>
      </c>
      <c r="E740" s="17"/>
      <c r="F740" s="17">
        <v>65.0</v>
      </c>
      <c r="G740" s="17">
        <v>95.0</v>
      </c>
      <c r="H740" s="17">
        <v>100.0</v>
      </c>
      <c r="I740" s="17">
        <v>60.0</v>
      </c>
      <c r="J740" s="17">
        <v>50.0</v>
      </c>
      <c r="K740" s="17">
        <v>50.0</v>
      </c>
      <c r="L740" s="29">
        <f t="shared" si="2"/>
        <v>420</v>
      </c>
    </row>
    <row r="741" ht="23.25" customHeight="1">
      <c r="A741" s="17" t="s">
        <v>3993</v>
      </c>
      <c r="B741" s="17" t="str">
        <f t="shared" si="1"/>
        <v/>
      </c>
      <c r="C741" s="17" t="s">
        <v>3994</v>
      </c>
      <c r="D741" s="17" t="s">
        <v>2736</v>
      </c>
      <c r="E741" s="17"/>
      <c r="F741" s="17">
        <v>30.0</v>
      </c>
      <c r="G741" s="17">
        <v>65.0</v>
      </c>
      <c r="H741" s="17">
        <v>100.0</v>
      </c>
      <c r="I741" s="17">
        <v>45.0</v>
      </c>
      <c r="J741" s="17">
        <v>25.0</v>
      </c>
      <c r="K741" s="17">
        <v>40.0</v>
      </c>
      <c r="L741" s="29">
        <f t="shared" si="2"/>
        <v>305</v>
      </c>
    </row>
    <row r="742" ht="23.25" customHeight="1">
      <c r="A742" s="17" t="s">
        <v>3995</v>
      </c>
      <c r="B742" s="17" t="str">
        <f t="shared" si="1"/>
        <v/>
      </c>
      <c r="C742" s="17" t="s">
        <v>365</v>
      </c>
      <c r="D742" s="17" t="s">
        <v>2736</v>
      </c>
      <c r="E742" s="17"/>
      <c r="F742" s="17">
        <v>76.0</v>
      </c>
      <c r="G742" s="17">
        <v>48.0</v>
      </c>
      <c r="H742" s="17">
        <v>48.0</v>
      </c>
      <c r="I742" s="17">
        <v>57.0</v>
      </c>
      <c r="J742" s="17">
        <v>62.0</v>
      </c>
      <c r="K742" s="17">
        <v>34.0</v>
      </c>
      <c r="L742" s="29">
        <f t="shared" si="2"/>
        <v>325</v>
      </c>
    </row>
    <row r="743" ht="23.25" customHeight="1">
      <c r="A743" s="17" t="s">
        <v>3996</v>
      </c>
      <c r="B743" s="17" t="str">
        <f t="shared" si="1"/>
        <v/>
      </c>
      <c r="C743" s="17" t="s">
        <v>3997</v>
      </c>
      <c r="D743" s="17" t="s">
        <v>2719</v>
      </c>
      <c r="E743" s="17"/>
      <c r="F743" s="17">
        <v>50.0</v>
      </c>
      <c r="G743" s="17">
        <v>40.0</v>
      </c>
      <c r="H743" s="17">
        <v>85.0</v>
      </c>
      <c r="I743" s="17">
        <v>40.0</v>
      </c>
      <c r="J743" s="17">
        <v>65.0</v>
      </c>
      <c r="K743" s="17">
        <v>25.0</v>
      </c>
      <c r="L743" s="29">
        <f t="shared" si="2"/>
        <v>305</v>
      </c>
    </row>
    <row r="744" ht="23.25" customHeight="1">
      <c r="A744" s="17" t="s">
        <v>3998</v>
      </c>
      <c r="B744" s="17" t="str">
        <f t="shared" si="1"/>
        <v/>
      </c>
      <c r="C744" s="17" t="s">
        <v>438</v>
      </c>
      <c r="D744" s="17" t="s">
        <v>2725</v>
      </c>
      <c r="E744" s="17" t="s">
        <v>2722</v>
      </c>
      <c r="F744" s="17">
        <v>30.0</v>
      </c>
      <c r="G744" s="17">
        <v>42.0</v>
      </c>
      <c r="H744" s="17">
        <v>118.0</v>
      </c>
      <c r="I744" s="17">
        <v>42.0</v>
      </c>
      <c r="J744" s="17">
        <v>88.0</v>
      </c>
      <c r="K744" s="17">
        <v>30.0</v>
      </c>
      <c r="L744" s="29">
        <f t="shared" si="2"/>
        <v>350</v>
      </c>
    </row>
    <row r="745" ht="23.25" customHeight="1">
      <c r="A745" s="17" t="s">
        <v>3999</v>
      </c>
      <c r="B745" s="17" t="str">
        <f t="shared" si="1"/>
        <v/>
      </c>
      <c r="C745" s="17" t="s">
        <v>4000</v>
      </c>
      <c r="D745" s="17" t="s">
        <v>2711</v>
      </c>
      <c r="E745" s="17" t="s">
        <v>2716</v>
      </c>
      <c r="F745" s="17">
        <v>90.0</v>
      </c>
      <c r="G745" s="17">
        <v>100.0</v>
      </c>
      <c r="H745" s="17">
        <v>60.0</v>
      </c>
      <c r="I745" s="17">
        <v>90.0</v>
      </c>
      <c r="J745" s="17">
        <v>60.0</v>
      </c>
      <c r="K745" s="17">
        <v>80.0</v>
      </c>
      <c r="L745" s="29">
        <f t="shared" si="2"/>
        <v>480</v>
      </c>
    </row>
    <row r="746" ht="23.25" customHeight="1">
      <c r="A746" s="17" t="s">
        <v>4001</v>
      </c>
      <c r="B746" s="17" t="str">
        <f t="shared" si="1"/>
        <v/>
      </c>
      <c r="C746" s="17" t="s">
        <v>4002</v>
      </c>
      <c r="D746" s="17" t="s">
        <v>2711</v>
      </c>
      <c r="E746" s="17" t="s">
        <v>2733</v>
      </c>
      <c r="F746" s="17">
        <v>60.0</v>
      </c>
      <c r="G746" s="17">
        <v>45.0</v>
      </c>
      <c r="H746" s="17">
        <v>80.0</v>
      </c>
      <c r="I746" s="17">
        <v>90.0</v>
      </c>
      <c r="J746" s="17">
        <v>100.0</v>
      </c>
      <c r="K746" s="17">
        <v>30.0</v>
      </c>
      <c r="L746" s="29">
        <f t="shared" si="2"/>
        <v>405</v>
      </c>
    </row>
    <row r="747" ht="23.25" customHeight="1">
      <c r="A747" s="17" t="s">
        <v>4003</v>
      </c>
      <c r="B747" s="17" t="str">
        <f t="shared" si="1"/>
        <v/>
      </c>
      <c r="C747" s="17" t="s">
        <v>25</v>
      </c>
      <c r="D747" s="17" t="s">
        <v>2746</v>
      </c>
      <c r="E747" s="17"/>
      <c r="F747" s="17">
        <v>45.0</v>
      </c>
      <c r="G747" s="17">
        <v>65.0</v>
      </c>
      <c r="H747" s="17">
        <v>34.0</v>
      </c>
      <c r="I747" s="17">
        <v>40.0</v>
      </c>
      <c r="J747" s="17">
        <v>34.0</v>
      </c>
      <c r="K747" s="17">
        <v>45.0</v>
      </c>
      <c r="L747" s="29">
        <f t="shared" si="2"/>
        <v>263</v>
      </c>
    </row>
    <row r="748" ht="23.25" customHeight="1">
      <c r="A748" s="17" t="s">
        <v>4004</v>
      </c>
      <c r="B748" s="17" t="str">
        <f t="shared" si="1"/>
        <v/>
      </c>
      <c r="C748" s="17" t="s">
        <v>4005</v>
      </c>
      <c r="D748" s="17" t="s">
        <v>2711</v>
      </c>
      <c r="E748" s="17"/>
      <c r="F748" s="17">
        <v>60.0</v>
      </c>
      <c r="G748" s="17">
        <v>40.0</v>
      </c>
      <c r="H748" s="17">
        <v>60.0</v>
      </c>
      <c r="I748" s="17">
        <v>40.0</v>
      </c>
      <c r="J748" s="17">
        <v>60.0</v>
      </c>
      <c r="K748" s="17">
        <v>35.0</v>
      </c>
      <c r="L748" s="29">
        <f t="shared" si="2"/>
        <v>295</v>
      </c>
    </row>
    <row r="749" ht="23.25" customHeight="1">
      <c r="A749" s="17" t="s">
        <v>4006</v>
      </c>
      <c r="B749" s="17" t="str">
        <f t="shared" si="1"/>
        <v/>
      </c>
      <c r="C749" s="17" t="s">
        <v>4007</v>
      </c>
      <c r="D749" s="17" t="s">
        <v>2719</v>
      </c>
      <c r="E749" s="17" t="s">
        <v>2725</v>
      </c>
      <c r="F749" s="17">
        <v>20.0</v>
      </c>
      <c r="G749" s="17">
        <v>10.0</v>
      </c>
      <c r="H749" s="17">
        <v>230.0</v>
      </c>
      <c r="I749" s="17">
        <v>10.0</v>
      </c>
      <c r="J749" s="17">
        <v>230.0</v>
      </c>
      <c r="K749" s="17">
        <v>5.0</v>
      </c>
      <c r="L749" s="29">
        <f t="shared" si="2"/>
        <v>505</v>
      </c>
    </row>
    <row r="750" ht="23.25" customHeight="1">
      <c r="A750" s="17" t="s">
        <v>4008</v>
      </c>
      <c r="B750" s="17" t="str">
        <f t="shared" si="1"/>
        <v/>
      </c>
      <c r="C750" s="17" t="s">
        <v>1883</v>
      </c>
      <c r="D750" s="17" t="s">
        <v>2723</v>
      </c>
      <c r="E750" s="17"/>
      <c r="F750" s="17">
        <v>44.0</v>
      </c>
      <c r="G750" s="17">
        <v>75.0</v>
      </c>
      <c r="H750" s="17">
        <v>35.0</v>
      </c>
      <c r="I750" s="17">
        <v>63.0</v>
      </c>
      <c r="J750" s="17">
        <v>33.0</v>
      </c>
      <c r="K750" s="17">
        <v>45.0</v>
      </c>
      <c r="L750" s="29">
        <f t="shared" si="2"/>
        <v>295</v>
      </c>
    </row>
    <row r="751" ht="23.25" customHeight="1">
      <c r="A751" s="17" t="s">
        <v>4009</v>
      </c>
      <c r="B751" s="17" t="str">
        <f t="shared" si="1"/>
        <v/>
      </c>
      <c r="C751" s="17" t="s">
        <v>4010</v>
      </c>
      <c r="D751" s="17" t="s">
        <v>2714</v>
      </c>
      <c r="E751" s="17" t="s">
        <v>2726</v>
      </c>
      <c r="F751" s="17">
        <v>72.0</v>
      </c>
      <c r="G751" s="17">
        <v>58.0</v>
      </c>
      <c r="H751" s="17">
        <v>80.0</v>
      </c>
      <c r="I751" s="17">
        <v>103.0</v>
      </c>
      <c r="J751" s="17">
        <v>80.0</v>
      </c>
      <c r="K751" s="17">
        <v>97.0</v>
      </c>
      <c r="L751" s="29">
        <f t="shared" si="2"/>
        <v>490</v>
      </c>
    </row>
    <row r="752" ht="23.25" customHeight="1">
      <c r="A752" s="17" t="s">
        <v>4011</v>
      </c>
      <c r="B752" s="17" t="str">
        <f t="shared" si="1"/>
        <v/>
      </c>
      <c r="C752" s="17" t="s">
        <v>685</v>
      </c>
      <c r="D752" s="17" t="s">
        <v>2719</v>
      </c>
      <c r="E752" s="17"/>
      <c r="F752" s="17">
        <v>50.0</v>
      </c>
      <c r="G752" s="17">
        <v>35.0</v>
      </c>
      <c r="H752" s="17">
        <v>55.0</v>
      </c>
      <c r="I752" s="17">
        <v>25.0</v>
      </c>
      <c r="J752" s="17">
        <v>25.0</v>
      </c>
      <c r="K752" s="17">
        <v>15.0</v>
      </c>
      <c r="L752" s="29">
        <f t="shared" si="2"/>
        <v>205</v>
      </c>
    </row>
    <row r="753" ht="23.25" customHeight="1">
      <c r="A753" s="17" t="s">
        <v>4012</v>
      </c>
      <c r="B753" s="17" t="str">
        <f t="shared" si="1"/>
        <v/>
      </c>
      <c r="C753" s="17" t="s">
        <v>4013</v>
      </c>
      <c r="D753" s="17" t="s">
        <v>2803</v>
      </c>
      <c r="E753" s="17"/>
      <c r="F753" s="17">
        <v>52.0</v>
      </c>
      <c r="G753" s="17">
        <v>57.0</v>
      </c>
      <c r="H753" s="17">
        <v>75.0</v>
      </c>
      <c r="I753" s="17">
        <v>35.0</v>
      </c>
      <c r="J753" s="17">
        <v>50.0</v>
      </c>
      <c r="K753" s="17">
        <v>46.0</v>
      </c>
      <c r="L753" s="29">
        <f t="shared" si="2"/>
        <v>315</v>
      </c>
    </row>
    <row r="754" ht="23.25" customHeight="1">
      <c r="A754" s="17" t="s">
        <v>4014</v>
      </c>
      <c r="B754" s="17" t="str">
        <f t="shared" si="1"/>
        <v/>
      </c>
      <c r="C754" s="17" t="s">
        <v>4015</v>
      </c>
      <c r="D754" s="17" t="s">
        <v>2729</v>
      </c>
      <c r="E754" s="17"/>
      <c r="F754" s="17">
        <v>95.0</v>
      </c>
      <c r="G754" s="17">
        <v>95.0</v>
      </c>
      <c r="H754" s="17">
        <v>95.0</v>
      </c>
      <c r="I754" s="17">
        <v>95.0</v>
      </c>
      <c r="J754" s="17">
        <v>95.0</v>
      </c>
      <c r="K754" s="17">
        <v>95.0</v>
      </c>
      <c r="L754" s="29">
        <f t="shared" si="2"/>
        <v>570</v>
      </c>
    </row>
    <row r="755" ht="23.25" customHeight="1">
      <c r="A755" s="17" t="s">
        <v>4016</v>
      </c>
      <c r="B755" s="17" t="str">
        <f t="shared" si="1"/>
        <v/>
      </c>
      <c r="C755" s="17" t="s">
        <v>4017</v>
      </c>
      <c r="D755" s="17" t="s">
        <v>2736</v>
      </c>
      <c r="E755" s="17"/>
      <c r="F755" s="17">
        <v>75.0</v>
      </c>
      <c r="G755" s="17">
        <v>98.0</v>
      </c>
      <c r="H755" s="17">
        <v>63.0</v>
      </c>
      <c r="I755" s="17">
        <v>98.0</v>
      </c>
      <c r="J755" s="17">
        <v>63.0</v>
      </c>
      <c r="K755" s="17">
        <v>101.0</v>
      </c>
      <c r="L755" s="29">
        <f t="shared" si="2"/>
        <v>498</v>
      </c>
    </row>
    <row r="756" ht="23.25" customHeight="1">
      <c r="A756" s="17" t="s">
        <v>4018</v>
      </c>
      <c r="B756" s="17" t="str">
        <f t="shared" si="1"/>
        <v/>
      </c>
      <c r="C756" s="17" t="s">
        <v>4019</v>
      </c>
      <c r="D756" s="17" t="s">
        <v>2711</v>
      </c>
      <c r="E756" s="17"/>
      <c r="F756" s="17">
        <v>75.0</v>
      </c>
      <c r="G756" s="17">
        <v>98.0</v>
      </c>
      <c r="H756" s="17">
        <v>63.0</v>
      </c>
      <c r="I756" s="17">
        <v>98.0</v>
      </c>
      <c r="J756" s="17">
        <v>63.0</v>
      </c>
      <c r="K756" s="17">
        <v>101.0</v>
      </c>
      <c r="L756" s="29">
        <f t="shared" si="2"/>
        <v>498</v>
      </c>
    </row>
    <row r="757" ht="23.25" customHeight="1">
      <c r="A757" s="17" t="s">
        <v>4020</v>
      </c>
      <c r="B757" s="17" t="str">
        <f t="shared" si="1"/>
        <v/>
      </c>
      <c r="C757" s="17" t="s">
        <v>4021</v>
      </c>
      <c r="D757" s="17" t="s">
        <v>2758</v>
      </c>
      <c r="E757" s="17"/>
      <c r="F757" s="17">
        <v>75.0</v>
      </c>
      <c r="G757" s="17">
        <v>98.0</v>
      </c>
      <c r="H757" s="17">
        <v>63.0</v>
      </c>
      <c r="I757" s="17">
        <v>98.0</v>
      </c>
      <c r="J757" s="17">
        <v>63.0</v>
      </c>
      <c r="K757" s="17">
        <v>101.0</v>
      </c>
      <c r="L757" s="29">
        <f t="shared" si="2"/>
        <v>498</v>
      </c>
    </row>
    <row r="758" ht="23.25" customHeight="1">
      <c r="A758" s="17" t="s">
        <v>4022</v>
      </c>
      <c r="B758" s="17" t="str">
        <f t="shared" si="1"/>
        <v/>
      </c>
      <c r="C758" s="17" t="s">
        <v>4023</v>
      </c>
      <c r="D758" s="17" t="s">
        <v>2723</v>
      </c>
      <c r="E758" s="17"/>
      <c r="F758" s="17">
        <v>40.0</v>
      </c>
      <c r="G758" s="17">
        <v>45.0</v>
      </c>
      <c r="H758" s="17">
        <v>45.0</v>
      </c>
      <c r="I758" s="17">
        <v>74.0</v>
      </c>
      <c r="J758" s="17">
        <v>54.0</v>
      </c>
      <c r="K758" s="17">
        <v>50.0</v>
      </c>
      <c r="L758" s="29">
        <f t="shared" si="2"/>
        <v>308</v>
      </c>
    </row>
    <row r="759" ht="23.25" customHeight="1">
      <c r="A759" s="17" t="s">
        <v>4024</v>
      </c>
      <c r="B759" s="17" t="str">
        <f t="shared" si="1"/>
        <v/>
      </c>
      <c r="C759" s="17" t="s">
        <v>4025</v>
      </c>
      <c r="D759" s="17" t="s">
        <v>2773</v>
      </c>
      <c r="E759" s="17"/>
      <c r="F759" s="17">
        <v>62.0</v>
      </c>
      <c r="G759" s="17">
        <v>135.0</v>
      </c>
      <c r="H759" s="17">
        <v>95.0</v>
      </c>
      <c r="I759" s="17">
        <v>68.0</v>
      </c>
      <c r="J759" s="17">
        <v>82.0</v>
      </c>
      <c r="K759" s="17">
        <v>65.0</v>
      </c>
      <c r="L759" s="29">
        <f t="shared" si="2"/>
        <v>507</v>
      </c>
    </row>
    <row r="760" ht="23.25" customHeight="1">
      <c r="A760" s="17" t="s">
        <v>4026</v>
      </c>
      <c r="B760" s="17" t="str">
        <f t="shared" si="1"/>
        <v/>
      </c>
      <c r="C760" s="17" t="s">
        <v>4027</v>
      </c>
      <c r="D760" s="17" t="s">
        <v>2758</v>
      </c>
      <c r="E760" s="17" t="s">
        <v>2719</v>
      </c>
      <c r="F760" s="17">
        <v>50.0</v>
      </c>
      <c r="G760" s="17">
        <v>65.0</v>
      </c>
      <c r="H760" s="17">
        <v>45.0</v>
      </c>
      <c r="I760" s="17">
        <v>50.0</v>
      </c>
      <c r="J760" s="17">
        <v>50.0</v>
      </c>
      <c r="K760" s="17">
        <v>45.0</v>
      </c>
      <c r="L760" s="29">
        <f t="shared" si="2"/>
        <v>305</v>
      </c>
    </row>
    <row r="761" ht="23.25" customHeight="1">
      <c r="A761" s="17" t="s">
        <v>4028</v>
      </c>
      <c r="B761" s="17" t="str">
        <f t="shared" si="1"/>
        <v/>
      </c>
      <c r="C761" s="17" t="s">
        <v>1797</v>
      </c>
      <c r="D761" s="17" t="s">
        <v>2722</v>
      </c>
      <c r="E761" s="17" t="s">
        <v>2726</v>
      </c>
      <c r="F761" s="17">
        <v>65.0</v>
      </c>
      <c r="G761" s="17">
        <v>80.0</v>
      </c>
      <c r="H761" s="17">
        <v>140.0</v>
      </c>
      <c r="I761" s="17">
        <v>40.0</v>
      </c>
      <c r="J761" s="17">
        <v>70.0</v>
      </c>
      <c r="K761" s="17">
        <v>70.0</v>
      </c>
      <c r="L761" s="29">
        <f t="shared" si="2"/>
        <v>465</v>
      </c>
    </row>
    <row r="762" ht="23.25" customHeight="1">
      <c r="A762" s="17" t="s">
        <v>4029</v>
      </c>
      <c r="B762" s="17" t="str">
        <f t="shared" si="1"/>
        <v/>
      </c>
      <c r="C762" s="17" t="s">
        <v>4030</v>
      </c>
      <c r="D762" s="17" t="s">
        <v>2711</v>
      </c>
      <c r="E762" s="17"/>
      <c r="F762" s="17">
        <v>66.0</v>
      </c>
      <c r="G762" s="17">
        <v>65.0</v>
      </c>
      <c r="H762" s="17">
        <v>48.0</v>
      </c>
      <c r="I762" s="17">
        <v>62.0</v>
      </c>
      <c r="J762" s="17">
        <v>57.0</v>
      </c>
      <c r="K762" s="17">
        <v>52.0</v>
      </c>
      <c r="L762" s="29">
        <f t="shared" si="2"/>
        <v>350</v>
      </c>
    </row>
    <row r="763" ht="23.25" customHeight="1">
      <c r="A763" s="17" t="s">
        <v>4031</v>
      </c>
      <c r="B763" s="17" t="str">
        <f t="shared" si="1"/>
        <v/>
      </c>
      <c r="C763" s="17" t="s">
        <v>4032</v>
      </c>
      <c r="D763" s="17" t="s">
        <v>2711</v>
      </c>
      <c r="E763" s="17" t="s">
        <v>2726</v>
      </c>
      <c r="F763" s="17">
        <v>55.0</v>
      </c>
      <c r="G763" s="17">
        <v>45.0</v>
      </c>
      <c r="H763" s="17">
        <v>50.0</v>
      </c>
      <c r="I763" s="17">
        <v>45.0</v>
      </c>
      <c r="J763" s="17">
        <v>65.0</v>
      </c>
      <c r="K763" s="17">
        <v>80.0</v>
      </c>
      <c r="L763" s="29">
        <f t="shared" si="2"/>
        <v>340</v>
      </c>
    </row>
    <row r="764" ht="23.25" customHeight="1">
      <c r="A764" s="17" t="s">
        <v>4033</v>
      </c>
      <c r="B764" s="17" t="str">
        <f t="shared" si="1"/>
        <v/>
      </c>
      <c r="C764" s="17" t="s">
        <v>4034</v>
      </c>
      <c r="D764" s="17" t="s">
        <v>2729</v>
      </c>
      <c r="E764" s="17"/>
      <c r="F764" s="17">
        <v>50.0</v>
      </c>
      <c r="G764" s="17">
        <v>45.0</v>
      </c>
      <c r="H764" s="17">
        <v>45.0</v>
      </c>
      <c r="I764" s="17">
        <v>35.0</v>
      </c>
      <c r="J764" s="17">
        <v>35.0</v>
      </c>
      <c r="K764" s="17">
        <v>50.0</v>
      </c>
      <c r="L764" s="29">
        <f t="shared" si="2"/>
        <v>260</v>
      </c>
    </row>
    <row r="765" ht="23.25" customHeight="1">
      <c r="A765" s="17" t="s">
        <v>4035</v>
      </c>
      <c r="B765" s="17" t="str">
        <f t="shared" si="1"/>
        <v/>
      </c>
      <c r="C765" s="17" t="s">
        <v>282</v>
      </c>
      <c r="D765" s="17" t="s">
        <v>2744</v>
      </c>
      <c r="E765" s="17" t="s">
        <v>2719</v>
      </c>
      <c r="F765" s="17">
        <v>40.0</v>
      </c>
      <c r="G765" s="17">
        <v>50.0</v>
      </c>
      <c r="H765" s="17">
        <v>90.0</v>
      </c>
      <c r="I765" s="17">
        <v>30.0</v>
      </c>
      <c r="J765" s="17">
        <v>55.0</v>
      </c>
      <c r="K765" s="17">
        <v>65.0</v>
      </c>
      <c r="L765" s="29">
        <f t="shared" si="2"/>
        <v>330</v>
      </c>
    </row>
    <row r="766" ht="23.25" customHeight="1">
      <c r="A766" s="17" t="s">
        <v>4036</v>
      </c>
      <c r="B766" s="17" t="str">
        <f t="shared" si="1"/>
        <v/>
      </c>
      <c r="C766" s="17" t="s">
        <v>4037</v>
      </c>
      <c r="D766" s="17" t="s">
        <v>2744</v>
      </c>
      <c r="E766" s="17" t="s">
        <v>2736</v>
      </c>
      <c r="F766" s="17">
        <v>50.0</v>
      </c>
      <c r="G766" s="17">
        <v>60.0</v>
      </c>
      <c r="H766" s="17">
        <v>60.0</v>
      </c>
      <c r="I766" s="17">
        <v>60.0</v>
      </c>
      <c r="J766" s="17">
        <v>60.0</v>
      </c>
      <c r="K766" s="17">
        <v>30.0</v>
      </c>
      <c r="L766" s="29">
        <f t="shared" si="2"/>
        <v>320</v>
      </c>
    </row>
    <row r="767" ht="23.25" customHeight="1">
      <c r="A767" s="17" t="s">
        <v>4038</v>
      </c>
      <c r="B767" s="17" t="str">
        <f t="shared" si="1"/>
        <v/>
      </c>
      <c r="C767" s="17" t="s">
        <v>1384</v>
      </c>
      <c r="D767" s="17" t="s">
        <v>2744</v>
      </c>
      <c r="E767" s="17" t="s">
        <v>2716</v>
      </c>
      <c r="F767" s="17">
        <v>103.0</v>
      </c>
      <c r="G767" s="17">
        <v>93.0</v>
      </c>
      <c r="H767" s="17">
        <v>67.0</v>
      </c>
      <c r="I767" s="17">
        <v>71.0</v>
      </c>
      <c r="J767" s="17">
        <v>61.0</v>
      </c>
      <c r="K767" s="17">
        <v>84.0</v>
      </c>
      <c r="L767" s="29">
        <f t="shared" si="2"/>
        <v>479</v>
      </c>
    </row>
    <row r="768" ht="23.25" customHeight="1">
      <c r="A768" s="17" t="s">
        <v>4039</v>
      </c>
      <c r="B768" s="17" t="str">
        <f t="shared" si="1"/>
        <v/>
      </c>
      <c r="C768" s="17" t="s">
        <v>4040</v>
      </c>
      <c r="D768" s="17" t="s">
        <v>2729</v>
      </c>
      <c r="E768" s="17"/>
      <c r="F768" s="17">
        <v>70.0</v>
      </c>
      <c r="G768" s="17">
        <v>55.0</v>
      </c>
      <c r="H768" s="17">
        <v>55.0</v>
      </c>
      <c r="I768" s="17">
        <v>35.0</v>
      </c>
      <c r="J768" s="17">
        <v>35.0</v>
      </c>
      <c r="K768" s="17">
        <v>25.0</v>
      </c>
      <c r="L768" s="29">
        <f t="shared" si="2"/>
        <v>275</v>
      </c>
    </row>
    <row r="769" ht="23.25" customHeight="1">
      <c r="A769" s="17" t="s">
        <v>4041</v>
      </c>
      <c r="B769" s="17" t="str">
        <f t="shared" si="1"/>
        <v/>
      </c>
      <c r="C769" s="17" t="s">
        <v>4042</v>
      </c>
      <c r="D769" s="17" t="s">
        <v>2729</v>
      </c>
      <c r="E769" s="17"/>
      <c r="F769" s="17">
        <v>150.0</v>
      </c>
      <c r="G769" s="17">
        <v>160.0</v>
      </c>
      <c r="H769" s="17">
        <v>100.0</v>
      </c>
      <c r="I769" s="17">
        <v>95.0</v>
      </c>
      <c r="J769" s="17">
        <v>65.0</v>
      </c>
      <c r="K769" s="17">
        <v>100.0</v>
      </c>
      <c r="L769" s="29">
        <f t="shared" si="2"/>
        <v>670</v>
      </c>
    </row>
    <row r="770" ht="23.25" customHeight="1">
      <c r="A770" s="17" t="s">
        <v>4043</v>
      </c>
      <c r="B770" s="17" t="str">
        <f t="shared" si="1"/>
        <v/>
      </c>
      <c r="C770" s="17" t="s">
        <v>4044</v>
      </c>
      <c r="D770" s="17" t="s">
        <v>2729</v>
      </c>
      <c r="E770" s="17"/>
      <c r="F770" s="17">
        <v>60.0</v>
      </c>
      <c r="G770" s="17">
        <v>60.0</v>
      </c>
      <c r="H770" s="17">
        <v>60.0</v>
      </c>
      <c r="I770" s="17">
        <v>35.0</v>
      </c>
      <c r="J770" s="17">
        <v>35.0</v>
      </c>
      <c r="K770" s="17">
        <v>30.0</v>
      </c>
      <c r="L770" s="29">
        <f t="shared" si="2"/>
        <v>280</v>
      </c>
    </row>
    <row r="771" ht="23.25" customHeight="1">
      <c r="A771" s="17" t="s">
        <v>4045</v>
      </c>
      <c r="B771" s="17" t="str">
        <f t="shared" si="1"/>
        <v/>
      </c>
      <c r="C771" s="17" t="s">
        <v>4046</v>
      </c>
      <c r="D771" s="17" t="s">
        <v>2738</v>
      </c>
      <c r="E771" s="17"/>
      <c r="F771" s="17">
        <v>68.0</v>
      </c>
      <c r="G771" s="17">
        <v>75.0</v>
      </c>
      <c r="H771" s="17">
        <v>53.0</v>
      </c>
      <c r="I771" s="17">
        <v>83.0</v>
      </c>
      <c r="J771" s="17">
        <v>113.0</v>
      </c>
      <c r="K771" s="17">
        <v>60.0</v>
      </c>
      <c r="L771" s="29">
        <f t="shared" si="2"/>
        <v>452</v>
      </c>
    </row>
    <row r="772" ht="23.25" customHeight="1">
      <c r="A772" s="17" t="s">
        <v>4047</v>
      </c>
      <c r="B772" s="17" t="str">
        <f t="shared" si="1"/>
        <v/>
      </c>
      <c r="C772" s="17" t="s">
        <v>1897</v>
      </c>
      <c r="D772" s="17" t="s">
        <v>2736</v>
      </c>
      <c r="E772" s="17" t="s">
        <v>2714</v>
      </c>
      <c r="F772" s="17">
        <v>95.0</v>
      </c>
      <c r="G772" s="17">
        <v>75.0</v>
      </c>
      <c r="H772" s="17">
        <v>110.0</v>
      </c>
      <c r="I772" s="17">
        <v>100.0</v>
      </c>
      <c r="J772" s="17">
        <v>80.0</v>
      </c>
      <c r="K772" s="17">
        <v>30.0</v>
      </c>
      <c r="L772" s="29">
        <f t="shared" si="2"/>
        <v>490</v>
      </c>
    </row>
    <row r="773" ht="23.25" customHeight="1">
      <c r="A773" s="17" t="s">
        <v>4048</v>
      </c>
      <c r="B773" s="17" t="str">
        <f t="shared" si="1"/>
        <v/>
      </c>
      <c r="C773" s="17" t="s">
        <v>4049</v>
      </c>
      <c r="D773" s="17" t="s">
        <v>2736</v>
      </c>
      <c r="E773" s="17" t="s">
        <v>2714</v>
      </c>
      <c r="F773" s="17">
        <v>95.0</v>
      </c>
      <c r="G773" s="17">
        <v>75.0</v>
      </c>
      <c r="H773" s="17">
        <v>80.0</v>
      </c>
      <c r="I773" s="17">
        <v>100.0</v>
      </c>
      <c r="J773" s="17">
        <v>110.0</v>
      </c>
      <c r="K773" s="17">
        <v>30.0</v>
      </c>
      <c r="L773" s="29">
        <f t="shared" si="2"/>
        <v>490</v>
      </c>
    </row>
    <row r="774" ht="23.25" customHeight="1">
      <c r="A774" s="17" t="s">
        <v>4050</v>
      </c>
      <c r="B774" s="17" t="str">
        <f t="shared" si="1"/>
        <v/>
      </c>
      <c r="C774" s="17" t="s">
        <v>1895</v>
      </c>
      <c r="D774" s="17" t="s">
        <v>2736</v>
      </c>
      <c r="E774" s="17" t="s">
        <v>2714</v>
      </c>
      <c r="F774" s="17">
        <v>90.0</v>
      </c>
      <c r="G774" s="17">
        <v>65.0</v>
      </c>
      <c r="H774" s="17">
        <v>65.0</v>
      </c>
      <c r="I774" s="17">
        <v>40.0</v>
      </c>
      <c r="J774" s="17">
        <v>40.0</v>
      </c>
      <c r="K774" s="17">
        <v>15.0</v>
      </c>
      <c r="L774" s="29">
        <f t="shared" si="2"/>
        <v>315</v>
      </c>
    </row>
    <row r="775" ht="23.25" customHeight="1">
      <c r="A775" s="17" t="s">
        <v>4051</v>
      </c>
      <c r="B775" s="17" t="str">
        <f t="shared" si="1"/>
        <v/>
      </c>
      <c r="C775" s="17" t="s">
        <v>4052</v>
      </c>
      <c r="D775" s="17" t="s">
        <v>2758</v>
      </c>
      <c r="E775" s="17"/>
      <c r="F775" s="17">
        <v>40.0</v>
      </c>
      <c r="G775" s="17">
        <v>40.0</v>
      </c>
      <c r="H775" s="17">
        <v>40.0</v>
      </c>
      <c r="I775" s="17">
        <v>70.0</v>
      </c>
      <c r="J775" s="17">
        <v>40.0</v>
      </c>
      <c r="K775" s="17">
        <v>20.0</v>
      </c>
      <c r="L775" s="29">
        <f t="shared" si="2"/>
        <v>250</v>
      </c>
    </row>
    <row r="776" ht="23.25" customHeight="1">
      <c r="A776" s="17" t="s">
        <v>4053</v>
      </c>
      <c r="B776" s="17" t="str">
        <f t="shared" si="1"/>
        <v/>
      </c>
      <c r="C776" s="17" t="s">
        <v>4054</v>
      </c>
      <c r="D776" s="17" t="s">
        <v>2733</v>
      </c>
      <c r="E776" s="17"/>
      <c r="F776" s="17">
        <v>82.0</v>
      </c>
      <c r="G776" s="17">
        <v>80.0</v>
      </c>
      <c r="H776" s="17">
        <v>86.0</v>
      </c>
      <c r="I776" s="17">
        <v>85.0</v>
      </c>
      <c r="J776" s="17">
        <v>75.0</v>
      </c>
      <c r="K776" s="17">
        <v>72.0</v>
      </c>
      <c r="L776" s="29">
        <f t="shared" si="2"/>
        <v>480</v>
      </c>
    </row>
    <row r="777" ht="23.25" customHeight="1">
      <c r="A777" s="17" t="s">
        <v>4055</v>
      </c>
      <c r="B777" s="17" t="str">
        <f t="shared" si="1"/>
        <v/>
      </c>
      <c r="C777" s="17" t="s">
        <v>4056</v>
      </c>
      <c r="D777" s="17" t="s">
        <v>2729</v>
      </c>
      <c r="E777" s="17"/>
      <c r="F777" s="17">
        <v>55.0</v>
      </c>
      <c r="G777" s="17">
        <v>20.0</v>
      </c>
      <c r="H777" s="17">
        <v>35.0</v>
      </c>
      <c r="I777" s="17">
        <v>20.0</v>
      </c>
      <c r="J777" s="17">
        <v>45.0</v>
      </c>
      <c r="K777" s="17">
        <v>75.0</v>
      </c>
      <c r="L777" s="29">
        <f t="shared" si="2"/>
        <v>250</v>
      </c>
    </row>
    <row r="778" ht="23.25" customHeight="1">
      <c r="A778" s="17" t="s">
        <v>4057</v>
      </c>
      <c r="B778" s="17" t="str">
        <f t="shared" si="1"/>
        <v/>
      </c>
      <c r="C778" s="17" t="s">
        <v>4058</v>
      </c>
      <c r="D778" s="17" t="s">
        <v>2758</v>
      </c>
      <c r="E778" s="17"/>
      <c r="F778" s="17">
        <v>48.0</v>
      </c>
      <c r="G778" s="17">
        <v>66.0</v>
      </c>
      <c r="H778" s="17">
        <v>43.0</v>
      </c>
      <c r="I778" s="17">
        <v>58.0</v>
      </c>
      <c r="J778" s="17">
        <v>48.0</v>
      </c>
      <c r="K778" s="17">
        <v>56.0</v>
      </c>
      <c r="L778" s="29">
        <f t="shared" si="2"/>
        <v>319</v>
      </c>
    </row>
    <row r="779" ht="23.25" customHeight="1">
      <c r="A779" s="17" t="s">
        <v>4059</v>
      </c>
      <c r="B779" s="17" t="str">
        <f t="shared" si="1"/>
        <v/>
      </c>
      <c r="C779" s="17" t="s">
        <v>4060</v>
      </c>
      <c r="D779" s="17" t="s">
        <v>2758</v>
      </c>
      <c r="E779" s="17" t="s">
        <v>2803</v>
      </c>
      <c r="F779" s="17">
        <v>68.0</v>
      </c>
      <c r="G779" s="17">
        <v>86.0</v>
      </c>
      <c r="H779" s="17">
        <v>53.0</v>
      </c>
      <c r="I779" s="17">
        <v>68.0</v>
      </c>
      <c r="J779" s="17">
        <v>68.0</v>
      </c>
      <c r="K779" s="17">
        <v>76.0</v>
      </c>
      <c r="L779" s="29">
        <f t="shared" si="2"/>
        <v>419</v>
      </c>
    </row>
    <row r="780" ht="23.25" customHeight="1">
      <c r="A780" s="17" t="s">
        <v>4061</v>
      </c>
      <c r="B780" s="17" t="str">
        <f t="shared" si="1"/>
        <v/>
      </c>
      <c r="C780" s="17" t="s">
        <v>4062</v>
      </c>
      <c r="D780" s="17" t="s">
        <v>2758</v>
      </c>
      <c r="E780" s="17" t="s">
        <v>2803</v>
      </c>
      <c r="F780" s="17">
        <v>88.0</v>
      </c>
      <c r="G780" s="17">
        <v>116.0</v>
      </c>
      <c r="H780" s="17">
        <v>67.0</v>
      </c>
      <c r="I780" s="17">
        <v>88.0</v>
      </c>
      <c r="J780" s="17">
        <v>78.0</v>
      </c>
      <c r="K780" s="17">
        <v>97.0</v>
      </c>
      <c r="L780" s="29">
        <f t="shared" si="2"/>
        <v>534</v>
      </c>
    </row>
    <row r="781" ht="23.25" customHeight="1">
      <c r="A781" s="17" t="s">
        <v>4063</v>
      </c>
      <c r="B781" s="17" t="str">
        <f t="shared" si="1"/>
        <v/>
      </c>
      <c r="C781" s="17" t="s">
        <v>4064</v>
      </c>
      <c r="D781" s="17" t="s">
        <v>2712</v>
      </c>
      <c r="E781" s="17" t="s">
        <v>2714</v>
      </c>
      <c r="F781" s="17">
        <v>45.0</v>
      </c>
      <c r="G781" s="17">
        <v>30.0</v>
      </c>
      <c r="H781" s="17">
        <v>15.0</v>
      </c>
      <c r="I781" s="17">
        <v>85.0</v>
      </c>
      <c r="J781" s="17">
        <v>65.0</v>
      </c>
      <c r="K781" s="17">
        <v>65.0</v>
      </c>
      <c r="L781" s="29">
        <f t="shared" si="2"/>
        <v>305</v>
      </c>
    </row>
    <row r="782" ht="23.25" customHeight="1">
      <c r="A782" s="17" t="s">
        <v>4065</v>
      </c>
      <c r="B782" s="17" t="str">
        <f t="shared" si="1"/>
        <v/>
      </c>
      <c r="C782" s="17" t="s">
        <v>4066</v>
      </c>
      <c r="D782" s="17" t="s">
        <v>2736</v>
      </c>
      <c r="E782" s="17" t="s">
        <v>2719</v>
      </c>
      <c r="F782" s="17">
        <v>91.0</v>
      </c>
      <c r="G782" s="17">
        <v>94.0</v>
      </c>
      <c r="H782" s="17">
        <v>110.0</v>
      </c>
      <c r="I782" s="17">
        <v>80.0</v>
      </c>
      <c r="J782" s="17">
        <v>97.0</v>
      </c>
      <c r="K782" s="17">
        <v>63.0</v>
      </c>
      <c r="L782" s="29">
        <f t="shared" si="2"/>
        <v>535</v>
      </c>
    </row>
    <row r="783" ht="23.25" customHeight="1">
      <c r="A783" s="17" t="s">
        <v>4067</v>
      </c>
      <c r="B783" s="17" t="str">
        <f t="shared" si="1"/>
        <v/>
      </c>
      <c r="C783" s="17" t="s">
        <v>478</v>
      </c>
      <c r="D783" s="17" t="s">
        <v>2716</v>
      </c>
      <c r="E783" s="17" t="s">
        <v>2712</v>
      </c>
      <c r="F783" s="17">
        <v>55.0</v>
      </c>
      <c r="G783" s="17">
        <v>95.0</v>
      </c>
      <c r="H783" s="17">
        <v>55.0</v>
      </c>
      <c r="I783" s="17">
        <v>35.0</v>
      </c>
      <c r="J783" s="17">
        <v>75.0</v>
      </c>
      <c r="K783" s="17">
        <v>115.0</v>
      </c>
      <c r="L783" s="29">
        <f t="shared" si="2"/>
        <v>430</v>
      </c>
    </row>
    <row r="784" ht="23.25" customHeight="1">
      <c r="A784" s="17" t="s">
        <v>4068</v>
      </c>
      <c r="B784" s="17" t="str">
        <f t="shared" si="1"/>
        <v/>
      </c>
      <c r="C784" s="17" t="s">
        <v>4069</v>
      </c>
      <c r="D784" s="17" t="s">
        <v>2711</v>
      </c>
      <c r="E784" s="17"/>
      <c r="F784" s="17">
        <v>45.0</v>
      </c>
      <c r="G784" s="17">
        <v>45.0</v>
      </c>
      <c r="H784" s="17">
        <v>55.0</v>
      </c>
      <c r="I784" s="17">
        <v>45.0</v>
      </c>
      <c r="J784" s="17">
        <v>55.0</v>
      </c>
      <c r="K784" s="17">
        <v>63.0</v>
      </c>
      <c r="L784" s="29">
        <f t="shared" si="2"/>
        <v>308</v>
      </c>
    </row>
    <row r="785" ht="23.25" customHeight="1">
      <c r="A785" s="17" t="s">
        <v>4070</v>
      </c>
      <c r="B785" s="17" t="str">
        <f t="shared" si="1"/>
        <v/>
      </c>
      <c r="C785" s="17" t="s">
        <v>4071</v>
      </c>
      <c r="D785" s="17" t="s">
        <v>2712</v>
      </c>
      <c r="E785" s="17" t="s">
        <v>2719</v>
      </c>
      <c r="F785" s="17">
        <v>30.0</v>
      </c>
      <c r="G785" s="17">
        <v>25.0</v>
      </c>
      <c r="H785" s="17">
        <v>35.0</v>
      </c>
      <c r="I785" s="17">
        <v>45.0</v>
      </c>
      <c r="J785" s="17">
        <v>30.0</v>
      </c>
      <c r="K785" s="17">
        <v>20.0</v>
      </c>
      <c r="L785" s="29">
        <f t="shared" si="2"/>
        <v>185</v>
      </c>
    </row>
    <row r="786" ht="23.25" customHeight="1">
      <c r="A786" s="17" t="s">
        <v>4072</v>
      </c>
      <c r="B786" s="17" t="str">
        <f t="shared" si="1"/>
        <v/>
      </c>
      <c r="C786" s="17" t="s">
        <v>1520</v>
      </c>
      <c r="D786" s="17" t="s">
        <v>2729</v>
      </c>
      <c r="E786" s="17"/>
      <c r="F786" s="17">
        <v>160.0</v>
      </c>
      <c r="G786" s="17">
        <v>110.0</v>
      </c>
      <c r="H786" s="17">
        <v>65.0</v>
      </c>
      <c r="I786" s="17">
        <v>65.0</v>
      </c>
      <c r="J786" s="17">
        <v>110.0</v>
      </c>
      <c r="K786" s="17">
        <v>30.0</v>
      </c>
      <c r="L786" s="29">
        <f t="shared" si="2"/>
        <v>540</v>
      </c>
    </row>
    <row r="787" ht="23.25" customHeight="1">
      <c r="A787" s="17" t="s">
        <v>4073</v>
      </c>
      <c r="B787" s="17" t="str">
        <f t="shared" si="1"/>
        <v/>
      </c>
      <c r="C787" s="17" t="s">
        <v>4074</v>
      </c>
      <c r="D787" s="17" t="s">
        <v>2712</v>
      </c>
      <c r="E787" s="17"/>
      <c r="F787" s="17">
        <v>50.0</v>
      </c>
      <c r="G787" s="17">
        <v>50.0</v>
      </c>
      <c r="H787" s="17">
        <v>50.0</v>
      </c>
      <c r="I787" s="17">
        <v>50.0</v>
      </c>
      <c r="J787" s="17">
        <v>50.0</v>
      </c>
      <c r="K787" s="17">
        <v>50.0</v>
      </c>
      <c r="L787" s="29">
        <f t="shared" si="2"/>
        <v>300</v>
      </c>
    </row>
    <row r="788" ht="23.25" customHeight="1">
      <c r="A788" s="17" t="s">
        <v>4075</v>
      </c>
      <c r="B788" s="17" t="str">
        <f t="shared" si="1"/>
        <v/>
      </c>
      <c r="C788" s="17" t="s">
        <v>494</v>
      </c>
      <c r="D788" s="17" t="s">
        <v>2711</v>
      </c>
      <c r="E788" s="17" t="s">
        <v>2712</v>
      </c>
      <c r="F788" s="17">
        <v>60.0</v>
      </c>
      <c r="G788" s="17">
        <v>62.0</v>
      </c>
      <c r="H788" s="17">
        <v>50.0</v>
      </c>
      <c r="I788" s="17">
        <v>62.0</v>
      </c>
      <c r="J788" s="17">
        <v>60.0</v>
      </c>
      <c r="K788" s="17">
        <v>40.0</v>
      </c>
      <c r="L788" s="29">
        <f t="shared" si="2"/>
        <v>334</v>
      </c>
    </row>
    <row r="789" ht="23.25" customHeight="1">
      <c r="A789" s="17" t="s">
        <v>4076</v>
      </c>
      <c r="B789" s="17" t="str">
        <f t="shared" si="1"/>
        <v/>
      </c>
      <c r="C789" s="17" t="s">
        <v>4077</v>
      </c>
      <c r="D789" s="17" t="s">
        <v>2733</v>
      </c>
      <c r="E789" s="17"/>
      <c r="F789" s="17">
        <v>60.0</v>
      </c>
      <c r="G789" s="17">
        <v>80.0</v>
      </c>
      <c r="H789" s="17">
        <v>50.0</v>
      </c>
      <c r="I789" s="17">
        <v>40.0</v>
      </c>
      <c r="J789" s="17">
        <v>40.0</v>
      </c>
      <c r="K789" s="17">
        <v>30.0</v>
      </c>
      <c r="L789" s="29">
        <f t="shared" si="2"/>
        <v>300</v>
      </c>
    </row>
    <row r="790" ht="23.25" customHeight="1">
      <c r="A790" s="17" t="s">
        <v>4078</v>
      </c>
      <c r="B790" s="17" t="str">
        <f t="shared" si="1"/>
        <v/>
      </c>
      <c r="C790" s="17" t="s">
        <v>4079</v>
      </c>
      <c r="D790" s="17" t="s">
        <v>2746</v>
      </c>
      <c r="E790" s="17" t="s">
        <v>2744</v>
      </c>
      <c r="F790" s="17">
        <v>40.0</v>
      </c>
      <c r="G790" s="17">
        <v>37.0</v>
      </c>
      <c r="H790" s="17">
        <v>79.0</v>
      </c>
      <c r="I790" s="17">
        <v>91.0</v>
      </c>
      <c r="J790" s="17">
        <v>68.0</v>
      </c>
      <c r="K790" s="17">
        <v>70.0</v>
      </c>
      <c r="L790" s="29">
        <f t="shared" si="2"/>
        <v>385</v>
      </c>
    </row>
    <row r="791" ht="23.25" customHeight="1">
      <c r="A791" s="17" t="s">
        <v>4080</v>
      </c>
      <c r="B791" s="17" t="str">
        <f t="shared" si="1"/>
        <v/>
      </c>
      <c r="C791" s="17" t="s">
        <v>4081</v>
      </c>
      <c r="D791" s="17" t="s">
        <v>2736</v>
      </c>
      <c r="E791" s="17"/>
      <c r="F791" s="17">
        <v>50.0</v>
      </c>
      <c r="G791" s="17">
        <v>40.0</v>
      </c>
      <c r="H791" s="17">
        <v>40.0</v>
      </c>
      <c r="I791" s="17">
        <v>70.0</v>
      </c>
      <c r="J791" s="17">
        <v>40.0</v>
      </c>
      <c r="K791" s="17">
        <v>70.0</v>
      </c>
      <c r="L791" s="29">
        <f t="shared" si="2"/>
        <v>310</v>
      </c>
    </row>
    <row r="792" ht="23.25" customHeight="1">
      <c r="A792" s="17" t="s">
        <v>4082</v>
      </c>
      <c r="B792" s="17" t="str">
        <f t="shared" si="1"/>
        <v/>
      </c>
      <c r="C792" s="17" t="s">
        <v>4083</v>
      </c>
      <c r="D792" s="17" t="s">
        <v>2714</v>
      </c>
      <c r="E792" s="17" t="s">
        <v>2722</v>
      </c>
      <c r="F792" s="17">
        <v>137.0</v>
      </c>
      <c r="G792" s="17">
        <v>137.0</v>
      </c>
      <c r="H792" s="17">
        <v>107.0</v>
      </c>
      <c r="I792" s="17">
        <v>113.0</v>
      </c>
      <c r="J792" s="17">
        <v>89.0</v>
      </c>
      <c r="K792" s="17">
        <v>97.0</v>
      </c>
      <c r="L792" s="29">
        <f t="shared" si="2"/>
        <v>680</v>
      </c>
    </row>
    <row r="793" ht="23.25" customHeight="1">
      <c r="A793" s="17" t="s">
        <v>4084</v>
      </c>
      <c r="B793" s="17" t="str">
        <f t="shared" si="1"/>
        <v/>
      </c>
      <c r="C793" s="17" t="s">
        <v>4085</v>
      </c>
      <c r="D793" s="17" t="s">
        <v>2714</v>
      </c>
      <c r="E793" s="17"/>
      <c r="F793" s="17">
        <v>45.0</v>
      </c>
      <c r="G793" s="17">
        <v>30.0</v>
      </c>
      <c r="H793" s="17">
        <v>40.0</v>
      </c>
      <c r="I793" s="17">
        <v>105.0</v>
      </c>
      <c r="J793" s="17">
        <v>50.0</v>
      </c>
      <c r="K793" s="17">
        <v>20.0</v>
      </c>
      <c r="L793" s="29">
        <f t="shared" si="2"/>
        <v>290</v>
      </c>
    </row>
    <row r="794" ht="23.25" customHeight="1">
      <c r="A794" s="17" t="s">
        <v>4086</v>
      </c>
      <c r="B794" s="17" t="str">
        <f t="shared" si="1"/>
        <v/>
      </c>
      <c r="C794" s="17" t="s">
        <v>4087</v>
      </c>
      <c r="D794" s="17" t="s">
        <v>2758</v>
      </c>
      <c r="E794" s="17" t="s">
        <v>2738</v>
      </c>
      <c r="F794" s="17">
        <v>68.0</v>
      </c>
      <c r="G794" s="17">
        <v>48.0</v>
      </c>
      <c r="H794" s="17">
        <v>34.0</v>
      </c>
      <c r="I794" s="17">
        <v>72.0</v>
      </c>
      <c r="J794" s="17">
        <v>24.0</v>
      </c>
      <c r="K794" s="17">
        <v>84.0</v>
      </c>
      <c r="L794" s="29">
        <f t="shared" si="2"/>
        <v>330</v>
      </c>
    </row>
    <row r="795" ht="23.25" customHeight="1">
      <c r="A795" s="17" t="s">
        <v>4088</v>
      </c>
      <c r="B795" s="17" t="str">
        <f t="shared" si="1"/>
        <v/>
      </c>
      <c r="C795" s="17" t="s">
        <v>4089</v>
      </c>
      <c r="D795" s="17" t="s">
        <v>2725</v>
      </c>
      <c r="E795" s="17" t="s">
        <v>2714</v>
      </c>
      <c r="F795" s="17">
        <v>90.0</v>
      </c>
      <c r="G795" s="17">
        <v>95.0</v>
      </c>
      <c r="H795" s="17">
        <v>85.0</v>
      </c>
      <c r="I795" s="17">
        <v>55.0</v>
      </c>
      <c r="J795" s="17">
        <v>65.0</v>
      </c>
      <c r="K795" s="17">
        <v>70.0</v>
      </c>
      <c r="L795" s="29">
        <f t="shared" si="2"/>
        <v>460</v>
      </c>
    </row>
    <row r="796" ht="23.25" customHeight="1">
      <c r="A796" s="17" t="s">
        <v>4090</v>
      </c>
      <c r="B796" s="17" t="str">
        <f t="shared" si="1"/>
        <v/>
      </c>
      <c r="C796" s="17" t="s">
        <v>4091</v>
      </c>
      <c r="D796" s="17" t="s">
        <v>2729</v>
      </c>
      <c r="E796" s="17" t="s">
        <v>2726</v>
      </c>
      <c r="F796" s="17">
        <v>40.0</v>
      </c>
      <c r="G796" s="17">
        <v>60.0</v>
      </c>
      <c r="H796" s="17">
        <v>30.0</v>
      </c>
      <c r="I796" s="17">
        <v>31.0</v>
      </c>
      <c r="J796" s="17">
        <v>31.0</v>
      </c>
      <c r="K796" s="17">
        <v>70.0</v>
      </c>
      <c r="L796" s="29">
        <f t="shared" si="2"/>
        <v>262</v>
      </c>
    </row>
    <row r="797" ht="23.25" customHeight="1">
      <c r="A797" s="17" t="s">
        <v>4092</v>
      </c>
      <c r="B797" s="17" t="str">
        <f t="shared" si="1"/>
        <v/>
      </c>
      <c r="C797" s="17" t="s">
        <v>4093</v>
      </c>
      <c r="D797" s="17" t="s">
        <v>2723</v>
      </c>
      <c r="E797" s="17"/>
      <c r="F797" s="17">
        <v>100.0</v>
      </c>
      <c r="G797" s="17">
        <v>65.0</v>
      </c>
      <c r="H797" s="17">
        <v>60.0</v>
      </c>
      <c r="I797" s="17">
        <v>145.0</v>
      </c>
      <c r="J797" s="17">
        <v>80.0</v>
      </c>
      <c r="K797" s="17">
        <v>130.0</v>
      </c>
      <c r="L797" s="29">
        <f t="shared" si="2"/>
        <v>580</v>
      </c>
    </row>
    <row r="798" ht="23.25" customHeight="1">
      <c r="A798" s="17" t="s">
        <v>4094</v>
      </c>
      <c r="B798" s="17" t="str">
        <f t="shared" si="1"/>
        <v/>
      </c>
      <c r="C798" s="17" t="s">
        <v>4095</v>
      </c>
      <c r="D798" s="17" t="s">
        <v>2719</v>
      </c>
      <c r="E798" s="17"/>
      <c r="F798" s="17">
        <v>45.0</v>
      </c>
      <c r="G798" s="17">
        <v>22.0</v>
      </c>
      <c r="H798" s="17">
        <v>60.0</v>
      </c>
      <c r="I798" s="17">
        <v>27.0</v>
      </c>
      <c r="J798" s="17">
        <v>30.0</v>
      </c>
      <c r="K798" s="17">
        <v>29.0</v>
      </c>
      <c r="L798" s="29">
        <f t="shared" si="2"/>
        <v>213</v>
      </c>
    </row>
    <row r="799" ht="23.25" customHeight="1">
      <c r="A799" s="17" t="s">
        <v>4096</v>
      </c>
      <c r="B799" s="17" t="str">
        <f t="shared" si="1"/>
        <v/>
      </c>
      <c r="C799" s="17" t="s">
        <v>4097</v>
      </c>
      <c r="D799" s="17" t="s">
        <v>2712</v>
      </c>
      <c r="E799" s="17" t="s">
        <v>2736</v>
      </c>
      <c r="F799" s="17">
        <v>70.0</v>
      </c>
      <c r="G799" s="17">
        <v>40.0</v>
      </c>
      <c r="H799" s="17">
        <v>50.0</v>
      </c>
      <c r="I799" s="17">
        <v>55.0</v>
      </c>
      <c r="J799" s="17">
        <v>50.0</v>
      </c>
      <c r="K799" s="17">
        <v>25.0</v>
      </c>
      <c r="L799" s="29">
        <f t="shared" si="2"/>
        <v>290</v>
      </c>
    </row>
    <row r="800" ht="23.25" customHeight="1">
      <c r="A800" s="17" t="s">
        <v>4098</v>
      </c>
      <c r="B800" s="17" t="str">
        <f t="shared" si="1"/>
        <v/>
      </c>
      <c r="C800" s="17" t="s">
        <v>4099</v>
      </c>
      <c r="D800" s="17" t="s">
        <v>2719</v>
      </c>
      <c r="E800" s="17" t="s">
        <v>2744</v>
      </c>
      <c r="F800" s="17">
        <v>40.0</v>
      </c>
      <c r="G800" s="17">
        <v>60.0</v>
      </c>
      <c r="H800" s="17">
        <v>40.0</v>
      </c>
      <c r="I800" s="17">
        <v>40.0</v>
      </c>
      <c r="J800" s="17">
        <v>40.0</v>
      </c>
      <c r="K800" s="17">
        <v>30.0</v>
      </c>
      <c r="L800" s="29">
        <f t="shared" si="2"/>
        <v>250</v>
      </c>
    </row>
    <row r="801" ht="23.25" customHeight="1">
      <c r="A801" s="17" t="s">
        <v>4100</v>
      </c>
      <c r="B801" s="17" t="str">
        <f t="shared" si="1"/>
        <v/>
      </c>
      <c r="C801" s="17" t="s">
        <v>1933</v>
      </c>
      <c r="D801" s="17" t="s">
        <v>2729</v>
      </c>
      <c r="E801" s="17"/>
      <c r="F801" s="17">
        <v>60.0</v>
      </c>
      <c r="G801" s="17">
        <v>60.0</v>
      </c>
      <c r="H801" s="17">
        <v>60.0</v>
      </c>
      <c r="I801" s="17">
        <v>60.0</v>
      </c>
      <c r="J801" s="17">
        <v>60.0</v>
      </c>
      <c r="K801" s="17">
        <v>60.0</v>
      </c>
      <c r="L801" s="29">
        <f t="shared" si="2"/>
        <v>360</v>
      </c>
    </row>
    <row r="802" ht="23.25" customHeight="1">
      <c r="A802" s="17" t="s">
        <v>4101</v>
      </c>
      <c r="B802" s="17" t="str">
        <f t="shared" si="1"/>
        <v/>
      </c>
      <c r="C802" s="17" t="s">
        <v>902</v>
      </c>
      <c r="D802" s="17" t="s">
        <v>2723</v>
      </c>
      <c r="E802" s="17" t="s">
        <v>2716</v>
      </c>
      <c r="F802" s="17">
        <v>50.0</v>
      </c>
      <c r="G802" s="17">
        <v>92.0</v>
      </c>
      <c r="H802" s="17">
        <v>108.0</v>
      </c>
      <c r="I802" s="17">
        <v>92.0</v>
      </c>
      <c r="J802" s="17">
        <v>108.0</v>
      </c>
      <c r="K802" s="17">
        <v>35.0</v>
      </c>
      <c r="L802" s="29">
        <f t="shared" si="2"/>
        <v>485</v>
      </c>
    </row>
    <row r="803" ht="23.25" customHeight="1">
      <c r="A803" s="17" t="s">
        <v>4102</v>
      </c>
      <c r="B803" s="17" t="str">
        <f t="shared" si="1"/>
        <v/>
      </c>
      <c r="C803" s="17" t="s">
        <v>4103</v>
      </c>
      <c r="D803" s="17" t="s">
        <v>2714</v>
      </c>
      <c r="E803" s="17"/>
      <c r="F803" s="17">
        <v>60.0</v>
      </c>
      <c r="G803" s="17">
        <v>25.0</v>
      </c>
      <c r="H803" s="17">
        <v>35.0</v>
      </c>
      <c r="I803" s="17">
        <v>70.0</v>
      </c>
      <c r="J803" s="17">
        <v>80.0</v>
      </c>
      <c r="K803" s="17">
        <v>60.0</v>
      </c>
      <c r="L803" s="29">
        <f t="shared" si="2"/>
        <v>330</v>
      </c>
    </row>
    <row r="804" ht="23.25" customHeight="1">
      <c r="A804" s="17" t="s">
        <v>4104</v>
      </c>
      <c r="B804" s="17" t="str">
        <f t="shared" si="1"/>
        <v/>
      </c>
      <c r="C804" s="17" t="s">
        <v>4105</v>
      </c>
      <c r="D804" s="17" t="s">
        <v>2733</v>
      </c>
      <c r="E804" s="17"/>
      <c r="F804" s="17">
        <v>78.0</v>
      </c>
      <c r="G804" s="17">
        <v>52.0</v>
      </c>
      <c r="H804" s="17">
        <v>60.0</v>
      </c>
      <c r="I804" s="17">
        <v>63.0</v>
      </c>
      <c r="J804" s="17">
        <v>65.0</v>
      </c>
      <c r="K804" s="17">
        <v>23.0</v>
      </c>
      <c r="L804" s="29">
        <f t="shared" si="2"/>
        <v>341</v>
      </c>
    </row>
    <row r="805" ht="23.25" customHeight="1">
      <c r="A805" s="17" t="s">
        <v>4106</v>
      </c>
      <c r="B805" s="17" t="str">
        <f t="shared" si="1"/>
        <v/>
      </c>
      <c r="C805" s="17" t="s">
        <v>4107</v>
      </c>
      <c r="D805" s="17" t="s">
        <v>2736</v>
      </c>
      <c r="E805" s="17"/>
      <c r="F805" s="17">
        <v>44.0</v>
      </c>
      <c r="G805" s="17">
        <v>48.0</v>
      </c>
      <c r="H805" s="17">
        <v>65.0</v>
      </c>
      <c r="I805" s="17">
        <v>50.0</v>
      </c>
      <c r="J805" s="17">
        <v>64.0</v>
      </c>
      <c r="K805" s="17">
        <v>43.0</v>
      </c>
      <c r="L805" s="29">
        <f t="shared" si="2"/>
        <v>314</v>
      </c>
    </row>
    <row r="806" ht="23.25" customHeight="1">
      <c r="A806" s="17" t="s">
        <v>4108</v>
      </c>
      <c r="B806" s="17" t="str">
        <f t="shared" si="1"/>
        <v/>
      </c>
      <c r="C806" s="17" t="s">
        <v>4109</v>
      </c>
      <c r="D806" s="17" t="s">
        <v>2725</v>
      </c>
      <c r="E806" s="17" t="s">
        <v>2722</v>
      </c>
      <c r="F806" s="17">
        <v>61.0</v>
      </c>
      <c r="G806" s="17">
        <v>131.0</v>
      </c>
      <c r="H806" s="17">
        <v>211.0</v>
      </c>
      <c r="I806" s="17">
        <v>53.0</v>
      </c>
      <c r="J806" s="17">
        <v>101.0</v>
      </c>
      <c r="K806" s="17">
        <v>13.0</v>
      </c>
      <c r="L806" s="29">
        <f t="shared" si="2"/>
        <v>570</v>
      </c>
    </row>
    <row r="807" ht="23.25" customHeight="1">
      <c r="A807" s="17" t="s">
        <v>4110</v>
      </c>
      <c r="B807" s="17" t="str">
        <f t="shared" si="1"/>
        <v/>
      </c>
      <c r="C807" s="17" t="s">
        <v>1860</v>
      </c>
      <c r="D807" s="17" t="s">
        <v>2729</v>
      </c>
      <c r="E807" s="17"/>
      <c r="F807" s="17">
        <v>73.0</v>
      </c>
      <c r="G807" s="17">
        <v>95.0</v>
      </c>
      <c r="H807" s="17">
        <v>62.0</v>
      </c>
      <c r="I807" s="17">
        <v>85.0</v>
      </c>
      <c r="J807" s="17">
        <v>65.0</v>
      </c>
      <c r="K807" s="17">
        <v>85.0</v>
      </c>
      <c r="L807" s="29">
        <f t="shared" si="2"/>
        <v>465</v>
      </c>
    </row>
    <row r="808" ht="23.25" customHeight="1">
      <c r="A808" s="17" t="s">
        <v>4111</v>
      </c>
      <c r="B808" s="17" t="str">
        <f t="shared" si="1"/>
        <v/>
      </c>
      <c r="C808" s="17" t="s">
        <v>741</v>
      </c>
      <c r="D808" s="17" t="s">
        <v>2729</v>
      </c>
      <c r="E808" s="17" t="s">
        <v>2726</v>
      </c>
      <c r="F808" s="17">
        <v>85.0</v>
      </c>
      <c r="G808" s="17">
        <v>120.0</v>
      </c>
      <c r="H808" s="17">
        <v>70.0</v>
      </c>
      <c r="I808" s="17">
        <v>50.0</v>
      </c>
      <c r="J808" s="17">
        <v>60.0</v>
      </c>
      <c r="K808" s="17">
        <v>100.0</v>
      </c>
      <c r="L808" s="29">
        <f t="shared" si="2"/>
        <v>485</v>
      </c>
    </row>
    <row r="809" ht="23.25" customHeight="1">
      <c r="A809" s="17" t="s">
        <v>4112</v>
      </c>
      <c r="B809" s="17" t="str">
        <f t="shared" si="1"/>
        <v/>
      </c>
      <c r="C809" s="17" t="s">
        <v>117</v>
      </c>
      <c r="D809" s="17" t="s">
        <v>2729</v>
      </c>
      <c r="E809" s="17" t="s">
        <v>2726</v>
      </c>
      <c r="F809" s="17">
        <v>55.0</v>
      </c>
      <c r="G809" s="17">
        <v>75.0</v>
      </c>
      <c r="H809" s="17">
        <v>50.0</v>
      </c>
      <c r="I809" s="17">
        <v>40.0</v>
      </c>
      <c r="J809" s="17">
        <v>40.0</v>
      </c>
      <c r="K809" s="17">
        <v>80.0</v>
      </c>
      <c r="L809" s="29">
        <f t="shared" si="2"/>
        <v>340</v>
      </c>
    </row>
    <row r="810" ht="23.25" customHeight="1">
      <c r="A810" s="17" t="s">
        <v>4113</v>
      </c>
      <c r="B810" s="17" t="str">
        <f t="shared" si="1"/>
        <v/>
      </c>
      <c r="C810" s="17" t="s">
        <v>19</v>
      </c>
      <c r="D810" s="17" t="s">
        <v>2729</v>
      </c>
      <c r="E810" s="17" t="s">
        <v>2726</v>
      </c>
      <c r="F810" s="17">
        <v>40.0</v>
      </c>
      <c r="G810" s="17">
        <v>55.0</v>
      </c>
      <c r="H810" s="17">
        <v>30.0</v>
      </c>
      <c r="I810" s="17">
        <v>30.0</v>
      </c>
      <c r="J810" s="17">
        <v>30.0</v>
      </c>
      <c r="K810" s="17">
        <v>60.0</v>
      </c>
      <c r="L810" s="29">
        <f t="shared" si="2"/>
        <v>245</v>
      </c>
    </row>
    <row r="811" ht="23.25" customHeight="1">
      <c r="A811" s="17" t="s">
        <v>4114</v>
      </c>
      <c r="B811" s="17" t="str">
        <f t="shared" si="1"/>
        <v/>
      </c>
      <c r="C811" s="17" t="s">
        <v>1961</v>
      </c>
      <c r="D811" s="17" t="s">
        <v>2736</v>
      </c>
      <c r="E811" s="17" t="s">
        <v>2714</v>
      </c>
      <c r="F811" s="17">
        <v>60.0</v>
      </c>
      <c r="G811" s="17">
        <v>75.0</v>
      </c>
      <c r="H811" s="17">
        <v>85.0</v>
      </c>
      <c r="I811" s="17">
        <v>100.0</v>
      </c>
      <c r="J811" s="17">
        <v>85.0</v>
      </c>
      <c r="K811" s="17">
        <v>115.0</v>
      </c>
      <c r="L811" s="29">
        <f t="shared" si="2"/>
        <v>520</v>
      </c>
    </row>
    <row r="812" ht="23.25" customHeight="1">
      <c r="A812" s="17" t="s">
        <v>4115</v>
      </c>
      <c r="B812" s="17" t="str">
        <f t="shared" si="1"/>
        <v/>
      </c>
      <c r="C812" s="17" t="s">
        <v>4116</v>
      </c>
      <c r="D812" s="17" t="s">
        <v>2736</v>
      </c>
      <c r="E812" s="17"/>
      <c r="F812" s="17">
        <v>30.0</v>
      </c>
      <c r="G812" s="17">
        <v>45.0</v>
      </c>
      <c r="H812" s="17">
        <v>55.0</v>
      </c>
      <c r="I812" s="17">
        <v>70.0</v>
      </c>
      <c r="J812" s="17">
        <v>55.0</v>
      </c>
      <c r="K812" s="17">
        <v>85.0</v>
      </c>
      <c r="L812" s="29">
        <f t="shared" si="2"/>
        <v>340</v>
      </c>
    </row>
    <row r="813" ht="23.25" customHeight="1">
      <c r="A813" s="17" t="s">
        <v>4117</v>
      </c>
      <c r="B813" s="17" t="str">
        <f t="shared" si="1"/>
        <v/>
      </c>
      <c r="C813" s="17" t="s">
        <v>756</v>
      </c>
      <c r="D813" s="17" t="s">
        <v>2722</v>
      </c>
      <c r="E813" s="17" t="s">
        <v>2803</v>
      </c>
      <c r="F813" s="17">
        <v>75.0</v>
      </c>
      <c r="G813" s="17">
        <v>85.0</v>
      </c>
      <c r="H813" s="17">
        <v>200.0</v>
      </c>
      <c r="I813" s="17">
        <v>55.0</v>
      </c>
      <c r="J813" s="17">
        <v>65.0</v>
      </c>
      <c r="K813" s="17">
        <v>30.0</v>
      </c>
      <c r="L813" s="29">
        <f t="shared" si="2"/>
        <v>510</v>
      </c>
    </row>
    <row r="814" ht="23.25" customHeight="1">
      <c r="A814" s="17" t="s">
        <v>4118</v>
      </c>
      <c r="B814" s="17" t="str">
        <f t="shared" si="1"/>
        <v/>
      </c>
      <c r="C814" s="17" t="s">
        <v>4119</v>
      </c>
      <c r="D814" s="17" t="s">
        <v>2711</v>
      </c>
      <c r="E814" s="17"/>
      <c r="F814" s="17">
        <v>52.0</v>
      </c>
      <c r="G814" s="17">
        <v>40.0</v>
      </c>
      <c r="H814" s="17">
        <v>48.0</v>
      </c>
      <c r="I814" s="17">
        <v>40.0</v>
      </c>
      <c r="J814" s="17">
        <v>48.0</v>
      </c>
      <c r="K814" s="17">
        <v>62.0</v>
      </c>
      <c r="L814" s="29">
        <f t="shared" si="2"/>
        <v>290</v>
      </c>
    </row>
    <row r="815" ht="23.25" customHeight="1">
      <c r="A815" s="17" t="s">
        <v>4120</v>
      </c>
      <c r="B815" s="17" t="str">
        <f t="shared" si="1"/>
        <v/>
      </c>
      <c r="C815" s="17" t="s">
        <v>4121</v>
      </c>
      <c r="D815" s="17" t="s">
        <v>2725</v>
      </c>
      <c r="E815" s="17"/>
      <c r="F815" s="17">
        <v>100.0</v>
      </c>
      <c r="G815" s="17">
        <v>125.0</v>
      </c>
      <c r="H815" s="17">
        <v>135.0</v>
      </c>
      <c r="I815" s="17">
        <v>20.0</v>
      </c>
      <c r="J815" s="17">
        <v>20.0</v>
      </c>
      <c r="K815" s="17">
        <v>70.0</v>
      </c>
      <c r="L815" s="29">
        <f t="shared" si="2"/>
        <v>470</v>
      </c>
    </row>
    <row r="816" ht="23.25" customHeight="1">
      <c r="A816" s="17" t="s">
        <v>4122</v>
      </c>
      <c r="B816" s="17" t="str">
        <f t="shared" si="1"/>
        <v/>
      </c>
      <c r="C816" s="17" t="s">
        <v>4123</v>
      </c>
      <c r="D816" s="17" t="s">
        <v>2729</v>
      </c>
      <c r="E816" s="17"/>
      <c r="F816" s="17">
        <v>85.0</v>
      </c>
      <c r="G816" s="17">
        <v>110.0</v>
      </c>
      <c r="H816" s="17">
        <v>90.0</v>
      </c>
      <c r="I816" s="17">
        <v>45.0</v>
      </c>
      <c r="J816" s="17">
        <v>90.0</v>
      </c>
      <c r="K816" s="17">
        <v>80.0</v>
      </c>
      <c r="L816" s="29">
        <f t="shared" si="2"/>
        <v>500</v>
      </c>
    </row>
    <row r="817" ht="23.25" customHeight="1">
      <c r="A817" s="17" t="s">
        <v>4124</v>
      </c>
      <c r="B817" s="17" t="str">
        <f t="shared" si="1"/>
        <v/>
      </c>
      <c r="C817" s="17" t="s">
        <v>4125</v>
      </c>
      <c r="D817" s="17" t="s">
        <v>2725</v>
      </c>
      <c r="E817" s="17"/>
      <c r="F817" s="17">
        <v>90.0</v>
      </c>
      <c r="G817" s="17">
        <v>60.0</v>
      </c>
      <c r="H817" s="17">
        <v>65.0</v>
      </c>
      <c r="I817" s="17">
        <v>120.0</v>
      </c>
      <c r="J817" s="17">
        <v>70.0</v>
      </c>
      <c r="K817" s="17">
        <v>130.0</v>
      </c>
      <c r="L817" s="29">
        <f t="shared" si="2"/>
        <v>535</v>
      </c>
    </row>
    <row r="818" ht="23.25" customHeight="1">
      <c r="A818" s="17" t="s">
        <v>4126</v>
      </c>
      <c r="B818" s="17" t="str">
        <f t="shared" si="1"/>
        <v/>
      </c>
      <c r="C818" s="17" t="s">
        <v>4127</v>
      </c>
      <c r="D818" s="17" t="s">
        <v>2729</v>
      </c>
      <c r="E818" s="17" t="s">
        <v>2773</v>
      </c>
      <c r="F818" s="17">
        <v>70.0</v>
      </c>
      <c r="G818" s="17">
        <v>75.0</v>
      </c>
      <c r="H818" s="17">
        <v>50.0</v>
      </c>
      <c r="I818" s="17">
        <v>45.0</v>
      </c>
      <c r="J818" s="17">
        <v>50.0</v>
      </c>
      <c r="K818" s="17">
        <v>50.0</v>
      </c>
      <c r="L818" s="29">
        <f t="shared" si="2"/>
        <v>340</v>
      </c>
    </row>
    <row r="819" ht="23.25" customHeight="1">
      <c r="A819" s="17" t="s">
        <v>4128</v>
      </c>
      <c r="B819" s="17" t="str">
        <f t="shared" si="1"/>
        <v/>
      </c>
      <c r="C819" s="17" t="s">
        <v>4129</v>
      </c>
      <c r="D819" s="17" t="s">
        <v>2803</v>
      </c>
      <c r="E819" s="17" t="s">
        <v>2746</v>
      </c>
      <c r="F819" s="17">
        <v>109.0</v>
      </c>
      <c r="G819" s="17">
        <v>66.0</v>
      </c>
      <c r="H819" s="17">
        <v>84.0</v>
      </c>
      <c r="I819" s="17">
        <v>81.0</v>
      </c>
      <c r="J819" s="17">
        <v>99.0</v>
      </c>
      <c r="K819" s="17">
        <v>32.0</v>
      </c>
      <c r="L819" s="29">
        <f t="shared" si="2"/>
        <v>471</v>
      </c>
    </row>
    <row r="820" ht="23.25" customHeight="1">
      <c r="A820" s="17" t="s">
        <v>4130</v>
      </c>
      <c r="B820" s="17" t="str">
        <f t="shared" si="1"/>
        <v/>
      </c>
      <c r="C820" s="17" t="s">
        <v>1017</v>
      </c>
      <c r="D820" s="17" t="s">
        <v>2744</v>
      </c>
      <c r="E820" s="17" t="s">
        <v>2716</v>
      </c>
      <c r="F820" s="17">
        <v>63.0</v>
      </c>
      <c r="G820" s="17">
        <v>63.0</v>
      </c>
      <c r="H820" s="17">
        <v>47.0</v>
      </c>
      <c r="I820" s="17">
        <v>41.0</v>
      </c>
      <c r="J820" s="17">
        <v>41.0</v>
      </c>
      <c r="K820" s="17">
        <v>74.0</v>
      </c>
      <c r="L820" s="29">
        <f t="shared" si="2"/>
        <v>329</v>
      </c>
    </row>
    <row r="821" ht="23.25" customHeight="1">
      <c r="A821" s="17" t="s">
        <v>4131</v>
      </c>
      <c r="B821" s="17" t="str">
        <f t="shared" si="1"/>
        <v/>
      </c>
      <c r="C821" s="17" t="s">
        <v>488</v>
      </c>
      <c r="D821" s="17" t="s">
        <v>2725</v>
      </c>
      <c r="E821" s="17"/>
      <c r="F821" s="17">
        <v>70.0</v>
      </c>
      <c r="G821" s="17">
        <v>100.0</v>
      </c>
      <c r="H821" s="17">
        <v>115.0</v>
      </c>
      <c r="I821" s="17">
        <v>30.0</v>
      </c>
      <c r="J821" s="17">
        <v>65.0</v>
      </c>
      <c r="K821" s="17">
        <v>30.0</v>
      </c>
      <c r="L821" s="29">
        <f t="shared" si="2"/>
        <v>410</v>
      </c>
    </row>
    <row r="822" ht="23.25" customHeight="1">
      <c r="A822" s="17" t="s">
        <v>4132</v>
      </c>
      <c r="B822" s="17" t="str">
        <f t="shared" si="1"/>
        <v/>
      </c>
      <c r="C822" s="17" t="s">
        <v>4133</v>
      </c>
      <c r="D822" s="17" t="s">
        <v>2736</v>
      </c>
      <c r="E822" s="17"/>
      <c r="F822" s="17">
        <v>100.0</v>
      </c>
      <c r="G822" s="17">
        <v>75.0</v>
      </c>
      <c r="H822" s="17">
        <v>115.0</v>
      </c>
      <c r="I822" s="17">
        <v>90.0</v>
      </c>
      <c r="J822" s="17">
        <v>115.0</v>
      </c>
      <c r="K822" s="17">
        <v>85.0</v>
      </c>
      <c r="L822" s="29">
        <f t="shared" si="2"/>
        <v>580</v>
      </c>
    </row>
    <row r="823" ht="23.25" customHeight="1">
      <c r="A823" s="17" t="s">
        <v>4134</v>
      </c>
      <c r="B823" s="17" t="str">
        <f t="shared" si="1"/>
        <v/>
      </c>
      <c r="C823" s="17" t="s">
        <v>2470</v>
      </c>
      <c r="D823" s="17" t="s">
        <v>2711</v>
      </c>
      <c r="E823" s="17"/>
      <c r="F823" s="17">
        <v>75.0</v>
      </c>
      <c r="G823" s="17">
        <v>75.0</v>
      </c>
      <c r="H823" s="17">
        <v>55.0</v>
      </c>
      <c r="I823" s="17">
        <v>105.0</v>
      </c>
      <c r="J823" s="17">
        <v>85.0</v>
      </c>
      <c r="K823" s="17">
        <v>30.0</v>
      </c>
      <c r="L823" s="29">
        <f t="shared" si="2"/>
        <v>425</v>
      </c>
    </row>
    <row r="824" ht="23.25" customHeight="1">
      <c r="A824" s="17" t="s">
        <v>4135</v>
      </c>
      <c r="B824" s="17" t="str">
        <f t="shared" si="1"/>
        <v/>
      </c>
      <c r="C824" s="17" t="s">
        <v>4136</v>
      </c>
      <c r="D824" s="17" t="s">
        <v>2711</v>
      </c>
      <c r="E824" s="17"/>
      <c r="F824" s="17">
        <v>30.0</v>
      </c>
      <c r="G824" s="17">
        <v>30.0</v>
      </c>
      <c r="H824" s="17">
        <v>30.0</v>
      </c>
      <c r="I824" s="17">
        <v>30.0</v>
      </c>
      <c r="J824" s="17">
        <v>30.0</v>
      </c>
      <c r="K824" s="17">
        <v>30.0</v>
      </c>
      <c r="L824" s="29">
        <f t="shared" si="2"/>
        <v>180</v>
      </c>
    </row>
    <row r="825" ht="23.25" customHeight="1">
      <c r="A825" s="17" t="s">
        <v>4137</v>
      </c>
      <c r="B825" s="17" t="str">
        <f t="shared" si="1"/>
        <v/>
      </c>
      <c r="C825" s="17" t="s">
        <v>4138</v>
      </c>
      <c r="D825" s="17" t="s">
        <v>2719</v>
      </c>
      <c r="E825" s="17" t="s">
        <v>2736</v>
      </c>
      <c r="F825" s="17">
        <v>40.0</v>
      </c>
      <c r="G825" s="17">
        <v>30.0</v>
      </c>
      <c r="H825" s="17">
        <v>32.0</v>
      </c>
      <c r="I825" s="17">
        <v>50.0</v>
      </c>
      <c r="J825" s="17">
        <v>52.0</v>
      </c>
      <c r="K825" s="17">
        <v>65.0</v>
      </c>
      <c r="L825" s="29">
        <f t="shared" si="2"/>
        <v>269</v>
      </c>
    </row>
    <row r="826" ht="23.25" customHeight="1">
      <c r="A826" s="17" t="s">
        <v>4139</v>
      </c>
      <c r="B826" s="17" t="str">
        <f t="shared" si="1"/>
        <v/>
      </c>
      <c r="C826" s="17" t="s">
        <v>958</v>
      </c>
      <c r="D826" s="17" t="s">
        <v>2729</v>
      </c>
      <c r="E826" s="17" t="s">
        <v>2726</v>
      </c>
      <c r="F826" s="17">
        <v>45.0</v>
      </c>
      <c r="G826" s="17">
        <v>40.0</v>
      </c>
      <c r="H826" s="17">
        <v>60.0</v>
      </c>
      <c r="I826" s="17">
        <v>40.0</v>
      </c>
      <c r="J826" s="17">
        <v>75.0</v>
      </c>
      <c r="K826" s="17">
        <v>50.0</v>
      </c>
      <c r="L826" s="29">
        <f t="shared" si="2"/>
        <v>310</v>
      </c>
    </row>
    <row r="827" ht="23.25" customHeight="1">
      <c r="A827" s="17" t="s">
        <v>4140</v>
      </c>
      <c r="B827" s="17" t="str">
        <f t="shared" si="1"/>
        <v/>
      </c>
      <c r="C827" s="17" t="s">
        <v>4141</v>
      </c>
      <c r="D827" s="17" t="s">
        <v>2719</v>
      </c>
      <c r="E827" s="17" t="s">
        <v>2711</v>
      </c>
      <c r="F827" s="17">
        <v>55.0</v>
      </c>
      <c r="G827" s="17">
        <v>63.0</v>
      </c>
      <c r="H827" s="17">
        <v>90.0</v>
      </c>
      <c r="I827" s="17">
        <v>50.0</v>
      </c>
      <c r="J827" s="17">
        <v>80.0</v>
      </c>
      <c r="K827" s="17">
        <v>42.0</v>
      </c>
      <c r="L827" s="29">
        <f t="shared" si="2"/>
        <v>380</v>
      </c>
    </row>
    <row r="828" ht="23.25" customHeight="1">
      <c r="A828" s="17" t="s">
        <v>4142</v>
      </c>
      <c r="B828" s="17" t="str">
        <f t="shared" si="1"/>
        <v/>
      </c>
      <c r="C828" s="17" t="s">
        <v>4143</v>
      </c>
      <c r="D828" s="17" t="s">
        <v>2744</v>
      </c>
      <c r="E828" s="17"/>
      <c r="F828" s="17">
        <v>100.0</v>
      </c>
      <c r="G828" s="17">
        <v>73.0</v>
      </c>
      <c r="H828" s="17">
        <v>83.0</v>
      </c>
      <c r="I828" s="17">
        <v>73.0</v>
      </c>
      <c r="J828" s="17">
        <v>83.0</v>
      </c>
      <c r="K828" s="17">
        <v>55.0</v>
      </c>
      <c r="L828" s="29">
        <f t="shared" si="2"/>
        <v>467</v>
      </c>
    </row>
    <row r="829" ht="23.25" customHeight="1">
      <c r="A829" s="17" t="s">
        <v>4144</v>
      </c>
      <c r="B829" s="17" t="str">
        <f t="shared" si="1"/>
        <v/>
      </c>
      <c r="C829" s="17" t="s">
        <v>4145</v>
      </c>
      <c r="D829" s="17" t="s">
        <v>2736</v>
      </c>
      <c r="E829" s="17" t="s">
        <v>2803</v>
      </c>
      <c r="F829" s="17">
        <v>100.0</v>
      </c>
      <c r="G829" s="17">
        <v>110.0</v>
      </c>
      <c r="H829" s="17">
        <v>90.0</v>
      </c>
      <c r="I829" s="17">
        <v>85.0</v>
      </c>
      <c r="J829" s="17">
        <v>90.0</v>
      </c>
      <c r="K829" s="17">
        <v>60.0</v>
      </c>
      <c r="L829" s="29">
        <f t="shared" si="2"/>
        <v>535</v>
      </c>
    </row>
    <row r="830" ht="23.25" customHeight="1">
      <c r="A830" s="17" t="s">
        <v>4146</v>
      </c>
      <c r="B830" s="17" t="str">
        <f t="shared" si="1"/>
        <v/>
      </c>
      <c r="C830" s="17" t="s">
        <v>4147</v>
      </c>
      <c r="D830" s="17" t="s">
        <v>2736</v>
      </c>
      <c r="E830" s="17" t="s">
        <v>2726</v>
      </c>
      <c r="F830" s="17">
        <v>75.0</v>
      </c>
      <c r="G830" s="17">
        <v>87.0</v>
      </c>
      <c r="H830" s="17">
        <v>63.0</v>
      </c>
      <c r="I830" s="17">
        <v>87.0</v>
      </c>
      <c r="J830" s="17">
        <v>63.0</v>
      </c>
      <c r="K830" s="17">
        <v>98.0</v>
      </c>
      <c r="L830" s="29">
        <f t="shared" si="2"/>
        <v>473</v>
      </c>
    </row>
    <row r="831" ht="23.25" customHeight="1">
      <c r="A831" s="17" t="s">
        <v>4148</v>
      </c>
      <c r="B831" s="17" t="str">
        <f t="shared" si="1"/>
        <v/>
      </c>
      <c r="C831" s="17" t="s">
        <v>1723</v>
      </c>
      <c r="D831" s="17" t="s">
        <v>2729</v>
      </c>
      <c r="E831" s="17" t="s">
        <v>2726</v>
      </c>
      <c r="F831" s="17">
        <v>60.0</v>
      </c>
      <c r="G831" s="17">
        <v>85.0</v>
      </c>
      <c r="H831" s="17">
        <v>60.0</v>
      </c>
      <c r="I831" s="17">
        <v>75.0</v>
      </c>
      <c r="J831" s="17">
        <v>50.0</v>
      </c>
      <c r="K831" s="17">
        <v>125.0</v>
      </c>
      <c r="L831" s="29">
        <f t="shared" si="2"/>
        <v>455</v>
      </c>
    </row>
    <row r="832" ht="23.25" customHeight="1">
      <c r="A832" s="17" t="s">
        <v>4149</v>
      </c>
      <c r="B832" s="17" t="str">
        <f t="shared" si="1"/>
        <v/>
      </c>
      <c r="C832" s="17" t="s">
        <v>4150</v>
      </c>
      <c r="D832" s="17" t="s">
        <v>2712</v>
      </c>
      <c r="E832" s="17" t="s">
        <v>2803</v>
      </c>
      <c r="F832" s="17">
        <v>50.0</v>
      </c>
      <c r="G832" s="17">
        <v>50.0</v>
      </c>
      <c r="H832" s="17">
        <v>40.0</v>
      </c>
      <c r="I832" s="17">
        <v>30.0</v>
      </c>
      <c r="J832" s="17">
        <v>30.0</v>
      </c>
      <c r="K832" s="17">
        <v>50.0</v>
      </c>
      <c r="L832" s="29">
        <f t="shared" si="2"/>
        <v>250</v>
      </c>
    </row>
    <row r="833" ht="23.25" customHeight="1">
      <c r="A833" s="17" t="s">
        <v>4151</v>
      </c>
      <c r="B833" s="17" t="str">
        <f t="shared" si="1"/>
        <v/>
      </c>
      <c r="C833" s="17" t="s">
        <v>4152</v>
      </c>
      <c r="D833" s="17" t="s">
        <v>2733</v>
      </c>
      <c r="E833" s="17"/>
      <c r="F833" s="17">
        <v>62.0</v>
      </c>
      <c r="G833" s="17">
        <v>48.0</v>
      </c>
      <c r="H833" s="17">
        <v>66.0</v>
      </c>
      <c r="I833" s="17">
        <v>59.0</v>
      </c>
      <c r="J833" s="17">
        <v>57.0</v>
      </c>
      <c r="K833" s="17">
        <v>49.0</v>
      </c>
      <c r="L833" s="29">
        <f t="shared" si="2"/>
        <v>341</v>
      </c>
    </row>
    <row r="834" ht="23.25" customHeight="1">
      <c r="A834" s="17" t="s">
        <v>4153</v>
      </c>
      <c r="B834" s="17" t="str">
        <f t="shared" si="1"/>
        <v/>
      </c>
      <c r="C834" s="17" t="s">
        <v>4154</v>
      </c>
      <c r="D834" s="17" t="s">
        <v>2736</v>
      </c>
      <c r="E834" s="17"/>
      <c r="F834" s="17">
        <v>61.0</v>
      </c>
      <c r="G834" s="17">
        <v>49.0</v>
      </c>
      <c r="H834" s="17">
        <v>70.0</v>
      </c>
      <c r="I834" s="17">
        <v>50.0</v>
      </c>
      <c r="J834" s="17">
        <v>62.0</v>
      </c>
      <c r="K834" s="17">
        <v>28.0</v>
      </c>
      <c r="L834" s="29">
        <f t="shared" si="2"/>
        <v>320</v>
      </c>
    </row>
    <row r="835" ht="23.25" customHeight="1">
      <c r="A835" s="17" t="s">
        <v>4155</v>
      </c>
      <c r="B835" s="17" t="str">
        <f t="shared" si="1"/>
        <v/>
      </c>
      <c r="C835" s="17" t="s">
        <v>4156</v>
      </c>
      <c r="D835" s="17" t="s">
        <v>2714</v>
      </c>
      <c r="E835" s="17" t="s">
        <v>2726</v>
      </c>
      <c r="F835" s="17">
        <v>67.0</v>
      </c>
      <c r="G835" s="17">
        <v>57.0</v>
      </c>
      <c r="H835" s="17">
        <v>55.0</v>
      </c>
      <c r="I835" s="17">
        <v>77.0</v>
      </c>
      <c r="J835" s="17">
        <v>55.0</v>
      </c>
      <c r="K835" s="17">
        <v>114.0</v>
      </c>
      <c r="L835" s="29">
        <f t="shared" si="2"/>
        <v>425</v>
      </c>
    </row>
    <row r="836" ht="23.25" customHeight="1">
      <c r="A836" s="17" t="s">
        <v>4157</v>
      </c>
      <c r="B836" s="17" t="str">
        <f t="shared" si="1"/>
        <v/>
      </c>
      <c r="C836" s="17" t="s">
        <v>4158</v>
      </c>
      <c r="D836" s="17" t="s">
        <v>2712</v>
      </c>
      <c r="E836" s="17" t="s">
        <v>2719</v>
      </c>
      <c r="F836" s="17">
        <v>70.0</v>
      </c>
      <c r="G836" s="17">
        <v>116.0</v>
      </c>
      <c r="H836" s="17">
        <v>70.0</v>
      </c>
      <c r="I836" s="17">
        <v>114.0</v>
      </c>
      <c r="J836" s="17">
        <v>64.0</v>
      </c>
      <c r="K836" s="17">
        <v>121.0</v>
      </c>
      <c r="L836" s="29">
        <f t="shared" si="2"/>
        <v>555</v>
      </c>
    </row>
    <row r="837" ht="23.25" customHeight="1">
      <c r="A837" s="17" t="s">
        <v>4159</v>
      </c>
      <c r="B837" s="17" t="str">
        <f t="shared" si="1"/>
        <v/>
      </c>
      <c r="C837" s="17" t="s">
        <v>4160</v>
      </c>
      <c r="D837" s="17" t="s">
        <v>2712</v>
      </c>
      <c r="E837" s="17" t="s">
        <v>2719</v>
      </c>
      <c r="F837" s="17">
        <v>40.0</v>
      </c>
      <c r="G837" s="17">
        <v>76.0</v>
      </c>
      <c r="H837" s="17">
        <v>45.0</v>
      </c>
      <c r="I837" s="17">
        <v>74.0</v>
      </c>
      <c r="J837" s="17">
        <v>39.0</v>
      </c>
      <c r="K837" s="17">
        <v>91.0</v>
      </c>
      <c r="L837" s="29">
        <f t="shared" si="2"/>
        <v>365</v>
      </c>
    </row>
    <row r="838" ht="23.25" customHeight="1">
      <c r="A838" s="17" t="s">
        <v>4161</v>
      </c>
      <c r="B838" s="17" t="str">
        <f t="shared" si="1"/>
        <v/>
      </c>
      <c r="C838" s="17" t="s">
        <v>4162</v>
      </c>
      <c r="D838" s="17" t="s">
        <v>2733</v>
      </c>
      <c r="E838" s="17"/>
      <c r="F838" s="17">
        <v>95.0</v>
      </c>
      <c r="G838" s="17">
        <v>65.0</v>
      </c>
      <c r="H838" s="17">
        <v>65.0</v>
      </c>
      <c r="I838" s="17">
        <v>110.0</v>
      </c>
      <c r="J838" s="17">
        <v>130.0</v>
      </c>
      <c r="K838" s="17">
        <v>60.0</v>
      </c>
      <c r="L838" s="29">
        <f t="shared" si="2"/>
        <v>525</v>
      </c>
    </row>
    <row r="839" ht="23.25" customHeight="1">
      <c r="A839" s="17" t="s">
        <v>4163</v>
      </c>
      <c r="B839" s="17" t="str">
        <f t="shared" si="1"/>
        <v/>
      </c>
      <c r="C839" s="17" t="s">
        <v>4164</v>
      </c>
      <c r="D839" s="17" t="s">
        <v>2725</v>
      </c>
      <c r="E839" s="17"/>
      <c r="F839" s="17">
        <v>70.0</v>
      </c>
      <c r="G839" s="17">
        <v>40.0</v>
      </c>
      <c r="H839" s="17">
        <v>65.0</v>
      </c>
      <c r="I839" s="17">
        <v>100.0</v>
      </c>
      <c r="J839" s="17">
        <v>65.0</v>
      </c>
      <c r="K839" s="17">
        <v>95.0</v>
      </c>
      <c r="L839" s="29">
        <f t="shared" si="2"/>
        <v>435</v>
      </c>
    </row>
    <row r="840" ht="23.25" customHeight="1">
      <c r="A840" s="17" t="s">
        <v>4165</v>
      </c>
      <c r="B840" s="17" t="str">
        <f t="shared" si="1"/>
        <v/>
      </c>
      <c r="C840" s="17" t="s">
        <v>4166</v>
      </c>
      <c r="D840" s="17" t="s">
        <v>2729</v>
      </c>
      <c r="E840" s="17" t="s">
        <v>2726</v>
      </c>
      <c r="F840" s="17">
        <v>40.0</v>
      </c>
      <c r="G840" s="17">
        <v>55.0</v>
      </c>
      <c r="H840" s="17">
        <v>30.0</v>
      </c>
      <c r="I840" s="17">
        <v>30.0</v>
      </c>
      <c r="J840" s="17">
        <v>30.0</v>
      </c>
      <c r="K840" s="17">
        <v>85.0</v>
      </c>
      <c r="L840" s="29">
        <f t="shared" si="2"/>
        <v>270</v>
      </c>
    </row>
    <row r="841" ht="23.25" customHeight="1">
      <c r="A841" s="17" t="s">
        <v>4167</v>
      </c>
      <c r="B841" s="17" t="str">
        <f t="shared" si="1"/>
        <v/>
      </c>
      <c r="C841" s="17" t="s">
        <v>4168</v>
      </c>
      <c r="D841" s="17" t="s">
        <v>2758</v>
      </c>
      <c r="E841" s="17" t="s">
        <v>2726</v>
      </c>
      <c r="F841" s="17">
        <v>78.0</v>
      </c>
      <c r="G841" s="17">
        <v>81.0</v>
      </c>
      <c r="H841" s="17">
        <v>71.0</v>
      </c>
      <c r="I841" s="17">
        <v>74.0</v>
      </c>
      <c r="J841" s="17">
        <v>69.0</v>
      </c>
      <c r="K841" s="17">
        <v>126.0</v>
      </c>
      <c r="L841" s="29">
        <f t="shared" si="2"/>
        <v>499</v>
      </c>
    </row>
    <row r="842" ht="23.25" customHeight="1">
      <c r="A842" s="17" t="s">
        <v>4169</v>
      </c>
      <c r="B842" s="17" t="str">
        <f t="shared" si="1"/>
        <v/>
      </c>
      <c r="C842" s="17" t="s">
        <v>4170</v>
      </c>
      <c r="D842" s="17" t="s">
        <v>2711</v>
      </c>
      <c r="E842" s="17"/>
      <c r="F842" s="17">
        <v>65.0</v>
      </c>
      <c r="G842" s="17">
        <v>55.0</v>
      </c>
      <c r="H842" s="17">
        <v>115.0</v>
      </c>
      <c r="I842" s="17">
        <v>100.0</v>
      </c>
      <c r="J842" s="17">
        <v>40.0</v>
      </c>
      <c r="K842" s="17">
        <v>60.0</v>
      </c>
      <c r="L842" s="29">
        <f t="shared" si="2"/>
        <v>435</v>
      </c>
    </row>
    <row r="843" ht="23.25" customHeight="1">
      <c r="A843" s="17" t="s">
        <v>4171</v>
      </c>
      <c r="B843" s="17" t="str">
        <f t="shared" si="1"/>
        <v/>
      </c>
      <c r="C843" s="17" t="s">
        <v>2557</v>
      </c>
      <c r="D843" s="17" t="s">
        <v>2711</v>
      </c>
      <c r="E843" s="17"/>
      <c r="F843" s="17">
        <v>100.0</v>
      </c>
      <c r="G843" s="17">
        <v>100.0</v>
      </c>
      <c r="H843" s="17">
        <v>125.0</v>
      </c>
      <c r="I843" s="17">
        <v>110.0</v>
      </c>
      <c r="J843" s="17">
        <v>50.0</v>
      </c>
      <c r="K843" s="17">
        <v>50.0</v>
      </c>
      <c r="L843" s="29">
        <f t="shared" si="2"/>
        <v>535</v>
      </c>
    </row>
    <row r="844" ht="23.25" customHeight="1">
      <c r="A844" s="17" t="s">
        <v>4172</v>
      </c>
      <c r="B844" s="17" t="str">
        <f t="shared" si="1"/>
        <v/>
      </c>
      <c r="C844" s="17" t="s">
        <v>4173</v>
      </c>
      <c r="D844" s="17" t="s">
        <v>2711</v>
      </c>
      <c r="E844" s="17" t="s">
        <v>2733</v>
      </c>
      <c r="F844" s="17">
        <v>70.0</v>
      </c>
      <c r="G844" s="17">
        <v>130.0</v>
      </c>
      <c r="H844" s="17">
        <v>115.0</v>
      </c>
      <c r="I844" s="17">
        <v>85.0</v>
      </c>
      <c r="J844" s="17">
        <v>95.0</v>
      </c>
      <c r="K844" s="17">
        <v>75.0</v>
      </c>
      <c r="L844" s="29">
        <f t="shared" si="2"/>
        <v>570</v>
      </c>
    </row>
    <row r="845" ht="23.25" customHeight="1">
      <c r="A845" s="17" t="s">
        <v>4174</v>
      </c>
      <c r="B845" s="17" t="str">
        <f t="shared" si="1"/>
        <v/>
      </c>
      <c r="C845" s="17" t="s">
        <v>4175</v>
      </c>
      <c r="D845" s="17" t="s">
        <v>2736</v>
      </c>
      <c r="E845" s="17" t="s">
        <v>2733</v>
      </c>
      <c r="F845" s="17">
        <v>70.0</v>
      </c>
      <c r="G845" s="17">
        <v>75.0</v>
      </c>
      <c r="H845" s="17">
        <v>115.0</v>
      </c>
      <c r="I845" s="17">
        <v>95.0</v>
      </c>
      <c r="J845" s="17">
        <v>130.0</v>
      </c>
      <c r="K845" s="17">
        <v>85.0</v>
      </c>
      <c r="L845" s="29">
        <f t="shared" si="2"/>
        <v>570</v>
      </c>
    </row>
    <row r="846" ht="23.25" customHeight="1">
      <c r="A846" s="17" t="s">
        <v>4176</v>
      </c>
      <c r="B846" s="17" t="str">
        <f t="shared" si="1"/>
        <v/>
      </c>
      <c r="C846" s="17" t="s">
        <v>4177</v>
      </c>
      <c r="D846" s="17" t="s">
        <v>2746</v>
      </c>
      <c r="E846" s="17" t="s">
        <v>2733</v>
      </c>
      <c r="F846" s="17">
        <v>70.0</v>
      </c>
      <c r="G846" s="17">
        <v>115.0</v>
      </c>
      <c r="H846" s="17">
        <v>85.0</v>
      </c>
      <c r="I846" s="17">
        <v>95.0</v>
      </c>
      <c r="J846" s="17">
        <v>75.0</v>
      </c>
      <c r="K846" s="17">
        <v>130.0</v>
      </c>
      <c r="L846" s="29">
        <f t="shared" si="2"/>
        <v>570</v>
      </c>
    </row>
    <row r="847" ht="23.25" customHeight="1">
      <c r="A847" s="17" t="s">
        <v>4178</v>
      </c>
      <c r="B847" s="17" t="str">
        <f t="shared" si="1"/>
        <v/>
      </c>
      <c r="C847" s="17" t="s">
        <v>4179</v>
      </c>
      <c r="D847" s="17" t="s">
        <v>2714</v>
      </c>
      <c r="E847" s="17" t="s">
        <v>2733</v>
      </c>
      <c r="F847" s="17">
        <v>70.0</v>
      </c>
      <c r="G847" s="17">
        <v>85.0</v>
      </c>
      <c r="H847" s="17">
        <v>75.0</v>
      </c>
      <c r="I847" s="17">
        <v>130.0</v>
      </c>
      <c r="J847" s="17">
        <v>115.0</v>
      </c>
      <c r="K847" s="17">
        <v>95.0</v>
      </c>
      <c r="L847" s="29">
        <f t="shared" si="2"/>
        <v>570</v>
      </c>
    </row>
    <row r="848" ht="23.25" customHeight="1">
      <c r="A848" s="17" t="s">
        <v>4180</v>
      </c>
      <c r="B848" s="17" t="str">
        <f t="shared" si="1"/>
        <v/>
      </c>
      <c r="C848" s="17" t="s">
        <v>1775</v>
      </c>
      <c r="D848" s="17" t="s">
        <v>2729</v>
      </c>
      <c r="E848" s="17"/>
      <c r="F848" s="17">
        <v>75.0</v>
      </c>
      <c r="G848" s="17">
        <v>100.0</v>
      </c>
      <c r="H848" s="17">
        <v>95.0</v>
      </c>
      <c r="I848" s="17">
        <v>40.0</v>
      </c>
      <c r="J848" s="17">
        <v>70.0</v>
      </c>
      <c r="K848" s="17">
        <v>110.0</v>
      </c>
      <c r="L848" s="29">
        <f t="shared" si="2"/>
        <v>490</v>
      </c>
    </row>
    <row r="849" ht="23.25" customHeight="1">
      <c r="A849" s="17" t="s">
        <v>4181</v>
      </c>
      <c r="B849" s="17" t="str">
        <f t="shared" si="1"/>
        <v/>
      </c>
      <c r="C849" s="17" t="s">
        <v>4182</v>
      </c>
      <c r="D849" s="17" t="s">
        <v>2729</v>
      </c>
      <c r="E849" s="17"/>
      <c r="F849" s="17">
        <v>60.0</v>
      </c>
      <c r="G849" s="17">
        <v>80.0</v>
      </c>
      <c r="H849" s="17">
        <v>50.0</v>
      </c>
      <c r="I849" s="17">
        <v>50.0</v>
      </c>
      <c r="J849" s="17">
        <v>50.0</v>
      </c>
      <c r="K849" s="17">
        <v>40.0</v>
      </c>
      <c r="L849" s="29">
        <f t="shared" si="2"/>
        <v>330</v>
      </c>
    </row>
    <row r="850" ht="23.25" customHeight="1">
      <c r="A850" s="17" t="s">
        <v>4183</v>
      </c>
      <c r="B850" s="17" t="str">
        <f t="shared" si="1"/>
        <v/>
      </c>
      <c r="C850" s="17" t="s">
        <v>559</v>
      </c>
      <c r="D850" s="17" t="s">
        <v>2736</v>
      </c>
      <c r="E850" s="17" t="s">
        <v>2744</v>
      </c>
      <c r="F850" s="17">
        <v>40.0</v>
      </c>
      <c r="G850" s="17">
        <v>40.0</v>
      </c>
      <c r="H850" s="17">
        <v>35.0</v>
      </c>
      <c r="I850" s="17">
        <v>50.0</v>
      </c>
      <c r="J850" s="17">
        <v>100.0</v>
      </c>
      <c r="K850" s="17">
        <v>70.0</v>
      </c>
      <c r="L850" s="29">
        <f t="shared" si="2"/>
        <v>335</v>
      </c>
    </row>
    <row r="851" ht="23.25" customHeight="1">
      <c r="A851" s="17" t="s">
        <v>4184</v>
      </c>
      <c r="B851" s="17" t="str">
        <f t="shared" si="1"/>
        <v/>
      </c>
      <c r="C851" s="17" t="s">
        <v>628</v>
      </c>
      <c r="D851" s="17" t="s">
        <v>2736</v>
      </c>
      <c r="E851" s="17" t="s">
        <v>2744</v>
      </c>
      <c r="F851" s="17">
        <v>80.0</v>
      </c>
      <c r="G851" s="17">
        <v>70.0</v>
      </c>
      <c r="H851" s="17">
        <v>65.0</v>
      </c>
      <c r="I851" s="17">
        <v>80.0</v>
      </c>
      <c r="J851" s="17">
        <v>120.0</v>
      </c>
      <c r="K851" s="17">
        <v>100.0</v>
      </c>
      <c r="L851" s="29">
        <f t="shared" si="2"/>
        <v>515</v>
      </c>
    </row>
    <row r="852" ht="23.25" customHeight="1">
      <c r="A852" s="17" t="s">
        <v>4185</v>
      </c>
      <c r="B852" s="17" t="str">
        <f t="shared" si="1"/>
        <v/>
      </c>
      <c r="C852" s="17" t="s">
        <v>4186</v>
      </c>
      <c r="D852" s="17" t="s">
        <v>2758</v>
      </c>
      <c r="E852" s="17"/>
      <c r="F852" s="17">
        <v>65.0</v>
      </c>
      <c r="G852" s="17">
        <v>63.0</v>
      </c>
      <c r="H852" s="17">
        <v>45.0</v>
      </c>
      <c r="I852" s="17">
        <v>45.0</v>
      </c>
      <c r="J852" s="17">
        <v>45.0</v>
      </c>
      <c r="K852" s="17">
        <v>45.0</v>
      </c>
      <c r="L852" s="29">
        <f t="shared" si="2"/>
        <v>308</v>
      </c>
    </row>
    <row r="853" ht="23.25" customHeight="1">
      <c r="A853" s="17" t="s">
        <v>4187</v>
      </c>
      <c r="B853" s="17" t="str">
        <f t="shared" si="1"/>
        <v/>
      </c>
      <c r="C853" s="17" t="s">
        <v>4188</v>
      </c>
      <c r="D853" s="17" t="s">
        <v>2725</v>
      </c>
      <c r="E853" s="17" t="s">
        <v>2773</v>
      </c>
      <c r="F853" s="17">
        <v>91.0</v>
      </c>
      <c r="G853" s="17">
        <v>129.0</v>
      </c>
      <c r="H853" s="17">
        <v>90.0</v>
      </c>
      <c r="I853" s="17">
        <v>72.0</v>
      </c>
      <c r="J853" s="17">
        <v>90.0</v>
      </c>
      <c r="K853" s="17">
        <v>108.0</v>
      </c>
      <c r="L853" s="29">
        <f t="shared" si="2"/>
        <v>580</v>
      </c>
    </row>
    <row r="854" ht="23.25" customHeight="1">
      <c r="A854" s="17" t="s">
        <v>4189</v>
      </c>
      <c r="B854" s="17" t="str">
        <f t="shared" si="1"/>
        <v/>
      </c>
      <c r="C854" s="17" t="s">
        <v>4190</v>
      </c>
      <c r="D854" s="17" t="s">
        <v>2716</v>
      </c>
      <c r="E854" s="17"/>
      <c r="F854" s="17">
        <v>70.0</v>
      </c>
      <c r="G854" s="17">
        <v>58.0</v>
      </c>
      <c r="H854" s="17">
        <v>58.0</v>
      </c>
      <c r="I854" s="17">
        <v>87.0</v>
      </c>
      <c r="J854" s="17">
        <v>92.0</v>
      </c>
      <c r="K854" s="17">
        <v>90.0</v>
      </c>
      <c r="L854" s="29">
        <f t="shared" si="2"/>
        <v>455</v>
      </c>
    </row>
    <row r="855" ht="23.25" customHeight="1">
      <c r="A855" s="17" t="s">
        <v>4191</v>
      </c>
      <c r="B855" s="17" t="str">
        <f t="shared" si="1"/>
        <v/>
      </c>
      <c r="C855" s="17" t="s">
        <v>4192</v>
      </c>
      <c r="D855" s="17" t="s">
        <v>2773</v>
      </c>
      <c r="E855" s="17"/>
      <c r="F855" s="17">
        <v>120.0</v>
      </c>
      <c r="G855" s="17">
        <v>100.0</v>
      </c>
      <c r="H855" s="17">
        <v>85.0</v>
      </c>
      <c r="I855" s="17">
        <v>30.0</v>
      </c>
      <c r="J855" s="17">
        <v>85.0</v>
      </c>
      <c r="K855" s="17">
        <v>45.0</v>
      </c>
      <c r="L855" s="29">
        <f t="shared" si="2"/>
        <v>465</v>
      </c>
    </row>
    <row r="856" ht="23.25" customHeight="1">
      <c r="A856" s="17" t="s">
        <v>4193</v>
      </c>
      <c r="B856" s="17" t="str">
        <f t="shared" si="1"/>
        <v/>
      </c>
      <c r="C856" s="17" t="s">
        <v>4194</v>
      </c>
      <c r="D856" s="17" t="s">
        <v>2746</v>
      </c>
      <c r="E856" s="17" t="s">
        <v>2726</v>
      </c>
      <c r="F856" s="17">
        <v>79.0</v>
      </c>
      <c r="G856" s="17">
        <v>115.0</v>
      </c>
      <c r="H856" s="17">
        <v>70.0</v>
      </c>
      <c r="I856" s="17">
        <v>125.0</v>
      </c>
      <c r="J856" s="17">
        <v>80.0</v>
      </c>
      <c r="K856" s="17">
        <v>111.0</v>
      </c>
      <c r="L856" s="29">
        <f t="shared" si="2"/>
        <v>580</v>
      </c>
    </row>
    <row r="857" ht="23.25" customHeight="1">
      <c r="A857" s="17" t="s">
        <v>4195</v>
      </c>
      <c r="B857" s="17" t="str">
        <f t="shared" si="1"/>
        <v/>
      </c>
      <c r="C857" s="17" t="s">
        <v>4196</v>
      </c>
      <c r="D857" s="17" t="s">
        <v>2711</v>
      </c>
      <c r="E857" s="17"/>
      <c r="F857" s="17">
        <v>70.0</v>
      </c>
      <c r="G857" s="17">
        <v>85.0</v>
      </c>
      <c r="H857" s="17">
        <v>70.0</v>
      </c>
      <c r="I857" s="17">
        <v>55.0</v>
      </c>
      <c r="J857" s="17">
        <v>60.0</v>
      </c>
      <c r="K857" s="17">
        <v>80.0</v>
      </c>
      <c r="L857" s="29">
        <f t="shared" si="2"/>
        <v>420</v>
      </c>
    </row>
    <row r="858" ht="23.25" customHeight="1">
      <c r="A858" s="17" t="s">
        <v>4197</v>
      </c>
      <c r="B858" s="17" t="str">
        <f t="shared" si="1"/>
        <v/>
      </c>
      <c r="C858" s="17" t="s">
        <v>4198</v>
      </c>
      <c r="D858" s="17" t="s">
        <v>2773</v>
      </c>
      <c r="E858" s="17"/>
      <c r="F858" s="17">
        <v>75.0</v>
      </c>
      <c r="G858" s="17">
        <v>80.0</v>
      </c>
      <c r="H858" s="17">
        <v>55.0</v>
      </c>
      <c r="I858" s="17">
        <v>25.0</v>
      </c>
      <c r="J858" s="17">
        <v>35.0</v>
      </c>
      <c r="K858" s="17">
        <v>35.0</v>
      </c>
      <c r="L858" s="29">
        <f t="shared" si="2"/>
        <v>305</v>
      </c>
    </row>
    <row r="859" ht="23.25" customHeight="1">
      <c r="A859" s="17" t="s">
        <v>4199</v>
      </c>
      <c r="B859" s="17" t="str">
        <f t="shared" si="1"/>
        <v/>
      </c>
      <c r="C859" s="17" t="s">
        <v>4200</v>
      </c>
      <c r="D859" s="17" t="s">
        <v>2736</v>
      </c>
      <c r="E859" s="17" t="s">
        <v>2725</v>
      </c>
      <c r="F859" s="17">
        <v>54.0</v>
      </c>
      <c r="G859" s="17">
        <v>78.0</v>
      </c>
      <c r="H859" s="17">
        <v>103.0</v>
      </c>
      <c r="I859" s="17">
        <v>53.0</v>
      </c>
      <c r="J859" s="17">
        <v>45.0</v>
      </c>
      <c r="K859" s="17">
        <v>22.0</v>
      </c>
      <c r="L859" s="29">
        <f t="shared" si="2"/>
        <v>355</v>
      </c>
    </row>
    <row r="860" ht="23.25" customHeight="1">
      <c r="A860" s="17" t="s">
        <v>4201</v>
      </c>
      <c r="B860" s="17" t="str">
        <f t="shared" si="1"/>
        <v/>
      </c>
      <c r="C860" s="17" t="s">
        <v>4202</v>
      </c>
      <c r="D860" s="17" t="s">
        <v>2746</v>
      </c>
      <c r="E860" s="17" t="s">
        <v>2722</v>
      </c>
      <c r="F860" s="17">
        <v>65.0</v>
      </c>
      <c r="G860" s="17">
        <v>98.0</v>
      </c>
      <c r="H860" s="17">
        <v>63.0</v>
      </c>
      <c r="I860" s="17">
        <v>40.0</v>
      </c>
      <c r="J860" s="17">
        <v>73.0</v>
      </c>
      <c r="K860" s="17">
        <v>96.0</v>
      </c>
      <c r="L860" s="29">
        <f t="shared" si="2"/>
        <v>435</v>
      </c>
    </row>
    <row r="861" ht="23.25" customHeight="1">
      <c r="A861" s="17" t="s">
        <v>4203</v>
      </c>
      <c r="B861" s="17" t="str">
        <f t="shared" si="1"/>
        <v/>
      </c>
      <c r="C861" s="17" t="s">
        <v>2632</v>
      </c>
      <c r="D861" s="17" t="s">
        <v>2733</v>
      </c>
      <c r="E861" s="17" t="s">
        <v>2726</v>
      </c>
      <c r="F861" s="17">
        <v>85.0</v>
      </c>
      <c r="G861" s="17">
        <v>50.0</v>
      </c>
      <c r="H861" s="17">
        <v>95.0</v>
      </c>
      <c r="I861" s="17">
        <v>120.0</v>
      </c>
      <c r="J861" s="17">
        <v>115.0</v>
      </c>
      <c r="K861" s="17">
        <v>80.0</v>
      </c>
      <c r="L861" s="29">
        <f t="shared" si="2"/>
        <v>545</v>
      </c>
    </row>
    <row r="862" ht="23.25" customHeight="1">
      <c r="A862" s="17" t="s">
        <v>4204</v>
      </c>
      <c r="B862" s="17" t="str">
        <f t="shared" si="1"/>
        <v/>
      </c>
      <c r="C862" s="17" t="s">
        <v>4205</v>
      </c>
      <c r="D862" s="17" t="s">
        <v>2733</v>
      </c>
      <c r="E862" s="17"/>
      <c r="F862" s="17">
        <v>35.0</v>
      </c>
      <c r="G862" s="17">
        <v>20.0</v>
      </c>
      <c r="H862" s="17">
        <v>65.0</v>
      </c>
      <c r="I862" s="17">
        <v>40.0</v>
      </c>
      <c r="J862" s="17">
        <v>65.0</v>
      </c>
      <c r="K862" s="17">
        <v>20.0</v>
      </c>
      <c r="L862" s="29">
        <f t="shared" si="2"/>
        <v>245</v>
      </c>
    </row>
    <row r="863" ht="23.25" customHeight="1">
      <c r="A863" s="17" t="s">
        <v>4206</v>
      </c>
      <c r="B863" s="17" t="str">
        <f t="shared" si="1"/>
        <v/>
      </c>
      <c r="C863" s="17" t="s">
        <v>4207</v>
      </c>
      <c r="D863" s="17" t="s">
        <v>2733</v>
      </c>
      <c r="E863" s="17" t="s">
        <v>2726</v>
      </c>
      <c r="F863" s="17">
        <v>55.0</v>
      </c>
      <c r="G863" s="17">
        <v>40.0</v>
      </c>
      <c r="H863" s="17">
        <v>85.0</v>
      </c>
      <c r="I863" s="17">
        <v>80.0</v>
      </c>
      <c r="J863" s="17">
        <v>105.0</v>
      </c>
      <c r="K863" s="17">
        <v>40.0</v>
      </c>
      <c r="L863" s="29">
        <f t="shared" si="2"/>
        <v>405</v>
      </c>
    </row>
    <row r="864" ht="23.25" customHeight="1">
      <c r="A864" s="17" t="s">
        <v>4208</v>
      </c>
      <c r="B864" s="17" t="str">
        <f t="shared" si="1"/>
        <v/>
      </c>
      <c r="C864" s="17" t="s">
        <v>4209</v>
      </c>
      <c r="D864" s="17" t="s">
        <v>2726</v>
      </c>
      <c r="E864" s="17" t="s">
        <v>2773</v>
      </c>
      <c r="F864" s="17">
        <v>105.0</v>
      </c>
      <c r="G864" s="17">
        <v>60.0</v>
      </c>
      <c r="H864" s="17">
        <v>90.0</v>
      </c>
      <c r="I864" s="17">
        <v>115.0</v>
      </c>
      <c r="J864" s="17">
        <v>80.0</v>
      </c>
      <c r="K864" s="17">
        <v>85.0</v>
      </c>
      <c r="L864" s="29">
        <f t="shared" si="2"/>
        <v>535</v>
      </c>
    </row>
    <row r="865" ht="23.25" customHeight="1">
      <c r="A865" s="17" t="s">
        <v>4210</v>
      </c>
      <c r="B865" s="17" t="str">
        <f t="shared" si="1"/>
        <v/>
      </c>
      <c r="C865" s="17" t="s">
        <v>4211</v>
      </c>
      <c r="D865" s="17" t="s">
        <v>2758</v>
      </c>
      <c r="E865" s="17"/>
      <c r="F865" s="17">
        <v>45.0</v>
      </c>
      <c r="G865" s="17">
        <v>60.0</v>
      </c>
      <c r="H865" s="17">
        <v>40.0</v>
      </c>
      <c r="I865" s="17">
        <v>70.0</v>
      </c>
      <c r="J865" s="17">
        <v>50.0</v>
      </c>
      <c r="K865" s="17">
        <v>45.0</v>
      </c>
      <c r="L865" s="29">
        <f t="shared" si="2"/>
        <v>310</v>
      </c>
    </row>
    <row r="866" ht="23.25" customHeight="1">
      <c r="A866" s="17" t="s">
        <v>4212</v>
      </c>
      <c r="B866" s="17" t="str">
        <f t="shared" si="1"/>
        <v/>
      </c>
      <c r="C866" s="17" t="s">
        <v>1804</v>
      </c>
      <c r="D866" s="17" t="s">
        <v>2758</v>
      </c>
      <c r="E866" s="17"/>
      <c r="F866" s="17">
        <v>70.0</v>
      </c>
      <c r="G866" s="17">
        <v>85.0</v>
      </c>
      <c r="H866" s="17">
        <v>140.0</v>
      </c>
      <c r="I866" s="17">
        <v>85.0</v>
      </c>
      <c r="J866" s="17">
        <v>70.0</v>
      </c>
      <c r="K866" s="17">
        <v>20.0</v>
      </c>
      <c r="L866" s="29">
        <f t="shared" si="2"/>
        <v>470</v>
      </c>
    </row>
    <row r="867" ht="23.25" customHeight="1">
      <c r="A867" s="17" t="s">
        <v>4213</v>
      </c>
      <c r="B867" s="17" t="str">
        <f t="shared" si="1"/>
        <v/>
      </c>
      <c r="C867" s="17" t="s">
        <v>4214</v>
      </c>
      <c r="D867" s="17" t="s">
        <v>2726</v>
      </c>
      <c r="E867" s="17"/>
      <c r="F867" s="17">
        <v>79.0</v>
      </c>
      <c r="G867" s="17">
        <v>115.0</v>
      </c>
      <c r="H867" s="17">
        <v>70.0</v>
      </c>
      <c r="I867" s="17">
        <v>125.0</v>
      </c>
      <c r="J867" s="17">
        <v>80.0</v>
      </c>
      <c r="K867" s="17">
        <v>111.0</v>
      </c>
      <c r="L867" s="29">
        <f t="shared" si="2"/>
        <v>580</v>
      </c>
    </row>
    <row r="868" ht="23.25" customHeight="1">
      <c r="A868" s="17" t="s">
        <v>4215</v>
      </c>
      <c r="B868" s="17" t="str">
        <f t="shared" si="1"/>
        <v/>
      </c>
      <c r="C868" s="17" t="s">
        <v>4216</v>
      </c>
      <c r="D868" s="17" t="s">
        <v>2758</v>
      </c>
      <c r="E868" s="17"/>
      <c r="F868" s="17">
        <v>65.0</v>
      </c>
      <c r="G868" s="17">
        <v>85.0</v>
      </c>
      <c r="H868" s="17">
        <v>50.0</v>
      </c>
      <c r="I868" s="17">
        <v>80.0</v>
      </c>
      <c r="J868" s="17">
        <v>50.0</v>
      </c>
      <c r="K868" s="17">
        <v>90.0</v>
      </c>
      <c r="L868" s="29">
        <f t="shared" si="2"/>
        <v>420</v>
      </c>
    </row>
    <row r="869" ht="23.25" customHeight="1">
      <c r="A869" s="17" t="s">
        <v>4217</v>
      </c>
      <c r="B869" s="17" t="str">
        <f t="shared" si="1"/>
        <v/>
      </c>
      <c r="C869" s="17" t="s">
        <v>730</v>
      </c>
      <c r="D869" s="17" t="s">
        <v>2711</v>
      </c>
      <c r="E869" s="17" t="s">
        <v>2803</v>
      </c>
      <c r="F869" s="17">
        <v>95.0</v>
      </c>
      <c r="G869" s="17">
        <v>109.0</v>
      </c>
      <c r="H869" s="17">
        <v>105.0</v>
      </c>
      <c r="I869" s="17">
        <v>75.0</v>
      </c>
      <c r="J869" s="17">
        <v>85.0</v>
      </c>
      <c r="K869" s="17">
        <v>56.0</v>
      </c>
      <c r="L869" s="29">
        <f t="shared" si="2"/>
        <v>525</v>
      </c>
    </row>
    <row r="870" ht="23.25" customHeight="1">
      <c r="A870" s="17" t="s">
        <v>4218</v>
      </c>
      <c r="B870" s="17" t="str">
        <f t="shared" si="1"/>
        <v/>
      </c>
      <c r="C870" s="17" t="s">
        <v>4219</v>
      </c>
      <c r="D870" s="17" t="s">
        <v>2736</v>
      </c>
      <c r="E870" s="17"/>
      <c r="F870" s="17">
        <v>50.0</v>
      </c>
      <c r="G870" s="17">
        <v>65.0</v>
      </c>
      <c r="H870" s="17">
        <v>64.0</v>
      </c>
      <c r="I870" s="17">
        <v>44.0</v>
      </c>
      <c r="J870" s="17">
        <v>48.0</v>
      </c>
      <c r="K870" s="17">
        <v>43.0</v>
      </c>
      <c r="L870" s="29">
        <f t="shared" si="2"/>
        <v>314</v>
      </c>
    </row>
    <row r="871" ht="23.25" customHeight="1">
      <c r="A871" s="17" t="s">
        <v>4220</v>
      </c>
      <c r="B871" s="17" t="str">
        <f t="shared" si="1"/>
        <v/>
      </c>
      <c r="C871" s="17" t="s">
        <v>4221</v>
      </c>
      <c r="D871" s="17" t="s">
        <v>2729</v>
      </c>
      <c r="E871" s="17" t="s">
        <v>2726</v>
      </c>
      <c r="F871" s="17">
        <v>80.0</v>
      </c>
      <c r="G871" s="17">
        <v>120.0</v>
      </c>
      <c r="H871" s="17">
        <v>75.0</v>
      </c>
      <c r="I871" s="17">
        <v>75.0</v>
      </c>
      <c r="J871" s="17">
        <v>75.0</v>
      </c>
      <c r="K871" s="17">
        <v>60.0</v>
      </c>
      <c r="L871" s="29">
        <f t="shared" si="2"/>
        <v>485</v>
      </c>
    </row>
    <row r="872" ht="23.25" customHeight="1">
      <c r="A872" s="17" t="s">
        <v>4222</v>
      </c>
      <c r="B872" s="17" t="str">
        <f t="shared" si="1"/>
        <v/>
      </c>
      <c r="C872" s="17" t="s">
        <v>4223</v>
      </c>
      <c r="D872" s="17" t="s">
        <v>2744</v>
      </c>
      <c r="E872" s="17" t="s">
        <v>2736</v>
      </c>
      <c r="F872" s="17">
        <v>50.0</v>
      </c>
      <c r="G872" s="17">
        <v>63.0</v>
      </c>
      <c r="H872" s="17">
        <v>152.0</v>
      </c>
      <c r="I872" s="17">
        <v>53.0</v>
      </c>
      <c r="J872" s="17">
        <v>142.0</v>
      </c>
      <c r="K872" s="17">
        <v>35.0</v>
      </c>
      <c r="L872" s="29">
        <f t="shared" si="2"/>
        <v>495</v>
      </c>
    </row>
    <row r="873" ht="23.25" customHeight="1">
      <c r="A873" s="17" t="s">
        <v>4224</v>
      </c>
      <c r="B873" s="17" t="str">
        <f t="shared" si="1"/>
        <v/>
      </c>
      <c r="C873" s="17" t="s">
        <v>4225</v>
      </c>
      <c r="D873" s="17" t="s">
        <v>2746</v>
      </c>
      <c r="E873" s="17" t="s">
        <v>2744</v>
      </c>
      <c r="F873" s="17">
        <v>40.0</v>
      </c>
      <c r="G873" s="17">
        <v>38.0</v>
      </c>
      <c r="H873" s="17">
        <v>35.0</v>
      </c>
      <c r="I873" s="17">
        <v>54.0</v>
      </c>
      <c r="J873" s="17">
        <v>35.0</v>
      </c>
      <c r="K873" s="17">
        <v>40.0</v>
      </c>
      <c r="L873" s="29">
        <f t="shared" si="2"/>
        <v>242</v>
      </c>
    </row>
    <row r="874" ht="23.25" customHeight="1">
      <c r="A874" s="17" t="s">
        <v>4226</v>
      </c>
      <c r="B874" s="17" t="str">
        <f t="shared" si="1"/>
        <v/>
      </c>
      <c r="C874" s="17" t="s">
        <v>1394</v>
      </c>
      <c r="D874" s="17" t="s">
        <v>2744</v>
      </c>
      <c r="E874" s="17" t="s">
        <v>2773</v>
      </c>
      <c r="F874" s="17">
        <v>83.0</v>
      </c>
      <c r="G874" s="17">
        <v>106.0</v>
      </c>
      <c r="H874" s="17">
        <v>65.0</v>
      </c>
      <c r="I874" s="17">
        <v>86.0</v>
      </c>
      <c r="J874" s="17">
        <v>65.0</v>
      </c>
      <c r="K874" s="17">
        <v>85.0</v>
      </c>
      <c r="L874" s="29">
        <f t="shared" si="2"/>
        <v>490</v>
      </c>
    </row>
    <row r="875" ht="23.25" customHeight="1">
      <c r="A875" s="17" t="s">
        <v>4227</v>
      </c>
      <c r="B875" s="17" t="str">
        <f t="shared" si="1"/>
        <v/>
      </c>
      <c r="C875" s="17" t="s">
        <v>4228</v>
      </c>
      <c r="D875" s="17" t="s">
        <v>2746</v>
      </c>
      <c r="E875" s="17" t="s">
        <v>2744</v>
      </c>
      <c r="F875" s="17">
        <v>75.0</v>
      </c>
      <c r="G875" s="17">
        <v>98.0</v>
      </c>
      <c r="H875" s="17">
        <v>70.0</v>
      </c>
      <c r="I875" s="17">
        <v>114.0</v>
      </c>
      <c r="J875" s="17">
        <v>70.0</v>
      </c>
      <c r="K875" s="17">
        <v>75.0</v>
      </c>
      <c r="L875" s="29">
        <f t="shared" si="2"/>
        <v>502</v>
      </c>
    </row>
    <row r="876" ht="23.25" customHeight="1">
      <c r="A876" s="17" t="s">
        <v>4229</v>
      </c>
      <c r="B876" s="17" t="str">
        <f t="shared" si="1"/>
        <v/>
      </c>
      <c r="C876" s="17" t="s">
        <v>4230</v>
      </c>
      <c r="D876" s="17" t="s">
        <v>2729</v>
      </c>
      <c r="E876" s="17" t="s">
        <v>2726</v>
      </c>
      <c r="F876" s="17">
        <v>62.0</v>
      </c>
      <c r="G876" s="17">
        <v>77.0</v>
      </c>
      <c r="H876" s="17">
        <v>62.0</v>
      </c>
      <c r="I876" s="17">
        <v>50.0</v>
      </c>
      <c r="J876" s="17">
        <v>42.0</v>
      </c>
      <c r="K876" s="17">
        <v>65.0</v>
      </c>
      <c r="L876" s="29">
        <f t="shared" si="2"/>
        <v>358</v>
      </c>
    </row>
    <row r="877" ht="23.25" customHeight="1">
      <c r="A877" s="17" t="s">
        <v>4231</v>
      </c>
      <c r="B877" s="17" t="str">
        <f t="shared" si="1"/>
        <v/>
      </c>
      <c r="C877" s="17" t="s">
        <v>1954</v>
      </c>
      <c r="D877" s="17" t="s">
        <v>2803</v>
      </c>
      <c r="E877" s="17"/>
      <c r="F877" s="17">
        <v>45.0</v>
      </c>
      <c r="G877" s="17">
        <v>100.0</v>
      </c>
      <c r="H877" s="17">
        <v>45.0</v>
      </c>
      <c r="I877" s="17">
        <v>45.0</v>
      </c>
      <c r="J877" s="17">
        <v>45.0</v>
      </c>
      <c r="K877" s="17">
        <v>10.0</v>
      </c>
      <c r="L877" s="29">
        <f t="shared" si="2"/>
        <v>290</v>
      </c>
    </row>
    <row r="878" ht="23.25" customHeight="1">
      <c r="A878" s="17" t="s">
        <v>4232</v>
      </c>
      <c r="B878" s="17" t="str">
        <f t="shared" si="1"/>
        <v/>
      </c>
      <c r="C878" s="17" t="s">
        <v>4233</v>
      </c>
      <c r="D878" s="17" t="s">
        <v>2711</v>
      </c>
      <c r="E878" s="17"/>
      <c r="F878" s="17">
        <v>40.0</v>
      </c>
      <c r="G878" s="17">
        <v>45.0</v>
      </c>
      <c r="H878" s="17">
        <v>35.0</v>
      </c>
      <c r="I878" s="17">
        <v>65.0</v>
      </c>
      <c r="J878" s="17">
        <v>55.0</v>
      </c>
      <c r="K878" s="17">
        <v>70.0</v>
      </c>
      <c r="L878" s="29">
        <f t="shared" si="2"/>
        <v>310</v>
      </c>
    </row>
    <row r="879" ht="23.25" customHeight="1">
      <c r="A879" s="17" t="s">
        <v>4234</v>
      </c>
      <c r="B879" s="17" t="str">
        <f t="shared" si="1"/>
        <v/>
      </c>
      <c r="C879" s="17" t="s">
        <v>4235</v>
      </c>
      <c r="D879" s="17" t="s">
        <v>2723</v>
      </c>
      <c r="E879" s="17" t="s">
        <v>2711</v>
      </c>
      <c r="F879" s="17">
        <v>85.0</v>
      </c>
      <c r="G879" s="17">
        <v>110.0</v>
      </c>
      <c r="H879" s="17">
        <v>76.0</v>
      </c>
      <c r="I879" s="17">
        <v>65.0</v>
      </c>
      <c r="J879" s="17">
        <v>82.0</v>
      </c>
      <c r="K879" s="17">
        <v>56.0</v>
      </c>
      <c r="L879" s="29">
        <f t="shared" si="2"/>
        <v>474</v>
      </c>
    </row>
    <row r="880" ht="23.25" customHeight="1">
      <c r="A880" s="17" t="s">
        <v>4236</v>
      </c>
      <c r="B880" s="17" t="str">
        <f t="shared" si="1"/>
        <v/>
      </c>
      <c r="C880" s="17" t="s">
        <v>1826</v>
      </c>
      <c r="D880" s="17" t="s">
        <v>2711</v>
      </c>
      <c r="E880" s="17" t="s">
        <v>2726</v>
      </c>
      <c r="F880" s="17">
        <v>99.0</v>
      </c>
      <c r="G880" s="17">
        <v>68.0</v>
      </c>
      <c r="H880" s="17">
        <v>83.0</v>
      </c>
      <c r="I880" s="17">
        <v>72.0</v>
      </c>
      <c r="J880" s="17">
        <v>87.0</v>
      </c>
      <c r="K880" s="17">
        <v>51.0</v>
      </c>
      <c r="L880" s="29">
        <f t="shared" si="2"/>
        <v>460</v>
      </c>
    </row>
    <row r="881" ht="23.25" customHeight="1">
      <c r="A881" s="17" t="s">
        <v>4237</v>
      </c>
      <c r="B881" s="17" t="str">
        <f t="shared" si="1"/>
        <v/>
      </c>
      <c r="C881" s="17" t="s">
        <v>4238</v>
      </c>
      <c r="D881" s="17" t="s">
        <v>2744</v>
      </c>
      <c r="E881" s="17"/>
      <c r="F881" s="17">
        <v>50.0</v>
      </c>
      <c r="G881" s="17">
        <v>50.0</v>
      </c>
      <c r="H881" s="17">
        <v>62.0</v>
      </c>
      <c r="I881" s="17">
        <v>40.0</v>
      </c>
      <c r="J881" s="17">
        <v>62.0</v>
      </c>
      <c r="K881" s="17">
        <v>65.0</v>
      </c>
      <c r="L881" s="29">
        <f t="shared" si="2"/>
        <v>329</v>
      </c>
    </row>
    <row r="882" ht="23.25" customHeight="1">
      <c r="A882" s="17" t="s">
        <v>4239</v>
      </c>
      <c r="B882" s="17" t="str">
        <f t="shared" si="1"/>
        <v/>
      </c>
      <c r="C882" s="17" t="s">
        <v>4240</v>
      </c>
      <c r="D882" s="17" t="s">
        <v>2729</v>
      </c>
      <c r="E882" s="17" t="s">
        <v>2726</v>
      </c>
      <c r="F882" s="17">
        <v>55.0</v>
      </c>
      <c r="G882" s="17">
        <v>85.0</v>
      </c>
      <c r="H882" s="17">
        <v>50.0</v>
      </c>
      <c r="I882" s="17">
        <v>40.0</v>
      </c>
      <c r="J882" s="17">
        <v>50.0</v>
      </c>
      <c r="K882" s="17">
        <v>75.0</v>
      </c>
      <c r="L882" s="29">
        <f t="shared" si="2"/>
        <v>355</v>
      </c>
    </row>
    <row r="883" ht="23.25" customHeight="1">
      <c r="A883" s="17" t="s">
        <v>4241</v>
      </c>
      <c r="B883" s="17" t="str">
        <f t="shared" si="1"/>
        <v/>
      </c>
      <c r="C883" s="17" t="s">
        <v>4242</v>
      </c>
      <c r="D883" s="17" t="s">
        <v>2711</v>
      </c>
      <c r="E883" s="17"/>
      <c r="F883" s="17">
        <v>72.0</v>
      </c>
      <c r="G883" s="17">
        <v>120.0</v>
      </c>
      <c r="H883" s="17">
        <v>98.0</v>
      </c>
      <c r="I883" s="17">
        <v>50.0</v>
      </c>
      <c r="J883" s="17">
        <v>98.0</v>
      </c>
      <c r="K883" s="17">
        <v>72.0</v>
      </c>
      <c r="L883" s="29">
        <f t="shared" si="2"/>
        <v>510</v>
      </c>
    </row>
    <row r="884" ht="23.25" customHeight="1">
      <c r="A884" s="17" t="s">
        <v>4243</v>
      </c>
      <c r="B884" s="17" t="str">
        <f t="shared" si="1"/>
        <v/>
      </c>
      <c r="C884" s="17" t="s">
        <v>4244</v>
      </c>
      <c r="D884" s="17" t="s">
        <v>2758</v>
      </c>
      <c r="E884" s="17" t="s">
        <v>2738</v>
      </c>
      <c r="F884" s="17">
        <v>60.0</v>
      </c>
      <c r="G884" s="17">
        <v>78.0</v>
      </c>
      <c r="H884" s="17">
        <v>135.0</v>
      </c>
      <c r="I884" s="17">
        <v>91.0</v>
      </c>
      <c r="J884" s="17">
        <v>85.0</v>
      </c>
      <c r="K884" s="17">
        <v>36.0</v>
      </c>
      <c r="L884" s="29">
        <f t="shared" si="2"/>
        <v>485</v>
      </c>
    </row>
    <row r="885" ht="23.25" customHeight="1">
      <c r="A885" s="17" t="s">
        <v>4245</v>
      </c>
      <c r="B885" s="17" t="str">
        <f t="shared" si="1"/>
        <v/>
      </c>
      <c r="C885" s="17" t="s">
        <v>810</v>
      </c>
      <c r="D885" s="17" t="s">
        <v>2711</v>
      </c>
      <c r="E885" s="17"/>
      <c r="F885" s="17">
        <v>55.0</v>
      </c>
      <c r="G885" s="17">
        <v>68.0</v>
      </c>
      <c r="H885" s="17">
        <v>64.0</v>
      </c>
      <c r="I885" s="17">
        <v>45.0</v>
      </c>
      <c r="J885" s="17">
        <v>55.0</v>
      </c>
      <c r="K885" s="17">
        <v>31.0</v>
      </c>
      <c r="L885" s="29">
        <f t="shared" si="2"/>
        <v>318</v>
      </c>
    </row>
    <row r="886" ht="23.25" customHeight="1">
      <c r="A886" s="17" t="s">
        <v>4246</v>
      </c>
      <c r="B886" s="17" t="str">
        <f t="shared" si="1"/>
        <v/>
      </c>
      <c r="C886" s="17" t="s">
        <v>4247</v>
      </c>
      <c r="D886" s="17" t="s">
        <v>2736</v>
      </c>
      <c r="E886" s="17"/>
      <c r="F886" s="17">
        <v>50.0</v>
      </c>
      <c r="G886" s="17">
        <v>50.0</v>
      </c>
      <c r="H886" s="17">
        <v>40.0</v>
      </c>
      <c r="I886" s="17">
        <v>50.0</v>
      </c>
      <c r="J886" s="17">
        <v>40.0</v>
      </c>
      <c r="K886" s="17">
        <v>64.0</v>
      </c>
      <c r="L886" s="29">
        <f t="shared" si="2"/>
        <v>294</v>
      </c>
    </row>
    <row r="887" ht="23.25" customHeight="1">
      <c r="A887" s="17" t="s">
        <v>4248</v>
      </c>
      <c r="B887" s="17" t="str">
        <f t="shared" si="1"/>
        <v/>
      </c>
      <c r="C887" s="17" t="s">
        <v>4249</v>
      </c>
      <c r="D887" s="17" t="s">
        <v>2746</v>
      </c>
      <c r="E887" s="17"/>
      <c r="F887" s="17">
        <v>35.0</v>
      </c>
      <c r="G887" s="17">
        <v>55.0</v>
      </c>
      <c r="H887" s="17">
        <v>40.0</v>
      </c>
      <c r="I887" s="17">
        <v>45.0</v>
      </c>
      <c r="J887" s="17">
        <v>40.0</v>
      </c>
      <c r="K887" s="17">
        <v>60.0</v>
      </c>
      <c r="L887" s="29">
        <f t="shared" si="2"/>
        <v>275</v>
      </c>
    </row>
    <row r="888" ht="23.25" customHeight="1">
      <c r="A888" s="17" t="s">
        <v>4250</v>
      </c>
      <c r="B888" s="17" t="str">
        <f t="shared" si="1"/>
        <v/>
      </c>
      <c r="C888" s="17" t="s">
        <v>4251</v>
      </c>
      <c r="D888" s="17" t="s">
        <v>2729</v>
      </c>
      <c r="E888" s="17"/>
      <c r="F888" s="17">
        <v>95.0</v>
      </c>
      <c r="G888" s="17">
        <v>95.0</v>
      </c>
      <c r="H888" s="17">
        <v>95.0</v>
      </c>
      <c r="I888" s="17">
        <v>95.0</v>
      </c>
      <c r="J888" s="17">
        <v>95.0</v>
      </c>
      <c r="K888" s="17">
        <v>59.0</v>
      </c>
      <c r="L888" s="29">
        <f t="shared" si="2"/>
        <v>534</v>
      </c>
    </row>
    <row r="889" ht="23.25" customHeight="1">
      <c r="A889" s="17" t="s">
        <v>4252</v>
      </c>
      <c r="B889" s="17" t="str">
        <f t="shared" si="1"/>
        <v/>
      </c>
      <c r="C889" s="17" t="s">
        <v>2638</v>
      </c>
      <c r="D889" s="17" t="s">
        <v>2758</v>
      </c>
      <c r="E889" s="17"/>
      <c r="F889" s="17">
        <v>78.0</v>
      </c>
      <c r="G889" s="17">
        <v>84.0</v>
      </c>
      <c r="H889" s="17">
        <v>78.0</v>
      </c>
      <c r="I889" s="17">
        <v>109.0</v>
      </c>
      <c r="J889" s="17">
        <v>85.0</v>
      </c>
      <c r="K889" s="17">
        <v>100.0</v>
      </c>
      <c r="L889" s="29">
        <f t="shared" si="2"/>
        <v>534</v>
      </c>
    </row>
    <row r="890" ht="23.25" customHeight="1">
      <c r="A890" s="17" t="s">
        <v>4253</v>
      </c>
      <c r="B890" s="17" t="str">
        <f t="shared" si="1"/>
        <v/>
      </c>
      <c r="C890" s="17" t="s">
        <v>2453</v>
      </c>
      <c r="D890" s="17" t="s">
        <v>2725</v>
      </c>
      <c r="E890" s="17" t="s">
        <v>2716</v>
      </c>
      <c r="F890" s="17">
        <v>100.0</v>
      </c>
      <c r="G890" s="17">
        <v>134.0</v>
      </c>
      <c r="H890" s="17">
        <v>110.0</v>
      </c>
      <c r="I890" s="17">
        <v>95.0</v>
      </c>
      <c r="J890" s="17">
        <v>100.0</v>
      </c>
      <c r="K890" s="17">
        <v>61.0</v>
      </c>
      <c r="L890" s="29">
        <f t="shared" si="2"/>
        <v>600</v>
      </c>
    </row>
    <row r="891" ht="23.25" customHeight="1">
      <c r="A891" s="17" t="s">
        <v>4254</v>
      </c>
      <c r="B891" s="17" t="str">
        <f t="shared" si="1"/>
        <v/>
      </c>
      <c r="C891" s="17" t="s">
        <v>4255</v>
      </c>
      <c r="D891" s="17" t="s">
        <v>2725</v>
      </c>
      <c r="E891" s="17" t="s">
        <v>2738</v>
      </c>
      <c r="F891" s="17">
        <v>82.0</v>
      </c>
      <c r="G891" s="17">
        <v>121.0</v>
      </c>
      <c r="H891" s="17">
        <v>119.0</v>
      </c>
      <c r="I891" s="17">
        <v>69.0</v>
      </c>
      <c r="J891" s="17">
        <v>59.0</v>
      </c>
      <c r="K891" s="17">
        <v>71.0</v>
      </c>
      <c r="L891" s="29">
        <f t="shared" si="2"/>
        <v>521</v>
      </c>
    </row>
    <row r="892" ht="23.25" customHeight="1">
      <c r="A892" s="17" t="s">
        <v>4256</v>
      </c>
      <c r="B892" s="17" t="str">
        <f t="shared" si="1"/>
        <v/>
      </c>
      <c r="C892" s="17" t="s">
        <v>1917</v>
      </c>
      <c r="D892" s="17" t="s">
        <v>2773</v>
      </c>
      <c r="E892" s="17"/>
      <c r="F892" s="17">
        <v>35.0</v>
      </c>
      <c r="G892" s="17">
        <v>35.0</v>
      </c>
      <c r="H892" s="17">
        <v>35.0</v>
      </c>
      <c r="I892" s="17">
        <v>35.0</v>
      </c>
      <c r="J892" s="17">
        <v>35.0</v>
      </c>
      <c r="K892" s="17">
        <v>35.0</v>
      </c>
      <c r="L892" s="29">
        <f t="shared" si="2"/>
        <v>210</v>
      </c>
    </row>
    <row r="893" ht="23.25" customHeight="1">
      <c r="A893" s="17" t="s">
        <v>4257</v>
      </c>
      <c r="B893" s="17" t="str">
        <f t="shared" si="1"/>
        <v/>
      </c>
      <c r="C893" s="17" t="s">
        <v>4258</v>
      </c>
      <c r="D893" s="17" t="s">
        <v>2725</v>
      </c>
      <c r="E893" s="17" t="s">
        <v>2738</v>
      </c>
      <c r="F893" s="17">
        <v>58.0</v>
      </c>
      <c r="G893" s="17">
        <v>89.0</v>
      </c>
      <c r="H893" s="17">
        <v>77.0</v>
      </c>
      <c r="I893" s="17">
        <v>45.0</v>
      </c>
      <c r="J893" s="17">
        <v>45.0</v>
      </c>
      <c r="K893" s="17">
        <v>48.0</v>
      </c>
      <c r="L893" s="29">
        <f t="shared" si="2"/>
        <v>362</v>
      </c>
    </row>
    <row r="894" ht="23.25" customHeight="1">
      <c r="A894" s="17" t="s">
        <v>4259</v>
      </c>
      <c r="B894" s="17" t="str">
        <f t="shared" si="1"/>
        <v/>
      </c>
      <c r="C894" s="17" t="s">
        <v>4260</v>
      </c>
      <c r="D894" s="17" t="s">
        <v>2716</v>
      </c>
      <c r="E894" s="17"/>
      <c r="F894" s="17">
        <v>95.0</v>
      </c>
      <c r="G894" s="17">
        <v>65.0</v>
      </c>
      <c r="H894" s="17">
        <v>110.0</v>
      </c>
      <c r="I894" s="17">
        <v>60.0</v>
      </c>
      <c r="J894" s="17">
        <v>130.0</v>
      </c>
      <c r="K894" s="17">
        <v>65.0</v>
      </c>
      <c r="L894" s="29">
        <f t="shared" si="2"/>
        <v>525</v>
      </c>
    </row>
    <row r="895" ht="23.25" customHeight="1">
      <c r="A895" s="17" t="s">
        <v>4261</v>
      </c>
      <c r="B895" s="17" t="str">
        <f t="shared" si="1"/>
        <v/>
      </c>
      <c r="C895" s="17" t="s">
        <v>4262</v>
      </c>
      <c r="D895" s="17" t="s">
        <v>2729</v>
      </c>
      <c r="E895" s="17" t="s">
        <v>2726</v>
      </c>
      <c r="F895" s="17">
        <v>80.0</v>
      </c>
      <c r="G895" s="17">
        <v>115.0</v>
      </c>
      <c r="H895" s="17">
        <v>80.0</v>
      </c>
      <c r="I895" s="17">
        <v>65.0</v>
      </c>
      <c r="J895" s="17">
        <v>55.0</v>
      </c>
      <c r="K895" s="17">
        <v>93.0</v>
      </c>
      <c r="L895" s="29">
        <f t="shared" si="2"/>
        <v>488</v>
      </c>
    </row>
    <row r="896" ht="23.25" customHeight="1">
      <c r="A896" s="17" t="s">
        <v>4263</v>
      </c>
      <c r="B896" s="17" t="str">
        <f t="shared" si="1"/>
        <v/>
      </c>
      <c r="C896" s="17" t="s">
        <v>4264</v>
      </c>
      <c r="D896" s="17" t="s">
        <v>2714</v>
      </c>
      <c r="E896" s="17"/>
      <c r="F896" s="17">
        <v>48.0</v>
      </c>
      <c r="G896" s="17">
        <v>72.0</v>
      </c>
      <c r="H896" s="17">
        <v>48.0</v>
      </c>
      <c r="I896" s="17">
        <v>72.0</v>
      </c>
      <c r="J896" s="17">
        <v>48.0</v>
      </c>
      <c r="K896" s="17">
        <v>48.0</v>
      </c>
      <c r="L896" s="29">
        <f t="shared" si="2"/>
        <v>336</v>
      </c>
    </row>
    <row r="897" ht="23.25" customHeight="1">
      <c r="A897" s="17" t="s">
        <v>4265</v>
      </c>
      <c r="B897" s="17" t="str">
        <f t="shared" si="1"/>
        <v/>
      </c>
      <c r="C897" s="17" t="s">
        <v>1878</v>
      </c>
      <c r="D897" s="17" t="s">
        <v>2729</v>
      </c>
      <c r="E897" s="17"/>
      <c r="F897" s="17">
        <v>90.0</v>
      </c>
      <c r="G897" s="17">
        <v>130.0</v>
      </c>
      <c r="H897" s="17">
        <v>75.0</v>
      </c>
      <c r="I897" s="17">
        <v>75.0</v>
      </c>
      <c r="J897" s="17">
        <v>75.0</v>
      </c>
      <c r="K897" s="17">
        <v>55.0</v>
      </c>
      <c r="L897" s="29">
        <f t="shared" si="2"/>
        <v>500</v>
      </c>
    </row>
    <row r="898" ht="23.25" customHeight="1">
      <c r="A898" s="17" t="s">
        <v>4266</v>
      </c>
      <c r="B898" s="17" t="str">
        <f t="shared" si="1"/>
        <v/>
      </c>
      <c r="C898" s="17" t="s">
        <v>4267</v>
      </c>
      <c r="D898" s="17" t="s">
        <v>2773</v>
      </c>
      <c r="E898" s="17" t="s">
        <v>2716</v>
      </c>
      <c r="F898" s="17">
        <v>100.0</v>
      </c>
      <c r="G898" s="17">
        <v>130.0</v>
      </c>
      <c r="H898" s="17">
        <v>100.0</v>
      </c>
      <c r="I898" s="17">
        <v>63.0</v>
      </c>
      <c r="J898" s="17">
        <v>60.0</v>
      </c>
      <c r="K898" s="17">
        <v>97.0</v>
      </c>
      <c r="L898" s="29">
        <f t="shared" si="2"/>
        <v>550</v>
      </c>
    </row>
    <row r="899" ht="23.25" customHeight="1">
      <c r="A899" s="17" t="s">
        <v>4268</v>
      </c>
      <c r="B899" s="17" t="str">
        <f t="shared" si="1"/>
        <v/>
      </c>
      <c r="C899" s="17" t="s">
        <v>4269</v>
      </c>
      <c r="D899" s="17" t="s">
        <v>2714</v>
      </c>
      <c r="E899" s="17"/>
      <c r="F899" s="17">
        <v>75.0</v>
      </c>
      <c r="G899" s="17">
        <v>75.0</v>
      </c>
      <c r="H899" s="17">
        <v>130.0</v>
      </c>
      <c r="I899" s="17">
        <v>75.0</v>
      </c>
      <c r="J899" s="17">
        <v>130.0</v>
      </c>
      <c r="K899" s="17">
        <v>95.0</v>
      </c>
      <c r="L899" s="29">
        <f t="shared" si="2"/>
        <v>580</v>
      </c>
    </row>
    <row r="900" ht="23.25" customHeight="1">
      <c r="A900" s="17" t="s">
        <v>4270</v>
      </c>
      <c r="B900" s="17" t="str">
        <f t="shared" si="1"/>
        <v/>
      </c>
      <c r="C900" s="17" t="s">
        <v>4271</v>
      </c>
      <c r="D900" s="17" t="s">
        <v>2712</v>
      </c>
      <c r="E900" s="17"/>
      <c r="F900" s="17">
        <v>51.0</v>
      </c>
      <c r="G900" s="17">
        <v>65.0</v>
      </c>
      <c r="H900" s="17">
        <v>65.0</v>
      </c>
      <c r="I900" s="17">
        <v>80.0</v>
      </c>
      <c r="J900" s="17">
        <v>75.0</v>
      </c>
      <c r="K900" s="17">
        <v>59.0</v>
      </c>
      <c r="L900" s="29">
        <f t="shared" si="2"/>
        <v>395</v>
      </c>
    </row>
    <row r="901" ht="23.25" customHeight="1">
      <c r="A901" s="17" t="s">
        <v>4272</v>
      </c>
      <c r="B901" s="17" t="str">
        <f t="shared" si="1"/>
        <v/>
      </c>
      <c r="C901" s="17" t="s">
        <v>4273</v>
      </c>
      <c r="D901" s="17" t="s">
        <v>2712</v>
      </c>
      <c r="E901" s="17"/>
      <c r="F901" s="17">
        <v>36.0</v>
      </c>
      <c r="G901" s="17">
        <v>50.0</v>
      </c>
      <c r="H901" s="17">
        <v>50.0</v>
      </c>
      <c r="I901" s="17">
        <v>65.0</v>
      </c>
      <c r="J901" s="17">
        <v>60.0</v>
      </c>
      <c r="K901" s="17">
        <v>44.0</v>
      </c>
      <c r="L901" s="29">
        <f t="shared" si="2"/>
        <v>305</v>
      </c>
    </row>
    <row r="902" ht="23.25" customHeight="1">
      <c r="A902" s="17" t="s">
        <v>4274</v>
      </c>
      <c r="B902" s="17" t="str">
        <f t="shared" si="1"/>
        <v/>
      </c>
      <c r="C902" s="17" t="s">
        <v>4275</v>
      </c>
      <c r="D902" s="17" t="s">
        <v>2712</v>
      </c>
      <c r="E902" s="17"/>
      <c r="F902" s="17">
        <v>71.0</v>
      </c>
      <c r="G902" s="17">
        <v>95.0</v>
      </c>
      <c r="H902" s="17">
        <v>85.0</v>
      </c>
      <c r="I902" s="17">
        <v>110.0</v>
      </c>
      <c r="J902" s="17">
        <v>95.0</v>
      </c>
      <c r="K902" s="17">
        <v>79.0</v>
      </c>
      <c r="L902" s="29">
        <f t="shared" si="2"/>
        <v>535</v>
      </c>
    </row>
    <row r="903" ht="23.25" customHeight="1">
      <c r="A903" s="17" t="s">
        <v>4276</v>
      </c>
      <c r="B903" s="17" t="str">
        <f t="shared" si="1"/>
        <v/>
      </c>
      <c r="C903" s="17" t="s">
        <v>2694</v>
      </c>
      <c r="D903" s="17" t="s">
        <v>2736</v>
      </c>
      <c r="E903" s="17"/>
      <c r="F903" s="17">
        <v>130.0</v>
      </c>
      <c r="G903" s="17">
        <v>65.0</v>
      </c>
      <c r="H903" s="17">
        <v>60.0</v>
      </c>
      <c r="I903" s="17">
        <v>110.0</v>
      </c>
      <c r="J903" s="17">
        <v>95.0</v>
      </c>
      <c r="K903" s="17">
        <v>65.0</v>
      </c>
      <c r="L903" s="29">
        <f t="shared" si="2"/>
        <v>525</v>
      </c>
    </row>
    <row r="904" ht="23.25" customHeight="1">
      <c r="A904" s="17" t="s">
        <v>4277</v>
      </c>
      <c r="B904" s="17" t="str">
        <f t="shared" si="1"/>
        <v/>
      </c>
      <c r="C904" s="17" t="s">
        <v>4278</v>
      </c>
      <c r="D904" s="17" t="s">
        <v>2719</v>
      </c>
      <c r="E904" s="17" t="s">
        <v>2744</v>
      </c>
      <c r="F904" s="17">
        <v>30.0</v>
      </c>
      <c r="G904" s="17">
        <v>45.0</v>
      </c>
      <c r="H904" s="17">
        <v>59.0</v>
      </c>
      <c r="I904" s="17">
        <v>30.0</v>
      </c>
      <c r="J904" s="17">
        <v>39.0</v>
      </c>
      <c r="K904" s="17">
        <v>57.0</v>
      </c>
      <c r="L904" s="29">
        <f t="shared" si="2"/>
        <v>260</v>
      </c>
    </row>
    <row r="905" ht="23.25" customHeight="1">
      <c r="A905" s="17" t="s">
        <v>4279</v>
      </c>
      <c r="B905" s="17" t="str">
        <f t="shared" si="1"/>
        <v/>
      </c>
      <c r="C905" s="17" t="s">
        <v>4280</v>
      </c>
      <c r="D905" s="17" t="s">
        <v>2719</v>
      </c>
      <c r="E905" s="17" t="s">
        <v>2744</v>
      </c>
      <c r="F905" s="17">
        <v>70.0</v>
      </c>
      <c r="G905" s="17">
        <v>65.0</v>
      </c>
      <c r="H905" s="17">
        <v>60.0</v>
      </c>
      <c r="I905" s="17">
        <v>90.0</v>
      </c>
      <c r="J905" s="17">
        <v>75.0</v>
      </c>
      <c r="K905" s="17">
        <v>90.0</v>
      </c>
      <c r="L905" s="29">
        <f t="shared" si="2"/>
        <v>450</v>
      </c>
    </row>
    <row r="906" ht="23.25" customHeight="1">
      <c r="A906" s="17" t="s">
        <v>4281</v>
      </c>
      <c r="B906" s="17" t="str">
        <f t="shared" si="1"/>
        <v/>
      </c>
      <c r="C906" s="17" t="s">
        <v>4282</v>
      </c>
      <c r="D906" s="17" t="s">
        <v>2719</v>
      </c>
      <c r="E906" s="17" t="s">
        <v>2744</v>
      </c>
      <c r="F906" s="17">
        <v>60.0</v>
      </c>
      <c r="G906" s="17">
        <v>55.0</v>
      </c>
      <c r="H906" s="17">
        <v>50.0</v>
      </c>
      <c r="I906" s="17">
        <v>40.0</v>
      </c>
      <c r="J906" s="17">
        <v>55.0</v>
      </c>
      <c r="K906" s="17">
        <v>45.0</v>
      </c>
      <c r="L906" s="29">
        <f t="shared" si="2"/>
        <v>305</v>
      </c>
    </row>
    <row r="907" ht="23.25" customHeight="1">
      <c r="A907" s="17" t="s">
        <v>4283</v>
      </c>
      <c r="B907" s="17" t="str">
        <f t="shared" si="1"/>
        <v/>
      </c>
      <c r="C907" s="17" t="s">
        <v>4284</v>
      </c>
      <c r="D907" s="17" t="s">
        <v>2711</v>
      </c>
      <c r="E907" s="17" t="s">
        <v>2744</v>
      </c>
      <c r="F907" s="17">
        <v>80.0</v>
      </c>
      <c r="G907" s="17">
        <v>82.0</v>
      </c>
      <c r="H907" s="17">
        <v>83.0</v>
      </c>
      <c r="I907" s="17">
        <v>100.0</v>
      </c>
      <c r="J907" s="17">
        <v>100.0</v>
      </c>
      <c r="K907" s="17">
        <v>80.0</v>
      </c>
      <c r="L907" s="29">
        <f t="shared" si="2"/>
        <v>525</v>
      </c>
    </row>
    <row r="908" ht="23.25" customHeight="1">
      <c r="A908" s="17" t="s">
        <v>4285</v>
      </c>
      <c r="B908" s="17" t="str">
        <f t="shared" si="1"/>
        <v/>
      </c>
      <c r="C908" s="17" t="s">
        <v>848</v>
      </c>
      <c r="D908" s="17" t="s">
        <v>2719</v>
      </c>
      <c r="E908" s="17" t="s">
        <v>2726</v>
      </c>
      <c r="F908" s="17">
        <v>70.0</v>
      </c>
      <c r="G908" s="17">
        <v>80.0</v>
      </c>
      <c r="H908" s="17">
        <v>102.0</v>
      </c>
      <c r="I908" s="17">
        <v>80.0</v>
      </c>
      <c r="J908" s="17">
        <v>102.0</v>
      </c>
      <c r="K908" s="17">
        <v>40.0</v>
      </c>
      <c r="L908" s="29">
        <f t="shared" si="2"/>
        <v>474</v>
      </c>
    </row>
    <row r="909" ht="23.25" customHeight="1">
      <c r="A909" s="17" t="s">
        <v>4286</v>
      </c>
      <c r="B909" s="17" t="str">
        <f t="shared" si="1"/>
        <v/>
      </c>
      <c r="C909" s="17" t="s">
        <v>1756</v>
      </c>
      <c r="D909" s="17" t="s">
        <v>2803</v>
      </c>
      <c r="E909" s="17" t="s">
        <v>2738</v>
      </c>
      <c r="F909" s="17">
        <v>50.0</v>
      </c>
      <c r="G909" s="17">
        <v>70.0</v>
      </c>
      <c r="H909" s="17">
        <v>50.0</v>
      </c>
      <c r="I909" s="17">
        <v>50.0</v>
      </c>
      <c r="J909" s="17">
        <v>50.0</v>
      </c>
      <c r="K909" s="17">
        <v>70.0</v>
      </c>
      <c r="L909" s="29">
        <f t="shared" si="2"/>
        <v>340</v>
      </c>
    </row>
    <row r="910" ht="23.25" customHeight="1">
      <c r="A910" s="17" t="s">
        <v>4287</v>
      </c>
      <c r="B910" s="17" t="str">
        <f t="shared" si="1"/>
        <v/>
      </c>
      <c r="C910" s="17" t="s">
        <v>4288</v>
      </c>
      <c r="D910" s="17" t="s">
        <v>2714</v>
      </c>
      <c r="E910" s="17" t="s">
        <v>2758</v>
      </c>
      <c r="F910" s="17">
        <v>100.0</v>
      </c>
      <c r="G910" s="17">
        <v>100.0</v>
      </c>
      <c r="H910" s="17">
        <v>100.0</v>
      </c>
      <c r="I910" s="17">
        <v>100.0</v>
      </c>
      <c r="J910" s="17">
        <v>100.0</v>
      </c>
      <c r="K910" s="17">
        <v>100.0</v>
      </c>
      <c r="L910" s="29">
        <f t="shared" si="2"/>
        <v>600</v>
      </c>
    </row>
    <row r="911" ht="23.25" customHeight="1">
      <c r="A911" s="17" t="s">
        <v>4289</v>
      </c>
      <c r="B911" s="17" t="str">
        <f t="shared" si="1"/>
        <v/>
      </c>
      <c r="C911" s="17" t="s">
        <v>4290</v>
      </c>
      <c r="D911" s="17" t="s">
        <v>2711</v>
      </c>
      <c r="E911" s="17" t="s">
        <v>2744</v>
      </c>
      <c r="F911" s="17">
        <v>80.0</v>
      </c>
      <c r="G911" s="17">
        <v>105.0</v>
      </c>
      <c r="H911" s="17">
        <v>65.0</v>
      </c>
      <c r="I911" s="17">
        <v>100.0</v>
      </c>
      <c r="J911" s="17">
        <v>70.0</v>
      </c>
      <c r="K911" s="17">
        <v>70.0</v>
      </c>
      <c r="L911" s="29">
        <f t="shared" si="2"/>
        <v>490</v>
      </c>
    </row>
    <row r="912" ht="23.25" customHeight="1">
      <c r="A912" s="17" t="s">
        <v>4291</v>
      </c>
      <c r="B912" s="17" t="str">
        <f t="shared" si="1"/>
        <v/>
      </c>
      <c r="C912" s="17" t="s">
        <v>1950</v>
      </c>
      <c r="D912" s="17" t="s">
        <v>2729</v>
      </c>
      <c r="E912" s="17"/>
      <c r="F912" s="17">
        <v>80.0</v>
      </c>
      <c r="G912" s="17">
        <v>80.0</v>
      </c>
      <c r="H912" s="17">
        <v>80.0</v>
      </c>
      <c r="I912" s="17">
        <v>55.0</v>
      </c>
      <c r="J912" s="17">
        <v>55.0</v>
      </c>
      <c r="K912" s="17">
        <v>90.0</v>
      </c>
      <c r="L912" s="29">
        <f t="shared" si="2"/>
        <v>440</v>
      </c>
    </row>
    <row r="913" ht="23.25" customHeight="1">
      <c r="A913" s="17" t="s">
        <v>4292</v>
      </c>
      <c r="B913" s="17" t="str">
        <f t="shared" si="1"/>
        <v/>
      </c>
      <c r="C913" s="17" t="s">
        <v>4293</v>
      </c>
      <c r="D913" s="17" t="s">
        <v>2719</v>
      </c>
      <c r="E913" s="17" t="s">
        <v>2746</v>
      </c>
      <c r="F913" s="17">
        <v>77.0</v>
      </c>
      <c r="G913" s="17">
        <v>70.0</v>
      </c>
      <c r="H913" s="17">
        <v>90.0</v>
      </c>
      <c r="I913" s="17">
        <v>145.0</v>
      </c>
      <c r="J913" s="17">
        <v>75.0</v>
      </c>
      <c r="K913" s="17">
        <v>43.0</v>
      </c>
      <c r="L913" s="29">
        <f t="shared" si="2"/>
        <v>500</v>
      </c>
    </row>
    <row r="914" ht="23.25" customHeight="1">
      <c r="A914" s="17" t="s">
        <v>4294</v>
      </c>
      <c r="B914" s="17" t="str">
        <f t="shared" si="1"/>
        <v/>
      </c>
      <c r="C914" s="17" t="s">
        <v>4295</v>
      </c>
      <c r="D914" s="17" t="s">
        <v>2711</v>
      </c>
      <c r="E914" s="17" t="s">
        <v>2744</v>
      </c>
      <c r="F914" s="17">
        <v>75.0</v>
      </c>
      <c r="G914" s="17">
        <v>80.0</v>
      </c>
      <c r="H914" s="17">
        <v>85.0</v>
      </c>
      <c r="I914" s="17">
        <v>110.0</v>
      </c>
      <c r="J914" s="17">
        <v>90.0</v>
      </c>
      <c r="K914" s="17">
        <v>50.0</v>
      </c>
      <c r="L914" s="29">
        <f t="shared" si="2"/>
        <v>490</v>
      </c>
    </row>
    <row r="915" ht="23.25" customHeight="1">
      <c r="A915" s="17" t="s">
        <v>4296</v>
      </c>
      <c r="B915" s="17" t="str">
        <f t="shared" si="1"/>
        <v/>
      </c>
      <c r="C915" s="17" t="s">
        <v>4297</v>
      </c>
      <c r="D915" s="17" t="s">
        <v>2711</v>
      </c>
      <c r="E915" s="17" t="s">
        <v>2773</v>
      </c>
      <c r="F915" s="17">
        <v>91.0</v>
      </c>
      <c r="G915" s="17">
        <v>90.0</v>
      </c>
      <c r="H915" s="17">
        <v>72.0</v>
      </c>
      <c r="I915" s="17">
        <v>90.0</v>
      </c>
      <c r="J915" s="17">
        <v>129.0</v>
      </c>
      <c r="K915" s="17">
        <v>108.0</v>
      </c>
      <c r="L915" s="29">
        <f t="shared" si="2"/>
        <v>580</v>
      </c>
    </row>
    <row r="916" ht="23.25" customHeight="1">
      <c r="A916" s="17" t="s">
        <v>4298</v>
      </c>
      <c r="B916" s="17" t="str">
        <f t="shared" si="1"/>
        <v/>
      </c>
      <c r="C916" s="17" t="s">
        <v>4299</v>
      </c>
      <c r="D916" s="17" t="s">
        <v>2719</v>
      </c>
      <c r="E916" s="17" t="s">
        <v>2726</v>
      </c>
      <c r="F916" s="17">
        <v>80.0</v>
      </c>
      <c r="G916" s="17">
        <v>52.0</v>
      </c>
      <c r="H916" s="17">
        <v>50.0</v>
      </c>
      <c r="I916" s="17">
        <v>90.0</v>
      </c>
      <c r="J916" s="17">
        <v>50.0</v>
      </c>
      <c r="K916" s="17">
        <v>89.0</v>
      </c>
      <c r="L916" s="29">
        <f t="shared" si="2"/>
        <v>411</v>
      </c>
    </row>
    <row r="917" ht="23.25" customHeight="1">
      <c r="A917" s="17" t="s">
        <v>4300</v>
      </c>
      <c r="B917" s="17" t="str">
        <f t="shared" si="1"/>
        <v/>
      </c>
      <c r="C917" s="17" t="s">
        <v>4301</v>
      </c>
      <c r="D917" s="17" t="s">
        <v>2719</v>
      </c>
      <c r="E917" s="17"/>
      <c r="F917" s="17">
        <v>65.0</v>
      </c>
      <c r="G917" s="17">
        <v>73.0</v>
      </c>
      <c r="H917" s="17">
        <v>75.0</v>
      </c>
      <c r="I917" s="17">
        <v>47.0</v>
      </c>
      <c r="J917" s="17">
        <v>85.0</v>
      </c>
      <c r="K917" s="17">
        <v>85.0</v>
      </c>
      <c r="L917" s="29">
        <f t="shared" si="2"/>
        <v>430</v>
      </c>
    </row>
    <row r="918" ht="23.25" customHeight="1">
      <c r="A918" s="17" t="s">
        <v>4302</v>
      </c>
      <c r="B918" s="17" t="str">
        <f t="shared" si="1"/>
        <v/>
      </c>
      <c r="C918" s="17" t="s">
        <v>4303</v>
      </c>
      <c r="D918" s="17" t="s">
        <v>2758</v>
      </c>
      <c r="E918" s="17" t="s">
        <v>2736</v>
      </c>
      <c r="F918" s="17">
        <v>80.0</v>
      </c>
      <c r="G918" s="17">
        <v>110.0</v>
      </c>
      <c r="H918" s="17">
        <v>120.0</v>
      </c>
      <c r="I918" s="17">
        <v>130.0</v>
      </c>
      <c r="J918" s="17">
        <v>90.0</v>
      </c>
      <c r="K918" s="17">
        <v>70.0</v>
      </c>
      <c r="L918" s="29">
        <f t="shared" si="2"/>
        <v>600</v>
      </c>
    </row>
    <row r="919" ht="23.25" customHeight="1">
      <c r="A919" s="17" t="s">
        <v>4304</v>
      </c>
      <c r="B919" s="17" t="str">
        <f t="shared" si="1"/>
        <v/>
      </c>
      <c r="C919" s="17" t="s">
        <v>4305</v>
      </c>
      <c r="D919" s="17" t="s">
        <v>2719</v>
      </c>
      <c r="E919" s="17" t="s">
        <v>2758</v>
      </c>
      <c r="F919" s="17">
        <v>85.0</v>
      </c>
      <c r="G919" s="17">
        <v>60.0</v>
      </c>
      <c r="H919" s="17">
        <v>65.0</v>
      </c>
      <c r="I919" s="17">
        <v>135.0</v>
      </c>
      <c r="J919" s="17">
        <v>105.0</v>
      </c>
      <c r="K919" s="17">
        <v>100.0</v>
      </c>
      <c r="L919" s="29">
        <f t="shared" si="2"/>
        <v>550</v>
      </c>
    </row>
    <row r="920" ht="23.25" customHeight="1">
      <c r="A920" s="17" t="s">
        <v>4306</v>
      </c>
      <c r="B920" s="17" t="str">
        <f t="shared" si="1"/>
        <v/>
      </c>
      <c r="C920" s="17" t="s">
        <v>4307</v>
      </c>
      <c r="D920" s="17" t="s">
        <v>2736</v>
      </c>
      <c r="E920" s="17" t="s">
        <v>2758</v>
      </c>
      <c r="F920" s="17">
        <v>100.0</v>
      </c>
      <c r="G920" s="17">
        <v>45.0</v>
      </c>
      <c r="H920" s="17">
        <v>80.0</v>
      </c>
      <c r="I920" s="17">
        <v>135.0</v>
      </c>
      <c r="J920" s="17">
        <v>100.0</v>
      </c>
      <c r="K920" s="17">
        <v>95.0</v>
      </c>
      <c r="L920" s="29">
        <f t="shared" si="2"/>
        <v>555</v>
      </c>
    </row>
    <row r="921" ht="23.25" customHeight="1">
      <c r="A921" s="17" t="s">
        <v>4308</v>
      </c>
      <c r="B921" s="17" t="str">
        <f t="shared" si="1"/>
        <v/>
      </c>
      <c r="C921" s="17" t="s">
        <v>4309</v>
      </c>
      <c r="D921" s="17" t="s">
        <v>2736</v>
      </c>
      <c r="E921" s="17" t="s">
        <v>2758</v>
      </c>
      <c r="F921" s="17">
        <v>60.0</v>
      </c>
      <c r="G921" s="17">
        <v>30.0</v>
      </c>
      <c r="H921" s="17">
        <v>50.0</v>
      </c>
      <c r="I921" s="17">
        <v>80.0</v>
      </c>
      <c r="J921" s="17">
        <v>60.0</v>
      </c>
      <c r="K921" s="17">
        <v>70.0</v>
      </c>
      <c r="L921" s="29">
        <f t="shared" si="2"/>
        <v>350</v>
      </c>
    </row>
    <row r="922" ht="23.25" customHeight="1">
      <c r="A922" s="17" t="s">
        <v>4310</v>
      </c>
      <c r="B922" s="17" t="str">
        <f t="shared" si="1"/>
        <v/>
      </c>
      <c r="C922" s="17" t="s">
        <v>4311</v>
      </c>
      <c r="D922" s="17" t="s">
        <v>2746</v>
      </c>
      <c r="E922" s="17"/>
      <c r="F922" s="17">
        <v>40.0</v>
      </c>
      <c r="G922" s="17">
        <v>30.0</v>
      </c>
      <c r="H922" s="17">
        <v>50.0</v>
      </c>
      <c r="I922" s="17">
        <v>55.0</v>
      </c>
      <c r="J922" s="17">
        <v>55.0</v>
      </c>
      <c r="K922" s="17">
        <v>100.0</v>
      </c>
      <c r="L922" s="29">
        <f t="shared" si="2"/>
        <v>330</v>
      </c>
    </row>
    <row r="923" ht="23.25" customHeight="1">
      <c r="A923" s="17" t="s">
        <v>4312</v>
      </c>
      <c r="B923" s="17" t="str">
        <f t="shared" si="1"/>
        <v/>
      </c>
      <c r="C923" s="17" t="s">
        <v>4313</v>
      </c>
      <c r="D923" s="17" t="s">
        <v>2729</v>
      </c>
      <c r="E923" s="17" t="s">
        <v>2716</v>
      </c>
      <c r="F923" s="17">
        <v>55.0</v>
      </c>
      <c r="G923" s="17">
        <v>40.0</v>
      </c>
      <c r="H923" s="17">
        <v>55.0</v>
      </c>
      <c r="I923" s="17">
        <v>75.0</v>
      </c>
      <c r="J923" s="17">
        <v>50.0</v>
      </c>
      <c r="K923" s="17">
        <v>70.0</v>
      </c>
      <c r="L923" s="29">
        <f t="shared" si="2"/>
        <v>345</v>
      </c>
    </row>
    <row r="924" ht="23.25" customHeight="1">
      <c r="A924" s="17" t="s">
        <v>4314</v>
      </c>
      <c r="B924" s="17" t="str">
        <f t="shared" si="1"/>
        <v/>
      </c>
      <c r="C924" s="17" t="s">
        <v>4315</v>
      </c>
      <c r="D924" s="17" t="s">
        <v>2773</v>
      </c>
      <c r="E924" s="17" t="s">
        <v>2716</v>
      </c>
      <c r="F924" s="17">
        <v>90.0</v>
      </c>
      <c r="G924" s="17">
        <v>85.0</v>
      </c>
      <c r="H924" s="17">
        <v>80.0</v>
      </c>
      <c r="I924" s="17">
        <v>105.0</v>
      </c>
      <c r="J924" s="17">
        <v>80.0</v>
      </c>
      <c r="K924" s="17">
        <v>110.0</v>
      </c>
      <c r="L924" s="29">
        <f t="shared" si="2"/>
        <v>550</v>
      </c>
    </row>
    <row r="925" ht="23.25" customHeight="1">
      <c r="A925" s="17" t="s">
        <v>4316</v>
      </c>
      <c r="B925" s="17" t="str">
        <f t="shared" si="1"/>
        <v/>
      </c>
      <c r="C925" s="17" t="s">
        <v>4317</v>
      </c>
      <c r="D925" s="17" t="s">
        <v>2716</v>
      </c>
      <c r="E925" s="17" t="s">
        <v>2726</v>
      </c>
      <c r="F925" s="17">
        <v>70.0</v>
      </c>
      <c r="G925" s="17">
        <v>55.0</v>
      </c>
      <c r="H925" s="17">
        <v>75.0</v>
      </c>
      <c r="I925" s="17">
        <v>45.0</v>
      </c>
      <c r="J925" s="17">
        <v>65.0</v>
      </c>
      <c r="K925" s="17">
        <v>60.0</v>
      </c>
      <c r="L925" s="29">
        <f t="shared" si="2"/>
        <v>370</v>
      </c>
    </row>
    <row r="926" ht="23.25" customHeight="1">
      <c r="A926" s="17" t="s">
        <v>4318</v>
      </c>
      <c r="B926" s="17" t="str">
        <f t="shared" si="1"/>
        <v/>
      </c>
      <c r="C926" s="17" t="s">
        <v>4319</v>
      </c>
      <c r="D926" s="17" t="s">
        <v>2758</v>
      </c>
      <c r="E926" s="17"/>
      <c r="F926" s="17">
        <v>38.0</v>
      </c>
      <c r="G926" s="17">
        <v>41.0</v>
      </c>
      <c r="H926" s="17">
        <v>40.0</v>
      </c>
      <c r="I926" s="17">
        <v>50.0</v>
      </c>
      <c r="J926" s="17">
        <v>65.0</v>
      </c>
      <c r="K926" s="17">
        <v>65.0</v>
      </c>
      <c r="L926" s="29">
        <f t="shared" si="2"/>
        <v>299</v>
      </c>
    </row>
    <row r="927" ht="23.25" customHeight="1">
      <c r="A927" s="17" t="s">
        <v>4320</v>
      </c>
      <c r="B927" s="17" t="str">
        <f t="shared" si="1"/>
        <v/>
      </c>
      <c r="C927" s="17" t="s">
        <v>4321</v>
      </c>
      <c r="D927" s="17" t="s">
        <v>2736</v>
      </c>
      <c r="E927" s="17"/>
      <c r="F927" s="17">
        <v>130.0</v>
      </c>
      <c r="G927" s="17">
        <v>70.0</v>
      </c>
      <c r="H927" s="17">
        <v>35.0</v>
      </c>
      <c r="I927" s="17">
        <v>70.0</v>
      </c>
      <c r="J927" s="17">
        <v>35.0</v>
      </c>
      <c r="K927" s="17">
        <v>60.0</v>
      </c>
      <c r="L927" s="29">
        <f t="shared" si="2"/>
        <v>400</v>
      </c>
    </row>
    <row r="928" ht="23.25" customHeight="1">
      <c r="A928" s="17" t="s">
        <v>4322</v>
      </c>
      <c r="B928" s="17" t="str">
        <f t="shared" si="1"/>
        <v/>
      </c>
      <c r="C928" s="17" t="s">
        <v>4323</v>
      </c>
      <c r="D928" s="17" t="s">
        <v>2736</v>
      </c>
      <c r="E928" s="17"/>
      <c r="F928" s="17">
        <v>170.0</v>
      </c>
      <c r="G928" s="17">
        <v>90.0</v>
      </c>
      <c r="H928" s="17">
        <v>45.0</v>
      </c>
      <c r="I928" s="17">
        <v>90.0</v>
      </c>
      <c r="J928" s="17">
        <v>45.0</v>
      </c>
      <c r="K928" s="17">
        <v>60.0</v>
      </c>
      <c r="L928" s="29">
        <f t="shared" si="2"/>
        <v>500</v>
      </c>
    </row>
    <row r="929" ht="23.25" customHeight="1">
      <c r="A929" s="17" t="s">
        <v>4324</v>
      </c>
      <c r="B929" s="17" t="str">
        <f t="shared" si="1"/>
        <v/>
      </c>
      <c r="C929" s="17" t="s">
        <v>4325</v>
      </c>
      <c r="D929" s="17" t="s">
        <v>2712</v>
      </c>
      <c r="E929" s="17" t="s">
        <v>2736</v>
      </c>
      <c r="F929" s="17">
        <v>110.0</v>
      </c>
      <c r="G929" s="17">
        <v>80.0</v>
      </c>
      <c r="H929" s="17">
        <v>90.0</v>
      </c>
      <c r="I929" s="17">
        <v>95.0</v>
      </c>
      <c r="J929" s="17">
        <v>90.0</v>
      </c>
      <c r="K929" s="17">
        <v>65.0</v>
      </c>
      <c r="L929" s="29">
        <f t="shared" si="2"/>
        <v>530</v>
      </c>
    </row>
    <row r="930" ht="23.25" customHeight="1">
      <c r="A930" s="17" t="s">
        <v>4326</v>
      </c>
      <c r="B930" s="17" t="str">
        <f t="shared" si="1"/>
        <v/>
      </c>
      <c r="C930" s="17" t="s">
        <v>4327</v>
      </c>
      <c r="D930" s="17" t="s">
        <v>2736</v>
      </c>
      <c r="E930" s="17"/>
      <c r="F930" s="17">
        <v>59.0</v>
      </c>
      <c r="G930" s="17">
        <v>63.0</v>
      </c>
      <c r="H930" s="17">
        <v>80.0</v>
      </c>
      <c r="I930" s="17">
        <v>65.0</v>
      </c>
      <c r="J930" s="17">
        <v>80.0</v>
      </c>
      <c r="K930" s="17">
        <v>58.0</v>
      </c>
      <c r="L930" s="29">
        <f t="shared" si="2"/>
        <v>405</v>
      </c>
    </row>
    <row r="931" ht="23.25" customHeight="1">
      <c r="A931" s="17" t="s">
        <v>4328</v>
      </c>
      <c r="B931" s="17" t="str">
        <f t="shared" si="1"/>
        <v/>
      </c>
      <c r="C931" s="17" t="s">
        <v>4329</v>
      </c>
      <c r="D931" s="17" t="s">
        <v>2729</v>
      </c>
      <c r="E931" s="17"/>
      <c r="F931" s="17">
        <v>60.0</v>
      </c>
      <c r="G931" s="17">
        <v>85.0</v>
      </c>
      <c r="H931" s="17">
        <v>69.0</v>
      </c>
      <c r="I931" s="17">
        <v>60.0</v>
      </c>
      <c r="J931" s="17">
        <v>69.0</v>
      </c>
      <c r="K931" s="17">
        <v>77.0</v>
      </c>
      <c r="L931" s="29">
        <f t="shared" si="2"/>
        <v>420</v>
      </c>
    </row>
    <row r="932" ht="23.25" customHeight="1">
      <c r="A932" s="17" t="s">
        <v>4330</v>
      </c>
      <c r="B932" s="17" t="str">
        <f t="shared" si="1"/>
        <v/>
      </c>
      <c r="C932" s="17" t="s">
        <v>1375</v>
      </c>
      <c r="D932" s="17" t="s">
        <v>2716</v>
      </c>
      <c r="E932" s="17" t="s">
        <v>2712</v>
      </c>
      <c r="F932" s="17">
        <v>70.0</v>
      </c>
      <c r="G932" s="17">
        <v>120.0</v>
      </c>
      <c r="H932" s="17">
        <v>65.0</v>
      </c>
      <c r="I932" s="17">
        <v>45.0</v>
      </c>
      <c r="J932" s="17">
        <v>85.0</v>
      </c>
      <c r="K932" s="17">
        <v>125.0</v>
      </c>
      <c r="L932" s="29">
        <f t="shared" si="2"/>
        <v>510</v>
      </c>
    </row>
    <row r="933" ht="23.25" customHeight="1">
      <c r="A933" s="17" t="s">
        <v>4331</v>
      </c>
      <c r="B933" s="17" t="str">
        <f t="shared" si="1"/>
        <v/>
      </c>
      <c r="C933" s="17" t="s">
        <v>4332</v>
      </c>
      <c r="D933" s="17" t="s">
        <v>2719</v>
      </c>
      <c r="E933" s="17" t="s">
        <v>2744</v>
      </c>
      <c r="F933" s="17">
        <v>40.0</v>
      </c>
      <c r="G933" s="17">
        <v>35.0</v>
      </c>
      <c r="H933" s="17">
        <v>30.0</v>
      </c>
      <c r="I933" s="17">
        <v>20.0</v>
      </c>
      <c r="J933" s="17">
        <v>20.0</v>
      </c>
      <c r="K933" s="17">
        <v>50.0</v>
      </c>
      <c r="L933" s="29">
        <f t="shared" si="2"/>
        <v>195</v>
      </c>
    </row>
    <row r="934" ht="23.25" customHeight="1">
      <c r="A934" s="17" t="s">
        <v>4333</v>
      </c>
      <c r="B934" s="17" t="str">
        <f t="shared" si="1"/>
        <v/>
      </c>
      <c r="C934" s="17" t="s">
        <v>4334</v>
      </c>
      <c r="D934" s="17" t="s">
        <v>2711</v>
      </c>
      <c r="E934" s="17" t="s">
        <v>2744</v>
      </c>
      <c r="F934" s="17">
        <v>65.0</v>
      </c>
      <c r="G934" s="17">
        <v>90.0</v>
      </c>
      <c r="H934" s="17">
        <v>50.0</v>
      </c>
      <c r="I934" s="17">
        <v>85.0</v>
      </c>
      <c r="J934" s="17">
        <v>45.0</v>
      </c>
      <c r="K934" s="17">
        <v>55.0</v>
      </c>
      <c r="L934" s="29">
        <f t="shared" si="2"/>
        <v>390</v>
      </c>
    </row>
    <row r="935" ht="23.25" customHeight="1">
      <c r="A935" s="17" t="s">
        <v>4335</v>
      </c>
      <c r="B935" s="17" t="str">
        <f t="shared" si="1"/>
        <v/>
      </c>
      <c r="C935" s="17" t="s">
        <v>4336</v>
      </c>
      <c r="D935" s="17" t="s">
        <v>2744</v>
      </c>
      <c r="E935" s="17"/>
      <c r="F935" s="17">
        <v>65.0</v>
      </c>
      <c r="G935" s="17">
        <v>90.0</v>
      </c>
      <c r="H935" s="17">
        <v>120.0</v>
      </c>
      <c r="I935" s="17">
        <v>85.0</v>
      </c>
      <c r="J935" s="17">
        <v>70.0</v>
      </c>
      <c r="K935" s="17">
        <v>60.0</v>
      </c>
      <c r="L935" s="29">
        <f t="shared" si="2"/>
        <v>490</v>
      </c>
    </row>
    <row r="936" ht="23.25" customHeight="1">
      <c r="A936" s="17" t="s">
        <v>4337</v>
      </c>
      <c r="B936" s="17" t="str">
        <f t="shared" si="1"/>
        <v/>
      </c>
      <c r="C936" s="17" t="s">
        <v>4338</v>
      </c>
      <c r="D936" s="17" t="s">
        <v>2711</v>
      </c>
      <c r="E936" s="17" t="s">
        <v>2733</v>
      </c>
      <c r="F936" s="17">
        <v>60.0</v>
      </c>
      <c r="G936" s="17">
        <v>67.0</v>
      </c>
      <c r="H936" s="17">
        <v>85.0</v>
      </c>
      <c r="I936" s="17">
        <v>77.0</v>
      </c>
      <c r="J936" s="17">
        <v>75.0</v>
      </c>
      <c r="K936" s="17">
        <v>116.0</v>
      </c>
      <c r="L936" s="29">
        <f t="shared" si="2"/>
        <v>480</v>
      </c>
    </row>
    <row r="937" ht="23.25" customHeight="1">
      <c r="A937" s="17" t="s">
        <v>4339</v>
      </c>
      <c r="B937" s="17" t="str">
        <f t="shared" si="1"/>
        <v/>
      </c>
      <c r="C937" s="17" t="s">
        <v>4340</v>
      </c>
      <c r="D937" s="17" t="s">
        <v>2719</v>
      </c>
      <c r="E937" s="17" t="s">
        <v>2744</v>
      </c>
      <c r="F937" s="17">
        <v>40.0</v>
      </c>
      <c r="G937" s="17">
        <v>55.0</v>
      </c>
      <c r="H937" s="17">
        <v>99.0</v>
      </c>
      <c r="I937" s="17">
        <v>40.0</v>
      </c>
      <c r="J937" s="17">
        <v>79.0</v>
      </c>
      <c r="K937" s="17">
        <v>47.0</v>
      </c>
      <c r="L937" s="29">
        <f t="shared" si="2"/>
        <v>360</v>
      </c>
    </row>
    <row r="938" ht="23.25" customHeight="1">
      <c r="A938" s="17" t="s">
        <v>4341</v>
      </c>
      <c r="B938" s="17" t="str">
        <f t="shared" si="1"/>
        <v/>
      </c>
      <c r="C938" s="17" t="s">
        <v>568</v>
      </c>
      <c r="D938" s="17" t="s">
        <v>2736</v>
      </c>
      <c r="E938" s="17" t="s">
        <v>2803</v>
      </c>
      <c r="F938" s="17">
        <v>110.0</v>
      </c>
      <c r="G938" s="17">
        <v>78.0</v>
      </c>
      <c r="H938" s="17">
        <v>73.0</v>
      </c>
      <c r="I938" s="17">
        <v>76.0</v>
      </c>
      <c r="J938" s="17">
        <v>71.0</v>
      </c>
      <c r="K938" s="17">
        <v>60.0</v>
      </c>
      <c r="L938" s="29">
        <f t="shared" si="2"/>
        <v>468</v>
      </c>
    </row>
    <row r="939" ht="23.25" customHeight="1">
      <c r="A939" s="17" t="s">
        <v>4342</v>
      </c>
      <c r="B939" s="17" t="str">
        <f t="shared" si="1"/>
        <v/>
      </c>
      <c r="C939" s="17" t="s">
        <v>4343</v>
      </c>
      <c r="D939" s="17" t="s">
        <v>2729</v>
      </c>
      <c r="E939" s="17"/>
      <c r="F939" s="17">
        <v>64.0</v>
      </c>
      <c r="G939" s="17">
        <v>51.0</v>
      </c>
      <c r="H939" s="17">
        <v>23.0</v>
      </c>
      <c r="I939" s="17">
        <v>51.0</v>
      </c>
      <c r="J939" s="17">
        <v>23.0</v>
      </c>
      <c r="K939" s="17">
        <v>28.0</v>
      </c>
      <c r="L939" s="29">
        <f t="shared" si="2"/>
        <v>240</v>
      </c>
    </row>
    <row r="940" ht="23.25" customHeight="1">
      <c r="A940" s="17" t="s">
        <v>4344</v>
      </c>
      <c r="B940" s="17" t="str">
        <f t="shared" si="1"/>
        <v/>
      </c>
      <c r="C940" s="17" t="s">
        <v>4345</v>
      </c>
      <c r="D940" s="17" t="s">
        <v>2729</v>
      </c>
      <c r="E940" s="17" t="s">
        <v>2733</v>
      </c>
      <c r="F940" s="17">
        <v>140.0</v>
      </c>
      <c r="G940" s="17">
        <v>70.0</v>
      </c>
      <c r="H940" s="17">
        <v>45.0</v>
      </c>
      <c r="I940" s="17">
        <v>85.0</v>
      </c>
      <c r="J940" s="17">
        <v>50.0</v>
      </c>
      <c r="K940" s="17">
        <v>45.0</v>
      </c>
      <c r="L940" s="29">
        <f t="shared" si="2"/>
        <v>435</v>
      </c>
    </row>
    <row r="941" ht="23.25" customHeight="1">
      <c r="A941" s="17" t="s">
        <v>4346</v>
      </c>
      <c r="B941" s="17" t="str">
        <f t="shared" si="1"/>
        <v/>
      </c>
      <c r="C941" s="17" t="s">
        <v>4347</v>
      </c>
      <c r="D941" s="17" t="s">
        <v>2719</v>
      </c>
      <c r="E941" s="17" t="s">
        <v>2736</v>
      </c>
      <c r="F941" s="17">
        <v>25.0</v>
      </c>
      <c r="G941" s="17">
        <v>35.0</v>
      </c>
      <c r="H941" s="17">
        <v>40.0</v>
      </c>
      <c r="I941" s="17">
        <v>20.0</v>
      </c>
      <c r="J941" s="17">
        <v>30.0</v>
      </c>
      <c r="K941" s="17">
        <v>80.0</v>
      </c>
      <c r="L941" s="29">
        <f t="shared" si="2"/>
        <v>230</v>
      </c>
    </row>
    <row r="942" ht="23.25" customHeight="1">
      <c r="A942" s="17" t="s">
        <v>4348</v>
      </c>
      <c r="B942" s="17" t="str">
        <f t="shared" si="1"/>
        <v/>
      </c>
      <c r="C942" s="17" t="s">
        <v>640</v>
      </c>
      <c r="D942" s="17" t="s">
        <v>2736</v>
      </c>
      <c r="E942" s="17" t="s">
        <v>2726</v>
      </c>
      <c r="F942" s="17">
        <v>40.0</v>
      </c>
      <c r="G942" s="17">
        <v>30.0</v>
      </c>
      <c r="H942" s="17">
        <v>30.0</v>
      </c>
      <c r="I942" s="17">
        <v>55.0</v>
      </c>
      <c r="J942" s="17">
        <v>30.0</v>
      </c>
      <c r="K942" s="17">
        <v>85.0</v>
      </c>
      <c r="L942" s="29">
        <f t="shared" si="2"/>
        <v>270</v>
      </c>
    </row>
    <row r="943" ht="23.25" customHeight="1">
      <c r="A943" s="17" t="s">
        <v>4349</v>
      </c>
      <c r="B943" s="17" t="str">
        <f t="shared" si="1"/>
        <v/>
      </c>
      <c r="C943" s="17" t="s">
        <v>4350</v>
      </c>
      <c r="D943" s="17" t="s">
        <v>2736</v>
      </c>
      <c r="E943" s="17"/>
      <c r="F943" s="17">
        <v>45.0</v>
      </c>
      <c r="G943" s="17">
        <v>20.0</v>
      </c>
      <c r="H943" s="17">
        <v>20.0</v>
      </c>
      <c r="I943" s="17">
        <v>25.0</v>
      </c>
      <c r="J943" s="17">
        <v>25.0</v>
      </c>
      <c r="K943" s="17">
        <v>40.0</v>
      </c>
      <c r="L943" s="29">
        <f t="shared" si="2"/>
        <v>175</v>
      </c>
    </row>
    <row r="944" ht="23.25" customHeight="1">
      <c r="A944" s="17" t="s">
        <v>4351</v>
      </c>
      <c r="B944" s="17" t="str">
        <f t="shared" si="1"/>
        <v/>
      </c>
      <c r="C944" s="17" t="s">
        <v>4352</v>
      </c>
      <c r="D944" s="17" t="s">
        <v>2714</v>
      </c>
      <c r="E944" s="17"/>
      <c r="F944" s="17">
        <v>190.0</v>
      </c>
      <c r="G944" s="17">
        <v>33.0</v>
      </c>
      <c r="H944" s="17">
        <v>58.0</v>
      </c>
      <c r="I944" s="17">
        <v>33.0</v>
      </c>
      <c r="J944" s="17">
        <v>58.0</v>
      </c>
      <c r="K944" s="17">
        <v>33.0</v>
      </c>
      <c r="L944" s="29">
        <f t="shared" si="2"/>
        <v>405</v>
      </c>
    </row>
    <row r="945" ht="23.25" customHeight="1">
      <c r="A945" s="17" t="s">
        <v>4353</v>
      </c>
      <c r="B945" s="17" t="str">
        <f t="shared" si="1"/>
        <v/>
      </c>
      <c r="C945" s="17" t="s">
        <v>4354</v>
      </c>
      <c r="D945" s="17" t="s">
        <v>2714</v>
      </c>
      <c r="E945" s="17" t="s">
        <v>2726</v>
      </c>
      <c r="F945" s="17">
        <v>65.0</v>
      </c>
      <c r="G945" s="17">
        <v>45.0</v>
      </c>
      <c r="H945" s="17">
        <v>43.0</v>
      </c>
      <c r="I945" s="17">
        <v>55.0</v>
      </c>
      <c r="J945" s="17">
        <v>43.0</v>
      </c>
      <c r="K945" s="17">
        <v>72.0</v>
      </c>
      <c r="L945" s="29">
        <f t="shared" si="2"/>
        <v>323</v>
      </c>
    </row>
    <row r="946" ht="23.25" customHeight="1">
      <c r="A946" s="17" t="s">
        <v>4355</v>
      </c>
      <c r="B946" s="17" t="str">
        <f t="shared" si="1"/>
        <v/>
      </c>
      <c r="C946" s="17" t="s">
        <v>4356</v>
      </c>
      <c r="D946" s="17" t="s">
        <v>2729</v>
      </c>
      <c r="E946" s="17"/>
      <c r="F946" s="17">
        <v>42.0</v>
      </c>
      <c r="G946" s="17">
        <v>40.0</v>
      </c>
      <c r="H946" s="17">
        <v>55.0</v>
      </c>
      <c r="I946" s="17">
        <v>40.0</v>
      </c>
      <c r="J946" s="17">
        <v>45.0</v>
      </c>
      <c r="K946" s="17">
        <v>48.0</v>
      </c>
      <c r="L946" s="29">
        <f t="shared" si="2"/>
        <v>270</v>
      </c>
    </row>
    <row r="947" ht="23.25" customHeight="1">
      <c r="A947" s="17" t="s">
        <v>4357</v>
      </c>
      <c r="B947" s="17" t="str">
        <f t="shared" si="1"/>
        <v/>
      </c>
      <c r="C947" s="17" t="s">
        <v>1261</v>
      </c>
      <c r="D947" s="17" t="s">
        <v>2736</v>
      </c>
      <c r="E947" s="17" t="s">
        <v>2803</v>
      </c>
      <c r="F947" s="17">
        <v>55.0</v>
      </c>
      <c r="G947" s="17">
        <v>45.0</v>
      </c>
      <c r="H947" s="17">
        <v>45.0</v>
      </c>
      <c r="I947" s="17">
        <v>25.0</v>
      </c>
      <c r="J947" s="17">
        <v>25.0</v>
      </c>
      <c r="K947" s="17">
        <v>15.0</v>
      </c>
      <c r="L947" s="29">
        <f t="shared" si="2"/>
        <v>210</v>
      </c>
    </row>
    <row r="948" ht="23.25" customHeight="1">
      <c r="A948" s="17" t="s">
        <v>4358</v>
      </c>
      <c r="B948" s="17" t="str">
        <f t="shared" si="1"/>
        <v/>
      </c>
      <c r="C948" s="17" t="s">
        <v>1557</v>
      </c>
      <c r="D948" s="17" t="s">
        <v>2719</v>
      </c>
      <c r="E948" s="17" t="s">
        <v>2711</v>
      </c>
      <c r="F948" s="17">
        <v>60.0</v>
      </c>
      <c r="G948" s="17">
        <v>59.0</v>
      </c>
      <c r="H948" s="17">
        <v>85.0</v>
      </c>
      <c r="I948" s="17">
        <v>79.0</v>
      </c>
      <c r="J948" s="17">
        <v>105.0</v>
      </c>
      <c r="K948" s="17">
        <v>36.0</v>
      </c>
      <c r="L948" s="29">
        <f t="shared" si="2"/>
        <v>424</v>
      </c>
    </row>
    <row r="949" ht="23.25" customHeight="1">
      <c r="A949" s="17" t="s">
        <v>4359</v>
      </c>
      <c r="B949" s="17" t="str">
        <f t="shared" si="1"/>
        <v/>
      </c>
      <c r="C949" s="17" t="s">
        <v>60</v>
      </c>
      <c r="D949" s="17" t="s">
        <v>2719</v>
      </c>
      <c r="E949" s="17"/>
      <c r="F949" s="17">
        <v>45.0</v>
      </c>
      <c r="G949" s="17">
        <v>45.0</v>
      </c>
      <c r="H949" s="17">
        <v>35.0</v>
      </c>
      <c r="I949" s="17">
        <v>20.0</v>
      </c>
      <c r="J949" s="17">
        <v>30.0</v>
      </c>
      <c r="K949" s="17">
        <v>20.0</v>
      </c>
      <c r="L949" s="29">
        <f t="shared" si="2"/>
        <v>195</v>
      </c>
    </row>
    <row r="950" ht="23.25" customHeight="1">
      <c r="A950" s="17" t="s">
        <v>4360</v>
      </c>
      <c r="B950" s="17" t="str">
        <f t="shared" si="1"/>
        <v/>
      </c>
      <c r="C950" s="17" t="s">
        <v>4361</v>
      </c>
      <c r="D950" s="17" t="s">
        <v>2714</v>
      </c>
      <c r="E950" s="17"/>
      <c r="F950" s="17">
        <v>95.0</v>
      </c>
      <c r="G950" s="17">
        <v>23.0</v>
      </c>
      <c r="H950" s="17">
        <v>48.0</v>
      </c>
      <c r="I950" s="17">
        <v>23.0</v>
      </c>
      <c r="J950" s="17">
        <v>48.0</v>
      </c>
      <c r="K950" s="17">
        <v>23.0</v>
      </c>
      <c r="L950" s="29">
        <f t="shared" si="2"/>
        <v>260</v>
      </c>
    </row>
    <row r="951" ht="23.25" customHeight="1">
      <c r="A951" s="17" t="s">
        <v>4362</v>
      </c>
      <c r="B951" s="17" t="str">
        <f t="shared" si="1"/>
        <v/>
      </c>
      <c r="C951" s="17" t="s">
        <v>1728</v>
      </c>
      <c r="D951" s="17" t="s">
        <v>2714</v>
      </c>
      <c r="E951" s="17" t="s">
        <v>2726</v>
      </c>
      <c r="F951" s="17">
        <v>65.0</v>
      </c>
      <c r="G951" s="17">
        <v>75.0</v>
      </c>
      <c r="H951" s="17">
        <v>70.0</v>
      </c>
      <c r="I951" s="17">
        <v>95.0</v>
      </c>
      <c r="J951" s="17">
        <v>70.0</v>
      </c>
      <c r="K951" s="17">
        <v>95.0</v>
      </c>
      <c r="L951" s="29">
        <f t="shared" si="2"/>
        <v>470</v>
      </c>
    </row>
    <row r="952" ht="23.25" customHeight="1">
      <c r="A952" s="17" t="s">
        <v>4363</v>
      </c>
      <c r="B952" s="17" t="str">
        <f t="shared" si="1"/>
        <v/>
      </c>
      <c r="C952" s="17" t="s">
        <v>4364</v>
      </c>
      <c r="D952" s="17" t="s">
        <v>2733</v>
      </c>
      <c r="E952" s="17"/>
      <c r="F952" s="17">
        <v>126.0</v>
      </c>
      <c r="G952" s="17">
        <v>131.0</v>
      </c>
      <c r="H952" s="17">
        <v>95.0</v>
      </c>
      <c r="I952" s="17">
        <v>131.0</v>
      </c>
      <c r="J952" s="17">
        <v>98.0</v>
      </c>
      <c r="K952" s="17">
        <v>99.0</v>
      </c>
      <c r="L952" s="29">
        <f t="shared" si="2"/>
        <v>680</v>
      </c>
    </row>
    <row r="953" ht="23.25" customHeight="1">
      <c r="A953" s="17" t="s">
        <v>4365</v>
      </c>
      <c r="B953" s="17" t="str">
        <f t="shared" si="1"/>
        <v/>
      </c>
      <c r="C953" s="17" t="s">
        <v>4366</v>
      </c>
      <c r="D953" s="17" t="s">
        <v>2746</v>
      </c>
      <c r="E953" s="17"/>
      <c r="F953" s="17">
        <v>83.0</v>
      </c>
      <c r="G953" s="17">
        <v>89.0</v>
      </c>
      <c r="H953" s="17">
        <v>71.0</v>
      </c>
      <c r="I953" s="17">
        <v>173.0</v>
      </c>
      <c r="J953" s="17">
        <v>71.0</v>
      </c>
      <c r="K953" s="17">
        <v>83.0</v>
      </c>
      <c r="L953" s="29">
        <f t="shared" si="2"/>
        <v>570</v>
      </c>
    </row>
    <row r="954" ht="23.25" customHeight="1">
      <c r="A954" s="17" t="s">
        <v>4367</v>
      </c>
      <c r="B954" s="17" t="str">
        <f t="shared" si="1"/>
        <v/>
      </c>
      <c r="C954" s="17" t="s">
        <v>4368</v>
      </c>
      <c r="D954" s="17" t="s">
        <v>2723</v>
      </c>
      <c r="E954" s="17"/>
      <c r="F954" s="17">
        <v>38.0</v>
      </c>
      <c r="G954" s="17">
        <v>30.0</v>
      </c>
      <c r="H954" s="17">
        <v>85.0</v>
      </c>
      <c r="I954" s="17">
        <v>55.0</v>
      </c>
      <c r="J954" s="17">
        <v>65.0</v>
      </c>
      <c r="K954" s="17">
        <v>30.0</v>
      </c>
      <c r="L954" s="29">
        <f t="shared" si="2"/>
        <v>303</v>
      </c>
    </row>
    <row r="955" ht="23.25" customHeight="1">
      <c r="A955" s="17" t="s">
        <v>4369</v>
      </c>
      <c r="B955" s="17" t="str">
        <f t="shared" si="1"/>
        <v/>
      </c>
      <c r="C955" s="17" t="s">
        <v>4370</v>
      </c>
      <c r="D955" s="17" t="s">
        <v>2746</v>
      </c>
      <c r="E955" s="17"/>
      <c r="F955" s="17">
        <v>59.0</v>
      </c>
      <c r="G955" s="17">
        <v>45.0</v>
      </c>
      <c r="H955" s="17">
        <v>50.0</v>
      </c>
      <c r="I955" s="17">
        <v>40.0</v>
      </c>
      <c r="J955" s="17">
        <v>50.0</v>
      </c>
      <c r="K955" s="17">
        <v>26.0</v>
      </c>
      <c r="L955" s="29">
        <f t="shared" si="2"/>
        <v>270</v>
      </c>
    </row>
    <row r="956" ht="23.25" customHeight="1">
      <c r="A956" s="17" t="s">
        <v>4371</v>
      </c>
      <c r="B956" s="17" t="str">
        <f t="shared" si="1"/>
        <v/>
      </c>
      <c r="C956" s="17" t="s">
        <v>1851</v>
      </c>
      <c r="D956" s="17" t="s">
        <v>2719</v>
      </c>
      <c r="E956" s="17" t="s">
        <v>2726</v>
      </c>
      <c r="F956" s="17">
        <v>65.0</v>
      </c>
      <c r="G956" s="17">
        <v>65.0</v>
      </c>
      <c r="H956" s="17">
        <v>45.0</v>
      </c>
      <c r="I956" s="17">
        <v>75.0</v>
      </c>
      <c r="J956" s="17">
        <v>45.0</v>
      </c>
      <c r="K956" s="17">
        <v>95.0</v>
      </c>
      <c r="L956" s="29">
        <f t="shared" si="2"/>
        <v>390</v>
      </c>
    </row>
    <row r="957" ht="23.25" customHeight="1">
      <c r="A957" s="17" t="s">
        <v>4372</v>
      </c>
      <c r="B957" s="17" t="str">
        <f t="shared" si="1"/>
        <v/>
      </c>
      <c r="C957" s="17" t="s">
        <v>2643</v>
      </c>
      <c r="D957" s="17" t="s">
        <v>2719</v>
      </c>
      <c r="E957" s="17" t="s">
        <v>2726</v>
      </c>
      <c r="F957" s="17">
        <v>86.0</v>
      </c>
      <c r="G957" s="17">
        <v>76.0</v>
      </c>
      <c r="H957" s="17">
        <v>86.0</v>
      </c>
      <c r="I957" s="17">
        <v>116.0</v>
      </c>
      <c r="J957" s="17">
        <v>56.0</v>
      </c>
      <c r="K957" s="17">
        <v>95.0</v>
      </c>
      <c r="L957" s="29">
        <f t="shared" si="2"/>
        <v>515</v>
      </c>
    </row>
    <row r="958" ht="23.25" customHeight="1">
      <c r="A958" s="17" t="s">
        <v>4373</v>
      </c>
      <c r="B958" s="17" t="str">
        <f t="shared" si="1"/>
        <v/>
      </c>
      <c r="C958" s="17" t="s">
        <v>4374</v>
      </c>
      <c r="D958" s="17" t="s">
        <v>2729</v>
      </c>
      <c r="E958" s="17"/>
      <c r="F958" s="17">
        <v>48.0</v>
      </c>
      <c r="G958" s="17">
        <v>70.0</v>
      </c>
      <c r="H958" s="17">
        <v>30.0</v>
      </c>
      <c r="I958" s="17">
        <v>30.0</v>
      </c>
      <c r="J958" s="17">
        <v>30.0</v>
      </c>
      <c r="K958" s="17">
        <v>45.0</v>
      </c>
      <c r="L958" s="29">
        <f t="shared" si="2"/>
        <v>253</v>
      </c>
    </row>
    <row r="959" ht="23.25" customHeight="1">
      <c r="A959" s="17" t="s">
        <v>4375</v>
      </c>
      <c r="B959" s="17" t="str">
        <f t="shared" si="1"/>
        <v/>
      </c>
      <c r="C959" s="17" t="s">
        <v>4376</v>
      </c>
      <c r="D959" s="17" t="s">
        <v>2716</v>
      </c>
      <c r="E959" s="17" t="s">
        <v>2726</v>
      </c>
      <c r="F959" s="17">
        <v>126.0</v>
      </c>
      <c r="G959" s="17">
        <v>131.0</v>
      </c>
      <c r="H959" s="17">
        <v>95.0</v>
      </c>
      <c r="I959" s="17">
        <v>131.0</v>
      </c>
      <c r="J959" s="17">
        <v>98.0</v>
      </c>
      <c r="K959" s="17">
        <v>99.0</v>
      </c>
      <c r="L959" s="29">
        <f t="shared" si="2"/>
        <v>680</v>
      </c>
    </row>
    <row r="960" ht="23.25" customHeight="1">
      <c r="A960" s="17" t="s">
        <v>4377</v>
      </c>
      <c r="B960" s="17" t="str">
        <f t="shared" si="1"/>
        <v/>
      </c>
      <c r="C960" s="17" t="s">
        <v>4378</v>
      </c>
      <c r="D960" s="17" t="s">
        <v>2733</v>
      </c>
      <c r="E960" s="17"/>
      <c r="F960" s="17">
        <v>92.0</v>
      </c>
      <c r="G960" s="17">
        <v>130.0</v>
      </c>
      <c r="H960" s="17">
        <v>115.0</v>
      </c>
      <c r="I960" s="17">
        <v>80.0</v>
      </c>
      <c r="J960" s="17">
        <v>115.0</v>
      </c>
      <c r="K960" s="17">
        <v>138.0</v>
      </c>
      <c r="L960" s="29">
        <f t="shared" si="2"/>
        <v>670</v>
      </c>
    </row>
    <row r="961" ht="23.25" customHeight="1">
      <c r="A961" s="17" t="s">
        <v>4379</v>
      </c>
      <c r="B961" s="17" t="str">
        <f t="shared" si="1"/>
        <v/>
      </c>
      <c r="C961" s="17" t="s">
        <v>4380</v>
      </c>
      <c r="D961" s="17" t="s">
        <v>2773</v>
      </c>
      <c r="E961" s="17"/>
      <c r="F961" s="17">
        <v>92.0</v>
      </c>
      <c r="G961" s="17">
        <v>130.0</v>
      </c>
      <c r="H961" s="17">
        <v>115.0</v>
      </c>
      <c r="I961" s="17">
        <v>80.0</v>
      </c>
      <c r="J961" s="17">
        <v>115.0</v>
      </c>
      <c r="K961" s="17">
        <v>138.0</v>
      </c>
      <c r="L961" s="29">
        <f t="shared" si="2"/>
        <v>670</v>
      </c>
    </row>
    <row r="962" ht="23.25" customHeight="1">
      <c r="A962" s="17" t="s">
        <v>4381</v>
      </c>
      <c r="B962" s="17" t="str">
        <f t="shared" si="1"/>
        <v/>
      </c>
      <c r="C962" s="17" t="s">
        <v>4382</v>
      </c>
      <c r="D962" s="17" t="s">
        <v>2729</v>
      </c>
      <c r="E962" s="17"/>
      <c r="F962" s="17">
        <v>73.0</v>
      </c>
      <c r="G962" s="17">
        <v>115.0</v>
      </c>
      <c r="H962" s="17">
        <v>60.0</v>
      </c>
      <c r="I962" s="17">
        <v>60.0</v>
      </c>
      <c r="J962" s="17">
        <v>60.0</v>
      </c>
      <c r="K962" s="17">
        <v>90.0</v>
      </c>
      <c r="L962" s="29">
        <f t="shared" si="2"/>
        <v>458</v>
      </c>
    </row>
    <row r="963" ht="23.25" customHeight="1">
      <c r="A963" s="17" t="s">
        <v>4383</v>
      </c>
      <c r="B963" s="17" t="str">
        <f t="shared" si="1"/>
        <v/>
      </c>
      <c r="C963" s="17" t="s">
        <v>4384</v>
      </c>
      <c r="D963" s="17" t="s">
        <v>2746</v>
      </c>
      <c r="E963" s="17" t="s">
        <v>2726</v>
      </c>
      <c r="F963" s="17">
        <v>90.0</v>
      </c>
      <c r="G963" s="17">
        <v>90.0</v>
      </c>
      <c r="H963" s="17">
        <v>85.0</v>
      </c>
      <c r="I963" s="17">
        <v>125.0</v>
      </c>
      <c r="J963" s="17">
        <v>90.0</v>
      </c>
      <c r="K963" s="17">
        <v>100.0</v>
      </c>
      <c r="L963" s="29">
        <f t="shared" si="2"/>
        <v>580</v>
      </c>
    </row>
    <row r="964" ht="23.25" customHeight="1">
      <c r="A964" s="17" t="s">
        <v>4385</v>
      </c>
      <c r="B964" s="17" t="str">
        <f t="shared" si="1"/>
        <v/>
      </c>
      <c r="C964" s="17" t="s">
        <v>4386</v>
      </c>
      <c r="D964" s="17" t="s">
        <v>2716</v>
      </c>
      <c r="E964" s="17" t="s">
        <v>2711</v>
      </c>
      <c r="F964" s="17">
        <v>105.0</v>
      </c>
      <c r="G964" s="17">
        <v>120.0</v>
      </c>
      <c r="H964" s="17">
        <v>105.0</v>
      </c>
      <c r="I964" s="17">
        <v>70.0</v>
      </c>
      <c r="J964" s="17">
        <v>95.0</v>
      </c>
      <c r="K964" s="17">
        <v>105.0</v>
      </c>
      <c r="L964" s="29">
        <f t="shared" si="2"/>
        <v>600</v>
      </c>
    </row>
    <row r="965" ht="23.25" customHeight="1">
      <c r="A965" s="17" t="s">
        <v>4387</v>
      </c>
      <c r="B965" s="17" t="str">
        <f t="shared" si="1"/>
        <v/>
      </c>
      <c r="C965" s="17" t="s">
        <v>4388</v>
      </c>
      <c r="D965" s="17" t="s">
        <v>2746</v>
      </c>
      <c r="E965" s="17"/>
      <c r="F965" s="17">
        <v>75.0</v>
      </c>
      <c r="G965" s="17">
        <v>100.0</v>
      </c>
      <c r="H965" s="17">
        <v>63.0</v>
      </c>
      <c r="I965" s="17">
        <v>80.0</v>
      </c>
      <c r="J965" s="17">
        <v>63.0</v>
      </c>
      <c r="K965" s="17">
        <v>116.0</v>
      </c>
      <c r="L965" s="29">
        <f t="shared" si="2"/>
        <v>497</v>
      </c>
    </row>
    <row r="966" ht="23.25" customHeight="1">
      <c r="A966" s="17" t="s">
        <v>4389</v>
      </c>
      <c r="B966" s="17" t="str">
        <f t="shared" si="1"/>
        <v/>
      </c>
      <c r="C966" s="17" t="s">
        <v>4390</v>
      </c>
      <c r="D966" s="17" t="s">
        <v>2738</v>
      </c>
      <c r="E966" s="17" t="s">
        <v>2746</v>
      </c>
      <c r="F966" s="17">
        <v>100.0</v>
      </c>
      <c r="G966" s="17">
        <v>150.0</v>
      </c>
      <c r="H966" s="17">
        <v>120.0</v>
      </c>
      <c r="I966" s="17">
        <v>120.0</v>
      </c>
      <c r="J966" s="17">
        <v>100.0</v>
      </c>
      <c r="K966" s="17">
        <v>90.0</v>
      </c>
      <c r="L966" s="29">
        <f t="shared" si="2"/>
        <v>680</v>
      </c>
    </row>
    <row r="967" ht="23.25" customHeight="1">
      <c r="A967" s="17" t="s">
        <v>4391</v>
      </c>
      <c r="B967" s="17" t="str">
        <f t="shared" si="1"/>
        <v/>
      </c>
      <c r="C967" s="17" t="s">
        <v>4392</v>
      </c>
      <c r="D967" s="17" t="s">
        <v>2746</v>
      </c>
      <c r="E967" s="17"/>
      <c r="F967" s="17">
        <v>88.0</v>
      </c>
      <c r="G967" s="17">
        <v>112.0</v>
      </c>
      <c r="H967" s="17">
        <v>75.0</v>
      </c>
      <c r="I967" s="17">
        <v>102.0</v>
      </c>
      <c r="J967" s="17">
        <v>80.0</v>
      </c>
      <c r="K967" s="17">
        <v>143.0</v>
      </c>
      <c r="L967" s="29">
        <f t="shared" si="2"/>
        <v>600</v>
      </c>
    </row>
    <row r="968" ht="23.25" customHeight="1">
      <c r="A968" s="17" t="s">
        <v>4393</v>
      </c>
      <c r="B968" s="17" t="str">
        <f t="shared" si="1"/>
        <v/>
      </c>
      <c r="C968" s="17" t="s">
        <v>1944</v>
      </c>
      <c r="D968" s="17" t="s">
        <v>2729</v>
      </c>
      <c r="E968" s="17"/>
      <c r="F968" s="17">
        <v>38.0</v>
      </c>
      <c r="G968" s="17">
        <v>30.0</v>
      </c>
      <c r="H968" s="17">
        <v>41.0</v>
      </c>
      <c r="I968" s="17">
        <v>30.0</v>
      </c>
      <c r="J968" s="17">
        <v>41.0</v>
      </c>
      <c r="K968" s="17">
        <v>60.0</v>
      </c>
      <c r="L968" s="29">
        <f t="shared" si="2"/>
        <v>240</v>
      </c>
    </row>
    <row r="969" ht="23.25" customHeight="1">
      <c r="A969" s="17" t="s">
        <v>4394</v>
      </c>
      <c r="B969" s="17" t="str">
        <f t="shared" si="1"/>
        <v/>
      </c>
      <c r="C969" s="17" t="s">
        <v>4395</v>
      </c>
      <c r="D969" s="17" t="s">
        <v>2716</v>
      </c>
      <c r="E969" s="17"/>
      <c r="F969" s="17">
        <v>60.0</v>
      </c>
      <c r="G969" s="17">
        <v>105.0</v>
      </c>
      <c r="H969" s="17">
        <v>60.0</v>
      </c>
      <c r="I969" s="17">
        <v>120.0</v>
      </c>
      <c r="J969" s="17">
        <v>60.0</v>
      </c>
      <c r="K969" s="17">
        <v>105.0</v>
      </c>
      <c r="L969" s="29">
        <f t="shared" si="2"/>
        <v>510</v>
      </c>
    </row>
    <row r="970" ht="23.25" customHeight="1">
      <c r="A970" s="17" t="s">
        <v>4396</v>
      </c>
      <c r="B970" s="17" t="str">
        <f t="shared" si="1"/>
        <v/>
      </c>
      <c r="C970" s="17" t="s">
        <v>4397</v>
      </c>
      <c r="D970" s="17" t="s">
        <v>2716</v>
      </c>
      <c r="E970" s="17"/>
      <c r="F970" s="17">
        <v>40.0</v>
      </c>
      <c r="G970" s="17">
        <v>65.0</v>
      </c>
      <c r="H970" s="17">
        <v>40.0</v>
      </c>
      <c r="I970" s="17">
        <v>80.0</v>
      </c>
      <c r="J970" s="17">
        <v>40.0</v>
      </c>
      <c r="K970" s="17">
        <v>65.0</v>
      </c>
      <c r="L970" s="29">
        <f t="shared" si="2"/>
        <v>330</v>
      </c>
    </row>
    <row r="971" ht="23.25" customHeight="1">
      <c r="A971" s="17" t="s">
        <v>4398</v>
      </c>
      <c r="B971" s="17" t="str">
        <f t="shared" si="1"/>
        <v/>
      </c>
      <c r="C971" s="17" t="s">
        <v>37</v>
      </c>
      <c r="D971" s="17" t="s">
        <v>2744</v>
      </c>
      <c r="E971" s="17" t="s">
        <v>2726</v>
      </c>
      <c r="F971" s="17">
        <v>40.0</v>
      </c>
      <c r="G971" s="17">
        <v>45.0</v>
      </c>
      <c r="H971" s="17">
        <v>35.0</v>
      </c>
      <c r="I971" s="17">
        <v>30.0</v>
      </c>
      <c r="J971" s="17">
        <v>40.0</v>
      </c>
      <c r="K971" s="17">
        <v>55.0</v>
      </c>
      <c r="L971" s="29">
        <f t="shared" si="2"/>
        <v>245</v>
      </c>
    </row>
    <row r="972" ht="23.25" customHeight="1">
      <c r="A972" s="17" t="s">
        <v>4399</v>
      </c>
      <c r="B972" s="17" t="str">
        <f t="shared" si="1"/>
        <v/>
      </c>
      <c r="C972" s="17" t="s">
        <v>4400</v>
      </c>
      <c r="D972" s="17" t="s">
        <v>2716</v>
      </c>
      <c r="E972" s="17" t="s">
        <v>2738</v>
      </c>
      <c r="F972" s="17">
        <v>72.0</v>
      </c>
      <c r="G972" s="17">
        <v>85.0</v>
      </c>
      <c r="H972" s="17">
        <v>70.0</v>
      </c>
      <c r="I972" s="17">
        <v>65.0</v>
      </c>
      <c r="J972" s="17">
        <v>70.0</v>
      </c>
      <c r="K972" s="17">
        <v>58.0</v>
      </c>
      <c r="L972" s="29">
        <f t="shared" si="2"/>
        <v>420</v>
      </c>
    </row>
    <row r="973" ht="23.25" customHeight="1">
      <c r="A973" s="17" t="s">
        <v>4401</v>
      </c>
      <c r="B973" s="17" t="str">
        <f t="shared" si="1"/>
        <v/>
      </c>
      <c r="C973" s="17" t="s">
        <v>4402</v>
      </c>
      <c r="D973" s="17" t="s">
        <v>2738</v>
      </c>
      <c r="E973" s="17" t="s">
        <v>2803</v>
      </c>
      <c r="F973" s="17">
        <v>108.0</v>
      </c>
      <c r="G973" s="17">
        <v>100.0</v>
      </c>
      <c r="H973" s="17">
        <v>121.0</v>
      </c>
      <c r="I973" s="17">
        <v>81.0</v>
      </c>
      <c r="J973" s="17">
        <v>95.0</v>
      </c>
      <c r="K973" s="17">
        <v>95.0</v>
      </c>
      <c r="L973" s="29">
        <f t="shared" si="2"/>
        <v>600</v>
      </c>
    </row>
  </sheetData>
  <conditionalFormatting sqref="D1:E973">
    <cfRule type="cellIs" dxfId="1" priority="1" operator="equal">
      <formula>"Normal"</formula>
    </cfRule>
  </conditionalFormatting>
  <conditionalFormatting sqref="D1:E973">
    <cfRule type="cellIs" dxfId="2" priority="2" operator="equal">
      <formula>"Fire"</formula>
    </cfRule>
  </conditionalFormatting>
  <conditionalFormatting sqref="D1:E973">
    <cfRule type="cellIs" dxfId="3" priority="3" operator="equal">
      <formula>"Grass"</formula>
    </cfRule>
  </conditionalFormatting>
  <conditionalFormatting sqref="D1:E973">
    <cfRule type="cellIs" dxfId="4" priority="4" operator="equal">
      <formula>"Water"</formula>
    </cfRule>
  </conditionalFormatting>
  <conditionalFormatting sqref="D1:E973">
    <cfRule type="cellIs" dxfId="5" priority="5" operator="equal">
      <formula>"Electric"</formula>
    </cfRule>
  </conditionalFormatting>
  <conditionalFormatting sqref="D1:E973">
    <cfRule type="cellIs" dxfId="6" priority="6" operator="equal">
      <formula>"Psychic"</formula>
    </cfRule>
  </conditionalFormatting>
  <conditionalFormatting sqref="D1:E973">
    <cfRule type="cellIs" dxfId="7" priority="7" operator="equal">
      <formula>"Dark"</formula>
    </cfRule>
  </conditionalFormatting>
  <conditionalFormatting sqref="D1:E973">
    <cfRule type="cellIs" dxfId="8" priority="8" operator="equal">
      <formula>"Ice"</formula>
    </cfRule>
  </conditionalFormatting>
  <conditionalFormatting sqref="D1:E973">
    <cfRule type="cellIs" dxfId="9" priority="9" operator="equal">
      <formula>"Dragon"</formula>
    </cfRule>
  </conditionalFormatting>
  <conditionalFormatting sqref="D1:E973">
    <cfRule type="cellIs" dxfId="10" priority="10" operator="equal">
      <formula>"Fairy"</formula>
    </cfRule>
  </conditionalFormatting>
  <conditionalFormatting sqref="D1:E973">
    <cfRule type="cellIs" dxfId="11" priority="11" operator="equal">
      <formula>"Fighting"</formula>
    </cfRule>
  </conditionalFormatting>
  <conditionalFormatting sqref="D1:E973">
    <cfRule type="cellIs" dxfId="12" priority="12" operator="equal">
      <formula>"Rock"</formula>
    </cfRule>
  </conditionalFormatting>
  <conditionalFormatting sqref="D1:E973">
    <cfRule type="cellIs" dxfId="13" priority="13" operator="equal">
      <formula>"Ground"</formula>
    </cfRule>
  </conditionalFormatting>
  <conditionalFormatting sqref="D1:E973">
    <cfRule type="cellIs" dxfId="14" priority="14" operator="equal">
      <formula>"Steel"</formula>
    </cfRule>
  </conditionalFormatting>
  <conditionalFormatting sqref="D1:E973">
    <cfRule type="cellIs" dxfId="15" priority="15" operator="equal">
      <formula>"Ghost"</formula>
    </cfRule>
  </conditionalFormatting>
  <conditionalFormatting sqref="D1:E973">
    <cfRule type="cellIs" dxfId="16" priority="16" operator="equal">
      <formula>"Flying"</formula>
    </cfRule>
  </conditionalFormatting>
  <conditionalFormatting sqref="D1:E973">
    <cfRule type="cellIs" dxfId="17" priority="17" operator="equal">
      <formula>"Bug"</formula>
    </cfRule>
  </conditionalFormatting>
  <conditionalFormatting sqref="D1:E973">
    <cfRule type="cellIs" dxfId="18" priority="18" operator="equal">
      <formula>"Poison"</formula>
    </cfRule>
  </conditionalFormatting>
  <conditionalFormatting sqref="D1:E973">
    <cfRule type="containsBlanks" dxfId="19" priority="19">
      <formula>LEN(TRIM(D1))=0</formula>
    </cfRule>
  </conditionalFormatting>
  <conditionalFormatting sqref="F1:F973">
    <cfRule type="colorScale" priority="20">
      <colorScale>
        <cfvo type="formula" val="0"/>
        <cfvo type="formula" val="150"/>
        <cfvo type="max"/>
        <color rgb="FFFFFFFF"/>
        <color rgb="FFE06666"/>
        <color rgb="FFE00C0C"/>
      </colorScale>
    </cfRule>
  </conditionalFormatting>
  <conditionalFormatting sqref="G1:G973">
    <cfRule type="colorScale" priority="21">
      <colorScale>
        <cfvo type="formula" val="0"/>
        <cfvo type="formula" val="150"/>
        <cfvo type="max"/>
        <color rgb="FFFFFFFF"/>
        <color rgb="FFF6B26B"/>
        <color rgb="FFFF9900"/>
      </colorScale>
    </cfRule>
  </conditionalFormatting>
  <conditionalFormatting sqref="H1:H973">
    <cfRule type="colorScale" priority="22">
      <colorScale>
        <cfvo type="formula" val="0"/>
        <cfvo type="formula" val="150"/>
        <cfvo type="max"/>
        <color rgb="FFFFFFFF"/>
        <color rgb="FFFFD966"/>
        <color rgb="FFFFCA28"/>
      </colorScale>
    </cfRule>
  </conditionalFormatting>
  <conditionalFormatting sqref="I1:I973">
    <cfRule type="colorScale" priority="23">
      <colorScale>
        <cfvo type="formula" val="0"/>
        <cfvo type="formula" val="150"/>
        <cfvo type="max"/>
        <color rgb="FFFFFFFF"/>
        <color rgb="FF6D9EEB"/>
        <color rgb="FF4A86E8"/>
      </colorScale>
    </cfRule>
  </conditionalFormatting>
  <conditionalFormatting sqref="J1:J973">
    <cfRule type="colorScale" priority="24">
      <colorScale>
        <cfvo type="formula" val="0"/>
        <cfvo type="formula" val="150"/>
        <cfvo type="formula" val="150"/>
        <color rgb="FFFFFFFF"/>
        <color rgb="FF93C47D"/>
        <color rgb="FF74CD4C"/>
      </colorScale>
    </cfRule>
  </conditionalFormatting>
  <conditionalFormatting sqref="K1:K973">
    <cfRule type="colorScale" priority="25">
      <colorScale>
        <cfvo type="formula" val="0"/>
        <cfvo type="formula" val="150"/>
        <cfvo type="max"/>
        <color rgb="FFFFFFFF"/>
        <color rgb="FFC27BA0"/>
        <color rgb="FFD54D94"/>
      </colorScale>
    </cfRule>
  </conditionalFormatting>
  <conditionalFormatting sqref="L1:L973">
    <cfRule type="colorScale" priority="26">
      <colorScale>
        <cfvo type="formula" val="0"/>
        <cfvo type="formula" val="500"/>
        <cfvo type="formula" val="680"/>
        <color rgb="FFFFFFFF"/>
        <color rgb="FF8E7CC3"/>
        <color rgb="FF674EA7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20.38"/>
    <col customWidth="1" hidden="1" min="3" max="3" width="4.0"/>
    <col customWidth="1" min="4" max="4" width="4.13"/>
    <col customWidth="1" min="5" max="5" width="3.13"/>
    <col customWidth="1" min="6" max="6" width="13.63"/>
    <col customWidth="1" hidden="1" min="7" max="7" width="12.13"/>
    <col customWidth="1" min="8" max="8" width="48.13"/>
    <col customWidth="1" min="9" max="9" width="8.13"/>
    <col customWidth="1" min="10" max="15" width="4.13"/>
    <col customWidth="1" min="16" max="21" width="3.13"/>
  </cols>
  <sheetData>
    <row r="1">
      <c r="A1" s="1" t="s">
        <v>4403</v>
      </c>
    </row>
    <row r="2">
      <c r="A2" s="1" t="s">
        <v>1</v>
      </c>
      <c r="C2" s="2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P2" s="1" t="s">
        <v>9</v>
      </c>
    </row>
    <row r="3">
      <c r="J3" s="3" t="s">
        <v>10</v>
      </c>
      <c r="K3" s="4" t="s">
        <v>11</v>
      </c>
      <c r="L3" s="5" t="s">
        <v>12</v>
      </c>
      <c r="M3" s="6" t="s">
        <v>13</v>
      </c>
      <c r="N3" s="7" t="s">
        <v>14</v>
      </c>
      <c r="O3" s="8" t="s">
        <v>15</v>
      </c>
      <c r="P3" s="9"/>
      <c r="Q3" s="10"/>
      <c r="R3" s="11"/>
      <c r="S3" s="12"/>
      <c r="T3" s="13"/>
      <c r="U3" s="14"/>
    </row>
    <row r="4" ht="23.25" customHeight="1">
      <c r="A4" s="1"/>
      <c r="B4" s="15" t="s">
        <v>1487</v>
      </c>
      <c r="C4" s="1" t="s">
        <v>17</v>
      </c>
      <c r="D4" s="1" t="s">
        <v>807</v>
      </c>
      <c r="G4" s="16"/>
      <c r="H4" s="26" t="s">
        <v>808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23.25" customHeight="1">
      <c r="A5" s="24" t="str">
        <f>IF(COUNTIF('Icon Lookup'!C:C,B5)&gt;0,LOOKUP(B5,'Icon Lookup'!C:C,'Icon Lookup'!B:B),"")</f>
        <v/>
      </c>
      <c r="B5" s="25" t="s">
        <v>965</v>
      </c>
      <c r="C5" s="24" t="s">
        <v>804</v>
      </c>
      <c r="D5" s="24">
        <v>21.0</v>
      </c>
      <c r="E5" s="24" t="s">
        <v>145</v>
      </c>
      <c r="G5" s="30"/>
      <c r="H5" s="20" t="s">
        <v>1489</v>
      </c>
      <c r="I5" s="24" t="s">
        <v>22</v>
      </c>
      <c r="J5" s="24">
        <v>12.0</v>
      </c>
      <c r="K5" s="24">
        <v>0.0</v>
      </c>
      <c r="L5" s="24">
        <v>4.0</v>
      </c>
      <c r="M5" s="24">
        <v>36.0</v>
      </c>
      <c r="N5" s="24">
        <v>4.0</v>
      </c>
      <c r="O5" s="24">
        <v>36.0</v>
      </c>
      <c r="P5" s="24">
        <v>11.0</v>
      </c>
      <c r="Q5" s="24">
        <v>11.0</v>
      </c>
      <c r="R5" s="24">
        <v>11.0</v>
      </c>
      <c r="S5" s="24">
        <v>11.0</v>
      </c>
      <c r="T5" s="24">
        <v>11.0</v>
      </c>
      <c r="U5" s="24">
        <v>11.0</v>
      </c>
    </row>
    <row r="6" ht="23.25" customHeight="1">
      <c r="A6" s="24" t="str">
        <f>IF(COUNTIF('Icon Lookup'!C:C,B6)&gt;0,LOOKUP(B6,'Icon Lookup'!C:C,'Icon Lookup'!B:B),"")</f>
        <v/>
      </c>
      <c r="B6" s="25" t="s">
        <v>965</v>
      </c>
      <c r="C6" s="24" t="s">
        <v>804</v>
      </c>
      <c r="D6" s="24">
        <v>21.0</v>
      </c>
      <c r="E6" s="24" t="s">
        <v>145</v>
      </c>
      <c r="G6" s="30"/>
      <c r="H6" s="20" t="s">
        <v>1489</v>
      </c>
      <c r="I6" s="24" t="s">
        <v>22</v>
      </c>
      <c r="J6" s="24">
        <v>12.0</v>
      </c>
      <c r="K6" s="24">
        <v>36.0</v>
      </c>
      <c r="L6" s="24">
        <v>4.0</v>
      </c>
      <c r="M6" s="24">
        <v>0.0</v>
      </c>
      <c r="N6" s="24">
        <v>4.0</v>
      </c>
      <c r="O6" s="24">
        <v>36.0</v>
      </c>
      <c r="P6" s="24">
        <v>11.0</v>
      </c>
      <c r="Q6" s="24">
        <v>11.0</v>
      </c>
      <c r="R6" s="24">
        <v>11.0</v>
      </c>
      <c r="S6" s="24">
        <v>11.0</v>
      </c>
      <c r="T6" s="24">
        <v>11.0</v>
      </c>
      <c r="U6" s="24">
        <v>11.0</v>
      </c>
    </row>
    <row r="7" ht="23.25" customHeight="1">
      <c r="A7" s="1"/>
      <c r="B7" s="15" t="s">
        <v>1490</v>
      </c>
      <c r="C7" s="1" t="s">
        <v>17</v>
      </c>
      <c r="D7" s="1" t="s">
        <v>807</v>
      </c>
      <c r="G7" s="16"/>
      <c r="H7" s="26" t="s">
        <v>808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23.25" customHeight="1">
      <c r="A8" s="24" t="str">
        <f>IF(COUNTIF('Icon Lookup'!C:C,B8)&gt;0,LOOKUP(B8,'Icon Lookup'!C:C,'Icon Lookup'!B:B),"")</f>
        <v/>
      </c>
      <c r="B8" s="25" t="s">
        <v>373</v>
      </c>
      <c r="C8" s="24" t="s">
        <v>804</v>
      </c>
      <c r="D8" s="24">
        <v>21.0</v>
      </c>
      <c r="E8" s="24" t="s">
        <v>374</v>
      </c>
      <c r="G8" s="30"/>
      <c r="H8" s="23" t="s">
        <v>1492</v>
      </c>
      <c r="I8" s="24" t="s">
        <v>52</v>
      </c>
      <c r="J8" s="24">
        <v>12.0</v>
      </c>
      <c r="K8" s="24">
        <v>36.0</v>
      </c>
      <c r="L8" s="24">
        <v>4.0</v>
      </c>
      <c r="M8" s="24">
        <v>0.0</v>
      </c>
      <c r="N8" s="24">
        <v>4.0</v>
      </c>
      <c r="O8" s="24">
        <v>36.0</v>
      </c>
      <c r="P8" s="24">
        <v>11.0</v>
      </c>
      <c r="Q8" s="24">
        <v>11.0</v>
      </c>
      <c r="R8" s="24">
        <v>11.0</v>
      </c>
      <c r="S8" s="24">
        <v>11.0</v>
      </c>
      <c r="T8" s="24">
        <v>11.0</v>
      </c>
      <c r="U8" s="24">
        <v>11.0</v>
      </c>
    </row>
    <row r="9" ht="23.25" customHeight="1">
      <c r="A9" s="24" t="str">
        <f>IF(COUNTIF('Icon Lookup'!C:C,B9)&gt;0,LOOKUP(B9,'Icon Lookup'!C:C,'Icon Lookup'!B:B),"")</f>
        <v/>
      </c>
      <c r="B9" s="25" t="s">
        <v>373</v>
      </c>
      <c r="C9" s="24" t="s">
        <v>804</v>
      </c>
      <c r="D9" s="24">
        <v>21.0</v>
      </c>
      <c r="E9" s="24" t="s">
        <v>374</v>
      </c>
      <c r="G9" s="30"/>
      <c r="H9" s="23" t="s">
        <v>1492</v>
      </c>
      <c r="I9" s="24" t="s">
        <v>52</v>
      </c>
      <c r="J9" s="24">
        <v>12.0</v>
      </c>
      <c r="K9" s="24">
        <v>0.0</v>
      </c>
      <c r="L9" s="24">
        <v>4.0</v>
      </c>
      <c r="M9" s="24">
        <v>36.0</v>
      </c>
      <c r="N9" s="24">
        <v>4.0</v>
      </c>
      <c r="O9" s="24">
        <v>36.0</v>
      </c>
      <c r="P9" s="24">
        <v>11.0</v>
      </c>
      <c r="Q9" s="24">
        <v>11.0</v>
      </c>
      <c r="R9" s="24">
        <v>11.0</v>
      </c>
      <c r="S9" s="24">
        <v>11.0</v>
      </c>
      <c r="T9" s="24">
        <v>11.0</v>
      </c>
      <c r="U9" s="24">
        <v>11.0</v>
      </c>
    </row>
    <row r="10" ht="23.25" customHeight="1">
      <c r="A10" s="1"/>
      <c r="B10" s="15" t="s">
        <v>1498</v>
      </c>
      <c r="C10" s="1" t="s">
        <v>17</v>
      </c>
      <c r="D10" s="1" t="s">
        <v>807</v>
      </c>
      <c r="G10" s="16"/>
      <c r="H10" s="26" t="s">
        <v>808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ht="23.25" customHeight="1">
      <c r="A11" s="24" t="str">
        <f>IF(COUNTIF('Icon Lookup'!C:C,B11)&gt;0,LOOKUP(B11,'Icon Lookup'!C:C,'Icon Lookup'!B:B),"")</f>
        <v/>
      </c>
      <c r="B11" s="25" t="s">
        <v>965</v>
      </c>
      <c r="C11" s="24" t="s">
        <v>804</v>
      </c>
      <c r="D11" s="24">
        <v>31.0</v>
      </c>
      <c r="E11" s="24" t="str">
        <f t="shared" ref="E11:E12" si="1">IMAGE("https://www.serebii.net/itemdex/sprites/shellbell.png")</f>
        <v/>
      </c>
      <c r="F11" s="24" t="s">
        <v>145</v>
      </c>
      <c r="G11" s="24" t="s">
        <v>1495</v>
      </c>
      <c r="H11" s="20" t="s">
        <v>1500</v>
      </c>
      <c r="I11" s="24" t="s">
        <v>22</v>
      </c>
      <c r="J11" s="24">
        <v>36.0</v>
      </c>
      <c r="K11" s="24">
        <v>0.0</v>
      </c>
      <c r="L11" s="24">
        <v>12.0</v>
      </c>
      <c r="M11" s="24">
        <v>52.0</v>
      </c>
      <c r="N11" s="24">
        <v>12.0</v>
      </c>
      <c r="O11" s="24">
        <v>52.0</v>
      </c>
      <c r="P11" s="24">
        <v>11.0</v>
      </c>
      <c r="Q11" s="24">
        <v>11.0</v>
      </c>
      <c r="R11" s="24">
        <v>11.0</v>
      </c>
      <c r="S11" s="24">
        <v>11.0</v>
      </c>
      <c r="T11" s="24">
        <v>11.0</v>
      </c>
      <c r="U11" s="24">
        <v>11.0</v>
      </c>
    </row>
    <row r="12" ht="23.25" customHeight="1">
      <c r="A12" s="24" t="str">
        <f>IF(COUNTIF('Icon Lookup'!C:C,B12)&gt;0,LOOKUP(B12,'Icon Lookup'!C:C,'Icon Lookup'!B:B),"")</f>
        <v/>
      </c>
      <c r="B12" s="25" t="s">
        <v>965</v>
      </c>
      <c r="C12" s="24" t="s">
        <v>804</v>
      </c>
      <c r="D12" s="24">
        <v>31.0</v>
      </c>
      <c r="E12" s="24" t="str">
        <f t="shared" si="1"/>
        <v/>
      </c>
      <c r="F12" s="24" t="s">
        <v>145</v>
      </c>
      <c r="G12" s="24" t="s">
        <v>1495</v>
      </c>
      <c r="H12" s="20" t="s">
        <v>1500</v>
      </c>
      <c r="I12" s="24" t="s">
        <v>22</v>
      </c>
      <c r="J12" s="24">
        <v>36.0</v>
      </c>
      <c r="K12" s="24">
        <v>52.0</v>
      </c>
      <c r="L12" s="24">
        <v>12.0</v>
      </c>
      <c r="M12" s="24">
        <v>0.0</v>
      </c>
      <c r="N12" s="24">
        <v>12.0</v>
      </c>
      <c r="O12" s="24">
        <v>52.0</v>
      </c>
      <c r="P12" s="24">
        <v>11.0</v>
      </c>
      <c r="Q12" s="24">
        <v>11.0</v>
      </c>
      <c r="R12" s="24">
        <v>11.0</v>
      </c>
      <c r="S12" s="24">
        <v>11.0</v>
      </c>
      <c r="T12" s="24">
        <v>11.0</v>
      </c>
      <c r="U12" s="24">
        <v>11.0</v>
      </c>
    </row>
    <row r="13" ht="23.25" customHeight="1">
      <c r="A13" s="1"/>
      <c r="B13" s="15" t="s">
        <v>1501</v>
      </c>
      <c r="C13" s="1" t="s">
        <v>17</v>
      </c>
      <c r="D13" s="1" t="s">
        <v>807</v>
      </c>
      <c r="G13" s="16"/>
      <c r="H13" s="26" t="s">
        <v>808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3.25" customHeight="1">
      <c r="A14" s="24" t="str">
        <f>IF(COUNTIF('Icon Lookup'!C:C,B14)&gt;0,LOOKUP(B14,'Icon Lookup'!C:C,'Icon Lookup'!B:B),"")</f>
        <v/>
      </c>
      <c r="B14" s="25" t="s">
        <v>373</v>
      </c>
      <c r="C14" s="24" t="s">
        <v>804</v>
      </c>
      <c r="D14" s="24">
        <v>31.0</v>
      </c>
      <c r="E14" s="24" t="str">
        <f t="shared" ref="E14:E15" si="2">IMAGE("https://www.serebii.net/itemdex/sprites/seaincense.png")</f>
        <v/>
      </c>
      <c r="F14" s="24" t="s">
        <v>374</v>
      </c>
      <c r="G14" s="24" t="s">
        <v>1494</v>
      </c>
      <c r="H14" s="23" t="s">
        <v>1503</v>
      </c>
      <c r="I14" s="24" t="s">
        <v>52</v>
      </c>
      <c r="J14" s="24">
        <v>36.0</v>
      </c>
      <c r="K14" s="24">
        <v>52.0</v>
      </c>
      <c r="L14" s="24">
        <v>12.0</v>
      </c>
      <c r="M14" s="24">
        <v>0.0</v>
      </c>
      <c r="N14" s="24">
        <v>12.0</v>
      </c>
      <c r="O14" s="24">
        <v>52.0</v>
      </c>
      <c r="P14" s="24">
        <v>11.0</v>
      </c>
      <c r="Q14" s="24">
        <v>11.0</v>
      </c>
      <c r="R14" s="24">
        <v>11.0</v>
      </c>
      <c r="S14" s="24">
        <v>11.0</v>
      </c>
      <c r="T14" s="24">
        <v>11.0</v>
      </c>
      <c r="U14" s="24">
        <v>11.0</v>
      </c>
    </row>
    <row r="15" ht="23.25" customHeight="1">
      <c r="A15" s="24" t="str">
        <f>IF(COUNTIF('Icon Lookup'!C:C,B15)&gt;0,LOOKUP(B15,'Icon Lookup'!C:C,'Icon Lookup'!B:B),"")</f>
        <v/>
      </c>
      <c r="B15" s="25" t="s">
        <v>373</v>
      </c>
      <c r="C15" s="24" t="s">
        <v>804</v>
      </c>
      <c r="D15" s="24">
        <v>31.0</v>
      </c>
      <c r="E15" s="24" t="str">
        <f t="shared" si="2"/>
        <v/>
      </c>
      <c r="F15" s="24" t="s">
        <v>374</v>
      </c>
      <c r="G15" s="24" t="s">
        <v>1494</v>
      </c>
      <c r="H15" s="23" t="s">
        <v>1503</v>
      </c>
      <c r="I15" s="24" t="s">
        <v>52</v>
      </c>
      <c r="J15" s="24">
        <v>36.0</v>
      </c>
      <c r="K15" s="24">
        <v>0.0</v>
      </c>
      <c r="L15" s="24">
        <v>12.0</v>
      </c>
      <c r="M15" s="24">
        <v>52.0</v>
      </c>
      <c r="N15" s="24">
        <v>12.0</v>
      </c>
      <c r="O15" s="24">
        <v>52.0</v>
      </c>
      <c r="P15" s="24">
        <v>11.0</v>
      </c>
      <c r="Q15" s="24">
        <v>11.0</v>
      </c>
      <c r="R15" s="24">
        <v>11.0</v>
      </c>
      <c r="S15" s="24">
        <v>11.0</v>
      </c>
      <c r="T15" s="24">
        <v>11.0</v>
      </c>
      <c r="U15" s="24">
        <v>11.0</v>
      </c>
    </row>
    <row r="16" ht="23.25" customHeight="1">
      <c r="A16" s="1"/>
      <c r="B16" s="15" t="s">
        <v>1508</v>
      </c>
      <c r="C16" s="1" t="s">
        <v>17</v>
      </c>
      <c r="D16" s="1" t="s">
        <v>807</v>
      </c>
      <c r="G16" s="16"/>
      <c r="H16" s="26" t="s">
        <v>808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3.25" customHeight="1">
      <c r="A17" s="24" t="str">
        <f>IF(COUNTIF('Icon Lookup'!C:C,B17)&gt;0,LOOKUP(B17,'Icon Lookup'!C:C,'Icon Lookup'!B:B),"")</f>
        <v/>
      </c>
      <c r="B17" s="25" t="s">
        <v>965</v>
      </c>
      <c r="C17" s="24" t="s">
        <v>804</v>
      </c>
      <c r="D17" s="24">
        <v>37.0</v>
      </c>
      <c r="E17" s="24" t="str">
        <f t="shared" ref="E17:E18" si="3">IMAGE("https://www.serebii.net/itemdex/sprites/shellbell.png")</f>
        <v/>
      </c>
      <c r="F17" s="24" t="s">
        <v>145</v>
      </c>
      <c r="G17" s="24" t="s">
        <v>1495</v>
      </c>
      <c r="H17" s="20" t="s">
        <v>1510</v>
      </c>
      <c r="I17" s="24" t="s">
        <v>22</v>
      </c>
      <c r="J17" s="24">
        <v>48.0</v>
      </c>
      <c r="K17" s="24">
        <v>0.0</v>
      </c>
      <c r="L17" s="24">
        <v>24.0</v>
      </c>
      <c r="M17" s="24">
        <v>80.0</v>
      </c>
      <c r="N17" s="24">
        <v>24.0</v>
      </c>
      <c r="O17" s="24">
        <v>80.0</v>
      </c>
      <c r="P17" s="24">
        <v>11.0</v>
      </c>
      <c r="Q17" s="24">
        <v>11.0</v>
      </c>
      <c r="R17" s="24">
        <v>11.0</v>
      </c>
      <c r="S17" s="24">
        <v>11.0</v>
      </c>
      <c r="T17" s="24">
        <v>11.0</v>
      </c>
      <c r="U17" s="24">
        <v>11.0</v>
      </c>
    </row>
    <row r="18" ht="23.25" customHeight="1">
      <c r="A18" s="24" t="str">
        <f>IF(COUNTIF('Icon Lookup'!C:C,B18)&gt;0,LOOKUP(B18,'Icon Lookup'!C:C,'Icon Lookup'!B:B),"")</f>
        <v/>
      </c>
      <c r="B18" s="25" t="s">
        <v>965</v>
      </c>
      <c r="C18" s="24" t="s">
        <v>804</v>
      </c>
      <c r="D18" s="24">
        <v>37.0</v>
      </c>
      <c r="E18" s="24" t="str">
        <f t="shared" si="3"/>
        <v/>
      </c>
      <c r="F18" s="24" t="s">
        <v>145</v>
      </c>
      <c r="G18" s="24" t="s">
        <v>1495</v>
      </c>
      <c r="H18" s="20" t="s">
        <v>1510</v>
      </c>
      <c r="I18" s="24" t="s">
        <v>22</v>
      </c>
      <c r="J18" s="24">
        <v>48.0</v>
      </c>
      <c r="K18" s="24">
        <v>80.0</v>
      </c>
      <c r="L18" s="24">
        <v>24.0</v>
      </c>
      <c r="M18" s="24">
        <v>0.0</v>
      </c>
      <c r="N18" s="24">
        <v>24.0</v>
      </c>
      <c r="O18" s="24">
        <v>80.0</v>
      </c>
      <c r="P18" s="24">
        <v>11.0</v>
      </c>
      <c r="Q18" s="24">
        <v>11.0</v>
      </c>
      <c r="R18" s="24">
        <v>11.0</v>
      </c>
      <c r="S18" s="24">
        <v>11.0</v>
      </c>
      <c r="T18" s="24">
        <v>11.0</v>
      </c>
      <c r="U18" s="24">
        <v>11.0</v>
      </c>
    </row>
    <row r="19" ht="23.25" customHeight="1">
      <c r="A19" s="1"/>
      <c r="B19" s="15" t="s">
        <v>1511</v>
      </c>
      <c r="C19" s="1" t="s">
        <v>17</v>
      </c>
      <c r="D19" s="1" t="s">
        <v>807</v>
      </c>
      <c r="G19" s="16"/>
      <c r="H19" s="26" t="s">
        <v>808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3.25" customHeight="1">
      <c r="A20" s="24" t="str">
        <f>IF(COUNTIF('Icon Lookup'!C:C,B20)&gt;0,LOOKUP(B20,'Icon Lookup'!C:C,'Icon Lookup'!B:B),"")</f>
        <v/>
      </c>
      <c r="B20" s="25" t="s">
        <v>373</v>
      </c>
      <c r="C20" s="24" t="s">
        <v>804</v>
      </c>
      <c r="D20" s="24">
        <v>37.0</v>
      </c>
      <c r="E20" s="24" t="str">
        <f t="shared" ref="E20:E21" si="4">IMAGE("https://www.serebii.net/itemdex/sprites/seaincense.png")</f>
        <v/>
      </c>
      <c r="F20" s="24" t="s">
        <v>374</v>
      </c>
      <c r="G20" s="24" t="s">
        <v>1494</v>
      </c>
      <c r="H20" s="23" t="s">
        <v>1514</v>
      </c>
      <c r="I20" s="24" t="s">
        <v>52</v>
      </c>
      <c r="J20" s="24">
        <v>48.0</v>
      </c>
      <c r="K20" s="24">
        <v>80.0</v>
      </c>
      <c r="L20" s="24">
        <v>24.0</v>
      </c>
      <c r="M20" s="24">
        <v>0.0</v>
      </c>
      <c r="N20" s="24">
        <v>24.0</v>
      </c>
      <c r="O20" s="24">
        <v>80.0</v>
      </c>
      <c r="P20" s="24">
        <v>11.0</v>
      </c>
      <c r="Q20" s="24">
        <v>11.0</v>
      </c>
      <c r="R20" s="24">
        <v>11.0</v>
      </c>
      <c r="S20" s="24">
        <v>11.0</v>
      </c>
      <c r="T20" s="24">
        <v>11.0</v>
      </c>
      <c r="U20" s="24">
        <v>11.0</v>
      </c>
    </row>
    <row r="21" ht="23.25" customHeight="1">
      <c r="A21" s="24" t="str">
        <f>IF(COUNTIF('Icon Lookup'!C:C,B21)&gt;0,LOOKUP(B21,'Icon Lookup'!C:C,'Icon Lookup'!B:B),"")</f>
        <v/>
      </c>
      <c r="B21" s="25" t="s">
        <v>373</v>
      </c>
      <c r="C21" s="24" t="s">
        <v>804</v>
      </c>
      <c r="D21" s="24">
        <v>37.0</v>
      </c>
      <c r="E21" s="24" t="str">
        <f t="shared" si="4"/>
        <v/>
      </c>
      <c r="F21" s="24" t="s">
        <v>374</v>
      </c>
      <c r="G21" s="24" t="s">
        <v>1494</v>
      </c>
      <c r="H21" s="23" t="s">
        <v>1514</v>
      </c>
      <c r="I21" s="24" t="s">
        <v>52</v>
      </c>
      <c r="J21" s="24">
        <v>48.0</v>
      </c>
      <c r="K21" s="24">
        <v>0.0</v>
      </c>
      <c r="L21" s="24">
        <v>24.0</v>
      </c>
      <c r="M21" s="24">
        <v>80.0</v>
      </c>
      <c r="N21" s="24">
        <v>24.0</v>
      </c>
      <c r="O21" s="24">
        <v>80.0</v>
      </c>
      <c r="P21" s="24">
        <v>11.0</v>
      </c>
      <c r="Q21" s="24">
        <v>11.0</v>
      </c>
      <c r="R21" s="24">
        <v>11.0</v>
      </c>
      <c r="S21" s="24">
        <v>11.0</v>
      </c>
      <c r="T21" s="24">
        <v>11.0</v>
      </c>
      <c r="U21" s="24">
        <v>11.0</v>
      </c>
    </row>
    <row r="22" ht="23.25" customHeight="1">
      <c r="A22" s="1"/>
      <c r="B22" s="15" t="s">
        <v>1523</v>
      </c>
      <c r="C22" s="1" t="s">
        <v>17</v>
      </c>
      <c r="D22" s="1" t="s">
        <v>807</v>
      </c>
      <c r="G22" s="16"/>
      <c r="H22" s="26" t="s">
        <v>808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23.25" customHeight="1">
      <c r="A23" s="24" t="str">
        <f>IF(COUNTIF('Icon Lookup'!C:C,B23)&gt;0,LOOKUP(B23,'Icon Lookup'!C:C,'Icon Lookup'!B:B),"")</f>
        <v/>
      </c>
      <c r="B23" s="25" t="s">
        <v>879</v>
      </c>
      <c r="C23" s="24" t="s">
        <v>804</v>
      </c>
      <c r="D23" s="24">
        <v>55.0</v>
      </c>
      <c r="E23" s="24" t="str">
        <f t="shared" ref="E23:E24" si="5">IMAGE("https://www.serebii.net/itemdex/sprites/expertbelt.png")</f>
        <v/>
      </c>
      <c r="F23" s="24" t="s">
        <v>145</v>
      </c>
      <c r="G23" s="24" t="s">
        <v>907</v>
      </c>
      <c r="H23" s="20" t="s">
        <v>1527</v>
      </c>
      <c r="I23" s="24" t="s">
        <v>22</v>
      </c>
      <c r="J23" s="24">
        <v>52.0</v>
      </c>
      <c r="K23" s="24">
        <v>0.0</v>
      </c>
      <c r="L23" s="24">
        <v>52.0</v>
      </c>
      <c r="M23" s="24">
        <v>156.0</v>
      </c>
      <c r="N23" s="24">
        <v>52.0</v>
      </c>
      <c r="O23" s="24">
        <v>164.0</v>
      </c>
      <c r="P23" s="24">
        <v>11.0</v>
      </c>
      <c r="Q23" s="24">
        <v>11.0</v>
      </c>
      <c r="R23" s="24">
        <v>11.0</v>
      </c>
      <c r="S23" s="24">
        <v>11.0</v>
      </c>
      <c r="T23" s="24">
        <v>11.0</v>
      </c>
      <c r="U23" s="24">
        <v>11.0</v>
      </c>
    </row>
    <row r="24" ht="23.25" customHeight="1">
      <c r="A24" s="24" t="str">
        <f>IF(COUNTIF('Icon Lookup'!C:C,B24)&gt;0,LOOKUP(B24,'Icon Lookup'!C:C,'Icon Lookup'!B:B),"")</f>
        <v/>
      </c>
      <c r="B24" s="25" t="s">
        <v>879</v>
      </c>
      <c r="C24" s="24" t="s">
        <v>804</v>
      </c>
      <c r="D24" s="24">
        <v>55.0</v>
      </c>
      <c r="E24" s="24" t="str">
        <f t="shared" si="5"/>
        <v/>
      </c>
      <c r="F24" s="24" t="s">
        <v>145</v>
      </c>
      <c r="G24" s="24" t="s">
        <v>907</v>
      </c>
      <c r="H24" s="20" t="s">
        <v>1527</v>
      </c>
      <c r="I24" s="24" t="s">
        <v>22</v>
      </c>
      <c r="J24" s="24">
        <v>52.0</v>
      </c>
      <c r="K24" s="24">
        <v>156.0</v>
      </c>
      <c r="L24" s="24">
        <v>52.0</v>
      </c>
      <c r="M24" s="24">
        <v>0.0</v>
      </c>
      <c r="N24" s="24">
        <v>52.0</v>
      </c>
      <c r="O24" s="24">
        <v>164.0</v>
      </c>
      <c r="P24" s="24">
        <v>11.0</v>
      </c>
      <c r="Q24" s="24">
        <v>11.0</v>
      </c>
      <c r="R24" s="24">
        <v>11.0</v>
      </c>
      <c r="S24" s="24">
        <v>11.0</v>
      </c>
      <c r="T24" s="24">
        <v>11.0</v>
      </c>
      <c r="U24" s="24">
        <v>11.0</v>
      </c>
    </row>
    <row r="25" ht="23.25" customHeight="1">
      <c r="A25" s="1"/>
      <c r="B25" s="15" t="s">
        <v>1528</v>
      </c>
      <c r="C25" s="1" t="s">
        <v>17</v>
      </c>
      <c r="D25" s="1" t="s">
        <v>807</v>
      </c>
      <c r="G25" s="16"/>
      <c r="H25" s="26" t="s">
        <v>808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23.25" customHeight="1">
      <c r="A26" s="24" t="str">
        <f>IF(COUNTIF('Icon Lookup'!C:C,B26)&gt;0,LOOKUP(B26,'Icon Lookup'!C:C,'Icon Lookup'!B:B),"")</f>
        <v/>
      </c>
      <c r="B26" s="25" t="s">
        <v>737</v>
      </c>
      <c r="C26" s="24" t="s">
        <v>804</v>
      </c>
      <c r="D26" s="24">
        <v>55.0</v>
      </c>
      <c r="E26" s="24" t="str">
        <f t="shared" ref="E26:E27" si="6">IMAGE("https://www.serebii.net/itemdex/sprites/quickclaw.png")</f>
        <v/>
      </c>
      <c r="F26" s="24" t="s">
        <v>374</v>
      </c>
      <c r="G26" s="24" t="s">
        <v>1371</v>
      </c>
      <c r="H26" s="23" t="s">
        <v>1531</v>
      </c>
      <c r="I26" s="24" t="s">
        <v>52</v>
      </c>
      <c r="J26" s="24">
        <v>52.0</v>
      </c>
      <c r="K26" s="24">
        <v>156.0</v>
      </c>
      <c r="L26" s="24">
        <v>52.0</v>
      </c>
      <c r="M26" s="24">
        <v>0.0</v>
      </c>
      <c r="N26" s="24">
        <v>52.0</v>
      </c>
      <c r="O26" s="24">
        <v>164.0</v>
      </c>
      <c r="P26" s="24">
        <v>11.0</v>
      </c>
      <c r="Q26" s="24">
        <v>11.0</v>
      </c>
      <c r="R26" s="24">
        <v>11.0</v>
      </c>
      <c r="S26" s="24">
        <v>11.0</v>
      </c>
      <c r="T26" s="24">
        <v>11.0</v>
      </c>
      <c r="U26" s="24">
        <v>11.0</v>
      </c>
    </row>
    <row r="27" ht="23.25" customHeight="1">
      <c r="A27" s="24" t="str">
        <f>IF(COUNTIF('Icon Lookup'!C:C,B27)&gt;0,LOOKUP(B27,'Icon Lookup'!C:C,'Icon Lookup'!B:B),"")</f>
        <v/>
      </c>
      <c r="B27" s="25" t="s">
        <v>737</v>
      </c>
      <c r="C27" s="24" t="s">
        <v>804</v>
      </c>
      <c r="D27" s="24">
        <v>55.0</v>
      </c>
      <c r="E27" s="24" t="str">
        <f t="shared" si="6"/>
        <v/>
      </c>
      <c r="F27" s="24" t="s">
        <v>374</v>
      </c>
      <c r="G27" s="24" t="s">
        <v>1371</v>
      </c>
      <c r="H27" s="23" t="s">
        <v>1531</v>
      </c>
      <c r="I27" s="24" t="s">
        <v>52</v>
      </c>
      <c r="J27" s="24">
        <v>52.0</v>
      </c>
      <c r="K27" s="24">
        <v>0.0</v>
      </c>
      <c r="L27" s="24">
        <v>52.0</v>
      </c>
      <c r="M27" s="24">
        <v>156.0</v>
      </c>
      <c r="N27" s="24">
        <v>52.0</v>
      </c>
      <c r="O27" s="24">
        <v>164.0</v>
      </c>
      <c r="P27" s="24">
        <v>11.0</v>
      </c>
      <c r="Q27" s="24">
        <v>11.0</v>
      </c>
      <c r="R27" s="24">
        <v>11.0</v>
      </c>
      <c r="S27" s="24">
        <v>11.0</v>
      </c>
      <c r="T27" s="24">
        <v>11.0</v>
      </c>
      <c r="U27" s="24">
        <v>11.0</v>
      </c>
    </row>
    <row r="28" ht="23.25" customHeight="1">
      <c r="A28" s="1"/>
      <c r="B28" s="15" t="s">
        <v>2039</v>
      </c>
      <c r="C28" s="1" t="s">
        <v>17</v>
      </c>
      <c r="D28" s="1" t="s">
        <v>807</v>
      </c>
      <c r="G28" s="16"/>
      <c r="H28" s="26" t="s">
        <v>808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ht="23.25" customHeight="1">
      <c r="A29" s="24" t="str">
        <f>IF(COUNTIF('Icon Lookup'!C:C,B29)&gt;0,LOOKUP(B29,'Icon Lookup'!C:C,'Icon Lookup'!B:B),"")</f>
        <v/>
      </c>
      <c r="B29" s="25" t="s">
        <v>879</v>
      </c>
      <c r="C29" s="24" t="s">
        <v>804</v>
      </c>
      <c r="D29" s="24">
        <v>45.0</v>
      </c>
      <c r="E29" s="24" t="str">
        <f t="shared" ref="E29:E30" si="7">IMAGE("https://www.serebii.net/itemdex/sprites/shellbell.png")</f>
        <v/>
      </c>
      <c r="F29" s="24" t="s">
        <v>145</v>
      </c>
      <c r="G29" s="24" t="s">
        <v>1495</v>
      </c>
      <c r="H29" s="20" t="s">
        <v>1527</v>
      </c>
      <c r="I29" s="24" t="s">
        <v>22</v>
      </c>
      <c r="J29" s="24">
        <v>52.0</v>
      </c>
      <c r="K29" s="24">
        <v>0.0</v>
      </c>
      <c r="L29" s="24">
        <v>52.0</v>
      </c>
      <c r="M29" s="24">
        <v>124.0</v>
      </c>
      <c r="N29" s="24">
        <v>52.0</v>
      </c>
      <c r="O29" s="24">
        <v>164.0</v>
      </c>
      <c r="P29" s="24">
        <v>11.0</v>
      </c>
      <c r="Q29" s="24">
        <v>11.0</v>
      </c>
      <c r="R29" s="24">
        <v>11.0</v>
      </c>
      <c r="S29" s="24">
        <v>11.0</v>
      </c>
      <c r="T29" s="24">
        <v>11.0</v>
      </c>
      <c r="U29" s="24">
        <v>11.0</v>
      </c>
    </row>
    <row r="30" ht="23.25" customHeight="1">
      <c r="A30" s="24" t="str">
        <f>IF(COUNTIF('Icon Lookup'!C:C,B30)&gt;0,LOOKUP(B30,'Icon Lookup'!C:C,'Icon Lookup'!B:B),"")</f>
        <v/>
      </c>
      <c r="B30" s="25" t="s">
        <v>879</v>
      </c>
      <c r="C30" s="24" t="s">
        <v>804</v>
      </c>
      <c r="D30" s="24">
        <v>45.0</v>
      </c>
      <c r="E30" s="24" t="str">
        <f t="shared" si="7"/>
        <v/>
      </c>
      <c r="F30" s="24" t="s">
        <v>145</v>
      </c>
      <c r="G30" s="24" t="s">
        <v>1495</v>
      </c>
      <c r="H30" s="20" t="s">
        <v>1527</v>
      </c>
      <c r="I30" s="24" t="s">
        <v>22</v>
      </c>
      <c r="J30" s="24">
        <v>52.0</v>
      </c>
      <c r="K30" s="24">
        <v>124.0</v>
      </c>
      <c r="L30" s="24">
        <v>52.0</v>
      </c>
      <c r="M30" s="24">
        <v>0.0</v>
      </c>
      <c r="N30" s="24">
        <v>52.0</v>
      </c>
      <c r="O30" s="24">
        <v>164.0</v>
      </c>
      <c r="P30" s="24">
        <v>11.0</v>
      </c>
      <c r="Q30" s="24">
        <v>11.0</v>
      </c>
      <c r="R30" s="24">
        <v>11.0</v>
      </c>
      <c r="S30" s="24">
        <v>11.0</v>
      </c>
      <c r="T30" s="24">
        <v>11.0</v>
      </c>
      <c r="U30" s="24">
        <v>11.0</v>
      </c>
    </row>
    <row r="31" ht="23.25" customHeight="1">
      <c r="A31" s="1"/>
      <c r="B31" s="15" t="s">
        <v>2041</v>
      </c>
      <c r="C31" s="1" t="s">
        <v>17</v>
      </c>
      <c r="D31" s="1" t="s">
        <v>807</v>
      </c>
      <c r="G31" s="16"/>
      <c r="H31" s="26" t="s">
        <v>808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23.25" customHeight="1">
      <c r="A32" s="24" t="str">
        <f>IF(COUNTIF('Icon Lookup'!C:C,B32)&gt;0,LOOKUP(B32,'Icon Lookup'!C:C,'Icon Lookup'!B:B),"")</f>
        <v/>
      </c>
      <c r="B32" s="25" t="s">
        <v>737</v>
      </c>
      <c r="C32" s="24" t="s">
        <v>804</v>
      </c>
      <c r="D32" s="24">
        <v>45.0</v>
      </c>
      <c r="E32" s="24" t="str">
        <f t="shared" ref="E32:E33" si="8">IMAGE("https://www.serebii.net/itemdex/sprites/seaincense.png")</f>
        <v/>
      </c>
      <c r="F32" s="24" t="s">
        <v>374</v>
      </c>
      <c r="G32" s="24" t="s">
        <v>1494</v>
      </c>
      <c r="H32" s="23" t="s">
        <v>1514</v>
      </c>
      <c r="I32" s="24" t="s">
        <v>52</v>
      </c>
      <c r="J32" s="24">
        <v>52.0</v>
      </c>
      <c r="K32" s="24">
        <v>124.0</v>
      </c>
      <c r="L32" s="24">
        <v>52.0</v>
      </c>
      <c r="M32" s="24">
        <v>0.0</v>
      </c>
      <c r="N32" s="24">
        <v>52.0</v>
      </c>
      <c r="O32" s="24">
        <v>164.0</v>
      </c>
      <c r="P32" s="24">
        <v>11.0</v>
      </c>
      <c r="Q32" s="24">
        <v>11.0</v>
      </c>
      <c r="R32" s="24">
        <v>11.0</v>
      </c>
      <c r="S32" s="24">
        <v>11.0</v>
      </c>
      <c r="T32" s="24">
        <v>11.0</v>
      </c>
      <c r="U32" s="24">
        <v>11.0</v>
      </c>
    </row>
    <row r="33" ht="23.25" customHeight="1">
      <c r="A33" s="24" t="str">
        <f>IF(COUNTIF('Icon Lookup'!C:C,B33)&gt;0,LOOKUP(B33,'Icon Lookup'!C:C,'Icon Lookup'!B:B),"")</f>
        <v/>
      </c>
      <c r="B33" s="25" t="s">
        <v>737</v>
      </c>
      <c r="C33" s="24" t="s">
        <v>804</v>
      </c>
      <c r="D33" s="24">
        <v>45.0</v>
      </c>
      <c r="E33" s="24" t="str">
        <f t="shared" si="8"/>
        <v/>
      </c>
      <c r="F33" s="24" t="s">
        <v>374</v>
      </c>
      <c r="G33" s="24" t="s">
        <v>1494</v>
      </c>
      <c r="H33" s="23" t="s">
        <v>1514</v>
      </c>
      <c r="I33" s="24" t="s">
        <v>52</v>
      </c>
      <c r="J33" s="24">
        <v>52.0</v>
      </c>
      <c r="K33" s="24">
        <v>0.0</v>
      </c>
      <c r="L33" s="24">
        <v>52.0</v>
      </c>
      <c r="M33" s="24">
        <v>124.0</v>
      </c>
      <c r="N33" s="24">
        <v>52.0</v>
      </c>
      <c r="O33" s="24">
        <v>164.0</v>
      </c>
      <c r="P33" s="24">
        <v>11.0</v>
      </c>
      <c r="Q33" s="24">
        <v>11.0</v>
      </c>
      <c r="R33" s="24">
        <v>11.0</v>
      </c>
      <c r="S33" s="24">
        <v>11.0</v>
      </c>
      <c r="T33" s="24">
        <v>11.0</v>
      </c>
      <c r="U33" s="24">
        <v>11.0</v>
      </c>
    </row>
    <row r="34" ht="23.25" customHeight="1">
      <c r="A34" s="1"/>
      <c r="B34" s="15" t="s">
        <v>2425</v>
      </c>
      <c r="C34" s="1" t="s">
        <v>17</v>
      </c>
      <c r="D34" s="1" t="s">
        <v>807</v>
      </c>
      <c r="G34" s="16"/>
      <c r="H34" s="26" t="s">
        <v>808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23.25" customHeight="1">
      <c r="A35" s="24" t="str">
        <f>IF(COUNTIF('Icon Lookup'!C:C,B35)&gt;0,LOOKUP(B35,'Icon Lookup'!C:C,'Icon Lookup'!B:B),"")</f>
        <v/>
      </c>
      <c r="B35" s="25" t="s">
        <v>879</v>
      </c>
      <c r="C35" s="24" t="s">
        <v>804</v>
      </c>
      <c r="D35" s="24">
        <v>64.0</v>
      </c>
      <c r="E35" s="24" t="str">
        <f t="shared" ref="E35:E36" si="9">IMAGE("https://www.serebii.net/itemdex/sprites/expertbelt.png")</f>
        <v/>
      </c>
      <c r="F35" s="24" t="s">
        <v>145</v>
      </c>
      <c r="G35" s="24" t="s">
        <v>907</v>
      </c>
      <c r="H35" s="20" t="s">
        <v>2427</v>
      </c>
      <c r="I35" s="24" t="s">
        <v>22</v>
      </c>
      <c r="J35" s="24">
        <v>52.0</v>
      </c>
      <c r="K35" s="24">
        <v>0.0</v>
      </c>
      <c r="L35" s="24">
        <v>52.0</v>
      </c>
      <c r="M35" s="24">
        <v>188.0</v>
      </c>
      <c r="N35" s="24">
        <v>52.0</v>
      </c>
      <c r="O35" s="24">
        <v>164.0</v>
      </c>
      <c r="P35" s="24">
        <v>11.0</v>
      </c>
      <c r="Q35" s="24">
        <v>11.0</v>
      </c>
      <c r="R35" s="24">
        <v>11.0</v>
      </c>
      <c r="S35" s="24">
        <v>11.0</v>
      </c>
      <c r="T35" s="24">
        <v>11.0</v>
      </c>
      <c r="U35" s="24">
        <v>11.0</v>
      </c>
    </row>
    <row r="36" ht="23.25" customHeight="1">
      <c r="A36" s="24" t="str">
        <f>IF(COUNTIF('Icon Lookup'!C:C,B36)&gt;0,LOOKUP(B36,'Icon Lookup'!C:C,'Icon Lookup'!B:B),"")</f>
        <v/>
      </c>
      <c r="B36" s="25" t="s">
        <v>879</v>
      </c>
      <c r="C36" s="24" t="s">
        <v>804</v>
      </c>
      <c r="D36" s="24">
        <v>64.0</v>
      </c>
      <c r="E36" s="24" t="str">
        <f t="shared" si="9"/>
        <v/>
      </c>
      <c r="F36" s="24" t="s">
        <v>145</v>
      </c>
      <c r="G36" s="24" t="s">
        <v>907</v>
      </c>
      <c r="H36" s="20" t="s">
        <v>2427</v>
      </c>
      <c r="I36" s="24" t="s">
        <v>22</v>
      </c>
      <c r="J36" s="24">
        <v>52.0</v>
      </c>
      <c r="K36" s="24">
        <v>188.0</v>
      </c>
      <c r="L36" s="24">
        <v>52.0</v>
      </c>
      <c r="M36" s="24">
        <v>0.0</v>
      </c>
      <c r="N36" s="24">
        <v>52.0</v>
      </c>
      <c r="O36" s="24">
        <v>164.0</v>
      </c>
      <c r="P36" s="24">
        <v>11.0</v>
      </c>
      <c r="Q36" s="24">
        <v>11.0</v>
      </c>
      <c r="R36" s="24">
        <v>11.0</v>
      </c>
      <c r="S36" s="24">
        <v>11.0</v>
      </c>
      <c r="T36" s="24">
        <v>11.0</v>
      </c>
      <c r="U36" s="24">
        <v>11.0</v>
      </c>
    </row>
    <row r="37" ht="23.25" customHeight="1">
      <c r="A37" s="1"/>
      <c r="B37" s="15" t="s">
        <v>2428</v>
      </c>
      <c r="C37" s="1" t="s">
        <v>17</v>
      </c>
      <c r="D37" s="1" t="s">
        <v>807</v>
      </c>
      <c r="G37" s="16"/>
      <c r="H37" s="26" t="s">
        <v>808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ht="23.25" customHeight="1">
      <c r="A38" s="24" t="str">
        <f>IF(COUNTIF('Icon Lookup'!C:C,B38)&gt;0,LOOKUP(B38,'Icon Lookup'!C:C,'Icon Lookup'!B:B),"")</f>
        <v/>
      </c>
      <c r="B38" s="25" t="s">
        <v>737</v>
      </c>
      <c r="C38" s="24" t="s">
        <v>804</v>
      </c>
      <c r="D38" s="24">
        <v>64.0</v>
      </c>
      <c r="E38" s="24" t="str">
        <f t="shared" ref="E38:E39" si="10">IMAGE("https://www.serebii.net/itemdex/sprites/quickclaw.png")</f>
        <v/>
      </c>
      <c r="F38" s="24" t="s">
        <v>374</v>
      </c>
      <c r="G38" s="24" t="s">
        <v>1371</v>
      </c>
      <c r="H38" s="23" t="s">
        <v>2430</v>
      </c>
      <c r="I38" s="24" t="s">
        <v>52</v>
      </c>
      <c r="J38" s="24">
        <v>52.0</v>
      </c>
      <c r="K38" s="24">
        <v>188.0</v>
      </c>
      <c r="L38" s="24">
        <v>52.0</v>
      </c>
      <c r="M38" s="24">
        <v>0.0</v>
      </c>
      <c r="N38" s="24">
        <v>52.0</v>
      </c>
      <c r="O38" s="24">
        <v>164.0</v>
      </c>
      <c r="P38" s="24">
        <v>11.0</v>
      </c>
      <c r="Q38" s="24">
        <v>11.0</v>
      </c>
      <c r="R38" s="24">
        <v>11.0</v>
      </c>
      <c r="S38" s="24">
        <v>11.0</v>
      </c>
      <c r="T38" s="24">
        <v>11.0</v>
      </c>
      <c r="U38" s="24">
        <v>11.0</v>
      </c>
    </row>
    <row r="39" ht="23.25" customHeight="1">
      <c r="A39" s="24" t="str">
        <f>IF(COUNTIF('Icon Lookup'!C:C,B39)&gt;0,LOOKUP(B39,'Icon Lookup'!C:C,'Icon Lookup'!B:B),"")</f>
        <v/>
      </c>
      <c r="B39" s="25" t="s">
        <v>737</v>
      </c>
      <c r="C39" s="24" t="s">
        <v>804</v>
      </c>
      <c r="D39" s="24">
        <v>64.0</v>
      </c>
      <c r="E39" s="24" t="str">
        <f t="shared" si="10"/>
        <v/>
      </c>
      <c r="F39" s="24" t="s">
        <v>374</v>
      </c>
      <c r="G39" s="24" t="s">
        <v>1371</v>
      </c>
      <c r="H39" s="23" t="s">
        <v>2430</v>
      </c>
      <c r="I39" s="24" t="s">
        <v>52</v>
      </c>
      <c r="J39" s="24">
        <v>52.0</v>
      </c>
      <c r="K39" s="24">
        <v>0.0</v>
      </c>
      <c r="L39" s="24">
        <v>52.0</v>
      </c>
      <c r="M39" s="24">
        <v>188.0</v>
      </c>
      <c r="N39" s="24">
        <v>52.0</v>
      </c>
      <c r="O39" s="24">
        <v>164.0</v>
      </c>
      <c r="P39" s="24">
        <v>11.0</v>
      </c>
      <c r="Q39" s="24">
        <v>11.0</v>
      </c>
      <c r="R39" s="24">
        <v>11.0</v>
      </c>
      <c r="S39" s="24">
        <v>11.0</v>
      </c>
      <c r="T39" s="24">
        <v>11.0</v>
      </c>
      <c r="U39" s="24">
        <v>11.0</v>
      </c>
    </row>
    <row r="40" ht="23.25" customHeight="1">
      <c r="A40" s="1"/>
      <c r="B40" s="15" t="s">
        <v>2431</v>
      </c>
      <c r="C40" s="1" t="s">
        <v>17</v>
      </c>
      <c r="D40" s="1" t="s">
        <v>807</v>
      </c>
      <c r="G40" s="16"/>
      <c r="H40" s="26" t="s">
        <v>808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23.25" customHeight="1">
      <c r="A41" s="17" t="str">
        <f>IF(COUNTIF('Icon Lookup'!C:C,B41)&gt;0,LOOKUP(B41,'Icon Lookup'!C:C,'Icon Lookup'!B:B),"")</f>
        <v/>
      </c>
      <c r="B41" s="18" t="s">
        <v>741</v>
      </c>
      <c r="C41" s="17" t="s">
        <v>17</v>
      </c>
      <c r="D41" s="17">
        <v>68.0</v>
      </c>
      <c r="E41" s="17" t="str">
        <f t="shared" ref="E41:E42" si="11">IMAGE("https://www.serebii.net/itemdex/sprites/focussash.png")</f>
        <v/>
      </c>
      <c r="F41" s="17" t="s">
        <v>26</v>
      </c>
      <c r="G41" s="17" t="s">
        <v>881</v>
      </c>
      <c r="H41" s="20" t="s">
        <v>2702</v>
      </c>
      <c r="I41" s="17" t="s">
        <v>22</v>
      </c>
      <c r="J41" s="17">
        <v>60.0</v>
      </c>
      <c r="K41" s="17">
        <v>132.0</v>
      </c>
      <c r="L41" s="17">
        <v>36.0</v>
      </c>
      <c r="M41" s="17">
        <v>0.0</v>
      </c>
      <c r="N41" s="17">
        <v>36.0</v>
      </c>
      <c r="O41" s="17">
        <v>244.0</v>
      </c>
      <c r="P41" s="17">
        <v>5.0</v>
      </c>
      <c r="Q41" s="17">
        <v>5.0</v>
      </c>
      <c r="R41" s="17">
        <v>5.0</v>
      </c>
      <c r="S41" s="17">
        <v>5.0</v>
      </c>
      <c r="T41" s="17">
        <v>5.0</v>
      </c>
      <c r="U41" s="17">
        <v>5.0</v>
      </c>
    </row>
    <row r="42" ht="23.25" customHeight="1">
      <c r="A42" s="17" t="str">
        <f>IF(COUNTIF('Icon Lookup'!C:C,B42)&gt;0,LOOKUP(B42,'Icon Lookup'!C:C,'Icon Lookup'!B:B),"")</f>
        <v/>
      </c>
      <c r="B42" s="18" t="s">
        <v>741</v>
      </c>
      <c r="C42" s="17"/>
      <c r="D42" s="17">
        <v>68.0</v>
      </c>
      <c r="E42" s="17" t="str">
        <f t="shared" si="11"/>
        <v/>
      </c>
      <c r="F42" s="17" t="s">
        <v>26</v>
      </c>
      <c r="G42" s="17" t="s">
        <v>881</v>
      </c>
      <c r="H42" s="20" t="s">
        <v>1516</v>
      </c>
      <c r="I42" s="17" t="s">
        <v>22</v>
      </c>
      <c r="J42" s="17">
        <v>60.0</v>
      </c>
      <c r="K42" s="17">
        <v>132.0</v>
      </c>
      <c r="L42" s="17">
        <v>36.0</v>
      </c>
      <c r="M42" s="17">
        <v>0.0</v>
      </c>
      <c r="N42" s="17">
        <v>36.0</v>
      </c>
      <c r="O42" s="17">
        <v>244.0</v>
      </c>
      <c r="P42" s="17">
        <v>5.0</v>
      </c>
      <c r="Q42" s="17">
        <v>5.0</v>
      </c>
      <c r="R42" s="17">
        <v>5.0</v>
      </c>
      <c r="S42" s="17">
        <v>5.0</v>
      </c>
      <c r="T42" s="17">
        <v>5.0</v>
      </c>
      <c r="U42" s="17">
        <v>5.0</v>
      </c>
    </row>
    <row r="43" ht="23.25" customHeight="1">
      <c r="A43" s="1"/>
      <c r="B43" s="15" t="s">
        <v>2433</v>
      </c>
      <c r="C43" s="1" t="s">
        <v>17</v>
      </c>
      <c r="D43" s="1" t="s">
        <v>807</v>
      </c>
      <c r="G43" s="16"/>
      <c r="H43" s="26" t="s">
        <v>808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23.25" customHeight="1">
      <c r="A44" s="24" t="str">
        <f>IF(COUNTIF('Icon Lookup'!C:C,B44)&gt;0,LOOKUP(B44,'Icon Lookup'!C:C,'Icon Lookup'!B:B),"")</f>
        <v/>
      </c>
      <c r="B44" s="25" t="s">
        <v>879</v>
      </c>
      <c r="C44" s="24" t="s">
        <v>804</v>
      </c>
      <c r="D44" s="24">
        <v>74.0</v>
      </c>
      <c r="E44" s="24" t="str">
        <f t="shared" ref="E44:E45" si="12">IMAGE("https://www.serebii.net/itemdex/sprites/expertbelt.png")</f>
        <v/>
      </c>
      <c r="F44" s="24" t="s">
        <v>145</v>
      </c>
      <c r="G44" s="24" t="s">
        <v>907</v>
      </c>
      <c r="H44" s="23" t="s">
        <v>2427</v>
      </c>
      <c r="I44" s="24" t="s">
        <v>22</v>
      </c>
      <c r="J44" s="24">
        <v>52.0</v>
      </c>
      <c r="K44" s="24">
        <v>0.0</v>
      </c>
      <c r="L44" s="24">
        <v>52.0</v>
      </c>
      <c r="M44" s="24">
        <v>188.0</v>
      </c>
      <c r="N44" s="24">
        <v>52.0</v>
      </c>
      <c r="O44" s="24">
        <v>164.0</v>
      </c>
      <c r="P44" s="24">
        <v>11.0</v>
      </c>
      <c r="Q44" s="24">
        <v>11.0</v>
      </c>
      <c r="R44" s="24">
        <v>11.0</v>
      </c>
      <c r="S44" s="24">
        <v>11.0</v>
      </c>
      <c r="T44" s="24">
        <v>11.0</v>
      </c>
      <c r="U44" s="24">
        <v>11.0</v>
      </c>
    </row>
    <row r="45" ht="23.25" customHeight="1">
      <c r="A45" s="24" t="str">
        <f>IF(COUNTIF('Icon Lookup'!C:C,B45)&gt;0,LOOKUP(B45,'Icon Lookup'!C:C,'Icon Lookup'!B:B),"")</f>
        <v/>
      </c>
      <c r="B45" s="25" t="s">
        <v>879</v>
      </c>
      <c r="C45" s="24" t="s">
        <v>804</v>
      </c>
      <c r="D45" s="24">
        <v>74.0</v>
      </c>
      <c r="E45" s="24" t="str">
        <f t="shared" si="12"/>
        <v/>
      </c>
      <c r="F45" s="24" t="s">
        <v>145</v>
      </c>
      <c r="G45" s="24" t="s">
        <v>907</v>
      </c>
      <c r="H45" s="23" t="s">
        <v>2427</v>
      </c>
      <c r="I45" s="24" t="s">
        <v>22</v>
      </c>
      <c r="J45" s="24">
        <v>52.0</v>
      </c>
      <c r="K45" s="24">
        <v>188.0</v>
      </c>
      <c r="L45" s="24">
        <v>52.0</v>
      </c>
      <c r="M45" s="24">
        <v>0.0</v>
      </c>
      <c r="N45" s="24">
        <v>52.0</v>
      </c>
      <c r="O45" s="24">
        <v>164.0</v>
      </c>
      <c r="P45" s="24">
        <v>11.0</v>
      </c>
      <c r="Q45" s="24">
        <v>11.0</v>
      </c>
      <c r="R45" s="24">
        <v>11.0</v>
      </c>
      <c r="S45" s="24">
        <v>11.0</v>
      </c>
      <c r="T45" s="24">
        <v>11.0</v>
      </c>
      <c r="U45" s="24">
        <v>11.0</v>
      </c>
    </row>
    <row r="46" ht="23.25" customHeight="1">
      <c r="A46" s="1"/>
      <c r="B46" s="15" t="s">
        <v>2434</v>
      </c>
      <c r="C46" s="1" t="s">
        <v>17</v>
      </c>
      <c r="D46" s="1" t="s">
        <v>807</v>
      </c>
      <c r="G46" s="16"/>
      <c r="H46" s="26" t="s">
        <v>808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ht="23.25" customHeight="1">
      <c r="A47" s="17" t="str">
        <f>IF(COUNTIF('Icon Lookup'!C:C,B47)&gt;0,LOOKUP(B47,'Icon Lookup'!C:C,'Icon Lookup'!B:B),"")</f>
        <v/>
      </c>
      <c r="B47" s="18" t="s">
        <v>741</v>
      </c>
      <c r="C47" s="17" t="s">
        <v>17</v>
      </c>
      <c r="D47" s="17">
        <v>68.0</v>
      </c>
      <c r="E47" s="17" t="str">
        <f t="shared" ref="E47:E48" si="13">IMAGE("https://www.serebii.net/itemdex/sprites/focussash.png")</f>
        <v/>
      </c>
      <c r="F47" s="17" t="s">
        <v>26</v>
      </c>
      <c r="G47" s="17" t="s">
        <v>881</v>
      </c>
      <c r="H47" s="20" t="s">
        <v>2702</v>
      </c>
      <c r="I47" s="17" t="s">
        <v>22</v>
      </c>
      <c r="J47" s="17">
        <v>60.0</v>
      </c>
      <c r="K47" s="17">
        <v>132.0</v>
      </c>
      <c r="L47" s="17">
        <v>36.0</v>
      </c>
      <c r="M47" s="17">
        <v>0.0</v>
      </c>
      <c r="N47" s="17">
        <v>36.0</v>
      </c>
      <c r="O47" s="17">
        <v>244.0</v>
      </c>
      <c r="P47" s="17">
        <v>5.0</v>
      </c>
      <c r="Q47" s="17">
        <v>5.0</v>
      </c>
      <c r="R47" s="17">
        <v>5.0</v>
      </c>
      <c r="S47" s="17">
        <v>5.0</v>
      </c>
      <c r="T47" s="17">
        <v>5.0</v>
      </c>
      <c r="U47" s="17">
        <v>5.0</v>
      </c>
    </row>
    <row r="48" ht="23.25" customHeight="1">
      <c r="A48" s="17" t="str">
        <f>IF(COUNTIF('Icon Lookup'!C:C,B48)&gt;0,LOOKUP(B48,'Icon Lookup'!C:C,'Icon Lookup'!B:B),"")</f>
        <v/>
      </c>
      <c r="B48" s="18" t="s">
        <v>741</v>
      </c>
      <c r="C48" s="17"/>
      <c r="D48" s="17">
        <v>68.0</v>
      </c>
      <c r="E48" s="17" t="str">
        <f t="shared" si="13"/>
        <v/>
      </c>
      <c r="F48" s="17" t="s">
        <v>26</v>
      </c>
      <c r="G48" s="17" t="s">
        <v>881</v>
      </c>
      <c r="H48" s="20" t="s">
        <v>1529</v>
      </c>
      <c r="I48" s="17" t="s">
        <v>22</v>
      </c>
      <c r="J48" s="17">
        <v>60.0</v>
      </c>
      <c r="K48" s="17">
        <v>132.0</v>
      </c>
      <c r="L48" s="17">
        <v>36.0</v>
      </c>
      <c r="M48" s="17">
        <v>0.0</v>
      </c>
      <c r="N48" s="17">
        <v>36.0</v>
      </c>
      <c r="O48" s="17">
        <v>244.0</v>
      </c>
      <c r="P48" s="17">
        <v>5.0</v>
      </c>
      <c r="Q48" s="17">
        <v>5.0</v>
      </c>
      <c r="R48" s="17">
        <v>5.0</v>
      </c>
      <c r="S48" s="17">
        <v>5.0</v>
      </c>
      <c r="T48" s="17">
        <v>5.0</v>
      </c>
      <c r="U48" s="17">
        <v>5.0</v>
      </c>
    </row>
    <row r="49" ht="23.25" customHeight="1">
      <c r="A49" s="20" t="str">
        <f>IF(COUNTIF('Icon Lookup'!C:C,B49)&gt;0,LOOKUP(B49,'Icon Lookup'!C:C,'Icon Lookup'!B:B),"")</f>
        <v/>
      </c>
      <c r="B49" s="21" t="s">
        <v>906</v>
      </c>
      <c r="C49" s="20" t="s">
        <v>17</v>
      </c>
      <c r="D49" s="20">
        <v>69.0</v>
      </c>
      <c r="E49" s="20" t="str">
        <f t="shared" ref="E49:E50" si="14">IMAGE("https://www.serebii.net/itemdex/sprites/blacksludge.png")</f>
        <v/>
      </c>
      <c r="F49" s="20" t="s">
        <v>50</v>
      </c>
      <c r="G49" s="20" t="s">
        <v>844</v>
      </c>
      <c r="H49" s="23" t="s">
        <v>2429</v>
      </c>
      <c r="I49" s="20" t="s">
        <v>52</v>
      </c>
      <c r="J49" s="17">
        <v>40.0</v>
      </c>
      <c r="K49" s="17">
        <v>0.0</v>
      </c>
      <c r="L49" s="17">
        <v>40.0</v>
      </c>
      <c r="M49" s="17">
        <v>136.0</v>
      </c>
      <c r="N49" s="17">
        <v>40.0</v>
      </c>
      <c r="O49" s="17">
        <v>248.0</v>
      </c>
      <c r="P49" s="17">
        <v>6.0</v>
      </c>
      <c r="Q49" s="17">
        <v>6.0</v>
      </c>
      <c r="R49" s="17">
        <v>6.0</v>
      </c>
      <c r="S49" s="17">
        <v>6.0</v>
      </c>
      <c r="T49" s="17">
        <v>6.0</v>
      </c>
      <c r="U49" s="17">
        <v>6.0</v>
      </c>
    </row>
    <row r="50" ht="23.25" customHeight="1">
      <c r="A50" s="20" t="str">
        <f>IF(COUNTIF('Icon Lookup'!C:C,B50)&gt;0,LOOKUP(B50,'Icon Lookup'!C:C,'Icon Lookup'!B:B),"")</f>
        <v/>
      </c>
      <c r="B50" s="21" t="s">
        <v>906</v>
      </c>
      <c r="C50" s="20"/>
      <c r="D50" s="20">
        <v>69.0</v>
      </c>
      <c r="E50" s="20" t="str">
        <f t="shared" si="14"/>
        <v/>
      </c>
      <c r="F50" s="20" t="s">
        <v>959</v>
      </c>
      <c r="G50" s="20" t="s">
        <v>844</v>
      </c>
      <c r="H50" s="23" t="s">
        <v>2429</v>
      </c>
      <c r="I50" s="20" t="s">
        <v>52</v>
      </c>
      <c r="J50" s="17">
        <v>40.0</v>
      </c>
      <c r="K50" s="17">
        <v>0.0</v>
      </c>
      <c r="L50" s="17">
        <v>40.0</v>
      </c>
      <c r="M50" s="17">
        <v>136.0</v>
      </c>
      <c r="N50" s="17">
        <v>40.0</v>
      </c>
      <c r="O50" s="17">
        <v>248.0</v>
      </c>
      <c r="P50" s="17">
        <v>6.0</v>
      </c>
      <c r="Q50" s="17">
        <v>6.0</v>
      </c>
      <c r="R50" s="17">
        <v>6.0</v>
      </c>
      <c r="S50" s="17">
        <v>6.0</v>
      </c>
      <c r="T50" s="17">
        <v>6.0</v>
      </c>
      <c r="U50" s="17">
        <v>6.0</v>
      </c>
    </row>
    <row r="51" ht="23.25" customHeight="1">
      <c r="A51" s="24" t="str">
        <f>IF(COUNTIF('Icon Lookup'!C:C,B51)&gt;0,LOOKUP(B51,'Icon Lookup'!C:C,'Icon Lookup'!B:B),"")</f>
        <v/>
      </c>
      <c r="B51" s="25" t="s">
        <v>737</v>
      </c>
      <c r="C51" s="24" t="s">
        <v>804</v>
      </c>
      <c r="D51" s="24">
        <v>74.0</v>
      </c>
      <c r="E51" s="24" t="str">
        <f t="shared" ref="E51:E52" si="15">IMAGE("https://www.serebii.net/itemdex/sprites/quickclaw.png")</f>
        <v/>
      </c>
      <c r="F51" s="24" t="s">
        <v>374</v>
      </c>
      <c r="G51" s="24" t="s">
        <v>1371</v>
      </c>
      <c r="H51" s="20" t="s">
        <v>2435</v>
      </c>
      <c r="I51" s="24" t="s">
        <v>52</v>
      </c>
      <c r="J51" s="24">
        <v>52.0</v>
      </c>
      <c r="K51" s="24">
        <v>188.0</v>
      </c>
      <c r="L51" s="24">
        <v>52.0</v>
      </c>
      <c r="M51" s="24">
        <v>0.0</v>
      </c>
      <c r="N51" s="24">
        <v>52.0</v>
      </c>
      <c r="O51" s="24">
        <v>164.0</v>
      </c>
      <c r="P51" s="24">
        <v>11.0</v>
      </c>
      <c r="Q51" s="24">
        <v>11.0</v>
      </c>
      <c r="R51" s="24">
        <v>11.0</v>
      </c>
      <c r="S51" s="24">
        <v>11.0</v>
      </c>
      <c r="T51" s="24">
        <v>11.0</v>
      </c>
      <c r="U51" s="24">
        <v>11.0</v>
      </c>
    </row>
    <row r="52" ht="23.25" customHeight="1">
      <c r="A52" s="24" t="str">
        <f>IF(COUNTIF('Icon Lookup'!C:C,B52)&gt;0,LOOKUP(B52,'Icon Lookup'!C:C,'Icon Lookup'!B:B),"")</f>
        <v/>
      </c>
      <c r="B52" s="25" t="s">
        <v>737</v>
      </c>
      <c r="C52" s="24" t="s">
        <v>804</v>
      </c>
      <c r="D52" s="24">
        <v>74.0</v>
      </c>
      <c r="E52" s="24" t="str">
        <f t="shared" si="15"/>
        <v/>
      </c>
      <c r="F52" s="24" t="s">
        <v>374</v>
      </c>
      <c r="G52" s="24" t="s">
        <v>1371</v>
      </c>
      <c r="H52" s="20" t="s">
        <v>2435</v>
      </c>
      <c r="I52" s="24" t="s">
        <v>52</v>
      </c>
      <c r="J52" s="24">
        <v>52.0</v>
      </c>
      <c r="K52" s="24">
        <v>0.0</v>
      </c>
      <c r="L52" s="24">
        <v>52.0</v>
      </c>
      <c r="M52" s="24">
        <v>188.0</v>
      </c>
      <c r="N52" s="24">
        <v>52.0</v>
      </c>
      <c r="O52" s="24">
        <v>164.0</v>
      </c>
      <c r="P52" s="24">
        <v>11.0</v>
      </c>
      <c r="Q52" s="24">
        <v>11.0</v>
      </c>
      <c r="R52" s="24">
        <v>11.0</v>
      </c>
      <c r="S52" s="24">
        <v>11.0</v>
      </c>
      <c r="T52" s="24">
        <v>11.0</v>
      </c>
      <c r="U52" s="24">
        <v>11.0</v>
      </c>
    </row>
    <row r="53" ht="23.25" customHeight="1">
      <c r="A53" s="1"/>
      <c r="B53" s="15" t="s">
        <v>2525</v>
      </c>
      <c r="C53" s="1" t="s">
        <v>17</v>
      </c>
      <c r="D53" s="1" t="s">
        <v>818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ht="23.25" customHeight="1">
      <c r="A54" s="20" t="str">
        <f>IF(COUNTIF('Icon Lookup'!C:C,B54)&gt;0,LOOKUP(B54,'Icon Lookup'!C:C,'Icon Lookup'!B:B),"")</f>
        <v/>
      </c>
      <c r="B54" s="21" t="s">
        <v>2532</v>
      </c>
      <c r="C54" s="20" t="s">
        <v>17</v>
      </c>
      <c r="D54" s="20">
        <v>72.0</v>
      </c>
      <c r="E54" s="20" t="str">
        <f t="shared" ref="E54:E55" si="16">IMAGE("https://www.serebii.net/itemdex/sprites/choicescarf.png")</f>
        <v/>
      </c>
      <c r="F54" s="20" t="s">
        <v>87</v>
      </c>
      <c r="G54" s="20" t="s">
        <v>2472</v>
      </c>
      <c r="H54" s="23" t="s">
        <v>2464</v>
      </c>
      <c r="I54" s="20" t="s">
        <v>22</v>
      </c>
      <c r="J54" s="17">
        <v>6.0</v>
      </c>
      <c r="K54" s="17">
        <v>252.0</v>
      </c>
      <c r="L54" s="17">
        <v>0.0</v>
      </c>
      <c r="M54" s="17">
        <v>0.0</v>
      </c>
      <c r="N54" s="17">
        <v>0.0</v>
      </c>
      <c r="O54" s="17">
        <v>252.0</v>
      </c>
      <c r="P54" s="17">
        <v>31.0</v>
      </c>
      <c r="Q54" s="17">
        <v>31.0</v>
      </c>
      <c r="R54" s="17">
        <v>31.0</v>
      </c>
      <c r="S54" s="17">
        <v>31.0</v>
      </c>
      <c r="T54" s="17">
        <v>31.0</v>
      </c>
      <c r="U54" s="17">
        <v>31.0</v>
      </c>
    </row>
    <row r="55" ht="23.25" customHeight="1">
      <c r="A55" s="20" t="str">
        <f>IF(COUNTIF('Icon Lookup'!C:C,B55)&gt;0,LOOKUP(B55,'Icon Lookup'!C:C,'Icon Lookup'!B:B),"")</f>
        <v/>
      </c>
      <c r="B55" s="21" t="s">
        <v>2532</v>
      </c>
      <c r="C55" s="20"/>
      <c r="D55" s="20">
        <v>71.0</v>
      </c>
      <c r="E55" s="20" t="str">
        <f t="shared" si="16"/>
        <v/>
      </c>
      <c r="F55" s="20" t="s">
        <v>87</v>
      </c>
      <c r="G55" s="20" t="s">
        <v>2472</v>
      </c>
      <c r="H55" s="23" t="s">
        <v>2464</v>
      </c>
      <c r="I55" s="20" t="s">
        <v>22</v>
      </c>
      <c r="J55" s="17">
        <v>6.0</v>
      </c>
      <c r="K55" s="17">
        <v>252.0</v>
      </c>
      <c r="L55" s="17">
        <v>0.0</v>
      </c>
      <c r="M55" s="17">
        <v>0.0</v>
      </c>
      <c r="N55" s="17">
        <v>0.0</v>
      </c>
      <c r="O55" s="17">
        <v>252.0</v>
      </c>
      <c r="P55" s="17">
        <v>31.0</v>
      </c>
      <c r="Q55" s="17">
        <v>31.0</v>
      </c>
      <c r="R55" s="17">
        <v>31.0</v>
      </c>
      <c r="S55" s="17">
        <v>31.0</v>
      </c>
      <c r="T55" s="17">
        <v>31.0</v>
      </c>
      <c r="U55" s="17">
        <v>31.0</v>
      </c>
    </row>
    <row r="56" ht="23.25" customHeight="1">
      <c r="A56" s="1"/>
      <c r="B56" s="15" t="s">
        <v>2546</v>
      </c>
      <c r="C56" s="1" t="s">
        <v>17</v>
      </c>
      <c r="D56" s="1" t="s">
        <v>2029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23.25" customHeight="1">
      <c r="A57" s="24" t="str">
        <f>IF(COUNTIF('Icon Lookup'!C:C,B57)&gt;0,LOOKUP(B57,'Icon Lookup'!C:C,'Icon Lookup'!B:B),"")</f>
        <v/>
      </c>
      <c r="B57" s="25" t="s">
        <v>730</v>
      </c>
      <c r="C57" s="24" t="s">
        <v>804</v>
      </c>
      <c r="D57" s="24">
        <v>64.0</v>
      </c>
      <c r="E57" s="24" t="str">
        <f t="shared" ref="E57:E58" si="17">IMAGE("https://www.serebii.net/itemdex/sprites/leftovers.png")</f>
        <v/>
      </c>
      <c r="F57" s="24" t="s">
        <v>1106</v>
      </c>
      <c r="G57" s="24" t="s">
        <v>859</v>
      </c>
      <c r="H57" s="20" t="s">
        <v>2555</v>
      </c>
      <c r="I57" s="24" t="s">
        <v>822</v>
      </c>
      <c r="J57" s="24">
        <v>252.0</v>
      </c>
      <c r="K57" s="24">
        <v>252.0</v>
      </c>
      <c r="L57" s="24">
        <v>0.0</v>
      </c>
      <c r="M57" s="24">
        <v>0.0</v>
      </c>
      <c r="N57" s="24">
        <v>6.0</v>
      </c>
      <c r="O57" s="24">
        <v>0.0</v>
      </c>
      <c r="P57" s="24">
        <v>31.0</v>
      </c>
      <c r="Q57" s="24">
        <v>31.0</v>
      </c>
      <c r="R57" s="24">
        <v>31.0</v>
      </c>
      <c r="S57" s="24">
        <v>31.0</v>
      </c>
      <c r="T57" s="24">
        <v>31.0</v>
      </c>
      <c r="U57" s="24">
        <v>0.0</v>
      </c>
    </row>
    <row r="58" ht="23.25" customHeight="1">
      <c r="A58" s="24" t="str">
        <f>IF(COUNTIF('Icon Lookup'!C:C,B58)&gt;0,LOOKUP(B58,'Icon Lookup'!C:C,'Icon Lookup'!B:B),"")</f>
        <v/>
      </c>
      <c r="B58" s="25" t="s">
        <v>730</v>
      </c>
      <c r="C58" s="24" t="s">
        <v>804</v>
      </c>
      <c r="D58" s="24">
        <v>64.0</v>
      </c>
      <c r="E58" s="24" t="str">
        <f t="shared" si="17"/>
        <v/>
      </c>
      <c r="F58" s="24" t="s">
        <v>267</v>
      </c>
      <c r="G58" s="24" t="s">
        <v>859</v>
      </c>
      <c r="H58" s="20" t="s">
        <v>2555</v>
      </c>
      <c r="I58" s="24" t="s">
        <v>822</v>
      </c>
      <c r="J58" s="24">
        <v>252.0</v>
      </c>
      <c r="K58" s="24">
        <v>252.0</v>
      </c>
      <c r="L58" s="24">
        <v>0.0</v>
      </c>
      <c r="M58" s="24">
        <v>0.0</v>
      </c>
      <c r="N58" s="24">
        <v>6.0</v>
      </c>
      <c r="O58" s="24">
        <v>0.0</v>
      </c>
      <c r="P58" s="24">
        <v>31.0</v>
      </c>
      <c r="Q58" s="24">
        <v>31.0</v>
      </c>
      <c r="R58" s="24">
        <v>31.0</v>
      </c>
      <c r="S58" s="24">
        <v>31.0</v>
      </c>
      <c r="T58" s="24">
        <v>31.0</v>
      </c>
      <c r="U58" s="24">
        <v>0.0</v>
      </c>
    </row>
    <row r="59" ht="23.25" customHeight="1">
      <c r="A59" s="1"/>
      <c r="B59" s="15" t="s">
        <v>2556</v>
      </c>
      <c r="C59" s="1" t="s">
        <v>17</v>
      </c>
      <c r="D59" s="1" t="s">
        <v>2029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23.25" customHeight="1">
      <c r="A60" s="24" t="str">
        <f>IF(COUNTIF('Icon Lookup'!C:C,B60)&gt;0,LOOKUP(B60,'Icon Lookup'!C:C,'Icon Lookup'!B:B),"")</f>
        <v/>
      </c>
      <c r="B60" s="25" t="s">
        <v>879</v>
      </c>
      <c r="C60" s="24" t="s">
        <v>804</v>
      </c>
      <c r="D60" s="24">
        <v>64.0</v>
      </c>
      <c r="E60" s="24" t="str">
        <f>IMAGE("https://www.serebii.net/itemdex/sprites/choicescarf.png")</f>
        <v/>
      </c>
      <c r="F60" s="24" t="s">
        <v>145</v>
      </c>
      <c r="G60" s="24" t="s">
        <v>2472</v>
      </c>
      <c r="H60" s="23" t="s">
        <v>2703</v>
      </c>
      <c r="I60" s="24" t="s">
        <v>2704</v>
      </c>
      <c r="J60" s="24">
        <v>0.0</v>
      </c>
      <c r="K60" s="24">
        <v>252.0</v>
      </c>
      <c r="L60" s="24">
        <v>0.0</v>
      </c>
      <c r="M60" s="24">
        <v>252.0</v>
      </c>
      <c r="N60" s="24">
        <v>0.0</v>
      </c>
      <c r="O60" s="24">
        <v>6.0</v>
      </c>
      <c r="P60" s="24">
        <v>31.0</v>
      </c>
      <c r="Q60" s="24">
        <v>31.0</v>
      </c>
      <c r="R60" s="24">
        <v>31.0</v>
      </c>
      <c r="S60" s="24">
        <v>31.0</v>
      </c>
      <c r="T60" s="24">
        <v>31.0</v>
      </c>
      <c r="U60" s="24">
        <v>31.0</v>
      </c>
    </row>
    <row r="61" ht="23.25" customHeight="1">
      <c r="A61" s="24" t="str">
        <f>IF(COUNTIF('Icon Lookup'!C:C,B61)&gt;0,LOOKUP(B61,'Icon Lookup'!C:C,'Icon Lookup'!B:B),"")</f>
        <v/>
      </c>
      <c r="B61" s="25" t="s">
        <v>879</v>
      </c>
      <c r="C61" s="24" t="s">
        <v>804</v>
      </c>
      <c r="D61" s="24">
        <v>64.0</v>
      </c>
      <c r="E61" s="24" t="str">
        <f>IMAGE("https://www.serebii.net/itemdex/sprites/whiteherb.png")</f>
        <v/>
      </c>
      <c r="F61" s="24" t="s">
        <v>145</v>
      </c>
      <c r="G61" s="24" t="s">
        <v>2497</v>
      </c>
      <c r="H61" s="23" t="s">
        <v>2560</v>
      </c>
      <c r="I61" s="24" t="s">
        <v>22</v>
      </c>
      <c r="J61" s="24">
        <v>6.0</v>
      </c>
      <c r="K61" s="24">
        <v>252.0</v>
      </c>
      <c r="L61" s="24">
        <v>0.0</v>
      </c>
      <c r="M61" s="24">
        <v>0.0</v>
      </c>
      <c r="N61" s="24">
        <v>0.0</v>
      </c>
      <c r="O61" s="24">
        <v>252.0</v>
      </c>
      <c r="P61" s="24">
        <v>31.0</v>
      </c>
      <c r="Q61" s="24">
        <v>31.0</v>
      </c>
      <c r="R61" s="24">
        <v>31.0</v>
      </c>
      <c r="S61" s="24">
        <v>31.0</v>
      </c>
      <c r="T61" s="24">
        <v>31.0</v>
      </c>
      <c r="U61" s="24">
        <v>31.0</v>
      </c>
    </row>
    <row r="62" ht="23.25" customHeight="1">
      <c r="A62" s="1"/>
      <c r="B62" s="15" t="s">
        <v>2561</v>
      </c>
      <c r="C62" s="1" t="s">
        <v>17</v>
      </c>
      <c r="D62" s="1" t="s">
        <v>2029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23.25" customHeight="1">
      <c r="A63" s="24" t="str">
        <f>IF(COUNTIF('Icon Lookup'!C:C,B63)&gt;0,LOOKUP(B63,'Icon Lookup'!C:C,'Icon Lookup'!B:B),"")</f>
        <v/>
      </c>
      <c r="B63" s="25" t="s">
        <v>737</v>
      </c>
      <c r="C63" s="24" t="s">
        <v>804</v>
      </c>
      <c r="D63" s="24">
        <v>64.0</v>
      </c>
      <c r="E63" s="24" t="str">
        <f t="shared" ref="E63:E64" si="18">IMAGE("https://www.serebii.net/itemdex/sprites/choiceband.png")</f>
        <v/>
      </c>
      <c r="F63" s="24" t="s">
        <v>2705</v>
      </c>
      <c r="G63" s="24" t="s">
        <v>2463</v>
      </c>
      <c r="H63" s="20" t="s">
        <v>2562</v>
      </c>
      <c r="I63" s="24" t="s">
        <v>550</v>
      </c>
      <c r="J63" s="24">
        <v>252.0</v>
      </c>
      <c r="K63" s="24">
        <v>252.0</v>
      </c>
      <c r="L63" s="24">
        <v>6.0</v>
      </c>
      <c r="M63" s="24">
        <v>0.0</v>
      </c>
      <c r="N63" s="24">
        <v>0.0</v>
      </c>
      <c r="O63" s="24">
        <v>0.0</v>
      </c>
      <c r="P63" s="24">
        <v>31.0</v>
      </c>
      <c r="Q63" s="24">
        <v>31.0</v>
      </c>
      <c r="R63" s="24">
        <v>31.0</v>
      </c>
      <c r="S63" s="24">
        <v>31.0</v>
      </c>
      <c r="T63" s="24">
        <v>31.0</v>
      </c>
      <c r="U63" s="24">
        <v>31.0</v>
      </c>
    </row>
    <row r="64" ht="23.25" customHeight="1">
      <c r="A64" s="24" t="str">
        <f>IF(COUNTIF('Icon Lookup'!C:C,B64)&gt;0,LOOKUP(B64,'Icon Lookup'!C:C,'Icon Lookup'!B:B),"")</f>
        <v/>
      </c>
      <c r="B64" s="25" t="s">
        <v>737</v>
      </c>
      <c r="C64" s="24" t="s">
        <v>804</v>
      </c>
      <c r="D64" s="24">
        <v>64.0</v>
      </c>
      <c r="E64" s="24" t="str">
        <f t="shared" si="18"/>
        <v/>
      </c>
      <c r="F64" s="24" t="s">
        <v>374</v>
      </c>
      <c r="G64" s="24" t="s">
        <v>2463</v>
      </c>
      <c r="H64" s="20" t="s">
        <v>2562</v>
      </c>
      <c r="I64" s="24" t="s">
        <v>94</v>
      </c>
      <c r="J64" s="24">
        <v>252.0</v>
      </c>
      <c r="K64" s="24">
        <v>252.0</v>
      </c>
      <c r="L64" s="24">
        <v>6.0</v>
      </c>
      <c r="M64" s="24">
        <v>0.0</v>
      </c>
      <c r="N64" s="24">
        <v>0.0</v>
      </c>
      <c r="O64" s="24">
        <v>0.0</v>
      </c>
      <c r="P64" s="24">
        <v>31.0</v>
      </c>
      <c r="Q64" s="24">
        <v>31.0</v>
      </c>
      <c r="R64" s="24">
        <v>31.0</v>
      </c>
      <c r="S64" s="24">
        <v>31.0</v>
      </c>
      <c r="T64" s="24">
        <v>31.0</v>
      </c>
      <c r="U64" s="24">
        <v>31.0</v>
      </c>
    </row>
    <row r="65" ht="23.25" customHeight="1">
      <c r="A65" s="1"/>
      <c r="B65" s="15" t="s">
        <v>2563</v>
      </c>
      <c r="C65" s="1" t="s">
        <v>17</v>
      </c>
      <c r="D65" s="1" t="s">
        <v>2029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23.25" customHeight="1">
      <c r="A66" s="24" t="str">
        <f>IF(COUNTIF('Icon Lookup'!C:C,B66)&gt;0,LOOKUP(B66,'Icon Lookup'!C:C,'Icon Lookup'!B:B),"")</f>
        <v/>
      </c>
      <c r="B66" s="25" t="s">
        <v>730</v>
      </c>
      <c r="C66" s="24" t="s">
        <v>804</v>
      </c>
      <c r="D66" s="24">
        <v>74.0</v>
      </c>
      <c r="E66" s="24" t="str">
        <f t="shared" ref="E66:E67" si="19">IMAGE("https://www.serebii.net/itemdex/sprites/leftovers.png")</f>
        <v/>
      </c>
      <c r="F66" s="24" t="s">
        <v>1106</v>
      </c>
      <c r="G66" s="24" t="s">
        <v>859</v>
      </c>
      <c r="H66" s="23" t="s">
        <v>2555</v>
      </c>
      <c r="I66" s="24" t="s">
        <v>822</v>
      </c>
      <c r="J66" s="24">
        <v>252.0</v>
      </c>
      <c r="K66" s="24">
        <v>252.0</v>
      </c>
      <c r="L66" s="24">
        <v>0.0</v>
      </c>
      <c r="M66" s="24">
        <v>0.0</v>
      </c>
      <c r="N66" s="24">
        <v>6.0</v>
      </c>
      <c r="O66" s="24">
        <v>0.0</v>
      </c>
      <c r="P66" s="24">
        <v>31.0</v>
      </c>
      <c r="Q66" s="24">
        <v>31.0</v>
      </c>
      <c r="R66" s="24">
        <v>31.0</v>
      </c>
      <c r="S66" s="24">
        <v>31.0</v>
      </c>
      <c r="T66" s="24">
        <v>31.0</v>
      </c>
      <c r="U66" s="24">
        <v>0.0</v>
      </c>
    </row>
    <row r="67" ht="23.25" customHeight="1">
      <c r="A67" s="24" t="str">
        <f>IF(COUNTIF('Icon Lookup'!C:C,B67)&gt;0,LOOKUP(B67,'Icon Lookup'!C:C,'Icon Lookup'!B:B),"")</f>
        <v/>
      </c>
      <c r="B67" s="25" t="s">
        <v>730</v>
      </c>
      <c r="C67" s="24" t="s">
        <v>804</v>
      </c>
      <c r="D67" s="24">
        <v>74.0</v>
      </c>
      <c r="E67" s="24" t="str">
        <f t="shared" si="19"/>
        <v/>
      </c>
      <c r="F67" s="24" t="s">
        <v>267</v>
      </c>
      <c r="G67" s="24" t="s">
        <v>859</v>
      </c>
      <c r="H67" s="23" t="s">
        <v>2555</v>
      </c>
      <c r="I67" s="24" t="s">
        <v>822</v>
      </c>
      <c r="J67" s="24">
        <v>252.0</v>
      </c>
      <c r="K67" s="24">
        <v>252.0</v>
      </c>
      <c r="L67" s="24">
        <v>0.0</v>
      </c>
      <c r="M67" s="24">
        <v>0.0</v>
      </c>
      <c r="N67" s="24">
        <v>6.0</v>
      </c>
      <c r="O67" s="24">
        <v>0.0</v>
      </c>
      <c r="P67" s="24">
        <v>31.0</v>
      </c>
      <c r="Q67" s="24">
        <v>31.0</v>
      </c>
      <c r="R67" s="24">
        <v>31.0</v>
      </c>
      <c r="S67" s="24">
        <v>31.0</v>
      </c>
      <c r="T67" s="24">
        <v>31.0</v>
      </c>
      <c r="U67" s="24">
        <v>0.0</v>
      </c>
    </row>
    <row r="68" ht="23.25" customHeight="1">
      <c r="A68" s="1"/>
      <c r="B68" s="15" t="s">
        <v>2573</v>
      </c>
      <c r="C68" s="1" t="s">
        <v>17</v>
      </c>
      <c r="D68" s="1" t="s">
        <v>2029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23.25" customHeight="1">
      <c r="A69" s="24" t="str">
        <f>IF(COUNTIF('Icon Lookup'!C:C,B69)&gt;0,LOOKUP(B69,'Icon Lookup'!C:C,'Icon Lookup'!B:B),"")</f>
        <v/>
      </c>
      <c r="B69" s="25" t="s">
        <v>879</v>
      </c>
      <c r="C69" s="24" t="s">
        <v>804</v>
      </c>
      <c r="D69" s="24">
        <v>74.0</v>
      </c>
      <c r="E69" s="24" t="str">
        <f>IMAGE("https://www.serebii.net/itemdex/sprites/choicescarf.png")</f>
        <v/>
      </c>
      <c r="F69" s="24" t="s">
        <v>145</v>
      </c>
      <c r="G69" s="24" t="s">
        <v>2472</v>
      </c>
      <c r="H69" s="20" t="s">
        <v>2703</v>
      </c>
      <c r="I69" s="24" t="s">
        <v>2704</v>
      </c>
      <c r="J69" s="24">
        <v>0.0</v>
      </c>
      <c r="K69" s="24">
        <v>252.0</v>
      </c>
      <c r="L69" s="24">
        <v>0.0</v>
      </c>
      <c r="M69" s="24">
        <v>252.0</v>
      </c>
      <c r="N69" s="24">
        <v>0.0</v>
      </c>
      <c r="O69" s="24">
        <v>6.0</v>
      </c>
      <c r="P69" s="24">
        <v>31.0</v>
      </c>
      <c r="Q69" s="24">
        <v>31.0</v>
      </c>
      <c r="R69" s="24">
        <v>31.0</v>
      </c>
      <c r="S69" s="24">
        <v>31.0</v>
      </c>
      <c r="T69" s="24">
        <v>31.0</v>
      </c>
      <c r="U69" s="24">
        <v>31.0</v>
      </c>
    </row>
    <row r="70" ht="23.25" customHeight="1">
      <c r="A70" s="24" t="str">
        <f>IF(COUNTIF('Icon Lookup'!C:C,B70)&gt;0,LOOKUP(B70,'Icon Lookup'!C:C,'Icon Lookup'!B:B),"")</f>
        <v/>
      </c>
      <c r="B70" s="25" t="s">
        <v>879</v>
      </c>
      <c r="C70" s="24" t="s">
        <v>804</v>
      </c>
      <c r="D70" s="24">
        <v>74.0</v>
      </c>
      <c r="E70" s="24" t="str">
        <f>IMAGE("https://www.serebii.net/itemdex/sprites/whiteherb.png")</f>
        <v/>
      </c>
      <c r="F70" s="24" t="s">
        <v>145</v>
      </c>
      <c r="G70" s="24" t="s">
        <v>2497</v>
      </c>
      <c r="H70" s="20" t="s">
        <v>2560</v>
      </c>
      <c r="I70" s="24" t="s">
        <v>22</v>
      </c>
      <c r="J70" s="24">
        <v>6.0</v>
      </c>
      <c r="K70" s="24">
        <v>252.0</v>
      </c>
      <c r="L70" s="24">
        <v>0.0</v>
      </c>
      <c r="M70" s="24">
        <v>0.0</v>
      </c>
      <c r="N70" s="24">
        <v>0.0</v>
      </c>
      <c r="O70" s="24">
        <v>252.0</v>
      </c>
      <c r="P70" s="24">
        <v>31.0</v>
      </c>
      <c r="Q70" s="24">
        <v>31.0</v>
      </c>
      <c r="R70" s="24">
        <v>31.0</v>
      </c>
      <c r="S70" s="24">
        <v>31.0</v>
      </c>
      <c r="T70" s="24">
        <v>31.0</v>
      </c>
      <c r="U70" s="24">
        <v>31.0</v>
      </c>
    </row>
    <row r="71" ht="23.25" customHeight="1">
      <c r="A71" s="1"/>
      <c r="B71" s="15" t="s">
        <v>2589</v>
      </c>
      <c r="C71" s="1" t="s">
        <v>17</v>
      </c>
      <c r="D71" s="1" t="s">
        <v>2029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23.25" customHeight="1">
      <c r="A72" s="20" t="str">
        <f>IF(COUNTIF('Icon Lookup'!C:C,B72)&gt;0,LOOKUP(B72,'Icon Lookup'!C:C,'Icon Lookup'!B:B),"")</f>
        <v/>
      </c>
      <c r="B72" s="21" t="s">
        <v>1775</v>
      </c>
      <c r="C72" s="20" t="s">
        <v>17</v>
      </c>
      <c r="D72" s="20">
        <v>70.0</v>
      </c>
      <c r="E72" s="20" t="str">
        <f t="shared" ref="E72:E73" si="20">IMAGE("https://www.serebii.net/itemdex/sprites/lifeorb.png")</f>
        <v/>
      </c>
      <c r="F72" s="20" t="s">
        <v>26</v>
      </c>
      <c r="G72" s="20" t="s">
        <v>873</v>
      </c>
      <c r="H72" s="23" t="s">
        <v>2597</v>
      </c>
      <c r="I72" s="20" t="s">
        <v>550</v>
      </c>
      <c r="J72" s="17">
        <v>6.0</v>
      </c>
      <c r="K72" s="17">
        <v>252.0</v>
      </c>
      <c r="L72" s="17">
        <v>0.0</v>
      </c>
      <c r="M72" s="17">
        <v>0.0</v>
      </c>
      <c r="N72" s="17">
        <v>0.0</v>
      </c>
      <c r="O72" s="17">
        <v>252.0</v>
      </c>
      <c r="P72" s="17">
        <v>31.0</v>
      </c>
      <c r="Q72" s="17">
        <v>31.0</v>
      </c>
      <c r="R72" s="17">
        <v>31.0</v>
      </c>
      <c r="S72" s="17">
        <v>31.0</v>
      </c>
      <c r="T72" s="17">
        <v>31.0</v>
      </c>
      <c r="U72" s="17">
        <v>31.0</v>
      </c>
    </row>
    <row r="73" ht="23.25" customHeight="1">
      <c r="A73" s="20" t="str">
        <f>IF(COUNTIF('Icon Lookup'!C:C,B73)&gt;0,LOOKUP(B73,'Icon Lookup'!C:C,'Icon Lookup'!B:B),"")</f>
        <v/>
      </c>
      <c r="B73" s="21" t="s">
        <v>1775</v>
      </c>
      <c r="C73" s="20"/>
      <c r="D73" s="20">
        <v>70.0</v>
      </c>
      <c r="E73" s="20" t="str">
        <f t="shared" si="20"/>
        <v/>
      </c>
      <c r="F73" s="20" t="s">
        <v>26</v>
      </c>
      <c r="G73" s="20" t="s">
        <v>873</v>
      </c>
      <c r="H73" s="23" t="s">
        <v>2597</v>
      </c>
      <c r="I73" s="20" t="s">
        <v>612</v>
      </c>
      <c r="J73" s="17">
        <v>6.0</v>
      </c>
      <c r="K73" s="17">
        <v>0.0</v>
      </c>
      <c r="L73" s="17">
        <v>0.0</v>
      </c>
      <c r="M73" s="17">
        <v>252.0</v>
      </c>
      <c r="N73" s="17">
        <v>0.0</v>
      </c>
      <c r="O73" s="17">
        <v>252.0</v>
      </c>
      <c r="P73" s="17">
        <v>31.0</v>
      </c>
      <c r="Q73" s="17">
        <v>31.0</v>
      </c>
      <c r="R73" s="17">
        <v>31.0</v>
      </c>
      <c r="S73" s="17">
        <v>31.0</v>
      </c>
      <c r="T73" s="17">
        <v>31.0</v>
      </c>
      <c r="U73" s="17">
        <v>31.0</v>
      </c>
    </row>
    <row r="74" ht="23.25" customHeight="1">
      <c r="A74" s="24" t="str">
        <f>IF(COUNTIF('Icon Lookup'!C:C,B74)&gt;0,LOOKUP(B74,'Icon Lookup'!C:C,'Icon Lookup'!B:B),"")</f>
        <v/>
      </c>
      <c r="B74" s="25" t="s">
        <v>737</v>
      </c>
      <c r="C74" s="24" t="s">
        <v>804</v>
      </c>
      <c r="D74" s="24">
        <v>74.0</v>
      </c>
      <c r="E74" s="24" t="str">
        <f t="shared" ref="E74:E75" si="21">IMAGE("https://www.serebii.net/itemdex/sprites/choiceband.png")</f>
        <v/>
      </c>
      <c r="F74" s="24" t="s">
        <v>2705</v>
      </c>
      <c r="G74" s="24" t="s">
        <v>2463</v>
      </c>
      <c r="H74" s="20" t="s">
        <v>2562</v>
      </c>
      <c r="I74" s="24" t="s">
        <v>550</v>
      </c>
      <c r="J74" s="24">
        <v>252.0</v>
      </c>
      <c r="K74" s="24">
        <v>252.0</v>
      </c>
      <c r="L74" s="24">
        <v>6.0</v>
      </c>
      <c r="M74" s="24">
        <v>0.0</v>
      </c>
      <c r="N74" s="24">
        <v>0.0</v>
      </c>
      <c r="O74" s="24">
        <v>0.0</v>
      </c>
      <c r="P74" s="24">
        <v>31.0</v>
      </c>
      <c r="Q74" s="24">
        <v>31.0</v>
      </c>
      <c r="R74" s="24">
        <v>31.0</v>
      </c>
      <c r="S74" s="24">
        <v>31.0</v>
      </c>
      <c r="T74" s="24">
        <v>31.0</v>
      </c>
      <c r="U74" s="24">
        <v>31.0</v>
      </c>
    </row>
    <row r="75" ht="23.25" customHeight="1">
      <c r="A75" s="24" t="str">
        <f>IF(COUNTIF('Icon Lookup'!C:C,B75)&gt;0,LOOKUP(B75,'Icon Lookup'!C:C,'Icon Lookup'!B:B),"")</f>
        <v/>
      </c>
      <c r="B75" s="25" t="s">
        <v>737</v>
      </c>
      <c r="C75" s="24" t="s">
        <v>804</v>
      </c>
      <c r="D75" s="24">
        <v>74.0</v>
      </c>
      <c r="E75" s="24" t="str">
        <f t="shared" si="21"/>
        <v/>
      </c>
      <c r="F75" s="24" t="s">
        <v>374</v>
      </c>
      <c r="G75" s="24" t="s">
        <v>2463</v>
      </c>
      <c r="H75" s="20" t="s">
        <v>2562</v>
      </c>
      <c r="I75" s="24" t="s">
        <v>94</v>
      </c>
      <c r="J75" s="24">
        <v>252.0</v>
      </c>
      <c r="K75" s="24">
        <v>252.0</v>
      </c>
      <c r="L75" s="24">
        <v>6.0</v>
      </c>
      <c r="M75" s="24">
        <v>0.0</v>
      </c>
      <c r="N75" s="24">
        <v>0.0</v>
      </c>
      <c r="O75" s="24">
        <v>0.0</v>
      </c>
      <c r="P75" s="24">
        <v>31.0</v>
      </c>
      <c r="Q75" s="24">
        <v>31.0</v>
      </c>
      <c r="R75" s="24">
        <v>31.0</v>
      </c>
      <c r="S75" s="24">
        <v>31.0</v>
      </c>
      <c r="T75" s="24">
        <v>31.0</v>
      </c>
      <c r="U75" s="24">
        <v>31.0</v>
      </c>
    </row>
    <row r="76" ht="23.25" customHeight="1">
      <c r="A76" s="1"/>
      <c r="B76" s="15" t="s">
        <v>2598</v>
      </c>
      <c r="C76" s="1" t="s">
        <v>17</v>
      </c>
      <c r="D76" s="1" t="s">
        <v>2036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23.25" customHeight="1">
      <c r="A77" s="24" t="str">
        <f>IF(COUNTIF('Icon Lookup'!C:C,B77)&gt;0,LOOKUP(B77,'Icon Lookup'!C:C,'Icon Lookup'!B:B),"")</f>
        <v/>
      </c>
      <c r="B77" s="25" t="s">
        <v>730</v>
      </c>
      <c r="C77" s="24" t="s">
        <v>804</v>
      </c>
      <c r="D77" s="24">
        <v>64.0</v>
      </c>
      <c r="E77" s="24" t="str">
        <f t="shared" ref="E77:E78" si="22">IMAGE("https://www.serebii.net/itemdex/sprites/yacheberry.png")</f>
        <v/>
      </c>
      <c r="F77" s="24" t="s">
        <v>267</v>
      </c>
      <c r="G77" s="24" t="s">
        <v>917</v>
      </c>
      <c r="H77" s="23" t="s">
        <v>2605</v>
      </c>
      <c r="I77" s="24" t="s">
        <v>550</v>
      </c>
      <c r="J77" s="24">
        <v>128.0</v>
      </c>
      <c r="K77" s="24">
        <v>252.0</v>
      </c>
      <c r="L77" s="24">
        <v>128.0</v>
      </c>
      <c r="M77" s="24">
        <v>0.0</v>
      </c>
      <c r="N77" s="24">
        <v>0.0</v>
      </c>
      <c r="O77" s="24">
        <v>0.0</v>
      </c>
      <c r="P77" s="24">
        <v>31.0</v>
      </c>
      <c r="Q77" s="24">
        <v>31.0</v>
      </c>
      <c r="R77" s="24">
        <v>31.0</v>
      </c>
      <c r="S77" s="24">
        <v>31.0</v>
      </c>
      <c r="T77" s="24">
        <v>31.0</v>
      </c>
      <c r="U77" s="24">
        <v>31.0</v>
      </c>
    </row>
    <row r="78" ht="23.25" customHeight="1">
      <c r="A78" s="24" t="str">
        <f>IF(COUNTIF('Icon Lookup'!C:C,B78)&gt;0,LOOKUP(B78,'Icon Lookup'!C:C,'Icon Lookup'!B:B),"")</f>
        <v/>
      </c>
      <c r="B78" s="25" t="s">
        <v>730</v>
      </c>
      <c r="C78" s="24" t="s">
        <v>804</v>
      </c>
      <c r="D78" s="24">
        <v>64.0</v>
      </c>
      <c r="E78" s="24" t="str">
        <f t="shared" si="22"/>
        <v/>
      </c>
      <c r="F78" s="24" t="s">
        <v>267</v>
      </c>
      <c r="G78" s="24" t="s">
        <v>917</v>
      </c>
      <c r="H78" s="23" t="s">
        <v>2605</v>
      </c>
      <c r="I78" s="24" t="s">
        <v>822</v>
      </c>
      <c r="J78" s="24">
        <v>128.0</v>
      </c>
      <c r="K78" s="24">
        <v>252.0</v>
      </c>
      <c r="L78" s="24">
        <v>128.0</v>
      </c>
      <c r="M78" s="24">
        <v>0.0</v>
      </c>
      <c r="N78" s="24">
        <v>0.0</v>
      </c>
      <c r="O78" s="24">
        <v>0.0</v>
      </c>
      <c r="P78" s="24">
        <v>31.0</v>
      </c>
      <c r="Q78" s="24">
        <v>31.0</v>
      </c>
      <c r="R78" s="24">
        <v>31.0</v>
      </c>
      <c r="S78" s="24">
        <v>31.0</v>
      </c>
      <c r="T78" s="24">
        <v>31.0</v>
      </c>
      <c r="U78" s="24">
        <v>31.0</v>
      </c>
    </row>
    <row r="79" ht="23.25" customHeight="1">
      <c r="A79" s="1"/>
      <c r="B79" s="15" t="s">
        <v>2606</v>
      </c>
      <c r="C79" s="1" t="s">
        <v>17</v>
      </c>
      <c r="D79" s="1" t="s">
        <v>2036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23.25" customHeight="1">
      <c r="A80" s="24" t="str">
        <f>IF(COUNTIF('Icon Lookup'!C:C,B80)&gt;0,LOOKUP(B80,'Icon Lookup'!C:C,'Icon Lookup'!B:B),"")</f>
        <v/>
      </c>
      <c r="B80" s="25" t="s">
        <v>879</v>
      </c>
      <c r="C80" s="24" t="s">
        <v>804</v>
      </c>
      <c r="D80" s="24">
        <v>64.0</v>
      </c>
      <c r="E80" s="24" t="str">
        <f t="shared" ref="E80:E81" si="23">IMAGE("https://www.serebii.net/itemdex/sprites/expertbelt.png")</f>
        <v/>
      </c>
      <c r="F80" s="24" t="s">
        <v>145</v>
      </c>
      <c r="G80" s="24" t="s">
        <v>907</v>
      </c>
      <c r="H80" s="20" t="s">
        <v>2708</v>
      </c>
      <c r="I80" s="24" t="s">
        <v>612</v>
      </c>
      <c r="J80" s="24">
        <v>6.0</v>
      </c>
      <c r="K80" s="24">
        <v>0.0</v>
      </c>
      <c r="L80" s="24">
        <v>0.0</v>
      </c>
      <c r="M80" s="24">
        <v>252.0</v>
      </c>
      <c r="N80" s="24">
        <v>0.0</v>
      </c>
      <c r="O80" s="24">
        <v>252.0</v>
      </c>
      <c r="P80" s="24">
        <v>31.0</v>
      </c>
      <c r="Q80" s="24">
        <v>31.0</v>
      </c>
      <c r="R80" s="24">
        <v>31.0</v>
      </c>
      <c r="S80" s="24">
        <v>31.0</v>
      </c>
      <c r="T80" s="24">
        <v>31.0</v>
      </c>
      <c r="U80" s="24">
        <v>31.0</v>
      </c>
    </row>
    <row r="81" ht="23.25" customHeight="1">
      <c r="A81" s="24" t="str">
        <f>IF(COUNTIF('Icon Lookup'!C:C,B81)&gt;0,LOOKUP(B81,'Icon Lookup'!C:C,'Icon Lookup'!B:B),"")</f>
        <v/>
      </c>
      <c r="B81" s="25" t="s">
        <v>879</v>
      </c>
      <c r="C81" s="24" t="s">
        <v>804</v>
      </c>
      <c r="D81" s="24">
        <v>64.0</v>
      </c>
      <c r="E81" s="24" t="str">
        <f t="shared" si="23"/>
        <v/>
      </c>
      <c r="F81" s="24" t="s">
        <v>145</v>
      </c>
      <c r="G81" s="24" t="s">
        <v>907</v>
      </c>
      <c r="H81" s="20" t="s">
        <v>2610</v>
      </c>
      <c r="I81" s="24" t="s">
        <v>22</v>
      </c>
      <c r="J81" s="24">
        <v>6.0</v>
      </c>
      <c r="K81" s="24">
        <v>252.0</v>
      </c>
      <c r="L81" s="24">
        <v>0.0</v>
      </c>
      <c r="M81" s="24">
        <v>0.0</v>
      </c>
      <c r="N81" s="24">
        <v>0.0</v>
      </c>
      <c r="O81" s="24">
        <v>252.0</v>
      </c>
      <c r="P81" s="24">
        <v>31.0</v>
      </c>
      <c r="Q81" s="24">
        <v>31.0</v>
      </c>
      <c r="R81" s="24">
        <v>31.0</v>
      </c>
      <c r="S81" s="24">
        <v>31.0</v>
      </c>
      <c r="T81" s="24">
        <v>31.0</v>
      </c>
      <c r="U81" s="24">
        <v>31.0</v>
      </c>
    </row>
    <row r="82" ht="23.25" customHeight="1">
      <c r="A82" s="1"/>
      <c r="B82" s="15" t="s">
        <v>2611</v>
      </c>
      <c r="C82" s="1" t="s">
        <v>17</v>
      </c>
      <c r="D82" s="1" t="s">
        <v>2036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ht="23.25" customHeight="1">
      <c r="A83" s="24" t="str">
        <f>IF(COUNTIF('Icon Lookup'!C:C,B83)&gt;0,LOOKUP(B83,'Icon Lookup'!C:C,'Icon Lookup'!B:B),"")</f>
        <v/>
      </c>
      <c r="B83" s="25" t="s">
        <v>737</v>
      </c>
      <c r="C83" s="24" t="s">
        <v>804</v>
      </c>
      <c r="D83" s="24">
        <v>64.0</v>
      </c>
      <c r="E83" s="24" t="str">
        <f t="shared" ref="E83:E84" si="24">IMAGE("https://www.serebii.net/itemdex/sprites/leftovers.png")</f>
        <v/>
      </c>
      <c r="F83" s="24" t="s">
        <v>374</v>
      </c>
      <c r="G83" s="24" t="s">
        <v>859</v>
      </c>
      <c r="H83" s="23" t="s">
        <v>2614</v>
      </c>
      <c r="I83" s="24" t="s">
        <v>612</v>
      </c>
      <c r="J83" s="24">
        <v>252.0</v>
      </c>
      <c r="K83" s="24">
        <v>0.0</v>
      </c>
      <c r="L83" s="24">
        <v>0.0</v>
      </c>
      <c r="M83" s="24">
        <v>252.0</v>
      </c>
      <c r="N83" s="24">
        <v>0.0</v>
      </c>
      <c r="O83" s="24">
        <v>6.0</v>
      </c>
      <c r="P83" s="24">
        <v>31.0</v>
      </c>
      <c r="Q83" s="24">
        <v>31.0</v>
      </c>
      <c r="R83" s="24">
        <v>31.0</v>
      </c>
      <c r="S83" s="24">
        <v>31.0</v>
      </c>
      <c r="T83" s="24">
        <v>31.0</v>
      </c>
      <c r="U83" s="24">
        <v>31.0</v>
      </c>
    </row>
    <row r="84" ht="23.25" customHeight="1">
      <c r="A84" s="24" t="str">
        <f>IF(COUNTIF('Icon Lookup'!C:C,B84)&gt;0,LOOKUP(B84,'Icon Lookup'!C:C,'Icon Lookup'!B:B),"")</f>
        <v/>
      </c>
      <c r="B84" s="25" t="s">
        <v>737</v>
      </c>
      <c r="C84" s="24" t="s">
        <v>804</v>
      </c>
      <c r="D84" s="24">
        <v>64.0</v>
      </c>
      <c r="E84" s="24" t="str">
        <f t="shared" si="24"/>
        <v/>
      </c>
      <c r="F84" s="24" t="s">
        <v>374</v>
      </c>
      <c r="G84" s="24" t="s">
        <v>859</v>
      </c>
      <c r="H84" s="23" t="s">
        <v>2614</v>
      </c>
      <c r="I84" s="24" t="s">
        <v>94</v>
      </c>
      <c r="J84" s="24">
        <v>252.0</v>
      </c>
      <c r="K84" s="24">
        <v>0.0</v>
      </c>
      <c r="L84" s="24">
        <v>0.0</v>
      </c>
      <c r="M84" s="24">
        <v>252.0</v>
      </c>
      <c r="N84" s="24">
        <v>0.0</v>
      </c>
      <c r="O84" s="24">
        <v>6.0</v>
      </c>
      <c r="P84" s="24">
        <v>31.0</v>
      </c>
      <c r="Q84" s="24">
        <v>31.0</v>
      </c>
      <c r="R84" s="24">
        <v>31.0</v>
      </c>
      <c r="S84" s="24">
        <v>31.0</v>
      </c>
      <c r="T84" s="24">
        <v>31.0</v>
      </c>
      <c r="U84" s="24">
        <v>31.0</v>
      </c>
    </row>
    <row r="85" ht="23.25" customHeight="1">
      <c r="A85" s="1"/>
      <c r="B85" s="15" t="s">
        <v>2615</v>
      </c>
      <c r="C85" s="1" t="s">
        <v>17</v>
      </c>
      <c r="D85" s="1" t="s">
        <v>2036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23.25" customHeight="1">
      <c r="A86" s="24" t="str">
        <f>IF(COUNTIF('Icon Lookup'!C:C,B86)&gt;0,LOOKUP(B86,'Icon Lookup'!C:C,'Icon Lookup'!B:B),"")</f>
        <v/>
      </c>
      <c r="B86" s="25" t="s">
        <v>730</v>
      </c>
      <c r="C86" s="24" t="s">
        <v>804</v>
      </c>
      <c r="D86" s="24">
        <v>74.0</v>
      </c>
      <c r="E86" s="24" t="str">
        <f t="shared" ref="E86:E87" si="25">IMAGE("https://www.serebii.net/itemdex/sprites/yacheberry.png")</f>
        <v/>
      </c>
      <c r="F86" s="24" t="s">
        <v>267</v>
      </c>
      <c r="G86" s="24" t="s">
        <v>917</v>
      </c>
      <c r="H86" s="20" t="s">
        <v>2605</v>
      </c>
      <c r="I86" s="24" t="s">
        <v>550</v>
      </c>
      <c r="J86" s="24">
        <v>128.0</v>
      </c>
      <c r="K86" s="24">
        <v>252.0</v>
      </c>
      <c r="L86" s="24">
        <v>128.0</v>
      </c>
      <c r="M86" s="24">
        <v>0.0</v>
      </c>
      <c r="N86" s="24">
        <v>0.0</v>
      </c>
      <c r="O86" s="24">
        <v>0.0</v>
      </c>
      <c r="P86" s="24">
        <v>31.0</v>
      </c>
      <c r="Q86" s="24">
        <v>31.0</v>
      </c>
      <c r="R86" s="24">
        <v>31.0</v>
      </c>
      <c r="S86" s="24">
        <v>31.0</v>
      </c>
      <c r="T86" s="24">
        <v>31.0</v>
      </c>
      <c r="U86" s="24">
        <v>31.0</v>
      </c>
    </row>
    <row r="87" ht="23.25" customHeight="1">
      <c r="A87" s="24" t="str">
        <f>IF(COUNTIF('Icon Lookup'!C:C,B87)&gt;0,LOOKUP(B87,'Icon Lookup'!C:C,'Icon Lookup'!B:B),"")</f>
        <v/>
      </c>
      <c r="B87" s="25" t="s">
        <v>730</v>
      </c>
      <c r="C87" s="24" t="s">
        <v>804</v>
      </c>
      <c r="D87" s="24">
        <v>74.0</v>
      </c>
      <c r="E87" s="24" t="str">
        <f t="shared" si="25"/>
        <v/>
      </c>
      <c r="F87" s="24" t="s">
        <v>267</v>
      </c>
      <c r="G87" s="24" t="s">
        <v>917</v>
      </c>
      <c r="H87" s="20" t="s">
        <v>2605</v>
      </c>
      <c r="I87" s="24" t="s">
        <v>822</v>
      </c>
      <c r="J87" s="24">
        <v>128.0</v>
      </c>
      <c r="K87" s="24">
        <v>252.0</v>
      </c>
      <c r="L87" s="24">
        <v>128.0</v>
      </c>
      <c r="M87" s="24">
        <v>0.0</v>
      </c>
      <c r="N87" s="24">
        <v>0.0</v>
      </c>
      <c r="O87" s="24">
        <v>0.0</v>
      </c>
      <c r="P87" s="24">
        <v>31.0</v>
      </c>
      <c r="Q87" s="24">
        <v>31.0</v>
      </c>
      <c r="R87" s="24">
        <v>31.0</v>
      </c>
      <c r="S87" s="24">
        <v>31.0</v>
      </c>
      <c r="T87" s="24">
        <v>31.0</v>
      </c>
      <c r="U87" s="24">
        <v>31.0</v>
      </c>
    </row>
    <row r="88" ht="23.25" customHeight="1">
      <c r="A88" s="1"/>
      <c r="B88" s="15" t="s">
        <v>2623</v>
      </c>
      <c r="C88" s="1" t="s">
        <v>17</v>
      </c>
      <c r="D88" s="1" t="s">
        <v>2036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ht="23.25" customHeight="1">
      <c r="A89" s="24" t="str">
        <f>IF(COUNTIF('Icon Lookup'!C:C,B89)&gt;0,LOOKUP(B89,'Icon Lookup'!C:C,'Icon Lookup'!B:B),"")</f>
        <v/>
      </c>
      <c r="B89" s="25" t="s">
        <v>879</v>
      </c>
      <c r="C89" s="24" t="s">
        <v>804</v>
      </c>
      <c r="D89" s="24">
        <v>74.0</v>
      </c>
      <c r="E89" s="24" t="str">
        <f t="shared" ref="E89:E90" si="26">IMAGE("https://www.serebii.net/itemdex/sprites/expertbelt.png")</f>
        <v/>
      </c>
      <c r="F89" s="24" t="s">
        <v>145</v>
      </c>
      <c r="G89" s="24" t="s">
        <v>907</v>
      </c>
      <c r="H89" s="23" t="s">
        <v>2708</v>
      </c>
      <c r="I89" s="24" t="s">
        <v>612</v>
      </c>
      <c r="J89" s="24">
        <v>6.0</v>
      </c>
      <c r="K89" s="24">
        <v>0.0</v>
      </c>
      <c r="L89" s="24">
        <v>0.0</v>
      </c>
      <c r="M89" s="24">
        <v>252.0</v>
      </c>
      <c r="N89" s="24">
        <v>0.0</v>
      </c>
      <c r="O89" s="24">
        <v>252.0</v>
      </c>
      <c r="P89" s="24">
        <v>31.0</v>
      </c>
      <c r="Q89" s="24">
        <v>31.0</v>
      </c>
      <c r="R89" s="24">
        <v>31.0</v>
      </c>
      <c r="S89" s="24">
        <v>31.0</v>
      </c>
      <c r="T89" s="24">
        <v>31.0</v>
      </c>
      <c r="U89" s="24">
        <v>31.0</v>
      </c>
    </row>
    <row r="90" ht="23.25" customHeight="1">
      <c r="A90" s="24" t="str">
        <f>IF(COUNTIF('Icon Lookup'!C:C,B90)&gt;0,LOOKUP(B90,'Icon Lookup'!C:C,'Icon Lookup'!B:B),"")</f>
        <v/>
      </c>
      <c r="B90" s="25" t="s">
        <v>879</v>
      </c>
      <c r="C90" s="24" t="s">
        <v>804</v>
      </c>
      <c r="D90" s="24">
        <v>74.0</v>
      </c>
      <c r="E90" s="24" t="str">
        <f t="shared" si="26"/>
        <v/>
      </c>
      <c r="F90" s="24" t="s">
        <v>145</v>
      </c>
      <c r="G90" s="24" t="s">
        <v>907</v>
      </c>
      <c r="H90" s="23" t="s">
        <v>2610</v>
      </c>
      <c r="I90" s="24" t="s">
        <v>22</v>
      </c>
      <c r="J90" s="24">
        <v>6.0</v>
      </c>
      <c r="K90" s="24">
        <v>252.0</v>
      </c>
      <c r="L90" s="24">
        <v>0.0</v>
      </c>
      <c r="M90" s="24">
        <v>0.0</v>
      </c>
      <c r="N90" s="24">
        <v>0.0</v>
      </c>
      <c r="O90" s="24">
        <v>252.0</v>
      </c>
      <c r="P90" s="24">
        <v>31.0</v>
      </c>
      <c r="Q90" s="24">
        <v>31.0</v>
      </c>
      <c r="R90" s="24">
        <v>31.0</v>
      </c>
      <c r="S90" s="24">
        <v>31.0</v>
      </c>
      <c r="T90" s="24">
        <v>31.0</v>
      </c>
      <c r="U90" s="24">
        <v>31.0</v>
      </c>
    </row>
    <row r="91" ht="23.25" customHeight="1">
      <c r="A91" s="1"/>
      <c r="B91" s="15" t="s">
        <v>2631</v>
      </c>
      <c r="C91" s="1" t="s">
        <v>17</v>
      </c>
      <c r="D91" s="1" t="s">
        <v>2036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23.25" customHeight="1">
      <c r="A92" s="17" t="str">
        <f>IF(COUNTIF('Icon Lookup'!C:C,B92)&gt;0,LOOKUP(B92,'Icon Lookup'!C:C,'Icon Lookup'!B:B),"")</f>
        <v/>
      </c>
      <c r="B92" s="18" t="s">
        <v>2632</v>
      </c>
      <c r="C92" s="17" t="s">
        <v>17</v>
      </c>
      <c r="D92" s="17">
        <v>68.0</v>
      </c>
      <c r="E92" s="17" t="str">
        <f t="shared" ref="E92:E93" si="27">IMAGE("https://www.serebii.net/itemdex/sprites/lumberry.png")</f>
        <v/>
      </c>
      <c r="F92" s="17" t="s">
        <v>240</v>
      </c>
      <c r="G92" s="17" t="s">
        <v>2533</v>
      </c>
      <c r="H92" s="20" t="s">
        <v>2633</v>
      </c>
      <c r="I92" s="17" t="s">
        <v>52</v>
      </c>
      <c r="J92" s="17">
        <v>52.0</v>
      </c>
      <c r="K92" s="17">
        <v>0.0</v>
      </c>
      <c r="L92" s="17">
        <v>0.0</v>
      </c>
      <c r="M92" s="17">
        <v>252.0</v>
      </c>
      <c r="N92" s="17">
        <v>0.0</v>
      </c>
      <c r="O92" s="17">
        <v>204.0</v>
      </c>
      <c r="P92" s="17">
        <v>31.0</v>
      </c>
      <c r="Q92" s="17">
        <v>31.0</v>
      </c>
      <c r="R92" s="17">
        <v>31.0</v>
      </c>
      <c r="S92" s="17">
        <v>31.0</v>
      </c>
      <c r="T92" s="17">
        <v>31.0</v>
      </c>
      <c r="U92" s="17">
        <v>31.0</v>
      </c>
    </row>
    <row r="93" ht="23.25" customHeight="1">
      <c r="A93" s="17" t="str">
        <f>IF(COUNTIF('Icon Lookup'!C:C,B93)&gt;0,LOOKUP(B93,'Icon Lookup'!C:C,'Icon Lookup'!B:B),"")</f>
        <v/>
      </c>
      <c r="B93" s="18" t="s">
        <v>2632</v>
      </c>
      <c r="C93" s="17"/>
      <c r="D93" s="17">
        <v>68.0</v>
      </c>
      <c r="E93" s="17" t="str">
        <f t="shared" si="27"/>
        <v/>
      </c>
      <c r="F93" s="17" t="s">
        <v>240</v>
      </c>
      <c r="G93" s="17" t="s">
        <v>2533</v>
      </c>
      <c r="H93" s="20" t="s">
        <v>2633</v>
      </c>
      <c r="I93" s="17" t="s">
        <v>52</v>
      </c>
      <c r="J93" s="17">
        <v>6.0</v>
      </c>
      <c r="K93" s="17">
        <v>0.0</v>
      </c>
      <c r="L93" s="17">
        <v>0.0</v>
      </c>
      <c r="M93" s="17">
        <v>252.0</v>
      </c>
      <c r="N93" s="17">
        <v>0.0</v>
      </c>
      <c r="O93" s="17">
        <v>252.0</v>
      </c>
      <c r="P93" s="17">
        <v>31.0</v>
      </c>
      <c r="Q93" s="17">
        <v>31.0</v>
      </c>
      <c r="R93" s="17">
        <v>31.0</v>
      </c>
      <c r="S93" s="17">
        <v>31.0</v>
      </c>
      <c r="T93" s="17">
        <v>31.0</v>
      </c>
      <c r="U93" s="17">
        <v>31.0</v>
      </c>
    </row>
    <row r="94" ht="23.25" customHeight="1">
      <c r="A94" s="24" t="str">
        <f>IF(COUNTIF('Icon Lookup'!C:C,B94)&gt;0,LOOKUP(B94,'Icon Lookup'!C:C,'Icon Lookup'!B:B),"")</f>
        <v/>
      </c>
      <c r="B94" s="25" t="s">
        <v>737</v>
      </c>
      <c r="C94" s="24" t="s">
        <v>804</v>
      </c>
      <c r="D94" s="24">
        <v>74.0</v>
      </c>
      <c r="E94" s="24" t="str">
        <f t="shared" ref="E94:E95" si="28">IMAGE("https://www.serebii.net/itemdex/sprites/leftovers.png")</f>
        <v/>
      </c>
      <c r="F94" s="24" t="s">
        <v>374</v>
      </c>
      <c r="G94" s="24" t="s">
        <v>859</v>
      </c>
      <c r="H94" s="23" t="s">
        <v>2614</v>
      </c>
      <c r="I94" s="24" t="s">
        <v>612</v>
      </c>
      <c r="J94" s="24">
        <v>252.0</v>
      </c>
      <c r="K94" s="24">
        <v>0.0</v>
      </c>
      <c r="L94" s="24">
        <v>0.0</v>
      </c>
      <c r="M94" s="24">
        <v>252.0</v>
      </c>
      <c r="N94" s="24">
        <v>0.0</v>
      </c>
      <c r="O94" s="24">
        <v>6.0</v>
      </c>
      <c r="P94" s="24">
        <v>31.0</v>
      </c>
      <c r="Q94" s="24">
        <v>31.0</v>
      </c>
      <c r="R94" s="24">
        <v>31.0</v>
      </c>
      <c r="S94" s="24">
        <v>31.0</v>
      </c>
      <c r="T94" s="24">
        <v>31.0</v>
      </c>
      <c r="U94" s="24">
        <v>31.0</v>
      </c>
    </row>
    <row r="95" ht="23.25" customHeight="1">
      <c r="A95" s="24" t="str">
        <f>IF(COUNTIF('Icon Lookup'!C:C,B95)&gt;0,LOOKUP(B95,'Icon Lookup'!C:C,'Icon Lookup'!B:B),"")</f>
        <v/>
      </c>
      <c r="B95" s="25" t="s">
        <v>737</v>
      </c>
      <c r="C95" s="24" t="s">
        <v>804</v>
      </c>
      <c r="D95" s="24">
        <v>74.0</v>
      </c>
      <c r="E95" s="24" t="str">
        <f t="shared" si="28"/>
        <v/>
      </c>
      <c r="F95" s="24" t="s">
        <v>374</v>
      </c>
      <c r="G95" s="24" t="s">
        <v>859</v>
      </c>
      <c r="H95" s="23" t="s">
        <v>2614</v>
      </c>
      <c r="I95" s="24" t="s">
        <v>94</v>
      </c>
      <c r="J95" s="24">
        <v>252.0</v>
      </c>
      <c r="K95" s="24">
        <v>0.0</v>
      </c>
      <c r="L95" s="24">
        <v>0.0</v>
      </c>
      <c r="M95" s="24">
        <v>252.0</v>
      </c>
      <c r="N95" s="24">
        <v>0.0</v>
      </c>
      <c r="O95" s="24">
        <v>6.0</v>
      </c>
      <c r="P95" s="24">
        <v>31.0</v>
      </c>
      <c r="Q95" s="24">
        <v>31.0</v>
      </c>
      <c r="R95" s="24">
        <v>31.0</v>
      </c>
      <c r="S95" s="24">
        <v>31.0</v>
      </c>
      <c r="T95" s="24">
        <v>31.0</v>
      </c>
      <c r="U95" s="24">
        <v>31.0</v>
      </c>
    </row>
    <row r="96" ht="23.25" customHeight="1">
      <c r="A96" s="1"/>
      <c r="B96" s="15" t="s">
        <v>2651</v>
      </c>
      <c r="C96" s="1" t="s">
        <v>17</v>
      </c>
      <c r="D96" s="1" t="s">
        <v>858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23.25" customHeight="1">
      <c r="A97" s="17" t="str">
        <f>IF(COUNTIF('Icon Lookup'!C:C,B97)&gt;0,LOOKUP(B97,'Icon Lookup'!C:C,'Icon Lookup'!B:B),"")</f>
        <v/>
      </c>
      <c r="B97" s="18" t="s">
        <v>735</v>
      </c>
      <c r="C97" s="17" t="s">
        <v>17</v>
      </c>
      <c r="D97" s="17">
        <v>68.0</v>
      </c>
      <c r="E97" s="17" t="str">
        <f t="shared" ref="E97:E98" si="29">IMAGE("https://www.serebii.net/itemdex/sprites/softsand.png")</f>
        <v/>
      </c>
      <c r="F97" s="17" t="s">
        <v>98</v>
      </c>
      <c r="G97" s="17" t="s">
        <v>820</v>
      </c>
      <c r="H97" s="20" t="s">
        <v>862</v>
      </c>
      <c r="I97" s="17" t="s">
        <v>22</v>
      </c>
      <c r="J97" s="17">
        <v>52.0</v>
      </c>
      <c r="K97" s="17">
        <v>0.0</v>
      </c>
      <c r="L97" s="17">
        <v>0.0</v>
      </c>
      <c r="M97" s="17">
        <v>0.0</v>
      </c>
      <c r="N97" s="17">
        <v>0.0</v>
      </c>
      <c r="O97" s="17">
        <v>204.0</v>
      </c>
      <c r="P97" s="17">
        <v>31.0</v>
      </c>
      <c r="Q97" s="17">
        <v>31.0</v>
      </c>
      <c r="R97" s="17">
        <v>31.0</v>
      </c>
      <c r="S97" s="17">
        <v>0.0</v>
      </c>
      <c r="T97" s="17">
        <v>31.0</v>
      </c>
      <c r="U97" s="17">
        <v>31.0</v>
      </c>
    </row>
    <row r="98" ht="23.25" customHeight="1">
      <c r="A98" s="17" t="str">
        <f>IF(COUNTIF('Icon Lookup'!C:C,B98)&gt;0,LOOKUP(B98,'Icon Lookup'!C:C,'Icon Lookup'!B:B),"")</f>
        <v/>
      </c>
      <c r="B98" s="18" t="s">
        <v>735</v>
      </c>
      <c r="C98" s="17"/>
      <c r="D98" s="17">
        <v>68.0</v>
      </c>
      <c r="E98" s="17" t="str">
        <f t="shared" si="29"/>
        <v/>
      </c>
      <c r="F98" s="17" t="s">
        <v>98</v>
      </c>
      <c r="G98" s="17" t="s">
        <v>820</v>
      </c>
      <c r="H98" s="20" t="s">
        <v>862</v>
      </c>
      <c r="I98" s="17" t="s">
        <v>22</v>
      </c>
      <c r="J98" s="17">
        <v>52.0</v>
      </c>
      <c r="K98" s="17">
        <v>252.0</v>
      </c>
      <c r="L98" s="17">
        <v>0.0</v>
      </c>
      <c r="M98" s="17">
        <v>0.0</v>
      </c>
      <c r="N98" s="17">
        <v>0.0</v>
      </c>
      <c r="O98" s="17">
        <v>204.0</v>
      </c>
      <c r="P98" s="17">
        <v>31.0</v>
      </c>
      <c r="Q98" s="17">
        <v>31.0</v>
      </c>
      <c r="R98" s="17">
        <v>31.0</v>
      </c>
      <c r="S98" s="17">
        <v>0.0</v>
      </c>
      <c r="T98" s="17">
        <v>31.0</v>
      </c>
      <c r="U98" s="17">
        <v>31.0</v>
      </c>
    </row>
    <row r="99" ht="23.25" customHeight="1">
      <c r="A99" s="1"/>
      <c r="B99" s="15" t="s">
        <v>2657</v>
      </c>
      <c r="C99" s="1" t="s">
        <v>17</v>
      </c>
      <c r="D99" s="1" t="s">
        <v>868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23.25" customHeight="1">
      <c r="A100" s="20" t="str">
        <f>IF(COUNTIF('Icon Lookup'!C:C,B100)&gt;0,LOOKUP(B100,'Icon Lookup'!C:C,'Icon Lookup'!B:B),"")</f>
        <v/>
      </c>
      <c r="B100" s="21" t="s">
        <v>879</v>
      </c>
      <c r="C100" s="20" t="s">
        <v>17</v>
      </c>
      <c r="D100" s="20">
        <v>71.0</v>
      </c>
      <c r="E100" s="20" t="str">
        <f t="shared" ref="E100:E101" si="30">IMAGE("https://www.serebii.net/itemdex/sprites/focussash.png")</f>
        <v/>
      </c>
      <c r="F100" s="20" t="s">
        <v>880</v>
      </c>
      <c r="G100" s="20" t="s">
        <v>881</v>
      </c>
      <c r="H100" s="23" t="s">
        <v>882</v>
      </c>
      <c r="I100" s="20" t="s">
        <v>22</v>
      </c>
      <c r="J100" s="17">
        <v>52.0</v>
      </c>
      <c r="K100" s="17">
        <v>0.0</v>
      </c>
      <c r="L100" s="17">
        <v>0.0</v>
      </c>
      <c r="M100" s="17">
        <v>0.0</v>
      </c>
      <c r="N100" s="17">
        <v>0.0</v>
      </c>
      <c r="O100" s="17">
        <v>204.0</v>
      </c>
      <c r="P100" s="17">
        <v>31.0</v>
      </c>
      <c r="Q100" s="17">
        <v>31.0</v>
      </c>
      <c r="R100" s="17">
        <v>31.0</v>
      </c>
      <c r="S100" s="17">
        <v>0.0</v>
      </c>
      <c r="T100" s="17">
        <v>31.0</v>
      </c>
      <c r="U100" s="17">
        <v>31.0</v>
      </c>
    </row>
    <row r="101" ht="23.25" customHeight="1">
      <c r="A101" s="20" t="str">
        <f>IF(COUNTIF('Icon Lookup'!C:C,B101)&gt;0,LOOKUP(B101,'Icon Lookup'!C:C,'Icon Lookup'!B:B),"")</f>
        <v/>
      </c>
      <c r="B101" s="21" t="s">
        <v>879</v>
      </c>
      <c r="C101" s="20"/>
      <c r="D101" s="20">
        <v>71.0</v>
      </c>
      <c r="E101" s="20" t="str">
        <f t="shared" si="30"/>
        <v/>
      </c>
      <c r="F101" s="20" t="s">
        <v>880</v>
      </c>
      <c r="G101" s="20" t="s">
        <v>881</v>
      </c>
      <c r="H101" s="23" t="s">
        <v>882</v>
      </c>
      <c r="I101" s="20" t="s">
        <v>22</v>
      </c>
      <c r="J101" s="17">
        <v>52.0</v>
      </c>
      <c r="K101" s="17">
        <v>252.0</v>
      </c>
      <c r="L101" s="17">
        <v>0.0</v>
      </c>
      <c r="M101" s="17">
        <v>0.0</v>
      </c>
      <c r="N101" s="17">
        <v>0.0</v>
      </c>
      <c r="O101" s="17">
        <v>204.0</v>
      </c>
      <c r="P101" s="17">
        <v>31.0</v>
      </c>
      <c r="Q101" s="17">
        <v>31.0</v>
      </c>
      <c r="R101" s="17">
        <v>31.0</v>
      </c>
      <c r="S101" s="17">
        <v>0.0</v>
      </c>
      <c r="T101" s="17">
        <v>31.0</v>
      </c>
      <c r="U101" s="17">
        <v>31.0</v>
      </c>
    </row>
    <row r="102" ht="23.25" customHeight="1">
      <c r="A102" s="1"/>
      <c r="B102" s="15" t="s">
        <v>2680</v>
      </c>
      <c r="C102" s="1" t="s">
        <v>17</v>
      </c>
      <c r="D102" s="1" t="s">
        <v>868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23.25" customHeight="1">
      <c r="A103" s="17" t="str">
        <f>IF(COUNTIF('Icon Lookup'!C:C,B103)&gt;0,LOOKUP(B103,'Icon Lookup'!C:C,'Icon Lookup'!B:B),"")</f>
        <v/>
      </c>
      <c r="B103" s="18" t="s">
        <v>879</v>
      </c>
      <c r="C103" s="17" t="s">
        <v>17</v>
      </c>
      <c r="D103" s="17">
        <v>81.0</v>
      </c>
      <c r="E103" s="17" t="str">
        <f t="shared" ref="E103:E104" si="31">IMAGE("https://www.serebii.net/itemdex/sprites/focussash.png")</f>
        <v/>
      </c>
      <c r="F103" s="17" t="s">
        <v>880</v>
      </c>
      <c r="G103" s="17" t="s">
        <v>881</v>
      </c>
      <c r="H103" s="20" t="s">
        <v>882</v>
      </c>
      <c r="I103" s="17" t="s">
        <v>22</v>
      </c>
      <c r="J103" s="17">
        <v>0.0</v>
      </c>
      <c r="K103" s="17">
        <v>0.0</v>
      </c>
      <c r="L103" s="17">
        <v>0.0</v>
      </c>
      <c r="M103" s="17">
        <v>0.0</v>
      </c>
      <c r="N103" s="17">
        <v>0.0</v>
      </c>
      <c r="O103" s="17">
        <v>252.0</v>
      </c>
      <c r="P103" s="17">
        <v>31.0</v>
      </c>
      <c r="Q103" s="17">
        <v>31.0</v>
      </c>
      <c r="R103" s="17">
        <v>31.0</v>
      </c>
      <c r="S103" s="17">
        <v>0.0</v>
      </c>
      <c r="T103" s="17">
        <v>31.0</v>
      </c>
      <c r="U103" s="17">
        <v>31.0</v>
      </c>
    </row>
    <row r="104" ht="23.25" customHeight="1">
      <c r="A104" s="17" t="str">
        <f>IF(COUNTIF('Icon Lookup'!C:C,B104)&gt;0,LOOKUP(B104,'Icon Lookup'!C:C,'Icon Lookup'!B:B),"")</f>
        <v/>
      </c>
      <c r="B104" s="18" t="s">
        <v>879</v>
      </c>
      <c r="C104" s="17"/>
      <c r="D104" s="17">
        <v>81.0</v>
      </c>
      <c r="E104" s="17" t="str">
        <f t="shared" si="31"/>
        <v/>
      </c>
      <c r="F104" s="17" t="s">
        <v>880</v>
      </c>
      <c r="G104" s="17" t="s">
        <v>881</v>
      </c>
      <c r="H104" s="20" t="s">
        <v>882</v>
      </c>
      <c r="I104" s="17" t="s">
        <v>22</v>
      </c>
      <c r="J104" s="17">
        <v>0.0</v>
      </c>
      <c r="K104" s="17">
        <v>252.0</v>
      </c>
      <c r="L104" s="17">
        <v>0.0</v>
      </c>
      <c r="M104" s="17">
        <v>0.0</v>
      </c>
      <c r="N104" s="17">
        <v>0.0</v>
      </c>
      <c r="O104" s="17">
        <v>252.0</v>
      </c>
      <c r="P104" s="17">
        <v>31.0</v>
      </c>
      <c r="Q104" s="17">
        <v>31.0</v>
      </c>
      <c r="R104" s="17">
        <v>31.0</v>
      </c>
      <c r="S104" s="17">
        <v>0.0</v>
      </c>
      <c r="T104" s="17">
        <v>31.0</v>
      </c>
      <c r="U104" s="17">
        <v>31.0</v>
      </c>
    </row>
    <row r="105" ht="23.25" customHeight="1">
      <c r="A105" s="1"/>
      <c r="B105" s="15" t="s">
        <v>2684</v>
      </c>
      <c r="C105" s="1" t="s">
        <v>17</v>
      </c>
      <c r="D105" s="1" t="s">
        <v>884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23.25" customHeight="1">
      <c r="A106" s="20" t="str">
        <f>IF(COUNTIF('Icon Lookup'!C:C,B106)&gt;0,LOOKUP(B106,'Icon Lookup'!C:C,'Icon Lookup'!B:B),"")</f>
        <v/>
      </c>
      <c r="B106" s="21" t="s">
        <v>1897</v>
      </c>
      <c r="C106" s="20" t="s">
        <v>17</v>
      </c>
      <c r="D106" s="20">
        <v>82.0</v>
      </c>
      <c r="E106" s="20" t="str">
        <f t="shared" ref="E106:E107" si="32">IMAGE("https://www.serebii.net/itemdex/sprites/leftovers.png")</f>
        <v/>
      </c>
      <c r="F106" s="20" t="s">
        <v>2558</v>
      </c>
      <c r="G106" s="20" t="s">
        <v>859</v>
      </c>
      <c r="H106" s="23" t="s">
        <v>2685</v>
      </c>
      <c r="I106" s="20" t="s">
        <v>205</v>
      </c>
      <c r="J106" s="17">
        <v>252.0</v>
      </c>
      <c r="K106" s="17">
        <v>0.0</v>
      </c>
      <c r="L106" s="17">
        <v>252.0</v>
      </c>
      <c r="M106" s="17">
        <v>6.0</v>
      </c>
      <c r="N106" s="17">
        <v>0.0</v>
      </c>
      <c r="O106" s="17">
        <v>0.0</v>
      </c>
      <c r="P106" s="17">
        <v>31.0</v>
      </c>
      <c r="Q106" s="17">
        <v>31.0</v>
      </c>
      <c r="R106" s="17">
        <v>31.0</v>
      </c>
      <c r="S106" s="17">
        <v>0.0</v>
      </c>
      <c r="T106" s="17">
        <v>31.0</v>
      </c>
      <c r="U106" s="17">
        <v>0.0</v>
      </c>
    </row>
    <row r="107" ht="23.25" customHeight="1">
      <c r="A107" s="20" t="str">
        <f>IF(COUNTIF('Icon Lookup'!C:C,B107)&gt;0,LOOKUP(B107,'Icon Lookup'!C:C,'Icon Lookup'!B:B),"")</f>
        <v/>
      </c>
      <c r="B107" s="21" t="s">
        <v>1897</v>
      </c>
      <c r="C107" s="20"/>
      <c r="D107" s="20">
        <v>82.0</v>
      </c>
      <c r="E107" s="20" t="str">
        <f t="shared" si="32"/>
        <v/>
      </c>
      <c r="F107" s="20" t="s">
        <v>2558</v>
      </c>
      <c r="G107" s="20" t="s">
        <v>859</v>
      </c>
      <c r="H107" s="23" t="s">
        <v>2685</v>
      </c>
      <c r="I107" s="20" t="s">
        <v>205</v>
      </c>
      <c r="J107" s="17">
        <v>252.0</v>
      </c>
      <c r="K107" s="17">
        <v>0.0</v>
      </c>
      <c r="L107" s="17">
        <v>252.0</v>
      </c>
      <c r="M107" s="17">
        <v>6.0</v>
      </c>
      <c r="N107" s="17">
        <v>0.0</v>
      </c>
      <c r="O107" s="17">
        <v>0.0</v>
      </c>
      <c r="P107" s="17">
        <v>31.0</v>
      </c>
      <c r="Q107" s="17">
        <v>0.0</v>
      </c>
      <c r="R107" s="17">
        <v>31.0</v>
      </c>
      <c r="S107" s="17">
        <v>31.0</v>
      </c>
      <c r="T107" s="17">
        <v>31.0</v>
      </c>
      <c r="U107" s="17">
        <v>0.0</v>
      </c>
    </row>
  </sheetData>
  <mergeCells count="46">
    <mergeCell ref="I2:I3"/>
    <mergeCell ref="J2:O2"/>
    <mergeCell ref="A1:U1"/>
    <mergeCell ref="A2:B3"/>
    <mergeCell ref="C2:C3"/>
    <mergeCell ref="D2:D3"/>
    <mergeCell ref="G2:G3"/>
    <mergeCell ref="H2:H3"/>
    <mergeCell ref="P2:U2"/>
    <mergeCell ref="E2:F3"/>
    <mergeCell ref="D4:F4"/>
    <mergeCell ref="E5:F5"/>
    <mergeCell ref="E6:F6"/>
    <mergeCell ref="D7:F7"/>
    <mergeCell ref="E8:F8"/>
    <mergeCell ref="E9:F9"/>
    <mergeCell ref="D10:F10"/>
    <mergeCell ref="D13:F13"/>
    <mergeCell ref="D16:F16"/>
    <mergeCell ref="D19:F19"/>
    <mergeCell ref="D22:F22"/>
    <mergeCell ref="D25:F25"/>
    <mergeCell ref="D28:F28"/>
    <mergeCell ref="D31:F31"/>
    <mergeCell ref="D34:F34"/>
    <mergeCell ref="D37:F37"/>
    <mergeCell ref="D40:F40"/>
    <mergeCell ref="D43:F43"/>
    <mergeCell ref="D46:F46"/>
    <mergeCell ref="D53:F53"/>
    <mergeCell ref="D56:F56"/>
    <mergeCell ref="D59:F59"/>
    <mergeCell ref="D62:F62"/>
    <mergeCell ref="D65:F65"/>
    <mergeCell ref="D68:F68"/>
    <mergeCell ref="D71:F71"/>
    <mergeCell ref="D76:F76"/>
    <mergeCell ref="D102:F102"/>
    <mergeCell ref="D105:F105"/>
    <mergeCell ref="D79:F79"/>
    <mergeCell ref="D82:F82"/>
    <mergeCell ref="D85:F85"/>
    <mergeCell ref="D88:F88"/>
    <mergeCell ref="D91:F91"/>
    <mergeCell ref="D96:F96"/>
    <mergeCell ref="D99:F99"/>
  </mergeCells>
  <conditionalFormatting sqref="P2:P107 J3">
    <cfRule type="colorScale" priority="1">
      <colorScale>
        <cfvo type="formula" val="0"/>
        <cfvo type="formula" val="31"/>
        <color rgb="FFFFFFFF"/>
        <color rgb="FFE06666"/>
      </colorScale>
    </cfRule>
  </conditionalFormatting>
  <conditionalFormatting sqref="J2:J107">
    <cfRule type="colorScale" priority="2">
      <colorScale>
        <cfvo type="formula" val="0"/>
        <cfvo type="formula" val="252"/>
        <color rgb="FFFFFFFF"/>
        <color rgb="FFE06666"/>
      </colorScale>
    </cfRule>
  </conditionalFormatting>
  <conditionalFormatting sqref="K3 Q3:Q107">
    <cfRule type="colorScale" priority="3">
      <colorScale>
        <cfvo type="formula" val="0"/>
        <cfvo type="formula" val="31"/>
        <color rgb="FFFFFFFF"/>
        <color rgb="FFF6B26B"/>
      </colorScale>
    </cfRule>
  </conditionalFormatting>
  <conditionalFormatting sqref="K3:K107">
    <cfRule type="colorScale" priority="4">
      <colorScale>
        <cfvo type="formula" val="0"/>
        <cfvo type="formula" val="252"/>
        <color rgb="FFFFFFFF"/>
        <color rgb="FFF6B26B"/>
      </colorScale>
    </cfRule>
  </conditionalFormatting>
  <conditionalFormatting sqref="L3 R3:R107">
    <cfRule type="colorScale" priority="5">
      <colorScale>
        <cfvo type="formula" val="0"/>
        <cfvo type="formula" val="31"/>
        <color rgb="FFFFFFFF"/>
        <color rgb="FFFFD966"/>
      </colorScale>
    </cfRule>
  </conditionalFormatting>
  <conditionalFormatting sqref="L3:L107">
    <cfRule type="colorScale" priority="6">
      <colorScale>
        <cfvo type="formula" val="0"/>
        <cfvo type="formula" val="252"/>
        <color rgb="FFFFFFFF"/>
        <color rgb="FFFFD966"/>
      </colorScale>
    </cfRule>
  </conditionalFormatting>
  <conditionalFormatting sqref="M3 S3:S107">
    <cfRule type="colorScale" priority="7">
      <colorScale>
        <cfvo type="formula" val="0"/>
        <cfvo type="formula" val="31"/>
        <color rgb="FFFFFFFF"/>
        <color rgb="FF6D9EEB"/>
      </colorScale>
    </cfRule>
  </conditionalFormatting>
  <conditionalFormatting sqref="M3:M107">
    <cfRule type="colorScale" priority="8">
      <colorScale>
        <cfvo type="formula" val="0"/>
        <cfvo type="formula" val="252"/>
        <color rgb="FFFFFFFF"/>
        <color rgb="FF6D9EEB"/>
      </colorScale>
    </cfRule>
  </conditionalFormatting>
  <conditionalFormatting sqref="N3 T3:T107">
    <cfRule type="colorScale" priority="9">
      <colorScale>
        <cfvo type="formula" val="0"/>
        <cfvo type="formula" val="31"/>
        <color rgb="FFFFFFFF"/>
        <color rgb="FF93C47D"/>
      </colorScale>
    </cfRule>
  </conditionalFormatting>
  <conditionalFormatting sqref="N3:N107">
    <cfRule type="colorScale" priority="10">
      <colorScale>
        <cfvo type="formula" val="0"/>
        <cfvo type="formula" val="252"/>
        <color rgb="FFFFFFFF"/>
        <color rgb="FF93C47D"/>
      </colorScale>
    </cfRule>
  </conditionalFormatting>
  <conditionalFormatting sqref="O3 U3:U107">
    <cfRule type="colorScale" priority="11">
      <colorScale>
        <cfvo type="formula" val="0"/>
        <cfvo type="formula" val="31"/>
        <color rgb="FFFFFFFF"/>
        <color rgb="FFC27BA0"/>
      </colorScale>
    </cfRule>
  </conditionalFormatting>
  <conditionalFormatting sqref="O3:O107">
    <cfRule type="colorScale" priority="12">
      <colorScale>
        <cfvo type="formula" val="0"/>
        <cfvo type="formula" val="252"/>
        <color rgb="FFFFFFFF"/>
        <color rgb="FFC27BA0"/>
      </colorScale>
    </cfRule>
  </conditionalFormatting>
  <conditionalFormatting sqref="J2:U107">
    <cfRule type="cellIs" dxfId="0" priority="13" operator="equal">
      <formula>0</formula>
    </cfRule>
  </conditionalFormatting>
  <conditionalFormatting sqref="D1:D107">
    <cfRule type="colorScale" priority="14">
      <colorScale>
        <cfvo type="formula" val="1"/>
        <cfvo type="formula" val="100"/>
        <color rgb="FFFFFFFF"/>
        <color rgb="FF8E7CC3"/>
      </colorScale>
    </cfRule>
  </conditionalFormatting>
  <drawing r:id="rId1"/>
</worksheet>
</file>